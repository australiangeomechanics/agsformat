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atgel.sharepoint.com/sites/AGS4.1AU/Shared Documents/Version 4.1 AU 1.0/"/>
    </mc:Choice>
  </mc:AlternateContent>
  <xr:revisionPtr revIDLastSave="5859" documentId="6_{03BC5C99-BD9E-4C9F-A9EB-B713A0C2F58C}" xr6:coauthVersionLast="47" xr6:coauthVersionMax="47" xr10:uidLastSave="{F50CB408-28B0-4B15-9DE7-0684DB380C8E}"/>
  <bookViews>
    <workbookView xWindow="38490" yWindow="240" windowWidth="27380" windowHeight="19910" activeTab="1" xr2:uid="{00000000-000D-0000-FFFF-FFFF00000000}"/>
  </bookViews>
  <sheets>
    <sheet name="Instructions" sheetId="7" r:id="rId1"/>
    <sheet name="Groups" sheetId="1" r:id="rId2"/>
    <sheet name="GEOL_EXAMPLE" sheetId="8" r:id="rId3"/>
    <sheet name="Headings" sheetId="2" r:id="rId4"/>
    <sheet name="ABBR" sheetId="4" r:id="rId5"/>
    <sheet name="Sheet2" sheetId="10" r:id="rId6"/>
    <sheet name="UNIT" sheetId="5" r:id="rId7"/>
    <sheet name="TYPE" sheetId="6" r:id="rId8"/>
  </sheets>
  <definedNames>
    <definedName name="_xlnm._FilterDatabase" localSheetId="4" hidden="1">ABBR!$A$1:$L$1733</definedName>
    <definedName name="_xlnm._FilterDatabase" localSheetId="1" hidden="1">Groups!$A$1:$N$194</definedName>
    <definedName name="_xlnm._FilterDatabase" localSheetId="3" hidden="1">Headings!$A$1:$Q$4042</definedName>
    <definedName name="_xlnm.Criteria" localSheetId="3">Headings!#REF!</definedName>
    <definedName name="_xlnm.Extract" localSheetId="3">Headings!#REF!</definedName>
    <definedName name="GroupHeadings">Headings!$A:$A</definedName>
    <definedName name="GroupNames">Groups!$A:$A</definedName>
    <definedName name="_xlnm.Print_Titles" localSheetId="1">Groups!$1:$1</definedName>
    <definedName name="_xlnm.Print_Titles" localSheetId="3">Headings!$1:$1</definedName>
    <definedName name="RESC" localSheetId="3">Headings!$C$1917</definedName>
    <definedName name="strata">#REF!</definedName>
    <definedName name="Z_8BEC7B35_1120_4355_8562_5F01AA824295_.wvu.Cols" localSheetId="1" hidden="1">Groups!$K:$XFD</definedName>
    <definedName name="Z_8BEC7B35_1120_4355_8562_5F01AA824295_.wvu.FilterData" localSheetId="1" hidden="1">Groups!$A$1:$H$146</definedName>
    <definedName name="Z_8BEC7B35_1120_4355_8562_5F01AA824295_.wvu.FilterData" localSheetId="3" hidden="1">Headings!$A$1:$H$3948</definedName>
    <definedName name="Z_8BEC7B35_1120_4355_8562_5F01AA824295_.wvu.PrintTitles" localSheetId="1" hidden="1">Groups!$1:$1</definedName>
    <definedName name="Z_8BEC7B35_1120_4355_8562_5F01AA824295_.wvu.PrintTitles" localSheetId="3" hidden="1">Headings!$1:$1</definedName>
    <definedName name="Z_8BEC7B35_1120_4355_8562_5F01AA824295_.wvu.Rows" localSheetId="3" hidden="1">Headings!$3202:$1048576</definedName>
  </definedNames>
  <calcPr calcId="191028"/>
  <customWorkbookViews>
    <customWorkbookView name="steve - Personal View" guid="{8BEC7B35-1120-4355-8562-5F01AA824295}" mergeInterval="0" personalView="1" maximized="1" windowWidth="1596" windowHeight="575"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049" i="2" l="1"/>
  <c r="P4049" i="2"/>
  <c r="O4049" i="2"/>
  <c r="Q4048" i="2"/>
  <c r="P4048" i="2"/>
  <c r="O4048" i="2"/>
  <c r="Q4047" i="2"/>
  <c r="P4047" i="2"/>
  <c r="O4047" i="2"/>
  <c r="Q4046" i="2"/>
  <c r="P4046" i="2"/>
  <c r="O4046" i="2"/>
  <c r="Q4045" i="2"/>
  <c r="P4045" i="2"/>
  <c r="O4045" i="2"/>
  <c r="Q4044" i="2"/>
  <c r="P4044" i="2"/>
  <c r="O4044" i="2"/>
  <c r="Q4043" i="2"/>
  <c r="P4043" i="2"/>
  <c r="O4043" i="2"/>
  <c r="Q1603" i="2"/>
  <c r="P1603" i="2"/>
  <c r="O1603" i="2"/>
  <c r="Q1602" i="2"/>
  <c r="P1602" i="2"/>
  <c r="O1602" i="2"/>
  <c r="Q1601" i="2"/>
  <c r="P1601" i="2"/>
  <c r="O1601" i="2"/>
  <c r="K1514" i="4"/>
  <c r="K1513" i="4"/>
  <c r="K1512" i="4"/>
  <c r="B20" i="10"/>
  <c r="B21" i="10" s="1"/>
  <c r="B22" i="10" s="1"/>
  <c r="B19" i="10"/>
  <c r="B18" i="10"/>
  <c r="K1535" i="4"/>
  <c r="J1535" i="4"/>
  <c r="I1535" i="4"/>
  <c r="K1536" i="4"/>
  <c r="J1536" i="4"/>
  <c r="I1536" i="4"/>
  <c r="K1508" i="4"/>
  <c r="K1507" i="4"/>
  <c r="K1506" i="4"/>
  <c r="K1505" i="4"/>
  <c r="K1504" i="4"/>
  <c r="K1503" i="4"/>
  <c r="K1502" i="4"/>
  <c r="K1534" i="4"/>
  <c r="J1534" i="4"/>
  <c r="I1534" i="4"/>
  <c r="P1405" i="2"/>
  <c r="O1405" i="2"/>
  <c r="P1404" i="2"/>
  <c r="O1404" i="2"/>
  <c r="P1403" i="2"/>
  <c r="O1403" i="2"/>
  <c r="P1402" i="2"/>
  <c r="O1402" i="2"/>
  <c r="P1401" i="2"/>
  <c r="O1401" i="2"/>
  <c r="P1400" i="2"/>
  <c r="O1400" i="2"/>
  <c r="O1362" i="2"/>
  <c r="P1362" i="2"/>
  <c r="O1363" i="2"/>
  <c r="P1363" i="2"/>
  <c r="O1364" i="2"/>
  <c r="P1364" i="2"/>
  <c r="O1365" i="2"/>
  <c r="P1365" i="2"/>
  <c r="O1366" i="2"/>
  <c r="P1366" i="2"/>
  <c r="O1367" i="2"/>
  <c r="P1367" i="2"/>
  <c r="O1368" i="2"/>
  <c r="P1368" i="2"/>
  <c r="O1369" i="2"/>
  <c r="P1369" i="2"/>
  <c r="O1370" i="2"/>
  <c r="P1370" i="2"/>
  <c r="O1371" i="2"/>
  <c r="P1371" i="2"/>
  <c r="O1372" i="2"/>
  <c r="P1372" i="2"/>
  <c r="O1373" i="2"/>
  <c r="P1373" i="2"/>
  <c r="O1374" i="2"/>
  <c r="P1374" i="2"/>
  <c r="O1375" i="2"/>
  <c r="P1375" i="2"/>
  <c r="O1376" i="2"/>
  <c r="P1376" i="2"/>
  <c r="Q1391" i="2" l="1"/>
  <c r="P1391" i="2"/>
  <c r="O1391" i="2"/>
  <c r="Q1390" i="2"/>
  <c r="P1390" i="2"/>
  <c r="O1390" i="2"/>
  <c r="Q1389" i="2"/>
  <c r="P1389" i="2"/>
  <c r="O1389" i="2"/>
  <c r="Q1352" i="2"/>
  <c r="P1352" i="2"/>
  <c r="O1352" i="2"/>
  <c r="Q1353" i="2"/>
  <c r="P1353" i="2"/>
  <c r="O1353" i="2"/>
  <c r="Q2218" i="2"/>
  <c r="P2218" i="2"/>
  <c r="O2218" i="2"/>
  <c r="Q2217" i="2"/>
  <c r="P2217" i="2"/>
  <c r="O2217" i="2"/>
  <c r="O1335" i="2" l="1"/>
  <c r="P1335" i="2"/>
  <c r="O1336" i="2"/>
  <c r="P1336" i="2"/>
  <c r="Q4042" i="2"/>
  <c r="P4042" i="2"/>
  <c r="O4042" i="2"/>
  <c r="Q4041" i="2"/>
  <c r="P4041" i="2"/>
  <c r="O4041" i="2"/>
  <c r="Q4040" i="2"/>
  <c r="P4040" i="2"/>
  <c r="O4040" i="2"/>
  <c r="Q4039" i="2"/>
  <c r="P4039" i="2"/>
  <c r="O4039" i="2"/>
  <c r="Q4038" i="2"/>
  <c r="P4038" i="2"/>
  <c r="O4038" i="2"/>
  <c r="Q4037" i="2"/>
  <c r="P4037" i="2"/>
  <c r="O4037" i="2"/>
  <c r="Q4035" i="2"/>
  <c r="P4035" i="2"/>
  <c r="O4035" i="2"/>
  <c r="Q4036" i="2"/>
  <c r="P4036" i="2"/>
  <c r="O4036" i="2"/>
  <c r="Q4034" i="2"/>
  <c r="P4034" i="2"/>
  <c r="O4034" i="2"/>
  <c r="Q4033" i="2"/>
  <c r="P4033" i="2"/>
  <c r="O4033" i="2"/>
  <c r="Q4032" i="2"/>
  <c r="P4032" i="2"/>
  <c r="O4032" i="2"/>
  <c r="Q4031" i="2"/>
  <c r="P4031" i="2"/>
  <c r="O4031" i="2"/>
  <c r="H2513" i="2"/>
  <c r="H2514" i="2" s="1"/>
  <c r="H2515" i="2" s="1"/>
  <c r="H2516" i="2" s="1"/>
  <c r="H2517" i="2" s="1"/>
  <c r="H2518" i="2" s="1"/>
  <c r="H2519" i="2" s="1"/>
  <c r="H2520" i="2" s="1"/>
  <c r="H2521" i="2" s="1"/>
  <c r="H2522" i="2" s="1"/>
  <c r="H2523" i="2" s="1"/>
  <c r="H2524" i="2" s="1"/>
  <c r="H2525" i="2" s="1"/>
  <c r="H2526" i="2" s="1"/>
  <c r="H2527" i="2" s="1"/>
  <c r="H2528" i="2" s="1"/>
  <c r="H2529" i="2" s="1"/>
  <c r="H2530" i="2" s="1"/>
  <c r="H2531" i="2" s="1"/>
  <c r="H2532" i="2" s="1"/>
  <c r="H2533" i="2" s="1"/>
  <c r="H2534" i="2" s="1"/>
  <c r="H2535" i="2" s="1"/>
  <c r="H2536" i="2" s="1"/>
  <c r="H2537" i="2" s="1"/>
  <c r="H2538" i="2" s="1"/>
  <c r="H2539" i="2" s="1"/>
  <c r="H2540" i="2" s="1"/>
  <c r="H2541" i="2" s="1"/>
  <c r="H2542" i="2" s="1"/>
  <c r="H2543" i="2" s="1"/>
  <c r="H2544" i="2" s="1"/>
  <c r="H2545" i="2" s="1"/>
  <c r="H2546" i="2" s="1"/>
  <c r="H2547" i="2" s="1"/>
  <c r="I10" i="8" l="1"/>
  <c r="J10" i="8" s="1"/>
  <c r="K10" i="8" s="1"/>
  <c r="L10" i="8" s="1"/>
  <c r="M10" i="8" s="1"/>
  <c r="I9" i="8"/>
  <c r="J9" i="8" s="1"/>
  <c r="K9" i="8" s="1"/>
  <c r="L9" i="8" s="1"/>
  <c r="M9" i="8" s="1"/>
  <c r="Q1614" i="2"/>
  <c r="P1614" i="2"/>
  <c r="O1614" i="2"/>
  <c r="Q1784" i="2"/>
  <c r="P1784" i="2"/>
  <c r="O1784" i="2"/>
  <c r="Q1540" i="2"/>
  <c r="P1540" i="2"/>
  <c r="O1540" i="2"/>
  <c r="Q870" i="2"/>
  <c r="P870" i="2"/>
  <c r="O870" i="2"/>
  <c r="Q3997" i="2"/>
  <c r="P3997" i="2"/>
  <c r="O3997" i="2"/>
  <c r="Q2896" i="2"/>
  <c r="P2896" i="2"/>
  <c r="O2896" i="2"/>
  <c r="Q2797" i="2"/>
  <c r="P2797" i="2"/>
  <c r="O2797" i="2"/>
  <c r="Q2737" i="2"/>
  <c r="P2737" i="2"/>
  <c r="O2737" i="2"/>
  <c r="Q1804" i="2"/>
  <c r="P1804" i="2"/>
  <c r="O1804" i="2"/>
  <c r="Q1698" i="2"/>
  <c r="P1698" i="2"/>
  <c r="O1698" i="2"/>
  <c r="Q1680" i="2"/>
  <c r="P1680" i="2"/>
  <c r="O1680" i="2"/>
  <c r="Q1644" i="2"/>
  <c r="P1644" i="2"/>
  <c r="O1644" i="2"/>
  <c r="Q1629" i="2"/>
  <c r="P1629" i="2"/>
  <c r="O1629" i="2"/>
  <c r="Q1584" i="2"/>
  <c r="P1584" i="2"/>
  <c r="O1584" i="2"/>
  <c r="Q1564" i="2"/>
  <c r="P1564" i="2"/>
  <c r="O1564" i="2"/>
  <c r="Q1524" i="2"/>
  <c r="P1524" i="2"/>
  <c r="O1524" i="2"/>
  <c r="Q1006" i="2"/>
  <c r="P1006" i="2"/>
  <c r="O1006" i="2"/>
  <c r="Q791" i="2"/>
  <c r="P791" i="2"/>
  <c r="O791" i="2"/>
  <c r="O3555" i="2"/>
  <c r="P3555" i="2"/>
  <c r="Q3555" i="2"/>
  <c r="H331" i="2"/>
  <c r="H332" i="2" s="1"/>
  <c r="H333" i="2" s="1"/>
  <c r="H334" i="2" s="1"/>
  <c r="H335" i="2" s="1"/>
  <c r="H336" i="2" s="1"/>
  <c r="H337" i="2" s="1"/>
  <c r="H338" i="2" s="1"/>
  <c r="H339" i="2" s="1"/>
  <c r="H340" i="2" s="1"/>
  <c r="H341" i="2" s="1"/>
  <c r="H342" i="2" s="1"/>
  <c r="H343" i="2" s="1"/>
  <c r="H344" i="2" s="1"/>
  <c r="H345" i="2" s="1"/>
  <c r="H346" i="2" s="1"/>
  <c r="H347" i="2" s="1"/>
  <c r="H348" i="2" s="1"/>
  <c r="H349" i="2" s="1"/>
  <c r="H350" i="2" s="1"/>
  <c r="H351" i="2" s="1"/>
  <c r="H352" i="2" s="1"/>
  <c r="H353" i="2" s="1"/>
  <c r="H354" i="2" s="1"/>
  <c r="H355" i="2" s="1"/>
  <c r="Q349" i="2"/>
  <c r="P349" i="2"/>
  <c r="O349" i="2"/>
  <c r="Q340" i="2"/>
  <c r="P340" i="2"/>
  <c r="O340" i="2"/>
  <c r="H209" i="2"/>
  <c r="H210" i="2" s="1"/>
  <c r="H211" i="2" s="1"/>
  <c r="H212" i="2" s="1"/>
  <c r="H213" i="2" s="1"/>
  <c r="H214" i="2" s="1"/>
  <c r="H215" i="2" s="1"/>
  <c r="H216" i="2" s="1"/>
  <c r="H217" i="2" s="1"/>
  <c r="H218" i="2" s="1"/>
  <c r="H219" i="2" s="1"/>
  <c r="H220" i="2" s="1"/>
  <c r="H221" i="2" s="1"/>
  <c r="H222" i="2" s="1"/>
  <c r="H223" i="2" s="1"/>
  <c r="H224" i="2" s="1"/>
  <c r="H225" i="2" s="1"/>
  <c r="H226" i="2" s="1"/>
  <c r="H227" i="2" s="1"/>
  <c r="H228" i="2" s="1"/>
  <c r="H229" i="2" s="1"/>
  <c r="H230" i="2" s="1"/>
  <c r="H231" i="2" s="1"/>
  <c r="H232" i="2" s="1"/>
  <c r="H233" i="2" s="1"/>
  <c r="H234" i="2" s="1"/>
  <c r="H235" i="2" s="1"/>
  <c r="Q228" i="2"/>
  <c r="P228" i="2"/>
  <c r="O228" i="2"/>
  <c r="H82" i="2"/>
  <c r="H83" i="2" s="1"/>
  <c r="H84" i="2" s="1"/>
  <c r="H85" i="2" s="1"/>
  <c r="H86" i="2" s="1"/>
  <c r="H87" i="2" s="1"/>
  <c r="H88" i="2" s="1"/>
  <c r="H89" i="2" s="1"/>
  <c r="H90" i="2" s="1"/>
  <c r="H91" i="2" s="1"/>
  <c r="H92" i="2" s="1"/>
  <c r="H93" i="2" s="1"/>
  <c r="H94" i="2" s="1"/>
  <c r="H95" i="2" s="1"/>
  <c r="H96" i="2" s="1"/>
  <c r="H97" i="2" s="1"/>
  <c r="H98" i="2" s="1"/>
  <c r="H99" i="2" s="1"/>
  <c r="H100" i="2" s="1"/>
  <c r="H101" i="2" s="1"/>
  <c r="H102" i="2" s="1"/>
  <c r="H103" i="2" s="1"/>
  <c r="H104" i="2" s="1"/>
  <c r="H105" i="2" s="1"/>
  <c r="H106" i="2" s="1"/>
  <c r="H107" i="2" s="1"/>
  <c r="H108" i="2" s="1"/>
  <c r="H109" i="2" s="1"/>
  <c r="H110" i="2" s="1"/>
  <c r="H111" i="2" s="1"/>
  <c r="H112" i="2" s="1"/>
  <c r="H113" i="2" s="1"/>
  <c r="H114" i="2" s="1"/>
  <c r="Q108" i="2"/>
  <c r="P108" i="2"/>
  <c r="O108" i="2"/>
  <c r="Q91" i="2"/>
  <c r="P91" i="2"/>
  <c r="O91" i="2"/>
  <c r="Q1961" i="2"/>
  <c r="P1961" i="2"/>
  <c r="O1961" i="2"/>
  <c r="Q3365" i="2"/>
  <c r="P3365" i="2"/>
  <c r="O3365" i="2"/>
  <c r="Q1905" i="2"/>
  <c r="P1905" i="2"/>
  <c r="O1905" i="2"/>
  <c r="H3627" i="2"/>
  <c r="H3628" i="2" s="1"/>
  <c r="H3629" i="2" s="1"/>
  <c r="H3630" i="2" s="1"/>
  <c r="H3631" i="2" s="1"/>
  <c r="H3632" i="2" s="1"/>
  <c r="H3633" i="2" s="1"/>
  <c r="H3634" i="2" s="1"/>
  <c r="H3635" i="2" s="1"/>
  <c r="H3636" i="2" s="1"/>
  <c r="H3637" i="2" s="1"/>
  <c r="H3638" i="2" s="1"/>
  <c r="H3639" i="2" s="1"/>
  <c r="H3640" i="2" s="1"/>
  <c r="H3641" i="2" s="1"/>
  <c r="H3642" i="2" s="1"/>
  <c r="H3643" i="2" s="1"/>
  <c r="H3644" i="2" s="1"/>
  <c r="H3645" i="2" s="1"/>
  <c r="H3646" i="2" s="1"/>
  <c r="H3647" i="2" s="1"/>
  <c r="H3648" i="2" s="1"/>
  <c r="H3649" i="2" s="1"/>
  <c r="H3650" i="2" s="1"/>
  <c r="H3651" i="2" s="1"/>
  <c r="H3652" i="2" s="1"/>
  <c r="H3653" i="2" s="1"/>
  <c r="Q3649" i="2"/>
  <c r="P3649" i="2"/>
  <c r="O3649" i="2"/>
  <c r="Q1277" i="2"/>
  <c r="P1277" i="2"/>
  <c r="O1277" i="2"/>
  <c r="Q1276" i="2"/>
  <c r="P1276" i="2"/>
  <c r="O1276" i="2"/>
  <c r="Q1130" i="2"/>
  <c r="P1130" i="2"/>
  <c r="O1130" i="2"/>
  <c r="Q1129" i="2"/>
  <c r="P1129" i="2"/>
  <c r="O1129" i="2"/>
  <c r="Q1128" i="2"/>
  <c r="P1128" i="2"/>
  <c r="O1128" i="2"/>
  <c r="Q3510" i="2"/>
  <c r="P3510" i="2"/>
  <c r="O3510" i="2"/>
  <c r="Q3556" i="2"/>
  <c r="P3556" i="2"/>
  <c r="O3556" i="2"/>
  <c r="Q3613" i="2"/>
  <c r="P3613" i="2"/>
  <c r="O3613" i="2"/>
  <c r="H3615" i="2"/>
  <c r="H3616" i="2" s="1"/>
  <c r="H3617" i="2" s="1"/>
  <c r="H3618" i="2" s="1"/>
  <c r="H3619" i="2" s="1"/>
  <c r="H3620" i="2" s="1"/>
  <c r="H3621" i="2" s="1"/>
  <c r="H3622" i="2" s="1"/>
  <c r="H3623" i="2" s="1"/>
  <c r="H3624" i="2" s="1"/>
  <c r="H3625" i="2" s="1"/>
  <c r="Q3625" i="2"/>
  <c r="P3625" i="2"/>
  <c r="O3625" i="2"/>
  <c r="Q3624" i="2"/>
  <c r="P3624" i="2"/>
  <c r="O3624" i="2"/>
  <c r="Q3623" i="2"/>
  <c r="P3623" i="2"/>
  <c r="O3623" i="2"/>
  <c r="Q3622" i="2"/>
  <c r="P3622" i="2"/>
  <c r="O3622" i="2"/>
  <c r="Q3621" i="2"/>
  <c r="P3621" i="2"/>
  <c r="O3621" i="2"/>
  <c r="Q3620" i="2"/>
  <c r="P3620" i="2"/>
  <c r="O3620" i="2"/>
  <c r="Q3619" i="2"/>
  <c r="P3619" i="2"/>
  <c r="O3619" i="2"/>
  <c r="Q3618" i="2"/>
  <c r="P3618" i="2"/>
  <c r="O3618" i="2"/>
  <c r="Q3617" i="2"/>
  <c r="P3617" i="2"/>
  <c r="O3617" i="2"/>
  <c r="Q3616" i="2"/>
  <c r="P3616" i="2"/>
  <c r="O3616" i="2"/>
  <c r="Q3615" i="2"/>
  <c r="P3615" i="2"/>
  <c r="O3615" i="2"/>
  <c r="Q3614" i="2"/>
  <c r="P3614" i="2"/>
  <c r="O3614" i="2"/>
  <c r="H3523" i="2"/>
  <c r="H3524" i="2" s="1"/>
  <c r="H3525" i="2" s="1"/>
  <c r="H3526" i="2" s="1"/>
  <c r="H3527" i="2" s="1"/>
  <c r="H3528" i="2" s="1"/>
  <c r="H3529" i="2" s="1"/>
  <c r="H3530" i="2" s="1"/>
  <c r="H3531" i="2" s="1"/>
  <c r="H3532" i="2" s="1"/>
  <c r="H3533" i="2" s="1"/>
  <c r="H3534" i="2" s="1"/>
  <c r="H3535" i="2" s="1"/>
  <c r="H3536" i="2" s="1"/>
  <c r="H3537" i="2" s="1"/>
  <c r="H3538" i="2" s="1"/>
  <c r="H3539" i="2" s="1"/>
  <c r="H3540" i="2" s="1"/>
  <c r="H3541" i="2" s="1"/>
  <c r="H3542" i="2" s="1"/>
  <c r="H3543" i="2" s="1"/>
  <c r="H3544" i="2" s="1"/>
  <c r="H3545" i="2" s="1"/>
  <c r="H3546" i="2" s="1"/>
  <c r="H3547" i="2" s="1"/>
  <c r="H3548" i="2" s="1"/>
  <c r="H3549" i="2" s="1"/>
  <c r="H3550" i="2" s="1"/>
  <c r="H3551" i="2" s="1"/>
  <c r="H3552" i="2" s="1"/>
  <c r="H3553" i="2" s="1"/>
  <c r="H3554" i="2" s="1"/>
  <c r="Q3554" i="2"/>
  <c r="P3554" i="2"/>
  <c r="O3554" i="2"/>
  <c r="O3551" i="2"/>
  <c r="P3551" i="2"/>
  <c r="Q3551" i="2"/>
  <c r="Q3509" i="2"/>
  <c r="P3509" i="2"/>
  <c r="O3509"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2" i="2"/>
  <c r="Q93" i="2"/>
  <c r="Q94" i="2"/>
  <c r="Q95" i="2"/>
  <c r="Q96" i="2"/>
  <c r="Q97" i="2"/>
  <c r="Q98" i="2"/>
  <c r="Q99" i="2"/>
  <c r="Q100" i="2"/>
  <c r="Q101" i="2"/>
  <c r="Q102" i="2"/>
  <c r="Q103" i="2"/>
  <c r="Q104" i="2"/>
  <c r="Q105" i="2"/>
  <c r="Q106" i="2"/>
  <c r="Q107"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1" i="2"/>
  <c r="Q342" i="2"/>
  <c r="Q343" i="2"/>
  <c r="Q344" i="2"/>
  <c r="Q345" i="2"/>
  <c r="Q346" i="2"/>
  <c r="Q347" i="2"/>
  <c r="Q348"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7" i="2"/>
  <c r="Q1338" i="2"/>
  <c r="Q1339" i="2"/>
  <c r="Q1340" i="2"/>
  <c r="Q1341" i="2"/>
  <c r="Q1342" i="2"/>
  <c r="Q1343" i="2"/>
  <c r="Q1344" i="2"/>
  <c r="Q1345" i="2"/>
  <c r="Q1346" i="2"/>
  <c r="Q1347" i="2"/>
  <c r="Q1348" i="2"/>
  <c r="Q1349" i="2"/>
  <c r="Q1350" i="2"/>
  <c r="Q1351" i="2"/>
  <c r="Q1354" i="2"/>
  <c r="Q1355" i="2"/>
  <c r="Q1356" i="2"/>
  <c r="Q1357" i="2"/>
  <c r="Q1358" i="2"/>
  <c r="Q1359" i="2"/>
  <c r="Q1360" i="2"/>
  <c r="Q1361" i="2"/>
  <c r="Q1362" i="2"/>
  <c r="Q1369" i="2"/>
  <c r="Q1370" i="2"/>
  <c r="Q1371" i="2"/>
  <c r="Q1372" i="2"/>
  <c r="Q1373" i="2"/>
  <c r="Q1374" i="2"/>
  <c r="Q1375" i="2"/>
  <c r="Q1376" i="2"/>
  <c r="Q1377" i="2"/>
  <c r="Q1378" i="2"/>
  <c r="Q1379" i="2"/>
  <c r="Q1380" i="2"/>
  <c r="Q1381" i="2"/>
  <c r="Q1382" i="2"/>
  <c r="Q1383" i="2"/>
  <c r="Q1384" i="2"/>
  <c r="Q1385" i="2"/>
  <c r="Q1386" i="2"/>
  <c r="Q1387" i="2"/>
  <c r="Q1388" i="2"/>
  <c r="Q1392" i="2"/>
  <c r="Q1393" i="2"/>
  <c r="Q1394" i="2"/>
  <c r="Q1395" i="2"/>
  <c r="Q1396" i="2"/>
  <c r="Q1397" i="2"/>
  <c r="Q1398" i="2"/>
  <c r="Q1399"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5" i="2"/>
  <c r="Q1526" i="2"/>
  <c r="Q1527" i="2"/>
  <c r="Q1528" i="2"/>
  <c r="Q1529" i="2"/>
  <c r="Q1530" i="2"/>
  <c r="Q1531" i="2"/>
  <c r="Q1532" i="2"/>
  <c r="Q1533" i="2"/>
  <c r="Q1534" i="2"/>
  <c r="Q1535" i="2"/>
  <c r="Q1536" i="2"/>
  <c r="Q1537" i="2"/>
  <c r="Q1538" i="2"/>
  <c r="Q1539"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5" i="2"/>
  <c r="Q1566" i="2"/>
  <c r="Q1567" i="2"/>
  <c r="Q1568" i="2"/>
  <c r="Q1569" i="2"/>
  <c r="Q1570" i="2"/>
  <c r="Q1571" i="2"/>
  <c r="Q1572" i="2"/>
  <c r="Q1573" i="2"/>
  <c r="Q1574" i="2"/>
  <c r="Q1575" i="2"/>
  <c r="Q1576" i="2"/>
  <c r="Q1577" i="2"/>
  <c r="Q1578" i="2"/>
  <c r="Q1579" i="2"/>
  <c r="Q1580" i="2"/>
  <c r="Q1581" i="2"/>
  <c r="Q1582" i="2"/>
  <c r="Q1583" i="2"/>
  <c r="Q1585" i="2"/>
  <c r="Q1586" i="2"/>
  <c r="Q1587" i="2"/>
  <c r="Q1588" i="2"/>
  <c r="Q1589" i="2"/>
  <c r="Q1590" i="2"/>
  <c r="Q1591" i="2"/>
  <c r="Q1592" i="2"/>
  <c r="Q1593" i="2"/>
  <c r="Q1594" i="2"/>
  <c r="Q1595" i="2"/>
  <c r="Q1596" i="2"/>
  <c r="Q1597" i="2"/>
  <c r="Q1598" i="2"/>
  <c r="Q1599" i="2"/>
  <c r="Q1600" i="2"/>
  <c r="Q1604" i="2"/>
  <c r="Q1605" i="2"/>
  <c r="Q1606" i="2"/>
  <c r="Q1607" i="2"/>
  <c r="Q1608" i="2"/>
  <c r="Q1610" i="2"/>
  <c r="Q1611" i="2"/>
  <c r="Q1612" i="2"/>
  <c r="Q1613" i="2"/>
  <c r="Q1609" i="2"/>
  <c r="Q1615" i="2"/>
  <c r="Q1616" i="2"/>
  <c r="Q1617" i="2"/>
  <c r="Q1618" i="2"/>
  <c r="Q1619" i="2"/>
  <c r="Q1620" i="2"/>
  <c r="Q1621" i="2"/>
  <c r="Q1622" i="2"/>
  <c r="Q1623" i="2"/>
  <c r="Q1624" i="2"/>
  <c r="Q1625" i="2"/>
  <c r="Q1626" i="2"/>
  <c r="Q1627" i="2"/>
  <c r="Q1628" i="2"/>
  <c r="Q1630" i="2"/>
  <c r="Q1631" i="2"/>
  <c r="Q1632" i="2"/>
  <c r="Q1633" i="2"/>
  <c r="Q1634" i="2"/>
  <c r="Q1635" i="2"/>
  <c r="Q1636" i="2"/>
  <c r="Q1637" i="2"/>
  <c r="Q1638" i="2"/>
  <c r="Q1639" i="2"/>
  <c r="Q1640" i="2"/>
  <c r="Q1641" i="2"/>
  <c r="Q1642" i="2"/>
  <c r="Q1643"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1" i="2"/>
  <c r="Q1682" i="2"/>
  <c r="Q1683" i="2"/>
  <c r="Q1684" i="2"/>
  <c r="Q1685" i="2"/>
  <c r="Q1686" i="2"/>
  <c r="Q1687" i="2"/>
  <c r="Q1688" i="2"/>
  <c r="Q1689" i="2"/>
  <c r="Q1690" i="2"/>
  <c r="Q1691" i="2"/>
  <c r="Q1692" i="2"/>
  <c r="Q1693" i="2"/>
  <c r="Q1694" i="2"/>
  <c r="Q1695" i="2"/>
  <c r="Q1696" i="2"/>
  <c r="Q1697"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5" i="2"/>
  <c r="Q1786" i="2"/>
  <c r="Q1787" i="2"/>
  <c r="Q1788" i="2"/>
  <c r="Q1789" i="2"/>
  <c r="Q1790" i="2"/>
  <c r="Q1791" i="2"/>
  <c r="Q1792" i="2"/>
  <c r="Q1793" i="2"/>
  <c r="Q1794" i="2"/>
  <c r="Q1795" i="2"/>
  <c r="Q1796" i="2"/>
  <c r="Q1797" i="2"/>
  <c r="Q1798" i="2"/>
  <c r="Q1799" i="2"/>
  <c r="Q1800" i="2"/>
  <c r="Q1801" i="2"/>
  <c r="Q1802" i="2"/>
  <c r="Q1803"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34" i="2"/>
  <c r="Q2522" i="2"/>
  <c r="Q2523" i="2"/>
  <c r="Q2524" i="2"/>
  <c r="Q2525" i="2"/>
  <c r="Q2526" i="2"/>
  <c r="Q2527" i="2"/>
  <c r="Q2528" i="2"/>
  <c r="Q2529" i="2"/>
  <c r="Q2530" i="2"/>
  <c r="Q2531" i="2"/>
  <c r="Q2532" i="2"/>
  <c r="Q2533"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7" i="2"/>
  <c r="Q3548" i="2"/>
  <c r="Q3549" i="2"/>
  <c r="Q3550" i="2"/>
  <c r="Q3552" i="2"/>
  <c r="Q3553"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2" i="2"/>
  <c r="P93" i="2"/>
  <c r="P94" i="2"/>
  <c r="P95" i="2"/>
  <c r="P96" i="2"/>
  <c r="P97" i="2"/>
  <c r="P98" i="2"/>
  <c r="P99" i="2"/>
  <c r="P100" i="2"/>
  <c r="P101" i="2"/>
  <c r="P102" i="2"/>
  <c r="P103" i="2"/>
  <c r="P104" i="2"/>
  <c r="P105" i="2"/>
  <c r="P106" i="2"/>
  <c r="P107"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1" i="2"/>
  <c r="P342" i="2"/>
  <c r="P343" i="2"/>
  <c r="P344" i="2"/>
  <c r="P345" i="2"/>
  <c r="P346" i="2"/>
  <c r="P347" i="2"/>
  <c r="P348"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7" i="2"/>
  <c r="P1338" i="2"/>
  <c r="P1339" i="2"/>
  <c r="P1340" i="2"/>
  <c r="P1341" i="2"/>
  <c r="P1342" i="2"/>
  <c r="P1343" i="2"/>
  <c r="P1344" i="2"/>
  <c r="P1345" i="2"/>
  <c r="P1346" i="2"/>
  <c r="P1347" i="2"/>
  <c r="P1348" i="2"/>
  <c r="P1349" i="2"/>
  <c r="P1350" i="2"/>
  <c r="P1351" i="2"/>
  <c r="P1354" i="2"/>
  <c r="P1355" i="2"/>
  <c r="P1356" i="2"/>
  <c r="P1357" i="2"/>
  <c r="P1358" i="2"/>
  <c r="P1359" i="2"/>
  <c r="P1360" i="2"/>
  <c r="P1361" i="2"/>
  <c r="P1377" i="2"/>
  <c r="P1378" i="2"/>
  <c r="P1379" i="2"/>
  <c r="P1380" i="2"/>
  <c r="P1381" i="2"/>
  <c r="P1382" i="2"/>
  <c r="P1383" i="2"/>
  <c r="P1384" i="2"/>
  <c r="P1385" i="2"/>
  <c r="P1386" i="2"/>
  <c r="P1387" i="2"/>
  <c r="P1388" i="2"/>
  <c r="P1392" i="2"/>
  <c r="P1393" i="2"/>
  <c r="P1394" i="2"/>
  <c r="P1395" i="2"/>
  <c r="P1396" i="2"/>
  <c r="P1397" i="2"/>
  <c r="P1398" i="2"/>
  <c r="P1399"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5" i="2"/>
  <c r="P1526" i="2"/>
  <c r="P1527" i="2"/>
  <c r="P1528" i="2"/>
  <c r="P1529" i="2"/>
  <c r="P1530" i="2"/>
  <c r="P1531" i="2"/>
  <c r="P1532" i="2"/>
  <c r="P1533" i="2"/>
  <c r="P1534" i="2"/>
  <c r="P1535" i="2"/>
  <c r="P1536" i="2"/>
  <c r="P1537" i="2"/>
  <c r="P1538" i="2"/>
  <c r="P1539"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5" i="2"/>
  <c r="P1566" i="2"/>
  <c r="P1567" i="2"/>
  <c r="P1568" i="2"/>
  <c r="P1569" i="2"/>
  <c r="P1570" i="2"/>
  <c r="P1571" i="2"/>
  <c r="P1572" i="2"/>
  <c r="P1573" i="2"/>
  <c r="P1574" i="2"/>
  <c r="P1575" i="2"/>
  <c r="P1576" i="2"/>
  <c r="P1577" i="2"/>
  <c r="P1578" i="2"/>
  <c r="P1579" i="2"/>
  <c r="P1580" i="2"/>
  <c r="P1581" i="2"/>
  <c r="P1582" i="2"/>
  <c r="P1583" i="2"/>
  <c r="P1585" i="2"/>
  <c r="P1586" i="2"/>
  <c r="P1587" i="2"/>
  <c r="P1588" i="2"/>
  <c r="P1589" i="2"/>
  <c r="P1590" i="2"/>
  <c r="P1591" i="2"/>
  <c r="P1592" i="2"/>
  <c r="P1593" i="2"/>
  <c r="P1594" i="2"/>
  <c r="P1595" i="2"/>
  <c r="P1596" i="2"/>
  <c r="P1597" i="2"/>
  <c r="P1598" i="2"/>
  <c r="P1599" i="2"/>
  <c r="P1600" i="2"/>
  <c r="P1604" i="2"/>
  <c r="P1605" i="2"/>
  <c r="P1606" i="2"/>
  <c r="P1607" i="2"/>
  <c r="P1608" i="2"/>
  <c r="P1610" i="2"/>
  <c r="P1611" i="2"/>
  <c r="P1612" i="2"/>
  <c r="P1613" i="2"/>
  <c r="P1609" i="2"/>
  <c r="P1615" i="2"/>
  <c r="P1616" i="2"/>
  <c r="P1617" i="2"/>
  <c r="P1618" i="2"/>
  <c r="P1619" i="2"/>
  <c r="P1620" i="2"/>
  <c r="P1621" i="2"/>
  <c r="P1622" i="2"/>
  <c r="P1623" i="2"/>
  <c r="P1624" i="2"/>
  <c r="P1625" i="2"/>
  <c r="P1626" i="2"/>
  <c r="P1627" i="2"/>
  <c r="P1628" i="2"/>
  <c r="P1630" i="2"/>
  <c r="P1631" i="2"/>
  <c r="P1632" i="2"/>
  <c r="P1633" i="2"/>
  <c r="P1634" i="2"/>
  <c r="P1635" i="2"/>
  <c r="P1636" i="2"/>
  <c r="P1637" i="2"/>
  <c r="P1638" i="2"/>
  <c r="P1639" i="2"/>
  <c r="P1640" i="2"/>
  <c r="P1641" i="2"/>
  <c r="P1642" i="2"/>
  <c r="P1643"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1" i="2"/>
  <c r="P1682" i="2"/>
  <c r="P1683" i="2"/>
  <c r="P1684" i="2"/>
  <c r="P1685" i="2"/>
  <c r="P1686" i="2"/>
  <c r="P1687" i="2"/>
  <c r="P1688" i="2"/>
  <c r="P1689" i="2"/>
  <c r="P1690" i="2"/>
  <c r="P1691" i="2"/>
  <c r="P1692" i="2"/>
  <c r="P1693" i="2"/>
  <c r="P1694" i="2"/>
  <c r="P1695" i="2"/>
  <c r="P1696" i="2"/>
  <c r="P1697"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5" i="2"/>
  <c r="P1786" i="2"/>
  <c r="P1787" i="2"/>
  <c r="P1788" i="2"/>
  <c r="P1789" i="2"/>
  <c r="P1790" i="2"/>
  <c r="P1791" i="2"/>
  <c r="P1792" i="2"/>
  <c r="P1793" i="2"/>
  <c r="P1794" i="2"/>
  <c r="P1795" i="2"/>
  <c r="P1796" i="2"/>
  <c r="P1797" i="2"/>
  <c r="P1798" i="2"/>
  <c r="P1799" i="2"/>
  <c r="P1800" i="2"/>
  <c r="P1801" i="2"/>
  <c r="P1802" i="2"/>
  <c r="P1803"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6" i="2"/>
  <c r="P1907" i="2"/>
  <c r="P1908" i="2"/>
  <c r="P1909" i="2"/>
  <c r="P1910" i="2"/>
  <c r="P1911" i="2"/>
  <c r="P1912" i="2"/>
  <c r="P1913" i="2"/>
  <c r="P1914" i="2"/>
  <c r="P1915" i="2"/>
  <c r="P1916" i="2"/>
  <c r="P1917" i="2"/>
  <c r="P1918" i="2"/>
  <c r="P1919"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3" i="2"/>
  <c r="P1954" i="2"/>
  <c r="P1955" i="2"/>
  <c r="P1956" i="2"/>
  <c r="P1957" i="2"/>
  <c r="P1958" i="2"/>
  <c r="P1959" i="2"/>
  <c r="P1960" i="2"/>
  <c r="P1962"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P2001" i="2"/>
  <c r="P2002" i="2"/>
  <c r="P2003" i="2"/>
  <c r="P2004" i="2"/>
  <c r="P2005" i="2"/>
  <c r="P2006" i="2"/>
  <c r="P2007" i="2"/>
  <c r="P2008" i="2"/>
  <c r="P2009" i="2"/>
  <c r="P2010" i="2"/>
  <c r="P2011" i="2"/>
  <c r="P2012" i="2"/>
  <c r="P2013" i="2"/>
  <c r="P2014" i="2"/>
  <c r="P2015" i="2"/>
  <c r="P2016" i="2"/>
  <c r="P2017" i="2"/>
  <c r="P2018" i="2"/>
  <c r="P2019" i="2"/>
  <c r="P2020" i="2"/>
  <c r="P2021" i="2"/>
  <c r="P2022" i="2"/>
  <c r="P2023" i="2"/>
  <c r="P2024" i="2"/>
  <c r="P2025" i="2"/>
  <c r="P2026" i="2"/>
  <c r="P2027" i="2"/>
  <c r="P2028" i="2"/>
  <c r="P2029" i="2"/>
  <c r="P2030" i="2"/>
  <c r="P2031" i="2"/>
  <c r="P2032" i="2"/>
  <c r="P2033" i="2"/>
  <c r="P2034" i="2"/>
  <c r="P2035" i="2"/>
  <c r="P2036" i="2"/>
  <c r="P2037" i="2"/>
  <c r="P2038" i="2"/>
  <c r="P2039" i="2"/>
  <c r="P2040" i="2"/>
  <c r="P2041" i="2"/>
  <c r="P2042" i="2"/>
  <c r="P2043" i="2"/>
  <c r="P2044" i="2"/>
  <c r="P2045" i="2"/>
  <c r="P2046" i="2"/>
  <c r="P2047" i="2"/>
  <c r="P2048" i="2"/>
  <c r="P2049" i="2"/>
  <c r="P2050" i="2"/>
  <c r="P2051" i="2"/>
  <c r="P2052" i="2"/>
  <c r="P2053" i="2"/>
  <c r="P2054" i="2"/>
  <c r="P2055" i="2"/>
  <c r="P2056" i="2"/>
  <c r="P2057" i="2"/>
  <c r="P2058" i="2"/>
  <c r="P2059" i="2"/>
  <c r="P2060" i="2"/>
  <c r="P2061" i="2"/>
  <c r="P2062" i="2"/>
  <c r="P2063" i="2"/>
  <c r="P2064" i="2"/>
  <c r="P2065" i="2"/>
  <c r="P2066" i="2"/>
  <c r="P2067" i="2"/>
  <c r="P2068" i="2"/>
  <c r="P2069" i="2"/>
  <c r="P2070" i="2"/>
  <c r="P2071" i="2"/>
  <c r="P2072" i="2"/>
  <c r="P2073" i="2"/>
  <c r="P2074" i="2"/>
  <c r="P2075" i="2"/>
  <c r="P2076" i="2"/>
  <c r="P2077" i="2"/>
  <c r="P2078" i="2"/>
  <c r="P2079" i="2"/>
  <c r="P2080" i="2"/>
  <c r="P2081" i="2"/>
  <c r="P2082" i="2"/>
  <c r="P2083" i="2"/>
  <c r="P2084" i="2"/>
  <c r="P2085" i="2"/>
  <c r="P2086" i="2"/>
  <c r="P2087" i="2"/>
  <c r="P2088" i="2"/>
  <c r="P2089" i="2"/>
  <c r="P2090" i="2"/>
  <c r="P2091" i="2"/>
  <c r="P2092" i="2"/>
  <c r="P2093" i="2"/>
  <c r="P2094" i="2"/>
  <c r="P2095" i="2"/>
  <c r="P2096" i="2"/>
  <c r="P2097" i="2"/>
  <c r="P2098" i="2"/>
  <c r="P2099" i="2"/>
  <c r="P2100" i="2"/>
  <c r="P2101" i="2"/>
  <c r="P2102" i="2"/>
  <c r="P2103" i="2"/>
  <c r="P2104" i="2"/>
  <c r="P2105" i="2"/>
  <c r="P2106" i="2"/>
  <c r="P2107" i="2"/>
  <c r="P2108" i="2"/>
  <c r="P2109" i="2"/>
  <c r="P2110" i="2"/>
  <c r="P2111" i="2"/>
  <c r="P2112" i="2"/>
  <c r="P2113" i="2"/>
  <c r="P2114" i="2"/>
  <c r="P2115" i="2"/>
  <c r="P2116" i="2"/>
  <c r="P2117" i="2"/>
  <c r="P2118" i="2"/>
  <c r="P2119" i="2"/>
  <c r="P2120" i="2"/>
  <c r="P2121" i="2"/>
  <c r="P2122" i="2"/>
  <c r="P2123" i="2"/>
  <c r="P2124" i="2"/>
  <c r="P2125" i="2"/>
  <c r="P2126" i="2"/>
  <c r="P2127" i="2"/>
  <c r="P2128" i="2"/>
  <c r="P2129" i="2"/>
  <c r="P2130" i="2"/>
  <c r="P2131" i="2"/>
  <c r="P2132" i="2"/>
  <c r="P2133" i="2"/>
  <c r="P2134" i="2"/>
  <c r="P2135" i="2"/>
  <c r="P2136" i="2"/>
  <c r="P2137" i="2"/>
  <c r="P2138" i="2"/>
  <c r="P2139" i="2"/>
  <c r="P2140" i="2"/>
  <c r="P2141" i="2"/>
  <c r="P2142" i="2"/>
  <c r="P2143" i="2"/>
  <c r="P2144" i="2"/>
  <c r="P2145" i="2"/>
  <c r="P2146" i="2"/>
  <c r="P2147" i="2"/>
  <c r="P2148" i="2"/>
  <c r="P2149" i="2"/>
  <c r="P2150" i="2"/>
  <c r="P2151" i="2"/>
  <c r="P2152" i="2"/>
  <c r="P2153" i="2"/>
  <c r="P2154" i="2"/>
  <c r="P2155" i="2"/>
  <c r="P2156" i="2"/>
  <c r="P2157" i="2"/>
  <c r="P2158" i="2"/>
  <c r="P2159" i="2"/>
  <c r="P2160" i="2"/>
  <c r="P2161" i="2"/>
  <c r="P2162" i="2"/>
  <c r="P2163" i="2"/>
  <c r="P2164" i="2"/>
  <c r="P2165" i="2"/>
  <c r="P2166" i="2"/>
  <c r="P2167" i="2"/>
  <c r="P2168" i="2"/>
  <c r="P2169" i="2"/>
  <c r="P2170" i="2"/>
  <c r="P2171" i="2"/>
  <c r="P2172" i="2"/>
  <c r="P2173" i="2"/>
  <c r="P2174" i="2"/>
  <c r="P2175" i="2"/>
  <c r="P2176" i="2"/>
  <c r="P2177" i="2"/>
  <c r="P2178" i="2"/>
  <c r="P2179" i="2"/>
  <c r="P2180" i="2"/>
  <c r="P2181" i="2"/>
  <c r="P2182" i="2"/>
  <c r="P2183" i="2"/>
  <c r="P2184" i="2"/>
  <c r="P2185" i="2"/>
  <c r="P2186" i="2"/>
  <c r="P2187" i="2"/>
  <c r="P2188" i="2"/>
  <c r="P2189" i="2"/>
  <c r="P2190" i="2"/>
  <c r="P2191" i="2"/>
  <c r="P2192" i="2"/>
  <c r="P2193" i="2"/>
  <c r="P2194" i="2"/>
  <c r="P2195" i="2"/>
  <c r="P2196" i="2"/>
  <c r="P2197" i="2"/>
  <c r="P2198" i="2"/>
  <c r="P2199" i="2"/>
  <c r="P2200" i="2"/>
  <c r="P2201" i="2"/>
  <c r="P2202" i="2"/>
  <c r="P2203" i="2"/>
  <c r="P2204" i="2"/>
  <c r="P2205" i="2"/>
  <c r="P2206" i="2"/>
  <c r="P2207" i="2"/>
  <c r="P2208" i="2"/>
  <c r="P2209" i="2"/>
  <c r="P2210" i="2"/>
  <c r="P2211" i="2"/>
  <c r="P2212" i="2"/>
  <c r="P2213" i="2"/>
  <c r="P2214" i="2"/>
  <c r="P2215" i="2"/>
  <c r="P2216" i="2"/>
  <c r="P2219" i="2"/>
  <c r="P2220" i="2"/>
  <c r="P2221" i="2"/>
  <c r="P2222" i="2"/>
  <c r="P2223" i="2"/>
  <c r="P2224" i="2"/>
  <c r="P2225" i="2"/>
  <c r="P2226" i="2"/>
  <c r="P2227" i="2"/>
  <c r="P2228" i="2"/>
  <c r="P2229" i="2"/>
  <c r="P2230" i="2"/>
  <c r="P2231" i="2"/>
  <c r="P2232" i="2"/>
  <c r="P2233" i="2"/>
  <c r="P2234" i="2"/>
  <c r="P2235" i="2"/>
  <c r="P2236" i="2"/>
  <c r="P2237" i="2"/>
  <c r="P2238" i="2"/>
  <c r="P2239" i="2"/>
  <c r="P2240" i="2"/>
  <c r="P2241" i="2"/>
  <c r="P2242" i="2"/>
  <c r="P2243" i="2"/>
  <c r="P2244" i="2"/>
  <c r="P2245" i="2"/>
  <c r="P2246" i="2"/>
  <c r="P2247" i="2"/>
  <c r="P2248" i="2"/>
  <c r="P2249" i="2"/>
  <c r="P2250" i="2"/>
  <c r="P2251" i="2"/>
  <c r="P2252" i="2"/>
  <c r="P2253" i="2"/>
  <c r="P2254" i="2"/>
  <c r="P2255" i="2"/>
  <c r="P2256" i="2"/>
  <c r="P2257" i="2"/>
  <c r="P2258" i="2"/>
  <c r="P2259" i="2"/>
  <c r="P2260" i="2"/>
  <c r="P2261" i="2"/>
  <c r="P2262" i="2"/>
  <c r="P2263" i="2"/>
  <c r="P2264" i="2"/>
  <c r="P2265" i="2"/>
  <c r="P2266" i="2"/>
  <c r="P2267" i="2"/>
  <c r="P2268" i="2"/>
  <c r="P2269" i="2"/>
  <c r="P2270" i="2"/>
  <c r="P2271" i="2"/>
  <c r="P2272" i="2"/>
  <c r="P2273" i="2"/>
  <c r="P2274" i="2"/>
  <c r="P2275" i="2"/>
  <c r="P2276" i="2"/>
  <c r="P2277" i="2"/>
  <c r="P2278" i="2"/>
  <c r="P2279" i="2"/>
  <c r="P2280" i="2"/>
  <c r="P2281" i="2"/>
  <c r="P2282" i="2"/>
  <c r="P2283" i="2"/>
  <c r="P2284" i="2"/>
  <c r="P2285" i="2"/>
  <c r="P2286" i="2"/>
  <c r="P2287" i="2"/>
  <c r="P2288" i="2"/>
  <c r="P2289" i="2"/>
  <c r="P2290" i="2"/>
  <c r="P2291" i="2"/>
  <c r="P2292" i="2"/>
  <c r="P2293" i="2"/>
  <c r="P2294" i="2"/>
  <c r="P2295" i="2"/>
  <c r="P2296" i="2"/>
  <c r="P2297" i="2"/>
  <c r="P2298" i="2"/>
  <c r="P2299" i="2"/>
  <c r="P2300" i="2"/>
  <c r="P2301" i="2"/>
  <c r="P2302" i="2"/>
  <c r="P2303" i="2"/>
  <c r="P2304" i="2"/>
  <c r="P2305" i="2"/>
  <c r="P2306" i="2"/>
  <c r="P2307" i="2"/>
  <c r="P2308" i="2"/>
  <c r="P2309" i="2"/>
  <c r="P2310" i="2"/>
  <c r="P2311" i="2"/>
  <c r="P2312" i="2"/>
  <c r="P2313" i="2"/>
  <c r="P2314" i="2"/>
  <c r="P2315" i="2"/>
  <c r="P2316" i="2"/>
  <c r="P2317" i="2"/>
  <c r="P2318" i="2"/>
  <c r="P2319" i="2"/>
  <c r="P2320" i="2"/>
  <c r="P2321" i="2"/>
  <c r="P2322" i="2"/>
  <c r="P2323" i="2"/>
  <c r="P2324" i="2"/>
  <c r="P2325" i="2"/>
  <c r="P2326" i="2"/>
  <c r="P2327" i="2"/>
  <c r="P2328" i="2"/>
  <c r="P2329" i="2"/>
  <c r="P2330" i="2"/>
  <c r="P2331" i="2"/>
  <c r="P2332" i="2"/>
  <c r="P2333" i="2"/>
  <c r="P2334" i="2"/>
  <c r="P2335" i="2"/>
  <c r="P2336" i="2"/>
  <c r="P2337" i="2"/>
  <c r="P2338" i="2"/>
  <c r="P2339" i="2"/>
  <c r="P2340" i="2"/>
  <c r="P2341" i="2"/>
  <c r="P2342" i="2"/>
  <c r="P2343" i="2"/>
  <c r="P2344" i="2"/>
  <c r="P2345" i="2"/>
  <c r="P2346" i="2"/>
  <c r="P2347" i="2"/>
  <c r="P2348" i="2"/>
  <c r="P2349" i="2"/>
  <c r="P2350" i="2"/>
  <c r="P2351" i="2"/>
  <c r="P2352" i="2"/>
  <c r="P2353" i="2"/>
  <c r="P2354" i="2"/>
  <c r="P2355" i="2"/>
  <c r="P2356" i="2"/>
  <c r="P2357" i="2"/>
  <c r="P2358" i="2"/>
  <c r="P2359" i="2"/>
  <c r="P2360" i="2"/>
  <c r="P2361" i="2"/>
  <c r="P2362" i="2"/>
  <c r="P2363" i="2"/>
  <c r="P2364" i="2"/>
  <c r="P2365" i="2"/>
  <c r="P2366" i="2"/>
  <c r="P2367" i="2"/>
  <c r="P2368" i="2"/>
  <c r="P2369" i="2"/>
  <c r="P2370" i="2"/>
  <c r="P2371" i="2"/>
  <c r="P2372" i="2"/>
  <c r="P2373" i="2"/>
  <c r="P2374" i="2"/>
  <c r="P2375" i="2"/>
  <c r="P2376" i="2"/>
  <c r="P2377" i="2"/>
  <c r="P2378" i="2"/>
  <c r="P2379" i="2"/>
  <c r="P2380" i="2"/>
  <c r="P2381" i="2"/>
  <c r="P2382" i="2"/>
  <c r="P2383" i="2"/>
  <c r="P2384" i="2"/>
  <c r="P2385" i="2"/>
  <c r="P2386" i="2"/>
  <c r="P2387" i="2"/>
  <c r="P2388" i="2"/>
  <c r="P2389" i="2"/>
  <c r="P2390" i="2"/>
  <c r="P2391" i="2"/>
  <c r="P2392" i="2"/>
  <c r="P2393" i="2"/>
  <c r="P2394" i="2"/>
  <c r="P2395" i="2"/>
  <c r="P2396" i="2"/>
  <c r="P2397" i="2"/>
  <c r="P2398" i="2"/>
  <c r="P2399" i="2"/>
  <c r="P2400" i="2"/>
  <c r="P2401" i="2"/>
  <c r="P2402" i="2"/>
  <c r="P2403" i="2"/>
  <c r="P2404" i="2"/>
  <c r="P2405" i="2"/>
  <c r="P2406" i="2"/>
  <c r="P2407" i="2"/>
  <c r="P2408" i="2"/>
  <c r="P2409" i="2"/>
  <c r="P2410" i="2"/>
  <c r="P2411" i="2"/>
  <c r="P2412" i="2"/>
  <c r="P2413" i="2"/>
  <c r="P2414" i="2"/>
  <c r="P2415" i="2"/>
  <c r="P2416" i="2"/>
  <c r="P2417" i="2"/>
  <c r="P2418" i="2"/>
  <c r="P2419" i="2"/>
  <c r="P2420" i="2"/>
  <c r="P2421" i="2"/>
  <c r="P2422" i="2"/>
  <c r="P2423" i="2"/>
  <c r="P2424" i="2"/>
  <c r="P2425" i="2"/>
  <c r="P2426" i="2"/>
  <c r="P2427" i="2"/>
  <c r="P2428" i="2"/>
  <c r="P2429" i="2"/>
  <c r="P2430" i="2"/>
  <c r="P2431" i="2"/>
  <c r="P2432" i="2"/>
  <c r="P2433" i="2"/>
  <c r="P2434" i="2"/>
  <c r="P2435" i="2"/>
  <c r="P2436" i="2"/>
  <c r="P2437" i="2"/>
  <c r="P2438" i="2"/>
  <c r="P2439" i="2"/>
  <c r="P2440" i="2"/>
  <c r="P2441" i="2"/>
  <c r="P2442" i="2"/>
  <c r="P2443" i="2"/>
  <c r="P2444" i="2"/>
  <c r="P2445" i="2"/>
  <c r="P2446" i="2"/>
  <c r="P2447" i="2"/>
  <c r="P2448" i="2"/>
  <c r="P2449" i="2"/>
  <c r="P2450" i="2"/>
  <c r="P2451" i="2"/>
  <c r="P2452" i="2"/>
  <c r="P2453" i="2"/>
  <c r="P2454" i="2"/>
  <c r="P2455" i="2"/>
  <c r="P2456" i="2"/>
  <c r="P2457" i="2"/>
  <c r="P2458" i="2"/>
  <c r="P2459" i="2"/>
  <c r="P2460" i="2"/>
  <c r="P2461" i="2"/>
  <c r="P2462" i="2"/>
  <c r="P2463" i="2"/>
  <c r="P2464" i="2"/>
  <c r="P2465" i="2"/>
  <c r="P2466" i="2"/>
  <c r="P2467" i="2"/>
  <c r="P2468" i="2"/>
  <c r="P2469" i="2"/>
  <c r="P2470" i="2"/>
  <c r="P2471" i="2"/>
  <c r="P2472" i="2"/>
  <c r="P2473" i="2"/>
  <c r="P2474" i="2"/>
  <c r="P2475" i="2"/>
  <c r="P2476" i="2"/>
  <c r="P2477" i="2"/>
  <c r="P2478" i="2"/>
  <c r="P2479" i="2"/>
  <c r="P2480" i="2"/>
  <c r="P2481" i="2"/>
  <c r="P2482" i="2"/>
  <c r="P2483" i="2"/>
  <c r="P2484" i="2"/>
  <c r="P2485" i="2"/>
  <c r="P2486" i="2"/>
  <c r="P2487" i="2"/>
  <c r="P2488" i="2"/>
  <c r="P2489" i="2"/>
  <c r="P2490" i="2"/>
  <c r="P2491" i="2"/>
  <c r="P2492" i="2"/>
  <c r="P2493" i="2"/>
  <c r="P2494" i="2"/>
  <c r="P2495" i="2"/>
  <c r="P2496" i="2"/>
  <c r="P2497" i="2"/>
  <c r="P2498" i="2"/>
  <c r="P2499" i="2"/>
  <c r="P2500" i="2"/>
  <c r="P2501" i="2"/>
  <c r="P2502" i="2"/>
  <c r="P2503" i="2"/>
  <c r="P2504" i="2"/>
  <c r="P2505" i="2"/>
  <c r="P2506" i="2"/>
  <c r="P2507" i="2"/>
  <c r="P2508" i="2"/>
  <c r="P2509" i="2"/>
  <c r="P2510" i="2"/>
  <c r="P2511" i="2"/>
  <c r="P2512" i="2"/>
  <c r="P2513" i="2"/>
  <c r="P2514" i="2"/>
  <c r="P2515" i="2"/>
  <c r="P2516" i="2"/>
  <c r="P2517" i="2"/>
  <c r="P2518" i="2"/>
  <c r="P2519" i="2"/>
  <c r="P2520" i="2"/>
  <c r="P2521" i="2"/>
  <c r="P2534" i="2"/>
  <c r="P2522" i="2"/>
  <c r="P2523" i="2"/>
  <c r="P2524" i="2"/>
  <c r="P2525" i="2"/>
  <c r="P2526" i="2"/>
  <c r="P2527" i="2"/>
  <c r="P2528" i="2"/>
  <c r="P2529" i="2"/>
  <c r="P2530" i="2"/>
  <c r="P2531" i="2"/>
  <c r="P2532" i="2"/>
  <c r="P2533" i="2"/>
  <c r="P2535" i="2"/>
  <c r="P2536" i="2"/>
  <c r="P2537" i="2"/>
  <c r="P2538" i="2"/>
  <c r="P2539" i="2"/>
  <c r="P2540" i="2"/>
  <c r="P2541" i="2"/>
  <c r="P2542" i="2"/>
  <c r="P2543" i="2"/>
  <c r="P2544" i="2"/>
  <c r="P2545" i="2"/>
  <c r="P2546" i="2"/>
  <c r="P2547" i="2"/>
  <c r="P2548" i="2"/>
  <c r="P2549" i="2"/>
  <c r="P2550" i="2"/>
  <c r="P2551" i="2"/>
  <c r="P2552" i="2"/>
  <c r="P2553" i="2"/>
  <c r="P2554" i="2"/>
  <c r="P2555" i="2"/>
  <c r="P2556" i="2"/>
  <c r="P2557" i="2"/>
  <c r="P2558" i="2"/>
  <c r="P2559" i="2"/>
  <c r="P2560" i="2"/>
  <c r="P2561" i="2"/>
  <c r="P2562" i="2"/>
  <c r="P2563" i="2"/>
  <c r="P2564" i="2"/>
  <c r="P2565" i="2"/>
  <c r="P2566" i="2"/>
  <c r="P2567" i="2"/>
  <c r="P2568" i="2"/>
  <c r="P2569" i="2"/>
  <c r="P2570" i="2"/>
  <c r="P2571" i="2"/>
  <c r="P2572" i="2"/>
  <c r="P2573" i="2"/>
  <c r="P2574" i="2"/>
  <c r="P2575" i="2"/>
  <c r="P2576" i="2"/>
  <c r="P2577" i="2"/>
  <c r="P2578" i="2"/>
  <c r="P2579" i="2"/>
  <c r="P2580" i="2"/>
  <c r="P2581" i="2"/>
  <c r="P2582" i="2"/>
  <c r="P2583" i="2"/>
  <c r="P2584" i="2"/>
  <c r="P2585" i="2"/>
  <c r="P2586" i="2"/>
  <c r="P2587" i="2"/>
  <c r="P2588" i="2"/>
  <c r="P2589" i="2"/>
  <c r="P2590" i="2"/>
  <c r="P2591" i="2"/>
  <c r="P2592" i="2"/>
  <c r="P2593" i="2"/>
  <c r="P2594" i="2"/>
  <c r="P2595" i="2"/>
  <c r="P2596" i="2"/>
  <c r="P2597" i="2"/>
  <c r="P2598" i="2"/>
  <c r="P2599" i="2"/>
  <c r="P2600" i="2"/>
  <c r="P2601" i="2"/>
  <c r="P2602" i="2"/>
  <c r="P2603" i="2"/>
  <c r="P2604" i="2"/>
  <c r="P2605" i="2"/>
  <c r="P2606" i="2"/>
  <c r="P2607" i="2"/>
  <c r="P2608" i="2"/>
  <c r="P2609" i="2"/>
  <c r="P2610" i="2"/>
  <c r="P2611" i="2"/>
  <c r="P2612" i="2"/>
  <c r="P2613" i="2"/>
  <c r="P2614" i="2"/>
  <c r="P2615" i="2"/>
  <c r="P2616" i="2"/>
  <c r="P2617" i="2"/>
  <c r="P2618" i="2"/>
  <c r="P2619" i="2"/>
  <c r="P2620" i="2"/>
  <c r="P2621" i="2"/>
  <c r="P2622" i="2"/>
  <c r="P2623" i="2"/>
  <c r="P2624" i="2"/>
  <c r="P2625" i="2"/>
  <c r="P2626" i="2"/>
  <c r="P2627" i="2"/>
  <c r="P2628" i="2"/>
  <c r="P2629" i="2"/>
  <c r="P2630" i="2"/>
  <c r="P2631" i="2"/>
  <c r="P2632" i="2"/>
  <c r="P2633" i="2"/>
  <c r="P2634" i="2"/>
  <c r="P2635" i="2"/>
  <c r="P2636" i="2"/>
  <c r="P2637" i="2"/>
  <c r="P2638" i="2"/>
  <c r="P2639" i="2"/>
  <c r="P2640" i="2"/>
  <c r="P2641" i="2"/>
  <c r="P2642" i="2"/>
  <c r="P2643" i="2"/>
  <c r="P2644" i="2"/>
  <c r="P2645" i="2"/>
  <c r="P2646" i="2"/>
  <c r="P2647" i="2"/>
  <c r="P2648" i="2"/>
  <c r="P2649" i="2"/>
  <c r="P2650" i="2"/>
  <c r="P2651" i="2"/>
  <c r="P2652" i="2"/>
  <c r="P2653" i="2"/>
  <c r="P2654" i="2"/>
  <c r="P2655" i="2"/>
  <c r="P2656" i="2"/>
  <c r="P2657" i="2"/>
  <c r="P2658" i="2"/>
  <c r="P2659" i="2"/>
  <c r="P2660" i="2"/>
  <c r="P2661" i="2"/>
  <c r="P2662" i="2"/>
  <c r="P2663" i="2"/>
  <c r="P2664" i="2"/>
  <c r="P2665" i="2"/>
  <c r="P2666" i="2"/>
  <c r="P2667" i="2"/>
  <c r="P2668" i="2"/>
  <c r="P2669" i="2"/>
  <c r="P2670" i="2"/>
  <c r="P2671" i="2"/>
  <c r="P2672" i="2"/>
  <c r="P2673" i="2"/>
  <c r="P2674" i="2"/>
  <c r="P2675" i="2"/>
  <c r="P2676" i="2"/>
  <c r="P2677" i="2"/>
  <c r="P2678" i="2"/>
  <c r="P2679" i="2"/>
  <c r="P2680" i="2"/>
  <c r="P2681" i="2"/>
  <c r="P2682" i="2"/>
  <c r="P2683" i="2"/>
  <c r="P2684" i="2"/>
  <c r="P2685" i="2"/>
  <c r="P2686" i="2"/>
  <c r="P2687" i="2"/>
  <c r="P2688" i="2"/>
  <c r="P2689" i="2"/>
  <c r="P2690" i="2"/>
  <c r="P2691" i="2"/>
  <c r="P2692" i="2"/>
  <c r="P2693" i="2"/>
  <c r="P2694" i="2"/>
  <c r="P2695" i="2"/>
  <c r="P2696" i="2"/>
  <c r="P2697" i="2"/>
  <c r="P2698" i="2"/>
  <c r="P2699" i="2"/>
  <c r="P2700" i="2"/>
  <c r="P2701" i="2"/>
  <c r="P2702" i="2"/>
  <c r="P2703" i="2"/>
  <c r="P2704" i="2"/>
  <c r="P2705" i="2"/>
  <c r="P2706" i="2"/>
  <c r="P2707" i="2"/>
  <c r="P2708" i="2"/>
  <c r="P2709" i="2"/>
  <c r="P2710" i="2"/>
  <c r="P2711" i="2"/>
  <c r="P2712" i="2"/>
  <c r="P2713" i="2"/>
  <c r="P2714" i="2"/>
  <c r="P2715" i="2"/>
  <c r="P2716" i="2"/>
  <c r="P2717" i="2"/>
  <c r="P2718" i="2"/>
  <c r="P2719" i="2"/>
  <c r="P2720" i="2"/>
  <c r="P2721" i="2"/>
  <c r="P2722" i="2"/>
  <c r="P2723" i="2"/>
  <c r="P2724" i="2"/>
  <c r="P2725" i="2"/>
  <c r="P2726" i="2"/>
  <c r="P2727" i="2"/>
  <c r="P2728" i="2"/>
  <c r="P2729" i="2"/>
  <c r="P2730" i="2"/>
  <c r="P2731" i="2"/>
  <c r="P2732" i="2"/>
  <c r="P2733" i="2"/>
  <c r="P2734" i="2"/>
  <c r="P2735" i="2"/>
  <c r="P2736" i="2"/>
  <c r="P2738" i="2"/>
  <c r="P2739" i="2"/>
  <c r="P2740" i="2"/>
  <c r="P2741" i="2"/>
  <c r="P2742" i="2"/>
  <c r="P2743" i="2"/>
  <c r="P2744" i="2"/>
  <c r="P2745" i="2"/>
  <c r="P2746" i="2"/>
  <c r="P2747" i="2"/>
  <c r="P2748" i="2"/>
  <c r="P2749" i="2"/>
  <c r="P2750" i="2"/>
  <c r="P2751" i="2"/>
  <c r="P2752" i="2"/>
  <c r="P2753" i="2"/>
  <c r="P2754" i="2"/>
  <c r="P2755" i="2"/>
  <c r="P2756" i="2"/>
  <c r="P2757" i="2"/>
  <c r="P2758" i="2"/>
  <c r="P2759" i="2"/>
  <c r="P2760" i="2"/>
  <c r="P2761" i="2"/>
  <c r="P2762" i="2"/>
  <c r="P2763" i="2"/>
  <c r="P2764" i="2"/>
  <c r="P2765" i="2"/>
  <c r="P2766" i="2"/>
  <c r="P2767" i="2"/>
  <c r="P2768" i="2"/>
  <c r="P2769" i="2"/>
  <c r="P2770" i="2"/>
  <c r="P2771" i="2"/>
  <c r="P2772" i="2"/>
  <c r="P2773" i="2"/>
  <c r="P2774" i="2"/>
  <c r="P2775" i="2"/>
  <c r="P2776" i="2"/>
  <c r="P2777" i="2"/>
  <c r="P2778" i="2"/>
  <c r="P2779" i="2"/>
  <c r="P2780" i="2"/>
  <c r="P2781" i="2"/>
  <c r="P2782" i="2"/>
  <c r="P2783" i="2"/>
  <c r="P2784" i="2"/>
  <c r="P2785" i="2"/>
  <c r="P2786" i="2"/>
  <c r="P2787" i="2"/>
  <c r="P2788" i="2"/>
  <c r="P2789" i="2"/>
  <c r="P2790" i="2"/>
  <c r="P2791" i="2"/>
  <c r="P2792" i="2"/>
  <c r="P2793" i="2"/>
  <c r="P2794" i="2"/>
  <c r="P2795" i="2"/>
  <c r="P2796" i="2"/>
  <c r="P2798" i="2"/>
  <c r="P2799" i="2"/>
  <c r="P2800" i="2"/>
  <c r="P2801" i="2"/>
  <c r="P2802" i="2"/>
  <c r="P2803" i="2"/>
  <c r="P2804" i="2"/>
  <c r="P2805" i="2"/>
  <c r="P2806" i="2"/>
  <c r="P2807" i="2"/>
  <c r="P2808" i="2"/>
  <c r="P2809" i="2"/>
  <c r="P2810" i="2"/>
  <c r="P2811" i="2"/>
  <c r="P2812" i="2"/>
  <c r="P2813" i="2"/>
  <c r="P2814" i="2"/>
  <c r="P2815" i="2"/>
  <c r="P2816" i="2"/>
  <c r="P2817" i="2"/>
  <c r="P2818" i="2"/>
  <c r="P2819" i="2"/>
  <c r="P2820" i="2"/>
  <c r="P2821" i="2"/>
  <c r="P2822" i="2"/>
  <c r="P2823" i="2"/>
  <c r="P2824" i="2"/>
  <c r="P2825" i="2"/>
  <c r="P2826" i="2"/>
  <c r="P2827" i="2"/>
  <c r="P2828" i="2"/>
  <c r="P2829" i="2"/>
  <c r="P2830" i="2"/>
  <c r="P2831" i="2"/>
  <c r="P2832" i="2"/>
  <c r="P2833" i="2"/>
  <c r="P2834" i="2"/>
  <c r="P2835" i="2"/>
  <c r="P2836" i="2"/>
  <c r="P2837" i="2"/>
  <c r="P2838" i="2"/>
  <c r="P2839" i="2"/>
  <c r="P2840" i="2"/>
  <c r="P2841" i="2"/>
  <c r="P2842" i="2"/>
  <c r="P2843" i="2"/>
  <c r="P2844" i="2"/>
  <c r="P2845" i="2"/>
  <c r="P2846" i="2"/>
  <c r="P2847" i="2"/>
  <c r="P2848" i="2"/>
  <c r="P2849" i="2"/>
  <c r="P2850" i="2"/>
  <c r="P2851" i="2"/>
  <c r="P2852" i="2"/>
  <c r="P2853" i="2"/>
  <c r="P2854" i="2"/>
  <c r="P2855" i="2"/>
  <c r="P2856" i="2"/>
  <c r="P2857" i="2"/>
  <c r="P2858" i="2"/>
  <c r="P2859" i="2"/>
  <c r="P2860" i="2"/>
  <c r="P2861" i="2"/>
  <c r="P2862" i="2"/>
  <c r="P2863" i="2"/>
  <c r="P2864" i="2"/>
  <c r="P2865" i="2"/>
  <c r="P2866" i="2"/>
  <c r="P2867" i="2"/>
  <c r="P2868" i="2"/>
  <c r="P2869" i="2"/>
  <c r="P2870" i="2"/>
  <c r="P2871" i="2"/>
  <c r="P2872" i="2"/>
  <c r="P2873" i="2"/>
  <c r="P2874" i="2"/>
  <c r="P2875" i="2"/>
  <c r="P2876" i="2"/>
  <c r="P2877" i="2"/>
  <c r="P2878" i="2"/>
  <c r="P2879" i="2"/>
  <c r="P2880" i="2"/>
  <c r="P2881" i="2"/>
  <c r="P2882" i="2"/>
  <c r="P2883" i="2"/>
  <c r="P2884" i="2"/>
  <c r="P2885" i="2"/>
  <c r="P2886" i="2"/>
  <c r="P2887" i="2"/>
  <c r="P2888" i="2"/>
  <c r="P2889" i="2"/>
  <c r="P2890" i="2"/>
  <c r="P2891" i="2"/>
  <c r="P2892" i="2"/>
  <c r="P2893" i="2"/>
  <c r="P2894" i="2"/>
  <c r="P2895" i="2"/>
  <c r="P2897" i="2"/>
  <c r="P2898" i="2"/>
  <c r="P2899" i="2"/>
  <c r="P2900" i="2"/>
  <c r="P2901" i="2"/>
  <c r="P2902" i="2"/>
  <c r="P2903" i="2"/>
  <c r="P2904" i="2"/>
  <c r="P2905" i="2"/>
  <c r="P2906" i="2"/>
  <c r="P2907" i="2"/>
  <c r="P2908" i="2"/>
  <c r="P2909" i="2"/>
  <c r="P2910" i="2"/>
  <c r="P2911" i="2"/>
  <c r="P2912" i="2"/>
  <c r="P2913" i="2"/>
  <c r="P2914" i="2"/>
  <c r="P2915" i="2"/>
  <c r="P2916" i="2"/>
  <c r="P2917" i="2"/>
  <c r="P2918" i="2"/>
  <c r="P2919" i="2"/>
  <c r="P2920" i="2"/>
  <c r="P2921" i="2"/>
  <c r="P2922" i="2"/>
  <c r="P2923" i="2"/>
  <c r="P2924" i="2"/>
  <c r="P2925" i="2"/>
  <c r="P2926" i="2"/>
  <c r="P2927" i="2"/>
  <c r="P2928" i="2"/>
  <c r="P2929" i="2"/>
  <c r="P2930" i="2"/>
  <c r="P2931" i="2"/>
  <c r="P2932" i="2"/>
  <c r="P2933" i="2"/>
  <c r="P2934" i="2"/>
  <c r="P2935" i="2"/>
  <c r="P2936" i="2"/>
  <c r="P2937" i="2"/>
  <c r="P2938" i="2"/>
  <c r="P2939" i="2"/>
  <c r="P2940" i="2"/>
  <c r="P2941" i="2"/>
  <c r="P2942" i="2"/>
  <c r="P2943" i="2"/>
  <c r="P2944" i="2"/>
  <c r="P2945" i="2"/>
  <c r="P2946" i="2"/>
  <c r="P2947" i="2"/>
  <c r="P2948" i="2"/>
  <c r="P2949" i="2"/>
  <c r="P2950" i="2"/>
  <c r="P2951" i="2"/>
  <c r="P2952" i="2"/>
  <c r="P2953" i="2"/>
  <c r="P2954" i="2"/>
  <c r="P2955" i="2"/>
  <c r="P2956" i="2"/>
  <c r="P2957" i="2"/>
  <c r="P2958" i="2"/>
  <c r="P2959" i="2"/>
  <c r="P2960" i="2"/>
  <c r="P2961" i="2"/>
  <c r="P2962" i="2"/>
  <c r="P2963" i="2"/>
  <c r="P2964" i="2"/>
  <c r="P2965" i="2"/>
  <c r="P2966" i="2"/>
  <c r="P2967" i="2"/>
  <c r="P2968" i="2"/>
  <c r="P2969" i="2"/>
  <c r="P2970" i="2"/>
  <c r="P2971" i="2"/>
  <c r="P2972" i="2"/>
  <c r="P2973" i="2"/>
  <c r="P2974" i="2"/>
  <c r="P2975" i="2"/>
  <c r="P2976" i="2"/>
  <c r="P2977" i="2"/>
  <c r="P2978" i="2"/>
  <c r="P2979" i="2"/>
  <c r="P2980" i="2"/>
  <c r="P2981" i="2"/>
  <c r="P2982" i="2"/>
  <c r="P2983" i="2"/>
  <c r="P2984" i="2"/>
  <c r="P2985" i="2"/>
  <c r="P2986" i="2"/>
  <c r="P2987" i="2"/>
  <c r="P2988" i="2"/>
  <c r="P2989" i="2"/>
  <c r="P2990" i="2"/>
  <c r="P2991" i="2"/>
  <c r="P2992" i="2"/>
  <c r="P2993" i="2"/>
  <c r="P2994" i="2"/>
  <c r="P2995" i="2"/>
  <c r="P2996" i="2"/>
  <c r="P2997" i="2"/>
  <c r="P2998" i="2"/>
  <c r="P2999" i="2"/>
  <c r="P3000" i="2"/>
  <c r="P3001" i="2"/>
  <c r="P3002" i="2"/>
  <c r="P3003" i="2"/>
  <c r="P3004" i="2"/>
  <c r="P3005" i="2"/>
  <c r="P3006" i="2"/>
  <c r="P3007" i="2"/>
  <c r="P3008" i="2"/>
  <c r="P3009" i="2"/>
  <c r="P3010" i="2"/>
  <c r="P3011" i="2"/>
  <c r="P3012" i="2"/>
  <c r="P3013" i="2"/>
  <c r="P3014" i="2"/>
  <c r="P3015" i="2"/>
  <c r="P3016" i="2"/>
  <c r="P3017" i="2"/>
  <c r="P3018" i="2"/>
  <c r="P3019" i="2"/>
  <c r="P3020" i="2"/>
  <c r="P3021" i="2"/>
  <c r="P3022" i="2"/>
  <c r="P3023" i="2"/>
  <c r="P3024" i="2"/>
  <c r="P3025" i="2"/>
  <c r="P3026" i="2"/>
  <c r="P3027" i="2"/>
  <c r="P3028" i="2"/>
  <c r="P3029" i="2"/>
  <c r="P3030" i="2"/>
  <c r="P3031" i="2"/>
  <c r="P3032" i="2"/>
  <c r="P3033" i="2"/>
  <c r="P3034" i="2"/>
  <c r="P3035" i="2"/>
  <c r="P3036" i="2"/>
  <c r="P3037" i="2"/>
  <c r="P3038" i="2"/>
  <c r="P3039" i="2"/>
  <c r="P3040" i="2"/>
  <c r="P3041" i="2"/>
  <c r="P3042" i="2"/>
  <c r="P3043" i="2"/>
  <c r="P3044" i="2"/>
  <c r="P3045" i="2"/>
  <c r="P3046" i="2"/>
  <c r="P3047" i="2"/>
  <c r="P3048" i="2"/>
  <c r="P3049" i="2"/>
  <c r="P3050" i="2"/>
  <c r="P3051" i="2"/>
  <c r="P3052" i="2"/>
  <c r="P3053" i="2"/>
  <c r="P3054" i="2"/>
  <c r="P3055" i="2"/>
  <c r="P3056" i="2"/>
  <c r="P3057" i="2"/>
  <c r="P3058" i="2"/>
  <c r="P3059" i="2"/>
  <c r="P3060" i="2"/>
  <c r="P3061" i="2"/>
  <c r="P3062" i="2"/>
  <c r="P3063" i="2"/>
  <c r="P3064" i="2"/>
  <c r="P3065" i="2"/>
  <c r="P3066" i="2"/>
  <c r="P3067" i="2"/>
  <c r="P3068" i="2"/>
  <c r="P3069" i="2"/>
  <c r="P3070" i="2"/>
  <c r="P3071" i="2"/>
  <c r="P3072" i="2"/>
  <c r="P3073" i="2"/>
  <c r="P3074" i="2"/>
  <c r="P3075" i="2"/>
  <c r="P3076" i="2"/>
  <c r="P3077" i="2"/>
  <c r="P3078" i="2"/>
  <c r="P3079" i="2"/>
  <c r="P3080" i="2"/>
  <c r="P3081" i="2"/>
  <c r="P3082" i="2"/>
  <c r="P3083" i="2"/>
  <c r="P3084" i="2"/>
  <c r="P3085" i="2"/>
  <c r="P3086" i="2"/>
  <c r="P3087" i="2"/>
  <c r="P3088" i="2"/>
  <c r="P3089" i="2"/>
  <c r="P3090" i="2"/>
  <c r="P3091" i="2"/>
  <c r="P3092" i="2"/>
  <c r="P3093" i="2"/>
  <c r="P3094" i="2"/>
  <c r="P3095" i="2"/>
  <c r="P3096" i="2"/>
  <c r="P3097" i="2"/>
  <c r="P3098" i="2"/>
  <c r="P3099" i="2"/>
  <c r="P3100" i="2"/>
  <c r="P3101" i="2"/>
  <c r="P3102" i="2"/>
  <c r="P3103" i="2"/>
  <c r="P3104" i="2"/>
  <c r="P3105" i="2"/>
  <c r="P3106" i="2"/>
  <c r="P3107" i="2"/>
  <c r="P3108" i="2"/>
  <c r="P3109" i="2"/>
  <c r="P3110" i="2"/>
  <c r="P3111" i="2"/>
  <c r="P3112" i="2"/>
  <c r="P3113" i="2"/>
  <c r="P3114" i="2"/>
  <c r="P3115" i="2"/>
  <c r="P3116" i="2"/>
  <c r="P3117" i="2"/>
  <c r="P3118" i="2"/>
  <c r="P3119" i="2"/>
  <c r="P3120" i="2"/>
  <c r="P3121" i="2"/>
  <c r="P3122" i="2"/>
  <c r="P3123" i="2"/>
  <c r="P3124" i="2"/>
  <c r="P3125" i="2"/>
  <c r="P3126" i="2"/>
  <c r="P3127" i="2"/>
  <c r="P3128" i="2"/>
  <c r="P3129" i="2"/>
  <c r="P3130" i="2"/>
  <c r="P3131" i="2"/>
  <c r="P3132" i="2"/>
  <c r="P3133" i="2"/>
  <c r="P3134" i="2"/>
  <c r="P3135" i="2"/>
  <c r="P3136" i="2"/>
  <c r="P3137" i="2"/>
  <c r="P3138" i="2"/>
  <c r="P3139" i="2"/>
  <c r="P3140" i="2"/>
  <c r="P3141" i="2"/>
  <c r="P3142" i="2"/>
  <c r="P3143" i="2"/>
  <c r="P3144" i="2"/>
  <c r="P3145" i="2"/>
  <c r="P3146" i="2"/>
  <c r="P3147" i="2"/>
  <c r="P3148" i="2"/>
  <c r="P3149" i="2"/>
  <c r="P3150" i="2"/>
  <c r="P3151" i="2"/>
  <c r="P3152" i="2"/>
  <c r="P3153" i="2"/>
  <c r="P3154" i="2"/>
  <c r="P3155" i="2"/>
  <c r="P3156" i="2"/>
  <c r="P3157" i="2"/>
  <c r="P3158" i="2"/>
  <c r="P3159" i="2"/>
  <c r="P3160" i="2"/>
  <c r="P3161" i="2"/>
  <c r="P3162" i="2"/>
  <c r="P3163" i="2"/>
  <c r="P3164" i="2"/>
  <c r="P3165" i="2"/>
  <c r="P3166" i="2"/>
  <c r="P3167" i="2"/>
  <c r="P3168" i="2"/>
  <c r="P3169" i="2"/>
  <c r="P3170" i="2"/>
  <c r="P3171" i="2"/>
  <c r="P3172" i="2"/>
  <c r="P3173" i="2"/>
  <c r="P3174" i="2"/>
  <c r="P3175" i="2"/>
  <c r="P3176" i="2"/>
  <c r="P3177" i="2"/>
  <c r="P3178" i="2"/>
  <c r="P3179" i="2"/>
  <c r="P3180" i="2"/>
  <c r="P3181" i="2"/>
  <c r="P3182" i="2"/>
  <c r="P3183" i="2"/>
  <c r="P3184" i="2"/>
  <c r="P3185" i="2"/>
  <c r="P3186" i="2"/>
  <c r="P3187" i="2"/>
  <c r="P3188" i="2"/>
  <c r="P3189" i="2"/>
  <c r="P3190" i="2"/>
  <c r="P3191" i="2"/>
  <c r="P3192" i="2"/>
  <c r="P3193" i="2"/>
  <c r="P3194" i="2"/>
  <c r="P3195" i="2"/>
  <c r="P3196" i="2"/>
  <c r="P3197" i="2"/>
  <c r="P3198" i="2"/>
  <c r="P3199" i="2"/>
  <c r="P3200" i="2"/>
  <c r="P3201" i="2"/>
  <c r="P3202" i="2"/>
  <c r="P3203" i="2"/>
  <c r="P3204" i="2"/>
  <c r="P3205" i="2"/>
  <c r="P3206" i="2"/>
  <c r="P3207" i="2"/>
  <c r="P3208" i="2"/>
  <c r="P3209" i="2"/>
  <c r="P3210" i="2"/>
  <c r="P3211" i="2"/>
  <c r="P3212" i="2"/>
  <c r="P3213" i="2"/>
  <c r="P3214" i="2"/>
  <c r="P3215" i="2"/>
  <c r="P3216" i="2"/>
  <c r="P3217" i="2"/>
  <c r="P3218" i="2"/>
  <c r="P3219" i="2"/>
  <c r="P3220" i="2"/>
  <c r="P3221" i="2"/>
  <c r="P3222" i="2"/>
  <c r="P3223" i="2"/>
  <c r="P3224" i="2"/>
  <c r="P3225" i="2"/>
  <c r="P3226" i="2"/>
  <c r="P3227" i="2"/>
  <c r="P3228" i="2"/>
  <c r="P3229" i="2"/>
  <c r="P3230" i="2"/>
  <c r="P3231" i="2"/>
  <c r="P3232" i="2"/>
  <c r="P3233" i="2"/>
  <c r="P3234" i="2"/>
  <c r="P3235" i="2"/>
  <c r="P3236" i="2"/>
  <c r="P3237" i="2"/>
  <c r="P3238" i="2"/>
  <c r="P3239" i="2"/>
  <c r="P3240" i="2"/>
  <c r="P3241" i="2"/>
  <c r="P3242" i="2"/>
  <c r="P3243" i="2"/>
  <c r="P3244" i="2"/>
  <c r="P3245" i="2"/>
  <c r="P3246" i="2"/>
  <c r="P3247" i="2"/>
  <c r="P3248" i="2"/>
  <c r="P3249" i="2"/>
  <c r="P3250" i="2"/>
  <c r="P3251" i="2"/>
  <c r="P3252" i="2"/>
  <c r="P3253" i="2"/>
  <c r="P3254" i="2"/>
  <c r="P3255" i="2"/>
  <c r="P3256" i="2"/>
  <c r="P3257" i="2"/>
  <c r="P3258" i="2"/>
  <c r="P3259" i="2"/>
  <c r="P3260" i="2"/>
  <c r="P3261" i="2"/>
  <c r="P3262" i="2"/>
  <c r="P3263" i="2"/>
  <c r="P3264" i="2"/>
  <c r="P3265" i="2"/>
  <c r="P3266" i="2"/>
  <c r="P3267" i="2"/>
  <c r="P3268" i="2"/>
  <c r="P3269" i="2"/>
  <c r="P3270" i="2"/>
  <c r="P3271" i="2"/>
  <c r="P3272" i="2"/>
  <c r="P3273" i="2"/>
  <c r="P3274" i="2"/>
  <c r="P3275" i="2"/>
  <c r="P3276" i="2"/>
  <c r="P3277" i="2"/>
  <c r="P3278" i="2"/>
  <c r="P3279" i="2"/>
  <c r="P3280" i="2"/>
  <c r="P3281" i="2"/>
  <c r="P3282" i="2"/>
  <c r="P3283" i="2"/>
  <c r="P3284" i="2"/>
  <c r="P3285" i="2"/>
  <c r="P3286" i="2"/>
  <c r="P3287" i="2"/>
  <c r="P3288" i="2"/>
  <c r="P3289" i="2"/>
  <c r="P3290" i="2"/>
  <c r="P3291" i="2"/>
  <c r="P3292" i="2"/>
  <c r="P3293" i="2"/>
  <c r="P3294" i="2"/>
  <c r="P3295" i="2"/>
  <c r="P3296" i="2"/>
  <c r="P3297" i="2"/>
  <c r="P3298" i="2"/>
  <c r="P3299" i="2"/>
  <c r="P3300" i="2"/>
  <c r="P3301" i="2"/>
  <c r="P3302" i="2"/>
  <c r="P3303" i="2"/>
  <c r="P3304" i="2"/>
  <c r="P3305" i="2"/>
  <c r="P3306" i="2"/>
  <c r="P3307" i="2"/>
  <c r="P3308" i="2"/>
  <c r="P3309" i="2"/>
  <c r="P3310" i="2"/>
  <c r="P3311" i="2"/>
  <c r="P3312" i="2"/>
  <c r="P3313" i="2"/>
  <c r="P3314" i="2"/>
  <c r="P3315" i="2"/>
  <c r="P3316" i="2"/>
  <c r="P3317" i="2"/>
  <c r="P3318" i="2"/>
  <c r="P3319" i="2"/>
  <c r="P3320" i="2"/>
  <c r="P3321" i="2"/>
  <c r="P3322" i="2"/>
  <c r="P3323" i="2"/>
  <c r="P3324" i="2"/>
  <c r="P3325" i="2"/>
  <c r="P3326" i="2"/>
  <c r="P3327" i="2"/>
  <c r="P3328" i="2"/>
  <c r="P3329" i="2"/>
  <c r="P3330" i="2"/>
  <c r="P3331" i="2"/>
  <c r="P3332" i="2"/>
  <c r="P3333" i="2"/>
  <c r="P3334" i="2"/>
  <c r="P3335" i="2"/>
  <c r="P3336" i="2"/>
  <c r="P3337" i="2"/>
  <c r="P3338" i="2"/>
  <c r="P3339" i="2"/>
  <c r="P3340" i="2"/>
  <c r="P3341" i="2"/>
  <c r="P3342" i="2"/>
  <c r="P3343" i="2"/>
  <c r="P3344" i="2"/>
  <c r="P3345" i="2"/>
  <c r="P3346" i="2"/>
  <c r="P3347" i="2"/>
  <c r="P3348" i="2"/>
  <c r="P3349" i="2"/>
  <c r="P3350" i="2"/>
  <c r="P3351" i="2"/>
  <c r="P3352" i="2"/>
  <c r="P3353" i="2"/>
  <c r="P3354" i="2"/>
  <c r="P3355" i="2"/>
  <c r="P3356" i="2"/>
  <c r="P3357" i="2"/>
  <c r="P3358" i="2"/>
  <c r="P3359" i="2"/>
  <c r="P3360" i="2"/>
  <c r="P3361" i="2"/>
  <c r="P3362" i="2"/>
  <c r="P3363" i="2"/>
  <c r="P3364" i="2"/>
  <c r="P3366" i="2"/>
  <c r="P3367" i="2"/>
  <c r="P3368" i="2"/>
  <c r="P3369" i="2"/>
  <c r="P3370" i="2"/>
  <c r="P3371" i="2"/>
  <c r="P3372" i="2"/>
  <c r="P3373" i="2"/>
  <c r="P3374" i="2"/>
  <c r="P3375" i="2"/>
  <c r="P3376" i="2"/>
  <c r="P3377" i="2"/>
  <c r="P3378" i="2"/>
  <c r="P3379" i="2"/>
  <c r="P3380" i="2"/>
  <c r="P3381" i="2"/>
  <c r="P3382" i="2"/>
  <c r="P3383" i="2"/>
  <c r="P3384" i="2"/>
  <c r="P3385" i="2"/>
  <c r="P3386" i="2"/>
  <c r="P3387" i="2"/>
  <c r="P3388" i="2"/>
  <c r="P3389" i="2"/>
  <c r="P3390" i="2"/>
  <c r="P3391" i="2"/>
  <c r="P3392" i="2"/>
  <c r="P3393" i="2"/>
  <c r="P3394" i="2"/>
  <c r="P3395" i="2"/>
  <c r="P3396" i="2"/>
  <c r="P3397" i="2"/>
  <c r="P3398" i="2"/>
  <c r="P3399" i="2"/>
  <c r="P3400" i="2"/>
  <c r="P3401" i="2"/>
  <c r="P3402" i="2"/>
  <c r="P3403" i="2"/>
  <c r="P3404" i="2"/>
  <c r="P3405" i="2"/>
  <c r="P3406" i="2"/>
  <c r="P3407" i="2"/>
  <c r="P3408" i="2"/>
  <c r="P3409" i="2"/>
  <c r="P3410" i="2"/>
  <c r="P3411" i="2"/>
  <c r="P3412" i="2"/>
  <c r="P3413" i="2"/>
  <c r="P3414" i="2"/>
  <c r="P3415" i="2"/>
  <c r="P3416" i="2"/>
  <c r="P3417" i="2"/>
  <c r="P3418" i="2"/>
  <c r="P3419" i="2"/>
  <c r="P3420" i="2"/>
  <c r="P3421" i="2"/>
  <c r="P3422" i="2"/>
  <c r="P3423" i="2"/>
  <c r="P3424" i="2"/>
  <c r="P3425" i="2"/>
  <c r="P3426" i="2"/>
  <c r="P3427" i="2"/>
  <c r="P3428" i="2"/>
  <c r="P3429" i="2"/>
  <c r="P3430" i="2"/>
  <c r="P3431" i="2"/>
  <c r="P3432" i="2"/>
  <c r="P3433" i="2"/>
  <c r="P3434" i="2"/>
  <c r="P3435" i="2"/>
  <c r="P3436" i="2"/>
  <c r="P3437" i="2"/>
  <c r="P3438" i="2"/>
  <c r="P3439" i="2"/>
  <c r="P3440" i="2"/>
  <c r="P3441" i="2"/>
  <c r="P3442" i="2"/>
  <c r="P3443" i="2"/>
  <c r="P3444" i="2"/>
  <c r="P3445" i="2"/>
  <c r="P3446" i="2"/>
  <c r="P3447" i="2"/>
  <c r="P3448" i="2"/>
  <c r="P3449" i="2"/>
  <c r="P3450" i="2"/>
  <c r="P3451" i="2"/>
  <c r="P3452" i="2"/>
  <c r="P3453" i="2"/>
  <c r="P3454" i="2"/>
  <c r="P3455" i="2"/>
  <c r="P3456" i="2"/>
  <c r="P3457" i="2"/>
  <c r="P3458" i="2"/>
  <c r="P3459" i="2"/>
  <c r="P3460" i="2"/>
  <c r="P3461" i="2"/>
  <c r="P3462" i="2"/>
  <c r="P3463" i="2"/>
  <c r="P3464" i="2"/>
  <c r="P3465" i="2"/>
  <c r="P3466" i="2"/>
  <c r="P3467" i="2"/>
  <c r="P3468" i="2"/>
  <c r="P3469" i="2"/>
  <c r="P3470" i="2"/>
  <c r="P3471" i="2"/>
  <c r="P3472" i="2"/>
  <c r="P3473" i="2"/>
  <c r="P3474" i="2"/>
  <c r="P3475" i="2"/>
  <c r="P3476" i="2"/>
  <c r="P3477" i="2"/>
  <c r="P3478" i="2"/>
  <c r="P3479" i="2"/>
  <c r="P3480" i="2"/>
  <c r="P3481" i="2"/>
  <c r="P3482" i="2"/>
  <c r="P3483" i="2"/>
  <c r="P3484" i="2"/>
  <c r="P3485" i="2"/>
  <c r="P3486" i="2"/>
  <c r="P3487" i="2"/>
  <c r="P3488" i="2"/>
  <c r="P3489" i="2"/>
  <c r="P3490" i="2"/>
  <c r="P3491" i="2"/>
  <c r="P3492" i="2"/>
  <c r="P3493" i="2"/>
  <c r="P3494" i="2"/>
  <c r="P3495" i="2"/>
  <c r="P3496" i="2"/>
  <c r="P3497" i="2"/>
  <c r="P3498" i="2"/>
  <c r="P3499" i="2"/>
  <c r="P3500" i="2"/>
  <c r="P3501" i="2"/>
  <c r="P3502" i="2"/>
  <c r="P3503" i="2"/>
  <c r="P3504" i="2"/>
  <c r="P3505" i="2"/>
  <c r="P3506" i="2"/>
  <c r="P3507" i="2"/>
  <c r="P3508" i="2"/>
  <c r="P3511" i="2"/>
  <c r="P3512" i="2"/>
  <c r="P3513" i="2"/>
  <c r="P3514" i="2"/>
  <c r="P3515" i="2"/>
  <c r="P3516" i="2"/>
  <c r="P3517" i="2"/>
  <c r="P3518" i="2"/>
  <c r="P3519" i="2"/>
  <c r="P3520" i="2"/>
  <c r="P3521" i="2"/>
  <c r="P3522" i="2"/>
  <c r="P3523" i="2"/>
  <c r="P3524" i="2"/>
  <c r="P3525" i="2"/>
  <c r="P3526" i="2"/>
  <c r="P3527" i="2"/>
  <c r="P3528" i="2"/>
  <c r="P3529" i="2"/>
  <c r="P3530" i="2"/>
  <c r="P3531" i="2"/>
  <c r="P3532" i="2"/>
  <c r="P3533" i="2"/>
  <c r="P3534" i="2"/>
  <c r="P3535" i="2"/>
  <c r="P3536" i="2"/>
  <c r="P3537" i="2"/>
  <c r="P3538" i="2"/>
  <c r="P3539" i="2"/>
  <c r="P3540" i="2"/>
  <c r="P3541" i="2"/>
  <c r="P3542" i="2"/>
  <c r="P3543" i="2"/>
  <c r="P3544" i="2"/>
  <c r="P3545" i="2"/>
  <c r="P3547" i="2"/>
  <c r="P3548" i="2"/>
  <c r="P3549" i="2"/>
  <c r="P3550" i="2"/>
  <c r="P3552" i="2"/>
  <c r="P3553" i="2"/>
  <c r="P3557" i="2"/>
  <c r="P3558" i="2"/>
  <c r="P3559" i="2"/>
  <c r="P3560" i="2"/>
  <c r="P3561" i="2"/>
  <c r="P3562" i="2"/>
  <c r="P3563" i="2"/>
  <c r="P3564" i="2"/>
  <c r="P3565" i="2"/>
  <c r="P3566" i="2"/>
  <c r="P3567" i="2"/>
  <c r="P3568" i="2"/>
  <c r="P3569" i="2"/>
  <c r="P3570" i="2"/>
  <c r="P3571" i="2"/>
  <c r="P3572" i="2"/>
  <c r="P3573" i="2"/>
  <c r="P3574" i="2"/>
  <c r="P3575" i="2"/>
  <c r="P3576" i="2"/>
  <c r="P3577" i="2"/>
  <c r="P3578" i="2"/>
  <c r="P3579" i="2"/>
  <c r="P3580" i="2"/>
  <c r="P3581" i="2"/>
  <c r="P3582" i="2"/>
  <c r="P3583" i="2"/>
  <c r="P3584" i="2"/>
  <c r="P3585" i="2"/>
  <c r="P3586" i="2"/>
  <c r="P3587" i="2"/>
  <c r="P3588" i="2"/>
  <c r="P3589" i="2"/>
  <c r="P3590" i="2"/>
  <c r="P3591" i="2"/>
  <c r="P3592" i="2"/>
  <c r="P3593" i="2"/>
  <c r="P3594" i="2"/>
  <c r="P3595" i="2"/>
  <c r="P3596" i="2"/>
  <c r="P3597" i="2"/>
  <c r="P3598" i="2"/>
  <c r="P3599" i="2"/>
  <c r="P3600" i="2"/>
  <c r="P3601" i="2"/>
  <c r="P3602" i="2"/>
  <c r="P3603" i="2"/>
  <c r="P3604" i="2"/>
  <c r="P3605" i="2"/>
  <c r="P3606" i="2"/>
  <c r="P3607" i="2"/>
  <c r="P3608" i="2"/>
  <c r="P3609" i="2"/>
  <c r="P3610" i="2"/>
  <c r="P3611" i="2"/>
  <c r="P3612" i="2"/>
  <c r="P3626" i="2"/>
  <c r="P3627" i="2"/>
  <c r="P3628" i="2"/>
  <c r="P3629" i="2"/>
  <c r="P3630" i="2"/>
  <c r="P3631" i="2"/>
  <c r="P3632" i="2"/>
  <c r="P3633" i="2"/>
  <c r="P3634" i="2"/>
  <c r="P3635" i="2"/>
  <c r="P3636" i="2"/>
  <c r="P3637" i="2"/>
  <c r="P3638" i="2"/>
  <c r="P3639" i="2"/>
  <c r="P3640" i="2"/>
  <c r="P3641" i="2"/>
  <c r="P3642" i="2"/>
  <c r="P3643" i="2"/>
  <c r="P3644" i="2"/>
  <c r="P3645" i="2"/>
  <c r="P3646" i="2"/>
  <c r="P3647" i="2"/>
  <c r="P3648" i="2"/>
  <c r="P3650" i="2"/>
  <c r="P3651" i="2"/>
  <c r="P3652" i="2"/>
  <c r="P3653" i="2"/>
  <c r="P3654" i="2"/>
  <c r="P3655" i="2"/>
  <c r="P3656" i="2"/>
  <c r="P3657" i="2"/>
  <c r="P3658" i="2"/>
  <c r="P3659" i="2"/>
  <c r="P3660" i="2"/>
  <c r="P3661" i="2"/>
  <c r="P3662" i="2"/>
  <c r="P3663" i="2"/>
  <c r="P3664" i="2"/>
  <c r="P3665" i="2"/>
  <c r="P3666" i="2"/>
  <c r="P3667" i="2"/>
  <c r="P3668" i="2"/>
  <c r="P3669" i="2"/>
  <c r="P3670" i="2"/>
  <c r="P3671" i="2"/>
  <c r="P3672" i="2"/>
  <c r="P3673" i="2"/>
  <c r="P3674" i="2"/>
  <c r="P3675" i="2"/>
  <c r="P3676" i="2"/>
  <c r="P3677" i="2"/>
  <c r="P3678" i="2"/>
  <c r="P3679" i="2"/>
  <c r="P3680" i="2"/>
  <c r="P3681" i="2"/>
  <c r="P3682" i="2"/>
  <c r="P3683" i="2"/>
  <c r="P3684" i="2"/>
  <c r="P3685" i="2"/>
  <c r="P3686" i="2"/>
  <c r="P3687" i="2"/>
  <c r="P3688" i="2"/>
  <c r="P3689" i="2"/>
  <c r="P3690" i="2"/>
  <c r="P3691" i="2"/>
  <c r="P3692" i="2"/>
  <c r="P3693" i="2"/>
  <c r="P3694" i="2"/>
  <c r="P3695" i="2"/>
  <c r="P3696" i="2"/>
  <c r="P3697" i="2"/>
  <c r="P3698" i="2"/>
  <c r="P3699" i="2"/>
  <c r="P3700" i="2"/>
  <c r="P3701" i="2"/>
  <c r="P3702" i="2"/>
  <c r="P3703" i="2"/>
  <c r="P3704" i="2"/>
  <c r="P3705" i="2"/>
  <c r="P3706" i="2"/>
  <c r="P3707" i="2"/>
  <c r="P3708" i="2"/>
  <c r="P3709" i="2"/>
  <c r="P3710" i="2"/>
  <c r="P3711" i="2"/>
  <c r="P3712" i="2"/>
  <c r="P3713" i="2"/>
  <c r="P3714" i="2"/>
  <c r="P3715" i="2"/>
  <c r="P3716" i="2"/>
  <c r="P3717" i="2"/>
  <c r="P3718" i="2"/>
  <c r="P3719" i="2"/>
  <c r="P3720" i="2"/>
  <c r="P3721" i="2"/>
  <c r="P3722" i="2"/>
  <c r="P3723" i="2"/>
  <c r="P3724" i="2"/>
  <c r="P3725" i="2"/>
  <c r="P3726" i="2"/>
  <c r="P3727" i="2"/>
  <c r="P3728" i="2"/>
  <c r="P3729" i="2"/>
  <c r="P3730" i="2"/>
  <c r="P3731" i="2"/>
  <c r="P3732" i="2"/>
  <c r="P3733" i="2"/>
  <c r="P3734" i="2"/>
  <c r="P3735" i="2"/>
  <c r="P3736" i="2"/>
  <c r="P3737" i="2"/>
  <c r="P3738" i="2"/>
  <c r="P3739" i="2"/>
  <c r="P3740" i="2"/>
  <c r="P3741" i="2"/>
  <c r="P3742" i="2"/>
  <c r="P3743" i="2"/>
  <c r="P3744" i="2"/>
  <c r="P3745" i="2"/>
  <c r="P3746" i="2"/>
  <c r="P3747" i="2"/>
  <c r="P3748" i="2"/>
  <c r="P3749" i="2"/>
  <c r="P3750" i="2"/>
  <c r="P3751" i="2"/>
  <c r="P3752" i="2"/>
  <c r="P3753" i="2"/>
  <c r="P3754" i="2"/>
  <c r="P3755" i="2"/>
  <c r="P3756" i="2"/>
  <c r="P3757" i="2"/>
  <c r="P3758" i="2"/>
  <c r="P3759" i="2"/>
  <c r="P3760" i="2"/>
  <c r="P3761" i="2"/>
  <c r="P3762" i="2"/>
  <c r="P3763" i="2"/>
  <c r="P3764" i="2"/>
  <c r="P3765" i="2"/>
  <c r="P3766" i="2"/>
  <c r="P3767" i="2"/>
  <c r="P3768" i="2"/>
  <c r="P3769" i="2"/>
  <c r="P3770" i="2"/>
  <c r="P3771" i="2"/>
  <c r="P3772" i="2"/>
  <c r="P3773" i="2"/>
  <c r="P3774" i="2"/>
  <c r="P3775" i="2"/>
  <c r="P3776" i="2"/>
  <c r="P3777" i="2"/>
  <c r="P3778" i="2"/>
  <c r="P3779" i="2"/>
  <c r="P3780" i="2"/>
  <c r="P3781" i="2"/>
  <c r="P3782" i="2"/>
  <c r="P3783" i="2"/>
  <c r="P3784" i="2"/>
  <c r="P3785" i="2"/>
  <c r="P3786" i="2"/>
  <c r="P3787" i="2"/>
  <c r="P3788" i="2"/>
  <c r="P3789" i="2"/>
  <c r="P3790" i="2"/>
  <c r="P3791" i="2"/>
  <c r="P3792" i="2"/>
  <c r="P3793" i="2"/>
  <c r="P3794" i="2"/>
  <c r="P3795" i="2"/>
  <c r="P3796" i="2"/>
  <c r="P3797" i="2"/>
  <c r="P3798" i="2"/>
  <c r="P3799" i="2"/>
  <c r="P3800" i="2"/>
  <c r="P3801" i="2"/>
  <c r="P3802" i="2"/>
  <c r="P3803" i="2"/>
  <c r="P3804" i="2"/>
  <c r="P3805" i="2"/>
  <c r="P3806" i="2"/>
  <c r="P3807" i="2"/>
  <c r="P3808" i="2"/>
  <c r="P3809" i="2"/>
  <c r="P3810" i="2"/>
  <c r="P3811" i="2"/>
  <c r="P3812" i="2"/>
  <c r="P3813" i="2"/>
  <c r="P3814" i="2"/>
  <c r="P3815" i="2"/>
  <c r="P3816" i="2"/>
  <c r="P3817" i="2"/>
  <c r="P3818" i="2"/>
  <c r="P3819" i="2"/>
  <c r="P3820" i="2"/>
  <c r="P3821" i="2"/>
  <c r="P3822" i="2"/>
  <c r="P3823" i="2"/>
  <c r="P3824" i="2"/>
  <c r="P3825" i="2"/>
  <c r="P3826" i="2"/>
  <c r="P3827" i="2"/>
  <c r="P3828" i="2"/>
  <c r="P3829" i="2"/>
  <c r="P3830" i="2"/>
  <c r="P3831" i="2"/>
  <c r="P3832" i="2"/>
  <c r="P3833" i="2"/>
  <c r="P3834" i="2"/>
  <c r="P3835" i="2"/>
  <c r="P3836" i="2"/>
  <c r="P3837" i="2"/>
  <c r="P3838" i="2"/>
  <c r="P3839" i="2"/>
  <c r="P3840" i="2"/>
  <c r="P3841" i="2"/>
  <c r="P3842" i="2"/>
  <c r="P3843" i="2"/>
  <c r="P3844" i="2"/>
  <c r="P3845" i="2"/>
  <c r="P3846" i="2"/>
  <c r="P3847" i="2"/>
  <c r="P3848" i="2"/>
  <c r="P3849" i="2"/>
  <c r="P3850" i="2"/>
  <c r="P3851" i="2"/>
  <c r="P3852" i="2"/>
  <c r="P3853" i="2"/>
  <c r="P3854" i="2"/>
  <c r="P3855" i="2"/>
  <c r="P3856" i="2"/>
  <c r="P3857" i="2"/>
  <c r="P3858" i="2"/>
  <c r="P3859" i="2"/>
  <c r="P3860" i="2"/>
  <c r="P3861" i="2"/>
  <c r="P3862" i="2"/>
  <c r="P3863" i="2"/>
  <c r="P3864" i="2"/>
  <c r="P3865" i="2"/>
  <c r="P3866" i="2"/>
  <c r="P3867" i="2"/>
  <c r="P3868" i="2"/>
  <c r="P3869" i="2"/>
  <c r="P3870" i="2"/>
  <c r="P3871" i="2"/>
  <c r="P3872" i="2"/>
  <c r="P3873" i="2"/>
  <c r="P3874" i="2"/>
  <c r="P3875" i="2"/>
  <c r="P3876" i="2"/>
  <c r="P3877" i="2"/>
  <c r="P3878" i="2"/>
  <c r="P3879" i="2"/>
  <c r="P3880" i="2"/>
  <c r="P3881" i="2"/>
  <c r="P3882" i="2"/>
  <c r="P3883" i="2"/>
  <c r="P3884" i="2"/>
  <c r="P3885" i="2"/>
  <c r="P3886" i="2"/>
  <c r="P3887" i="2"/>
  <c r="P3888" i="2"/>
  <c r="P3889" i="2"/>
  <c r="P3890" i="2"/>
  <c r="P3891" i="2"/>
  <c r="P3892" i="2"/>
  <c r="P3893" i="2"/>
  <c r="P3894" i="2"/>
  <c r="P3895" i="2"/>
  <c r="P3896" i="2"/>
  <c r="P3897" i="2"/>
  <c r="P3898" i="2"/>
  <c r="P3899" i="2"/>
  <c r="P3900" i="2"/>
  <c r="P3901" i="2"/>
  <c r="P3902" i="2"/>
  <c r="P3903" i="2"/>
  <c r="P3904" i="2"/>
  <c r="P3905" i="2"/>
  <c r="P3906" i="2"/>
  <c r="P3907" i="2"/>
  <c r="P3908" i="2"/>
  <c r="P3909" i="2"/>
  <c r="P3910" i="2"/>
  <c r="P3911" i="2"/>
  <c r="P3912" i="2"/>
  <c r="P3913" i="2"/>
  <c r="P3914" i="2"/>
  <c r="P3915" i="2"/>
  <c r="P3916" i="2"/>
  <c r="P3917" i="2"/>
  <c r="P3918" i="2"/>
  <c r="P3919" i="2"/>
  <c r="P3920" i="2"/>
  <c r="P3921" i="2"/>
  <c r="P3922" i="2"/>
  <c r="P3923" i="2"/>
  <c r="P3924" i="2"/>
  <c r="P3925" i="2"/>
  <c r="P3926" i="2"/>
  <c r="P3927" i="2"/>
  <c r="P3928" i="2"/>
  <c r="P3929" i="2"/>
  <c r="P3930" i="2"/>
  <c r="P3931" i="2"/>
  <c r="P3932" i="2"/>
  <c r="P3933" i="2"/>
  <c r="P3934" i="2"/>
  <c r="P3935" i="2"/>
  <c r="P3936" i="2"/>
  <c r="P3937" i="2"/>
  <c r="P3938" i="2"/>
  <c r="P3939" i="2"/>
  <c r="P3940" i="2"/>
  <c r="P3941" i="2"/>
  <c r="P3942" i="2"/>
  <c r="P3943" i="2"/>
  <c r="P3944" i="2"/>
  <c r="P3945" i="2"/>
  <c r="P3946" i="2"/>
  <c r="P3947" i="2"/>
  <c r="P3948" i="2"/>
  <c r="P3949" i="2"/>
  <c r="P3950" i="2"/>
  <c r="P3951" i="2"/>
  <c r="P3952" i="2"/>
  <c r="P3953" i="2"/>
  <c r="P3954" i="2"/>
  <c r="P3955" i="2"/>
  <c r="P3956" i="2"/>
  <c r="P3957" i="2"/>
  <c r="P3958" i="2"/>
  <c r="P3959" i="2"/>
  <c r="P3960" i="2"/>
  <c r="P3961" i="2"/>
  <c r="P3962" i="2"/>
  <c r="P3963" i="2"/>
  <c r="P3964" i="2"/>
  <c r="P3965" i="2"/>
  <c r="P3966" i="2"/>
  <c r="P3967" i="2"/>
  <c r="P3968" i="2"/>
  <c r="P3969" i="2"/>
  <c r="P3970" i="2"/>
  <c r="P3971" i="2"/>
  <c r="P3972" i="2"/>
  <c r="P3973" i="2"/>
  <c r="P3974" i="2"/>
  <c r="P3975" i="2"/>
  <c r="P3976" i="2"/>
  <c r="P3977" i="2"/>
  <c r="P3978" i="2"/>
  <c r="P3979" i="2"/>
  <c r="P3980" i="2"/>
  <c r="P3981" i="2"/>
  <c r="P3982" i="2"/>
  <c r="P3983" i="2"/>
  <c r="P3984" i="2"/>
  <c r="P3985" i="2"/>
  <c r="P3986" i="2"/>
  <c r="P3987" i="2"/>
  <c r="P3988" i="2"/>
  <c r="P3989" i="2"/>
  <c r="P3990" i="2"/>
  <c r="P3991" i="2"/>
  <c r="P3992" i="2"/>
  <c r="P3993" i="2"/>
  <c r="P3994" i="2"/>
  <c r="P3995" i="2"/>
  <c r="P3996" i="2"/>
  <c r="P3998" i="2"/>
  <c r="P3999" i="2"/>
  <c r="P4000" i="2"/>
  <c r="P4001" i="2"/>
  <c r="P4002" i="2"/>
  <c r="P4003" i="2"/>
  <c r="P4004" i="2"/>
  <c r="P4005" i="2"/>
  <c r="P4006" i="2"/>
  <c r="P4007" i="2"/>
  <c r="P4008" i="2"/>
  <c r="P4009" i="2"/>
  <c r="P4010" i="2"/>
  <c r="P4011" i="2"/>
  <c r="P4012" i="2"/>
  <c r="P4013" i="2"/>
  <c r="P4014" i="2"/>
  <c r="P4015" i="2"/>
  <c r="P4016" i="2"/>
  <c r="P4017" i="2"/>
  <c r="P4018" i="2"/>
  <c r="P4019" i="2"/>
  <c r="P4020" i="2"/>
  <c r="P4021" i="2"/>
  <c r="P4022" i="2"/>
  <c r="P4023" i="2"/>
  <c r="P4024" i="2"/>
  <c r="P4025" i="2"/>
  <c r="P4026" i="2"/>
  <c r="P4027" i="2"/>
  <c r="P4028" i="2"/>
  <c r="P4029" i="2"/>
  <c r="P4030" i="2"/>
  <c r="H3331" i="2"/>
  <c r="H3332" i="2" s="1"/>
  <c r="H3333" i="2" s="1"/>
  <c r="H3334" i="2" s="1"/>
  <c r="H3335" i="2" s="1"/>
  <c r="H3336" i="2" s="1"/>
  <c r="H3337" i="2" s="1"/>
  <c r="H3338" i="2" s="1"/>
  <c r="H3339" i="2" s="1"/>
  <c r="H3340" i="2" s="1"/>
  <c r="H3341" i="2" s="1"/>
  <c r="H3342" i="2" s="1"/>
  <c r="H3343" i="2" s="1"/>
  <c r="H3344" i="2" s="1"/>
  <c r="H3345" i="2" s="1"/>
  <c r="H3346" i="2" s="1"/>
  <c r="H3347" i="2" s="1"/>
  <c r="H3348" i="2" s="1"/>
  <c r="H3349" i="2" s="1"/>
  <c r="H3350" i="2" s="1"/>
  <c r="H3351" i="2" s="1"/>
  <c r="H3352" i="2" s="1"/>
  <c r="H3353" i="2" s="1"/>
  <c r="H3354" i="2" s="1"/>
  <c r="H3355" i="2" s="1"/>
  <c r="H3356" i="2" s="1"/>
  <c r="H3357" i="2" s="1"/>
  <c r="H3358" i="2" s="1"/>
  <c r="H3359" i="2" s="1"/>
  <c r="H3360" i="2" s="1"/>
  <c r="H3361" i="2" s="1"/>
  <c r="H3362" i="2" s="1"/>
  <c r="H3363" i="2" s="1"/>
  <c r="H3364" i="2" s="1"/>
  <c r="H3365" i="2" s="1"/>
  <c r="H3366" i="2" s="1"/>
  <c r="H3367" i="2" s="1"/>
  <c r="H3368" i="2" s="1"/>
  <c r="H3369" i="2" s="1"/>
  <c r="H3370" i="2" s="1"/>
  <c r="O3340" i="2"/>
  <c r="H2836" i="2"/>
  <c r="H2837" i="2" s="1"/>
  <c r="H2838" i="2" s="1"/>
  <c r="H2839" i="2" s="1"/>
  <c r="H2840" i="2" s="1"/>
  <c r="H2841" i="2" s="1"/>
  <c r="H2842" i="2" s="1"/>
  <c r="H2843" i="2" s="1"/>
  <c r="H2844" i="2" s="1"/>
  <c r="H2845" i="2" s="1"/>
  <c r="H2846" i="2" s="1"/>
  <c r="H2847" i="2" s="1"/>
  <c r="H2848" i="2" s="1"/>
  <c r="H2849" i="2" s="1"/>
  <c r="H2850" i="2" s="1"/>
  <c r="H2851" i="2" s="1"/>
  <c r="H2852" i="2" s="1"/>
  <c r="H2853" i="2" s="1"/>
  <c r="H2854" i="2" s="1"/>
  <c r="H2855" i="2" s="1"/>
  <c r="H2856" i="2" s="1"/>
  <c r="H2857" i="2" s="1"/>
  <c r="H2858" i="2" s="1"/>
  <c r="H2859" i="2" s="1"/>
  <c r="H2860" i="2" s="1"/>
  <c r="H2861" i="2" s="1"/>
  <c r="H2862" i="2" s="1"/>
  <c r="H2863" i="2" s="1"/>
  <c r="H2864" i="2" s="1"/>
  <c r="H2865" i="2" s="1"/>
  <c r="H2866" i="2" s="1"/>
  <c r="H2867" i="2" s="1"/>
  <c r="H2868" i="2" s="1"/>
  <c r="H2869" i="2" s="1"/>
  <c r="H2870" i="2" s="1"/>
  <c r="H2871" i="2" s="1"/>
  <c r="H2872" i="2" s="1"/>
  <c r="H2873" i="2" s="1"/>
  <c r="H2874" i="2" s="1"/>
  <c r="H2875" i="2" s="1"/>
  <c r="H2876" i="2" s="1"/>
  <c r="H2877" i="2" s="1"/>
  <c r="H2878" i="2" s="1"/>
  <c r="H2879" i="2" s="1"/>
  <c r="H2880" i="2" s="1"/>
  <c r="H2881" i="2" s="1"/>
  <c r="H2882" i="2" s="1"/>
  <c r="H2883" i="2" s="1"/>
  <c r="H2884" i="2" s="1"/>
  <c r="H2885" i="2" s="1"/>
  <c r="H2886" i="2" s="1"/>
  <c r="H2887" i="2" s="1"/>
  <c r="O2887" i="2"/>
  <c r="O2886" i="2"/>
  <c r="O2675" i="2"/>
  <c r="H2423" i="2"/>
  <c r="H2424" i="2" s="1"/>
  <c r="H2425" i="2" s="1"/>
  <c r="H2426" i="2" s="1"/>
  <c r="H2427" i="2" s="1"/>
  <c r="H2428" i="2" s="1"/>
  <c r="H2429" i="2" s="1"/>
  <c r="H2430" i="2" s="1"/>
  <c r="H2431" i="2" s="1"/>
  <c r="H2432" i="2" s="1"/>
  <c r="H2433" i="2" s="1"/>
  <c r="H2434" i="2" s="1"/>
  <c r="H2435" i="2" s="1"/>
  <c r="H2436" i="2" s="1"/>
  <c r="H2437" i="2" s="1"/>
  <c r="H2438" i="2" s="1"/>
  <c r="H2439" i="2" s="1"/>
  <c r="H2440" i="2" s="1"/>
  <c r="H2441" i="2" s="1"/>
  <c r="H2442" i="2" s="1"/>
  <c r="H2443" i="2" s="1"/>
  <c r="H2444" i="2" s="1"/>
  <c r="H2445" i="2" s="1"/>
  <c r="H2446" i="2" s="1"/>
  <c r="H2447" i="2" s="1"/>
  <c r="H2060" i="2"/>
  <c r="H2061" i="2" s="1"/>
  <c r="H2062" i="2" s="1"/>
  <c r="H2063" i="2" s="1"/>
  <c r="H2064" i="2" s="1"/>
  <c r="H2065" i="2" s="1"/>
  <c r="H2066" i="2" s="1"/>
  <c r="H2067" i="2" s="1"/>
  <c r="H2068" i="2" s="1"/>
  <c r="H2069" i="2" s="1"/>
  <c r="H2070" i="2" s="1"/>
  <c r="H2071" i="2" s="1"/>
  <c r="H2072" i="2" s="1"/>
  <c r="H2073" i="2" s="1"/>
  <c r="H2074" i="2" s="1"/>
  <c r="H2075" i="2" s="1"/>
  <c r="H2076" i="2" s="1"/>
  <c r="H2077" i="2" s="1"/>
  <c r="H2078" i="2" s="1"/>
  <c r="H2079" i="2" s="1"/>
  <c r="H2080" i="2" s="1"/>
  <c r="H2081" i="2" s="1"/>
  <c r="H2082" i="2" s="1"/>
  <c r="H2083" i="2" s="1"/>
  <c r="H2084" i="2" s="1"/>
  <c r="H1948" i="2"/>
  <c r="H1949" i="2" s="1"/>
  <c r="H1950" i="2" s="1"/>
  <c r="H1951" i="2" s="1"/>
  <c r="H1952" i="2" s="1"/>
  <c r="H1953" i="2" s="1"/>
  <c r="H1954" i="2" s="1"/>
  <c r="H1955" i="2" s="1"/>
  <c r="H1956" i="2" s="1"/>
  <c r="H1957" i="2" s="1"/>
  <c r="H1958" i="2" s="1"/>
  <c r="H1959" i="2" s="1"/>
  <c r="H1960" i="2" s="1"/>
  <c r="H1961" i="2" s="1"/>
  <c r="H1962" i="2" s="1"/>
  <c r="H1963" i="2" s="1"/>
  <c r="H1964" i="2" s="1"/>
  <c r="H1965" i="2" s="1"/>
  <c r="H1966" i="2" s="1"/>
  <c r="H1967" i="2" s="1"/>
  <c r="O1957" i="2"/>
  <c r="O1955" i="2"/>
  <c r="O1954" i="2"/>
  <c r="O1906" i="2"/>
  <c r="O1894" i="2"/>
  <c r="O1850" i="2"/>
  <c r="O1843" i="2"/>
  <c r="O1878" i="2"/>
  <c r="O1866" i="2"/>
  <c r="O1525" i="2"/>
  <c r="O1523" i="2"/>
  <c r="K1134" i="4"/>
  <c r="K1712" i="4" l="1"/>
  <c r="K1711" i="4"/>
  <c r="K1710" i="4"/>
  <c r="O1377" i="2"/>
  <c r="O1378" i="2"/>
  <c r="O1379" i="2"/>
  <c r="O1380" i="2"/>
  <c r="O1381" i="2"/>
  <c r="O1382" i="2"/>
  <c r="O1383" i="2"/>
  <c r="O1384" i="2"/>
  <c r="O1385" i="2"/>
  <c r="O1386" i="2"/>
  <c r="O1387" i="2"/>
  <c r="O1388" i="2"/>
  <c r="O1392" i="2"/>
  <c r="O1393" i="2"/>
  <c r="O1394" i="2"/>
  <c r="O1395" i="2"/>
  <c r="O1396" i="2"/>
  <c r="O1397" i="2"/>
  <c r="O1398" i="2"/>
  <c r="O1399"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6" i="2"/>
  <c r="O1527" i="2"/>
  <c r="O1528" i="2"/>
  <c r="O1529" i="2"/>
  <c r="O1530" i="2"/>
  <c r="O1531" i="2"/>
  <c r="O1532" i="2"/>
  <c r="O1533" i="2"/>
  <c r="O1534" i="2"/>
  <c r="O1535" i="2"/>
  <c r="O1536" i="2"/>
  <c r="O1537" i="2"/>
  <c r="O1538" i="2"/>
  <c r="O1539"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5" i="2"/>
  <c r="O1566" i="2"/>
  <c r="O1567" i="2"/>
  <c r="O1568" i="2"/>
  <c r="O1569" i="2"/>
  <c r="O1570" i="2"/>
  <c r="O1571" i="2"/>
  <c r="O1572" i="2"/>
  <c r="O1573" i="2"/>
  <c r="O1574" i="2"/>
  <c r="O1575" i="2"/>
  <c r="O1576" i="2"/>
  <c r="O1577" i="2"/>
  <c r="O1578" i="2"/>
  <c r="O1579" i="2"/>
  <c r="O1580" i="2"/>
  <c r="O1581" i="2"/>
  <c r="O1582" i="2"/>
  <c r="O1583" i="2"/>
  <c r="O1585" i="2"/>
  <c r="O1586" i="2"/>
  <c r="O1587" i="2"/>
  <c r="O1588" i="2"/>
  <c r="O1589" i="2"/>
  <c r="O1590" i="2"/>
  <c r="O1591" i="2"/>
  <c r="O1592" i="2"/>
  <c r="O1593" i="2"/>
  <c r="O1594" i="2"/>
  <c r="O1595" i="2"/>
  <c r="O1596" i="2"/>
  <c r="O1597" i="2"/>
  <c r="O1598" i="2"/>
  <c r="O1599" i="2"/>
  <c r="O1600" i="2"/>
  <c r="O1604" i="2"/>
  <c r="O1605" i="2"/>
  <c r="O1606" i="2"/>
  <c r="O1607" i="2"/>
  <c r="O1608" i="2"/>
  <c r="O1610" i="2"/>
  <c r="O1611" i="2"/>
  <c r="O1612" i="2"/>
  <c r="O1613" i="2"/>
  <c r="O1609" i="2"/>
  <c r="O1615" i="2"/>
  <c r="O1616" i="2"/>
  <c r="O1617" i="2"/>
  <c r="O1618" i="2"/>
  <c r="O1619" i="2"/>
  <c r="O1620" i="2"/>
  <c r="O1621" i="2"/>
  <c r="O1622" i="2"/>
  <c r="O1623" i="2"/>
  <c r="O1624" i="2"/>
  <c r="O1625" i="2"/>
  <c r="O1626" i="2"/>
  <c r="O1627" i="2"/>
  <c r="O1628" i="2"/>
  <c r="O1630" i="2"/>
  <c r="O1631" i="2"/>
  <c r="O1632" i="2"/>
  <c r="O1633" i="2"/>
  <c r="O1634" i="2"/>
  <c r="O1635" i="2"/>
  <c r="O1636" i="2"/>
  <c r="O1637" i="2"/>
  <c r="O1638" i="2"/>
  <c r="O1639" i="2"/>
  <c r="O1640" i="2"/>
  <c r="O1641" i="2"/>
  <c r="O1642" i="2"/>
  <c r="O1643"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1" i="2"/>
  <c r="O1682" i="2"/>
  <c r="O1683" i="2"/>
  <c r="O1684" i="2"/>
  <c r="O1685" i="2"/>
  <c r="O1686" i="2"/>
  <c r="O1687" i="2"/>
  <c r="O1688" i="2"/>
  <c r="O1689" i="2"/>
  <c r="O1690" i="2"/>
  <c r="O1691" i="2"/>
  <c r="O1692" i="2"/>
  <c r="O1693" i="2"/>
  <c r="O1694" i="2"/>
  <c r="O1695" i="2"/>
  <c r="O1696" i="2"/>
  <c r="O1697"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5" i="2"/>
  <c r="O1786" i="2"/>
  <c r="O1787" i="2"/>
  <c r="O1788" i="2"/>
  <c r="O1789" i="2"/>
  <c r="O1790" i="2"/>
  <c r="O1791" i="2"/>
  <c r="O1792" i="2"/>
  <c r="O1793" i="2"/>
  <c r="O1794" i="2"/>
  <c r="O1795" i="2"/>
  <c r="O1796" i="2"/>
  <c r="O1797" i="2"/>
  <c r="O1798" i="2"/>
  <c r="O1799" i="2"/>
  <c r="O1800" i="2"/>
  <c r="O1801" i="2"/>
  <c r="O1802" i="2"/>
  <c r="O1803"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4" i="2"/>
  <c r="O1845" i="2"/>
  <c r="O1846" i="2"/>
  <c r="O1847" i="2"/>
  <c r="O1848" i="2"/>
  <c r="O1849" i="2"/>
  <c r="O1851" i="2"/>
  <c r="O1852" i="2"/>
  <c r="O1853" i="2"/>
  <c r="O1854" i="2"/>
  <c r="O1855" i="2"/>
  <c r="O1856" i="2"/>
  <c r="O1857" i="2"/>
  <c r="O1858" i="2"/>
  <c r="O1859" i="2"/>
  <c r="O1860" i="2"/>
  <c r="O1861" i="2"/>
  <c r="O1862" i="2"/>
  <c r="O1863" i="2"/>
  <c r="O1864" i="2"/>
  <c r="O1865" i="2"/>
  <c r="O1867" i="2"/>
  <c r="O1868" i="2"/>
  <c r="O1869" i="2"/>
  <c r="O1870" i="2"/>
  <c r="O1871" i="2"/>
  <c r="O1872" i="2"/>
  <c r="O1873" i="2"/>
  <c r="O1874" i="2"/>
  <c r="O1875" i="2"/>
  <c r="O1876" i="2"/>
  <c r="O1877" i="2"/>
  <c r="O1879" i="2"/>
  <c r="O1880" i="2"/>
  <c r="O1881" i="2"/>
  <c r="O1882" i="2"/>
  <c r="O1883" i="2"/>
  <c r="O1884" i="2"/>
  <c r="O1885" i="2"/>
  <c r="O1886" i="2"/>
  <c r="O1887" i="2"/>
  <c r="O1888" i="2"/>
  <c r="O1889" i="2"/>
  <c r="O1890" i="2"/>
  <c r="O1891" i="2"/>
  <c r="O1892" i="2"/>
  <c r="O1893" i="2"/>
  <c r="O1895" i="2"/>
  <c r="O1896" i="2"/>
  <c r="O1897" i="2"/>
  <c r="O1898" i="2"/>
  <c r="O1899" i="2"/>
  <c r="O1900" i="2"/>
  <c r="O1901" i="2"/>
  <c r="O1902" i="2"/>
  <c r="O1903" i="2"/>
  <c r="O1904"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8" i="2"/>
  <c r="O1959" i="2"/>
  <c r="O1960" i="2"/>
  <c r="O1963" i="2"/>
  <c r="O1964" i="2"/>
  <c r="O1965" i="2"/>
  <c r="O1966" i="2"/>
  <c r="O1967" i="2"/>
  <c r="O1956" i="2"/>
  <c r="O1962"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5" i="2"/>
  <c r="O2016" i="2"/>
  <c r="O2017" i="2"/>
  <c r="O2018" i="2"/>
  <c r="O2019" i="2"/>
  <c r="O2020" i="2"/>
  <c r="O2022" i="2"/>
  <c r="O2023" i="2"/>
  <c r="O2024" i="2"/>
  <c r="O2025" i="2"/>
  <c r="O2026" i="2"/>
  <c r="O2014" i="2"/>
  <c r="O2021"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9" i="2"/>
  <c r="O2070" i="2"/>
  <c r="O2071" i="2"/>
  <c r="O2072" i="2"/>
  <c r="O2073" i="2"/>
  <c r="O2074" i="2"/>
  <c r="O2075" i="2"/>
  <c r="O2076" i="2"/>
  <c r="O2077" i="2"/>
  <c r="O2078" i="2"/>
  <c r="O2079" i="2"/>
  <c r="O2081" i="2"/>
  <c r="O2082" i="2"/>
  <c r="O2083" i="2"/>
  <c r="O2084" i="2"/>
  <c r="O2068" i="2"/>
  <c r="O2080"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7" i="2"/>
  <c r="O2278" i="2"/>
  <c r="O2279" i="2"/>
  <c r="O2280" i="2"/>
  <c r="O2281" i="2"/>
  <c r="O2282" i="2"/>
  <c r="O2283" i="2"/>
  <c r="O2284" i="2"/>
  <c r="O2286" i="2"/>
  <c r="O2287" i="2"/>
  <c r="O2288" i="2"/>
  <c r="O2289" i="2"/>
  <c r="O2290" i="2"/>
  <c r="O2276" i="2"/>
  <c r="O2285"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60" i="2"/>
  <c r="O2361" i="2"/>
  <c r="O2362" i="2"/>
  <c r="O2363" i="2"/>
  <c r="O2364" i="2"/>
  <c r="O2365" i="2"/>
  <c r="O2367" i="2"/>
  <c r="O2368" i="2"/>
  <c r="O2369" i="2"/>
  <c r="O2370" i="2"/>
  <c r="O2371" i="2"/>
  <c r="O2359" i="2"/>
  <c r="O2366"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2" i="2"/>
  <c r="O2433" i="2"/>
  <c r="O2434" i="2"/>
  <c r="O2435" i="2"/>
  <c r="O2436" i="2"/>
  <c r="O2437" i="2"/>
  <c r="O2438" i="2"/>
  <c r="O2439" i="2"/>
  <c r="O2440" i="2"/>
  <c r="O2441" i="2"/>
  <c r="O2443" i="2"/>
  <c r="O2444" i="2"/>
  <c r="O2445" i="2"/>
  <c r="O2446" i="2"/>
  <c r="O2447" i="2"/>
  <c r="O2431" i="2"/>
  <c r="O2442"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34" i="2"/>
  <c r="O2522" i="2"/>
  <c r="O2523" i="2"/>
  <c r="O2524" i="2"/>
  <c r="O2525" i="2"/>
  <c r="O2526" i="2"/>
  <c r="O2527" i="2"/>
  <c r="O2528" i="2"/>
  <c r="O2529" i="2"/>
  <c r="O2530" i="2"/>
  <c r="O2531" i="2"/>
  <c r="O2532" i="2"/>
  <c r="O2533"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8" i="2"/>
  <c r="O2889" i="2"/>
  <c r="O2890" i="2"/>
  <c r="O2891" i="2"/>
  <c r="O2892" i="2"/>
  <c r="O2893" i="2"/>
  <c r="O2894" i="2"/>
  <c r="O2895"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7" i="2"/>
  <c r="O3548" i="2"/>
  <c r="O3549" i="2"/>
  <c r="O3550" i="2"/>
  <c r="O3552" i="2"/>
  <c r="O3553"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1354" i="2"/>
  <c r="O1355" i="2"/>
  <c r="O1356" i="2"/>
  <c r="O1357" i="2"/>
  <c r="O1358" i="2"/>
  <c r="O1359" i="2"/>
  <c r="O1360" i="2"/>
  <c r="O1361" i="2"/>
  <c r="O1334" i="2"/>
  <c r="O1337" i="2"/>
  <c r="O1338" i="2"/>
  <c r="O1339" i="2"/>
  <c r="O1340" i="2"/>
  <c r="O1341" i="2"/>
  <c r="O1342" i="2"/>
  <c r="O1343" i="2"/>
  <c r="O1344" i="2"/>
  <c r="O1345" i="2"/>
  <c r="O1346" i="2"/>
  <c r="O1347" i="2"/>
  <c r="O1348" i="2"/>
  <c r="O1349" i="2"/>
  <c r="O1350" i="2"/>
  <c r="O1351" i="2"/>
  <c r="O1324" i="2"/>
  <c r="O1325" i="2"/>
  <c r="O1326" i="2"/>
  <c r="O1327" i="2"/>
  <c r="O1328" i="2"/>
  <c r="O1329" i="2"/>
  <c r="O1330" i="2"/>
  <c r="O1331" i="2"/>
  <c r="O1332" i="2"/>
  <c r="O1333"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2" i="2"/>
  <c r="O1313" i="2"/>
  <c r="O1314" i="2"/>
  <c r="O1315" i="2"/>
  <c r="O1316" i="2"/>
  <c r="O1317" i="2"/>
  <c r="O1318" i="2"/>
  <c r="O1319" i="2"/>
  <c r="O1320" i="2"/>
  <c r="O1321" i="2"/>
  <c r="O1322" i="2"/>
  <c r="O1323" i="2"/>
  <c r="Q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2" i="2"/>
  <c r="O93" i="2"/>
  <c r="O94" i="2"/>
  <c r="O95" i="2"/>
  <c r="O96" i="2"/>
  <c r="O97" i="2"/>
  <c r="O98" i="2"/>
  <c r="O99" i="2"/>
  <c r="O100" i="2"/>
  <c r="O101" i="2"/>
  <c r="O102" i="2"/>
  <c r="O103" i="2"/>
  <c r="O104" i="2"/>
  <c r="O105" i="2"/>
  <c r="O106" i="2"/>
  <c r="O107"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1" i="2"/>
  <c r="O342" i="2"/>
  <c r="O343" i="2"/>
  <c r="O344" i="2"/>
  <c r="O345" i="2"/>
  <c r="O346" i="2"/>
  <c r="O347" i="2"/>
  <c r="O348"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H422" i="2"/>
  <c r="H423" i="2" s="1"/>
  <c r="H424" i="2" s="1"/>
  <c r="H425" i="2" s="1"/>
  <c r="H426" i="2" s="1"/>
  <c r="H427" i="2" s="1"/>
  <c r="H428" i="2" s="1"/>
  <c r="H429" i="2" s="1"/>
  <c r="H430" i="2" s="1"/>
  <c r="K1709" i="4" l="1"/>
  <c r="J1709" i="4"/>
  <c r="I1709" i="4"/>
  <c r="K1708" i="4"/>
  <c r="J1708" i="4"/>
  <c r="I1708" i="4"/>
  <c r="K1707" i="4"/>
  <c r="J1707" i="4"/>
  <c r="I1707" i="4"/>
  <c r="K1706" i="4"/>
  <c r="J1706" i="4"/>
  <c r="I1706" i="4"/>
  <c r="K1705" i="4"/>
  <c r="J1705" i="4"/>
  <c r="I1705" i="4"/>
  <c r="K1704" i="4"/>
  <c r="J1704" i="4"/>
  <c r="I1704" i="4"/>
  <c r="K1703" i="4"/>
  <c r="J1703" i="4"/>
  <c r="I1703" i="4"/>
  <c r="K1702" i="4"/>
  <c r="K1701" i="4"/>
  <c r="K1700" i="4"/>
  <c r="K1699" i="4"/>
  <c r="J1699" i="4"/>
  <c r="I1699" i="4"/>
  <c r="K1698" i="4"/>
  <c r="J1698" i="4"/>
  <c r="I1698" i="4"/>
  <c r="K1697" i="4"/>
  <c r="J1697" i="4"/>
  <c r="I1697" i="4"/>
  <c r="K1696" i="4"/>
  <c r="J1696" i="4"/>
  <c r="I1696" i="4"/>
  <c r="K1695" i="4"/>
  <c r="J1695" i="4"/>
  <c r="I1695" i="4"/>
  <c r="K1694" i="4"/>
  <c r="J1694" i="4"/>
  <c r="I1694" i="4"/>
  <c r="K1693" i="4"/>
  <c r="J1693" i="4"/>
  <c r="I1693" i="4"/>
  <c r="K1692" i="4"/>
  <c r="J1692" i="4"/>
  <c r="I1692" i="4"/>
  <c r="K1691" i="4"/>
  <c r="J1691" i="4"/>
  <c r="I1691" i="4"/>
  <c r="K1690" i="4"/>
  <c r="J1690" i="4"/>
  <c r="I1690" i="4"/>
  <c r="K1689" i="4"/>
  <c r="J1689" i="4"/>
  <c r="I1689" i="4"/>
  <c r="K1688" i="4"/>
  <c r="J1688" i="4"/>
  <c r="I1688" i="4"/>
  <c r="K1687" i="4"/>
  <c r="J1687" i="4"/>
  <c r="I1687" i="4"/>
  <c r="K1686" i="4"/>
  <c r="J1686" i="4"/>
  <c r="I1686" i="4"/>
  <c r="H1599" i="2"/>
  <c r="H1600" i="2" s="1"/>
  <c r="H1601" i="2" s="1"/>
  <c r="H1602" i="2" s="1"/>
  <c r="H1603" i="2" s="1"/>
  <c r="H1604" i="2" s="1"/>
  <c r="H1605" i="2" s="1"/>
  <c r="H1606" i="2" s="1"/>
  <c r="H1607" i="2" s="1"/>
  <c r="H1608" i="2" s="1"/>
  <c r="H1609" i="2" s="1"/>
  <c r="H1610" i="2" s="1"/>
  <c r="H1611" i="2" s="1"/>
  <c r="H1612" i="2" s="1"/>
  <c r="H1613" i="2" s="1"/>
  <c r="H1614" i="2" s="1"/>
  <c r="K673" i="4"/>
  <c r="K645" i="4"/>
  <c r="K1685" i="4"/>
  <c r="K1684" i="4"/>
  <c r="K1683" i="4"/>
  <c r="H1648" i="2"/>
  <c r="H1649" i="2" s="1"/>
  <c r="H1650" i="2" s="1"/>
  <c r="H1651" i="2" s="1"/>
  <c r="H1652" i="2" s="1"/>
  <c r="H1653" i="2" s="1"/>
  <c r="H1654" i="2" s="1"/>
  <c r="H1655" i="2" s="1"/>
  <c r="H1656" i="2" s="1"/>
  <c r="H1657" i="2" s="1"/>
  <c r="H1658" i="2" s="1"/>
  <c r="H1659" i="2" s="1"/>
  <c r="H1660" i="2" s="1"/>
  <c r="H1661" i="2" s="1"/>
  <c r="H1662" i="2" s="1"/>
  <c r="H1663" i="2" s="1"/>
  <c r="H431" i="2" l="1"/>
  <c r="H432" i="2" s="1"/>
  <c r="H433" i="2" s="1"/>
  <c r="H434" i="2" s="1"/>
  <c r="H435" i="2" s="1"/>
  <c r="H436" i="2" s="1"/>
  <c r="H437" i="2" s="1"/>
  <c r="H438" i="2" s="1"/>
  <c r="H439" i="2" s="1"/>
  <c r="H440" i="2" s="1"/>
  <c r="H441" i="2" s="1"/>
  <c r="H442" i="2" s="1"/>
  <c r="H443" i="2" s="1"/>
  <c r="H444" i="2" s="1"/>
  <c r="H445" i="2" s="1"/>
  <c r="H446" i="2" s="1"/>
  <c r="H447" i="2" s="1"/>
  <c r="H448" i="2" s="1"/>
  <c r="H449" i="2" s="1"/>
  <c r="H450" i="2" s="1"/>
  <c r="H451" i="2" s="1"/>
  <c r="H452" i="2" s="1"/>
  <c r="H453" i="2" s="1"/>
  <c r="H454" i="2" s="1"/>
  <c r="H455" i="2" s="1"/>
  <c r="H456" i="2" s="1"/>
  <c r="H457" i="2" s="1"/>
  <c r="H458" i="2" s="1"/>
  <c r="H459" i="2" s="1"/>
  <c r="H460" i="2" s="1"/>
  <c r="H461" i="2" s="1"/>
  <c r="H1664" i="2"/>
  <c r="H1665" i="2" s="1"/>
  <c r="H1315" i="2"/>
  <c r="H1316" i="2" s="1"/>
  <c r="H1317" i="2" s="1"/>
  <c r="H1318" i="2" s="1"/>
  <c r="H1319" i="2" s="1"/>
  <c r="H1320" i="2" s="1"/>
  <c r="H1321" i="2" s="1"/>
  <c r="H1322" i="2" s="1"/>
  <c r="H1323" i="2" s="1"/>
  <c r="H1324" i="2" s="1"/>
  <c r="H1325" i="2" s="1"/>
  <c r="H1326" i="2" s="1"/>
  <c r="H1327" i="2" s="1"/>
  <c r="H1328" i="2" s="1"/>
  <c r="H1329" i="2" s="1"/>
  <c r="H1330" i="2" s="1"/>
  <c r="H1331" i="2" s="1"/>
  <c r="H1332" i="2" s="1"/>
  <c r="H1333" i="2" s="1"/>
  <c r="H1334" i="2" s="1"/>
  <c r="H1335" i="2" s="1"/>
  <c r="H1336" i="2" s="1"/>
  <c r="H1337" i="2" s="1"/>
  <c r="H1338" i="2" s="1"/>
  <c r="H1339" i="2" s="1"/>
  <c r="H1340" i="2" s="1"/>
  <c r="H1341" i="2" s="1"/>
  <c r="H1342" i="2" s="1"/>
  <c r="H1343" i="2" s="1"/>
  <c r="H1344" i="2" s="1"/>
  <c r="H1345" i="2" s="1"/>
  <c r="H1346" i="2" s="1"/>
  <c r="H1347" i="2" s="1"/>
  <c r="H1348" i="2" s="1"/>
  <c r="H1349" i="2" s="1"/>
  <c r="H1350" i="2" s="1"/>
  <c r="H1351" i="2" s="1"/>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K1001" i="4"/>
  <c r="K1002" i="4"/>
  <c r="K1003" i="4"/>
  <c r="K1004" i="4"/>
  <c r="K1005" i="4"/>
  <c r="K1006" i="4"/>
  <c r="K1007" i="4"/>
  <c r="K1008" i="4"/>
  <c r="K1009" i="4"/>
  <c r="K1010" i="4"/>
  <c r="K1011" i="4"/>
  <c r="K1012" i="4"/>
  <c r="K1013" i="4"/>
  <c r="K1014" i="4"/>
  <c r="K1015" i="4"/>
  <c r="K1016" i="4"/>
  <c r="K1017" i="4"/>
  <c r="K1018" i="4"/>
  <c r="K1019" i="4"/>
  <c r="K1020" i="4"/>
  <c r="K1021" i="4"/>
  <c r="K1022" i="4"/>
  <c r="K1023" i="4"/>
  <c r="K1024" i="4"/>
  <c r="K1025" i="4"/>
  <c r="K1026" i="4"/>
  <c r="K1027" i="4"/>
  <c r="K1028" i="4"/>
  <c r="K1029" i="4"/>
  <c r="K1030" i="4"/>
  <c r="K1031" i="4"/>
  <c r="K1032" i="4"/>
  <c r="K1033" i="4"/>
  <c r="K1034" i="4"/>
  <c r="K1035" i="4"/>
  <c r="K1036" i="4"/>
  <c r="K1037" i="4"/>
  <c r="K1038" i="4"/>
  <c r="K1039" i="4"/>
  <c r="K1040" i="4"/>
  <c r="K1041" i="4"/>
  <c r="K1042" i="4"/>
  <c r="K1043" i="4"/>
  <c r="K1044" i="4"/>
  <c r="K1045" i="4"/>
  <c r="K1046" i="4"/>
  <c r="K1047" i="4"/>
  <c r="K1048" i="4"/>
  <c r="K1049" i="4"/>
  <c r="K1050" i="4"/>
  <c r="K1051" i="4"/>
  <c r="K1052" i="4"/>
  <c r="K1053" i="4"/>
  <c r="K1054" i="4"/>
  <c r="K1055" i="4"/>
  <c r="K1056" i="4"/>
  <c r="K1057" i="4"/>
  <c r="K1058" i="4"/>
  <c r="K1059" i="4"/>
  <c r="K1060" i="4"/>
  <c r="K1061" i="4"/>
  <c r="K1062" i="4"/>
  <c r="K1063" i="4"/>
  <c r="K1064" i="4"/>
  <c r="K1065" i="4"/>
  <c r="K1066" i="4"/>
  <c r="K1067" i="4"/>
  <c r="K1068" i="4"/>
  <c r="K1069" i="4"/>
  <c r="K1070" i="4"/>
  <c r="K1071" i="4"/>
  <c r="K1072" i="4"/>
  <c r="K1073" i="4"/>
  <c r="K1074" i="4"/>
  <c r="K1075" i="4"/>
  <c r="K1076" i="4"/>
  <c r="K1077" i="4"/>
  <c r="K1078" i="4"/>
  <c r="K1079" i="4"/>
  <c r="K1080" i="4"/>
  <c r="K1081" i="4"/>
  <c r="K1082" i="4"/>
  <c r="K1083" i="4"/>
  <c r="K1084" i="4"/>
  <c r="K1085" i="4"/>
  <c r="K1086" i="4"/>
  <c r="K1087" i="4"/>
  <c r="K1088" i="4"/>
  <c r="K1089" i="4"/>
  <c r="K1090" i="4"/>
  <c r="K1091" i="4"/>
  <c r="K1092" i="4"/>
  <c r="K1093" i="4"/>
  <c r="K1094" i="4"/>
  <c r="K1095" i="4"/>
  <c r="K1096" i="4"/>
  <c r="K1097" i="4"/>
  <c r="K1098" i="4"/>
  <c r="K1099" i="4"/>
  <c r="K1100" i="4"/>
  <c r="K1101" i="4"/>
  <c r="K1102" i="4"/>
  <c r="K1103" i="4"/>
  <c r="K1104" i="4"/>
  <c r="K1105" i="4"/>
  <c r="K1106" i="4"/>
  <c r="K1107" i="4"/>
  <c r="K1108" i="4"/>
  <c r="K1109" i="4"/>
  <c r="K1110" i="4"/>
  <c r="K1111" i="4"/>
  <c r="K1112" i="4"/>
  <c r="K1113" i="4"/>
  <c r="K1114" i="4"/>
  <c r="K1115" i="4"/>
  <c r="K1116" i="4"/>
  <c r="K1135" i="4"/>
  <c r="K1136" i="4"/>
  <c r="K1137" i="4"/>
  <c r="K1138" i="4"/>
  <c r="K1139" i="4"/>
  <c r="K1140" i="4"/>
  <c r="K1141" i="4"/>
  <c r="K1142" i="4"/>
  <c r="K1143" i="4"/>
  <c r="K1144" i="4"/>
  <c r="K1145" i="4"/>
  <c r="K1146" i="4"/>
  <c r="K1147" i="4"/>
  <c r="K1148" i="4"/>
  <c r="K1149" i="4"/>
  <c r="K1150" i="4"/>
  <c r="K1151" i="4"/>
  <c r="K1152" i="4"/>
  <c r="K1153" i="4"/>
  <c r="K1154" i="4"/>
  <c r="K1155" i="4"/>
  <c r="K1156" i="4"/>
  <c r="K1157" i="4"/>
  <c r="K1158" i="4"/>
  <c r="K1159" i="4"/>
  <c r="K1160" i="4"/>
  <c r="K1161" i="4"/>
  <c r="K1162" i="4"/>
  <c r="K1163" i="4"/>
  <c r="K1164" i="4"/>
  <c r="K1165" i="4"/>
  <c r="K1166" i="4"/>
  <c r="K1167" i="4"/>
  <c r="K1168" i="4"/>
  <c r="K1169" i="4"/>
  <c r="K1170" i="4"/>
  <c r="K1171" i="4"/>
  <c r="K1172" i="4"/>
  <c r="K1173" i="4"/>
  <c r="K1174" i="4"/>
  <c r="K1175" i="4"/>
  <c r="K1176" i="4"/>
  <c r="K1177" i="4"/>
  <c r="K1178" i="4"/>
  <c r="K1179" i="4"/>
  <c r="K1180" i="4"/>
  <c r="K1181" i="4"/>
  <c r="K1182" i="4"/>
  <c r="K1183" i="4"/>
  <c r="K1184" i="4"/>
  <c r="K1185" i="4"/>
  <c r="K1186" i="4"/>
  <c r="K1187" i="4"/>
  <c r="K1188" i="4"/>
  <c r="K1189" i="4"/>
  <c r="K1190" i="4"/>
  <c r="K1191" i="4"/>
  <c r="K1192" i="4"/>
  <c r="K1193" i="4"/>
  <c r="K1194" i="4"/>
  <c r="K1195" i="4"/>
  <c r="K1196" i="4"/>
  <c r="K1197" i="4"/>
  <c r="K1198" i="4"/>
  <c r="K1199" i="4"/>
  <c r="K1200" i="4"/>
  <c r="K1201" i="4"/>
  <c r="K1202" i="4"/>
  <c r="K1203" i="4"/>
  <c r="K1204" i="4"/>
  <c r="K1205" i="4"/>
  <c r="K1206" i="4"/>
  <c r="K1207" i="4"/>
  <c r="K1208" i="4"/>
  <c r="K1209" i="4"/>
  <c r="K1210" i="4"/>
  <c r="K1211" i="4"/>
  <c r="K1212" i="4"/>
  <c r="K1213" i="4"/>
  <c r="K1214" i="4"/>
  <c r="K1215" i="4"/>
  <c r="K1216" i="4"/>
  <c r="K1217" i="4"/>
  <c r="K1218" i="4"/>
  <c r="K1219" i="4"/>
  <c r="K1220" i="4"/>
  <c r="K1221" i="4"/>
  <c r="K1222" i="4"/>
  <c r="K1223" i="4"/>
  <c r="K1224" i="4"/>
  <c r="K1225" i="4"/>
  <c r="K1226" i="4"/>
  <c r="K1227" i="4"/>
  <c r="K1228" i="4"/>
  <c r="K1229" i="4"/>
  <c r="K1230" i="4"/>
  <c r="K1231" i="4"/>
  <c r="K1232" i="4"/>
  <c r="K1233" i="4"/>
  <c r="K1234" i="4"/>
  <c r="K1235" i="4"/>
  <c r="K1236" i="4"/>
  <c r="K1237" i="4"/>
  <c r="K1238" i="4"/>
  <c r="K1239" i="4"/>
  <c r="K1240" i="4"/>
  <c r="K1241" i="4"/>
  <c r="K1242" i="4"/>
  <c r="K1243" i="4"/>
  <c r="K1244" i="4"/>
  <c r="K1245" i="4"/>
  <c r="K1246" i="4"/>
  <c r="K1247" i="4"/>
  <c r="K1248" i="4"/>
  <c r="K1249" i="4"/>
  <c r="K1250" i="4"/>
  <c r="K1251" i="4"/>
  <c r="K1252" i="4"/>
  <c r="K1253" i="4"/>
  <c r="K1254" i="4"/>
  <c r="K1255" i="4"/>
  <c r="K1256" i="4"/>
  <c r="K1257" i="4"/>
  <c r="K1258" i="4"/>
  <c r="K1259" i="4"/>
  <c r="K1260" i="4"/>
  <c r="K1261" i="4"/>
  <c r="K1262" i="4"/>
  <c r="K1263" i="4"/>
  <c r="K1264" i="4"/>
  <c r="K1265" i="4"/>
  <c r="K1266" i="4"/>
  <c r="K1267" i="4"/>
  <c r="K1268" i="4"/>
  <c r="K1269" i="4"/>
  <c r="K1270" i="4"/>
  <c r="K1271" i="4"/>
  <c r="K1272" i="4"/>
  <c r="K1273" i="4"/>
  <c r="K1274" i="4"/>
  <c r="K1275" i="4"/>
  <c r="K1276" i="4"/>
  <c r="K1277" i="4"/>
  <c r="K1278" i="4"/>
  <c r="K1279" i="4"/>
  <c r="K1280" i="4"/>
  <c r="K1281" i="4"/>
  <c r="K1282" i="4"/>
  <c r="K1283" i="4"/>
  <c r="K1284" i="4"/>
  <c r="K1285" i="4"/>
  <c r="K1286" i="4"/>
  <c r="K1287" i="4"/>
  <c r="K1288" i="4"/>
  <c r="K1289" i="4"/>
  <c r="K1290" i="4"/>
  <c r="K1291" i="4"/>
  <c r="K1292" i="4"/>
  <c r="K1293" i="4"/>
  <c r="K1294" i="4"/>
  <c r="K1295" i="4"/>
  <c r="K1296" i="4"/>
  <c r="K1297" i="4"/>
  <c r="K1298" i="4"/>
  <c r="K1299" i="4"/>
  <c r="K1300" i="4"/>
  <c r="K1301" i="4"/>
  <c r="K1302" i="4"/>
  <c r="K1303" i="4"/>
  <c r="K1304" i="4"/>
  <c r="K1305" i="4"/>
  <c r="K1306" i="4"/>
  <c r="K1307" i="4"/>
  <c r="K1308" i="4"/>
  <c r="K1309" i="4"/>
  <c r="K1310" i="4"/>
  <c r="K1311" i="4"/>
  <c r="K1312" i="4"/>
  <c r="K1313" i="4"/>
  <c r="K1314" i="4"/>
  <c r="K1315" i="4"/>
  <c r="K1316" i="4"/>
  <c r="K1317" i="4"/>
  <c r="K1318" i="4"/>
  <c r="K1319" i="4"/>
  <c r="K1320" i="4"/>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K1365" i="4"/>
  <c r="K1366" i="4"/>
  <c r="K1367" i="4"/>
  <c r="K1368" i="4"/>
  <c r="K1369" i="4"/>
  <c r="K1370" i="4"/>
  <c r="K1371" i="4"/>
  <c r="K1372" i="4"/>
  <c r="K1373" i="4"/>
  <c r="K1374" i="4"/>
  <c r="K1375" i="4"/>
  <c r="K1376" i="4"/>
  <c r="K1377" i="4"/>
  <c r="K1378" i="4"/>
  <c r="K1379" i="4"/>
  <c r="K1380" i="4"/>
  <c r="K1381" i="4"/>
  <c r="K1382" i="4"/>
  <c r="K1383" i="4"/>
  <c r="K1384" i="4"/>
  <c r="K1385" i="4"/>
  <c r="K1386" i="4"/>
  <c r="K1387" i="4"/>
  <c r="K1388" i="4"/>
  <c r="K1389" i="4"/>
  <c r="K1390" i="4"/>
  <c r="K1391" i="4"/>
  <c r="K1392" i="4"/>
  <c r="K1393" i="4"/>
  <c r="K1394" i="4"/>
  <c r="K1395" i="4"/>
  <c r="K1396" i="4"/>
  <c r="K1397" i="4"/>
  <c r="K1398" i="4"/>
  <c r="K1399" i="4"/>
  <c r="K1400" i="4"/>
  <c r="K1401" i="4"/>
  <c r="K1402" i="4"/>
  <c r="K1403" i="4"/>
  <c r="K1404" i="4"/>
  <c r="K1405" i="4"/>
  <c r="K1406" i="4"/>
  <c r="K1407" i="4"/>
  <c r="K1408" i="4"/>
  <c r="K1409" i="4"/>
  <c r="K1410" i="4"/>
  <c r="K1411" i="4"/>
  <c r="K1412" i="4"/>
  <c r="K1413" i="4"/>
  <c r="K1414" i="4"/>
  <c r="K1415" i="4"/>
  <c r="K1416" i="4"/>
  <c r="K1417" i="4"/>
  <c r="K1418" i="4"/>
  <c r="K1419" i="4"/>
  <c r="K1420" i="4"/>
  <c r="K1421" i="4"/>
  <c r="K1422" i="4"/>
  <c r="K1423" i="4"/>
  <c r="K1424" i="4"/>
  <c r="K1425" i="4"/>
  <c r="K1426" i="4"/>
  <c r="K1427" i="4"/>
  <c r="K1428" i="4"/>
  <c r="K1429" i="4"/>
  <c r="K1430" i="4"/>
  <c r="K1431" i="4"/>
  <c r="K1432" i="4"/>
  <c r="K1433" i="4"/>
  <c r="K1434" i="4"/>
  <c r="K1435" i="4"/>
  <c r="K1436" i="4"/>
  <c r="K1437" i="4"/>
  <c r="K1438" i="4"/>
  <c r="K1439" i="4"/>
  <c r="K1440" i="4"/>
  <c r="K1441" i="4"/>
  <c r="K1442" i="4"/>
  <c r="K1443" i="4"/>
  <c r="K1444" i="4"/>
  <c r="K1445" i="4"/>
  <c r="K1446" i="4"/>
  <c r="K1447" i="4"/>
  <c r="K1448" i="4"/>
  <c r="K1449" i="4"/>
  <c r="K1450" i="4"/>
  <c r="K1451" i="4"/>
  <c r="K1452" i="4"/>
  <c r="K1453" i="4"/>
  <c r="K1454" i="4"/>
  <c r="K1455" i="4"/>
  <c r="K1456" i="4"/>
  <c r="K1457" i="4"/>
  <c r="K1458" i="4"/>
  <c r="K1459" i="4"/>
  <c r="K1460" i="4"/>
  <c r="K1461" i="4"/>
  <c r="K1462" i="4"/>
  <c r="K1463" i="4"/>
  <c r="K1464" i="4"/>
  <c r="K1465" i="4"/>
  <c r="K1466" i="4"/>
  <c r="K1467" i="4"/>
  <c r="K1468" i="4"/>
  <c r="K1469" i="4"/>
  <c r="K1470" i="4"/>
  <c r="K1471" i="4"/>
  <c r="K1472" i="4"/>
  <c r="K1473" i="4"/>
  <c r="K1474" i="4"/>
  <c r="K1475" i="4"/>
  <c r="K1476" i="4"/>
  <c r="K1477" i="4"/>
  <c r="K1478" i="4"/>
  <c r="K1479" i="4"/>
  <c r="K1480" i="4"/>
  <c r="K1481" i="4"/>
  <c r="K1482" i="4"/>
  <c r="K1483" i="4"/>
  <c r="K1484" i="4"/>
  <c r="K1485" i="4"/>
  <c r="K1486" i="4"/>
  <c r="K1487" i="4"/>
  <c r="K1488" i="4"/>
  <c r="K1489" i="4"/>
  <c r="K1490" i="4"/>
  <c r="K1491" i="4"/>
  <c r="K1492" i="4"/>
  <c r="K1493" i="4"/>
  <c r="K1494" i="4"/>
  <c r="K1495" i="4"/>
  <c r="K1496" i="4"/>
  <c r="K1497" i="4"/>
  <c r="K1498" i="4"/>
  <c r="K1499" i="4"/>
  <c r="K1500" i="4"/>
  <c r="K1501" i="4"/>
  <c r="K1509" i="4"/>
  <c r="K1510" i="4"/>
  <c r="K1511" i="4"/>
  <c r="K1515" i="4"/>
  <c r="K1516" i="4"/>
  <c r="K1517" i="4"/>
  <c r="K1518" i="4"/>
  <c r="K1519" i="4"/>
  <c r="K1520" i="4"/>
  <c r="K1521" i="4"/>
  <c r="K1522" i="4"/>
  <c r="K1523" i="4"/>
  <c r="K1524" i="4"/>
  <c r="K1525" i="4"/>
  <c r="K1526" i="4"/>
  <c r="K1527" i="4"/>
  <c r="K1528" i="4"/>
  <c r="K1529" i="4"/>
  <c r="K1530" i="4"/>
  <c r="K1531" i="4"/>
  <c r="K1532" i="4"/>
  <c r="K1533" i="4"/>
  <c r="K1537" i="4"/>
  <c r="K1538" i="4"/>
  <c r="K1539" i="4"/>
  <c r="K1540" i="4"/>
  <c r="K1541" i="4"/>
  <c r="K1542" i="4"/>
  <c r="K1543" i="4"/>
  <c r="K1544" i="4"/>
  <c r="K1545" i="4"/>
  <c r="K1546" i="4"/>
  <c r="K1547" i="4"/>
  <c r="K1548" i="4"/>
  <c r="K1549" i="4"/>
  <c r="K1550" i="4"/>
  <c r="K1551" i="4"/>
  <c r="K1552" i="4"/>
  <c r="K1553" i="4"/>
  <c r="K1554" i="4"/>
  <c r="K1555" i="4"/>
  <c r="K1556" i="4"/>
  <c r="K1557" i="4"/>
  <c r="K1558" i="4"/>
  <c r="K1559" i="4"/>
  <c r="K1560" i="4"/>
  <c r="K1561" i="4"/>
  <c r="K1562" i="4"/>
  <c r="K1563" i="4"/>
  <c r="K1564" i="4"/>
  <c r="K1565" i="4"/>
  <c r="K1566" i="4"/>
  <c r="K1567" i="4"/>
  <c r="K1568" i="4"/>
  <c r="K1569" i="4"/>
  <c r="K1570" i="4"/>
  <c r="K1571" i="4"/>
  <c r="K1572" i="4"/>
  <c r="K1573" i="4"/>
  <c r="K1574" i="4"/>
  <c r="K1575" i="4"/>
  <c r="K1576" i="4"/>
  <c r="K1577" i="4"/>
  <c r="K1578" i="4"/>
  <c r="K1579" i="4"/>
  <c r="K1580" i="4"/>
  <c r="K1581" i="4"/>
  <c r="K1582" i="4"/>
  <c r="K1583" i="4"/>
  <c r="K1584" i="4"/>
  <c r="K1585" i="4"/>
  <c r="K1586" i="4"/>
  <c r="K1587" i="4"/>
  <c r="K1588" i="4"/>
  <c r="K1589" i="4"/>
  <c r="K1590" i="4"/>
  <c r="K1591" i="4"/>
  <c r="K1592" i="4"/>
  <c r="K1593" i="4"/>
  <c r="K1594" i="4"/>
  <c r="K1595" i="4"/>
  <c r="K1596" i="4"/>
  <c r="K1597" i="4"/>
  <c r="K1598" i="4"/>
  <c r="K1599" i="4"/>
  <c r="K1600" i="4"/>
  <c r="K1601" i="4"/>
  <c r="K1602" i="4"/>
  <c r="K1603" i="4"/>
  <c r="K1604" i="4"/>
  <c r="K1605" i="4"/>
  <c r="K1606" i="4"/>
  <c r="K1607" i="4"/>
  <c r="K1608" i="4"/>
  <c r="K1609" i="4"/>
  <c r="K1610" i="4"/>
  <c r="K1611" i="4"/>
  <c r="K1612" i="4"/>
  <c r="K1613" i="4"/>
  <c r="K1614" i="4"/>
  <c r="K1615" i="4"/>
  <c r="K1616" i="4"/>
  <c r="K1617" i="4"/>
  <c r="K1618" i="4"/>
  <c r="K1619" i="4"/>
  <c r="K1620" i="4"/>
  <c r="K1621" i="4"/>
  <c r="K1622" i="4"/>
  <c r="K1623" i="4"/>
  <c r="K1624" i="4"/>
  <c r="K1625" i="4"/>
  <c r="K1626" i="4"/>
  <c r="K1627" i="4"/>
  <c r="K1628" i="4"/>
  <c r="K1629" i="4"/>
  <c r="K1630" i="4"/>
  <c r="K1631" i="4"/>
  <c r="K1632" i="4"/>
  <c r="K1633" i="4"/>
  <c r="K1634" i="4"/>
  <c r="K1635" i="4"/>
  <c r="K1636" i="4"/>
  <c r="K1637" i="4"/>
  <c r="K1638" i="4"/>
  <c r="K1639" i="4"/>
  <c r="K1640" i="4"/>
  <c r="K1641" i="4"/>
  <c r="K1642" i="4"/>
  <c r="K1643" i="4"/>
  <c r="K1644" i="4"/>
  <c r="K1645" i="4"/>
  <c r="K1646" i="4"/>
  <c r="K1647" i="4"/>
  <c r="K1648" i="4"/>
  <c r="K1649" i="4"/>
  <c r="K1650" i="4"/>
  <c r="K1651" i="4"/>
  <c r="K1652" i="4"/>
  <c r="K1653" i="4"/>
  <c r="K1654" i="4"/>
  <c r="K1655" i="4"/>
  <c r="K1656" i="4"/>
  <c r="K1657" i="4"/>
  <c r="K1658" i="4"/>
  <c r="K1659" i="4"/>
  <c r="K1660" i="4"/>
  <c r="K1661" i="4"/>
  <c r="K1662" i="4"/>
  <c r="K1663" i="4"/>
  <c r="K1664" i="4"/>
  <c r="K1665" i="4"/>
  <c r="K1666" i="4"/>
  <c r="K1667" i="4"/>
  <c r="K1668" i="4"/>
  <c r="K1669" i="4"/>
  <c r="K1670" i="4"/>
  <c r="K1671" i="4"/>
  <c r="K1672" i="4"/>
  <c r="K1673" i="4"/>
  <c r="K1674" i="4"/>
  <c r="K1675" i="4"/>
  <c r="K1676" i="4"/>
  <c r="K1677" i="4"/>
  <c r="K1678" i="4"/>
  <c r="K1679" i="4"/>
  <c r="K1680" i="4"/>
  <c r="K1681" i="4"/>
  <c r="K1682" i="4"/>
  <c r="K129" i="4"/>
  <c r="K130" i="4"/>
  <c r="K131" i="4"/>
  <c r="K132" i="4"/>
  <c r="K133" i="4"/>
  <c r="K134" i="4"/>
  <c r="K135" i="4"/>
  <c r="K136" i="4"/>
  <c r="K137" i="4"/>
  <c r="K138" i="4"/>
  <c r="K139" i="4"/>
  <c r="K140" i="4"/>
  <c r="K2" i="4"/>
  <c r="H1857" i="2"/>
  <c r="H1858" i="2" s="1"/>
  <c r="H1859" i="2" s="1"/>
  <c r="H1860" i="2" s="1"/>
  <c r="H1861" i="2" s="1"/>
  <c r="H1862" i="2" s="1"/>
  <c r="H1863" i="2" s="1"/>
  <c r="H1864" i="2" s="1"/>
  <c r="H1865" i="2" s="1"/>
  <c r="H1866" i="2" s="1"/>
  <c r="H1867" i="2" s="1"/>
  <c r="H1868" i="2" s="1"/>
  <c r="H1869" i="2" s="1"/>
  <c r="H1870" i="2" s="1"/>
  <c r="H1871" i="2" s="1"/>
  <c r="H1872" i="2" s="1"/>
  <c r="H1873" i="2" s="1"/>
  <c r="H1874" i="2" s="1"/>
  <c r="H1875" i="2" s="1"/>
  <c r="H1876" i="2" s="1"/>
  <c r="H1877" i="2" s="1"/>
  <c r="H1878" i="2" s="1"/>
  <c r="H1879" i="2" s="1"/>
  <c r="H1880" i="2" s="1"/>
  <c r="H1881" i="2" s="1"/>
  <c r="H1882" i="2" s="1"/>
  <c r="H1883" i="2" s="1"/>
  <c r="O3" i="2"/>
  <c r="O2" i="2"/>
  <c r="J1410" i="4"/>
  <c r="I1410" i="4"/>
  <c r="H1352" i="2" l="1"/>
  <c r="H1353" i="2" s="1"/>
  <c r="H1354" i="2" s="1"/>
  <c r="H1355" i="2" s="1"/>
  <c r="H1356" i="2" s="1"/>
  <c r="H1357" i="2" s="1"/>
  <c r="H1358" i="2" s="1"/>
  <c r="H1359" i="2" s="1"/>
  <c r="H1360" i="2" s="1"/>
  <c r="H1361" i="2" s="1"/>
  <c r="H1362" i="2" s="1"/>
  <c r="H1363" i="2" s="1"/>
  <c r="H1364" i="2" s="1"/>
  <c r="H1365" i="2" s="1"/>
  <c r="H1366" i="2" s="1"/>
  <c r="H1367" i="2" s="1"/>
  <c r="H1368" i="2" s="1"/>
  <c r="H1369" i="2" s="1"/>
  <c r="H1370" i="2" s="1"/>
  <c r="H1371" i="2" s="1"/>
  <c r="H1372" i="2" s="1"/>
  <c r="H1373" i="2" s="1"/>
  <c r="H1374" i="2" s="1"/>
  <c r="H1375" i="2" s="1"/>
  <c r="H1376" i="2" s="1"/>
  <c r="H1377" i="2" s="1"/>
  <c r="H1378" i="2" s="1"/>
  <c r="H1379" i="2" s="1"/>
  <c r="H1380" i="2" s="1"/>
  <c r="H1381" i="2" s="1"/>
  <c r="H1382" i="2" s="1"/>
  <c r="H1383" i="2" s="1"/>
  <c r="H1384" i="2" s="1"/>
  <c r="H1385" i="2" s="1"/>
  <c r="H1386" i="2" s="1"/>
  <c r="H1387" i="2" s="1"/>
  <c r="H1388" i="2" s="1"/>
  <c r="H1389" i="2" s="1"/>
  <c r="H1390" i="2" s="1"/>
  <c r="H1391" i="2" s="1"/>
  <c r="H1392" i="2" s="1"/>
  <c r="H1393" i="2" s="1"/>
  <c r="H1394" i="2" s="1"/>
  <c r="H1395" i="2" s="1"/>
  <c r="H1396" i="2" s="1"/>
  <c r="H1397" i="2" s="1"/>
  <c r="H1398" i="2" s="1"/>
  <c r="H1399" i="2" s="1"/>
  <c r="H1400" i="2" s="1"/>
  <c r="H1401" i="2" s="1"/>
  <c r="H1402" i="2" s="1"/>
  <c r="H1403" i="2" s="1"/>
  <c r="H1404" i="2" s="1"/>
  <c r="H1405" i="2" s="1"/>
  <c r="H1406" i="2" s="1"/>
  <c r="H1407" i="2" s="1"/>
  <c r="H1408" i="2" s="1"/>
  <c r="H1409" i="2" s="1"/>
  <c r="H1410" i="2" s="1"/>
  <c r="H1411" i="2" s="1"/>
  <c r="H1412" i="2" s="1"/>
  <c r="P2" i="2"/>
  <c r="H3015" i="2"/>
  <c r="H2351" i="2"/>
  <c r="H2352" i="2" s="1"/>
  <c r="H2353" i="2" s="1"/>
  <c r="H2354" i="2" s="1"/>
  <c r="H2355" i="2" s="1"/>
  <c r="H2356" i="2" s="1"/>
  <c r="H2357" i="2" s="1"/>
  <c r="H2358" i="2" s="1"/>
  <c r="H2359" i="2" s="1"/>
  <c r="H2360" i="2" s="1"/>
  <c r="H2361" i="2" s="1"/>
  <c r="H2362" i="2" s="1"/>
  <c r="H2363" i="2" s="1"/>
  <c r="H2364" i="2" s="1"/>
  <c r="H2365" i="2" s="1"/>
  <c r="H2366" i="2" s="1"/>
  <c r="H2367" i="2" s="1"/>
  <c r="H2368" i="2" s="1"/>
  <c r="H2369" i="2" s="1"/>
  <c r="H2370" i="2" s="1"/>
  <c r="H2371" i="2" s="1"/>
  <c r="H2345" i="2"/>
  <c r="H2292" i="2"/>
  <c r="H2268" i="2"/>
  <c r="H2269" i="2" s="1"/>
  <c r="H2270" i="2" s="1"/>
  <c r="H2271" i="2" s="1"/>
  <c r="H2272" i="2" s="1"/>
  <c r="H2273" i="2" s="1"/>
  <c r="H2274" i="2" s="1"/>
  <c r="H2275" i="2" s="1"/>
  <c r="H2276" i="2" s="1"/>
  <c r="H2277" i="2" s="1"/>
  <c r="H2278" i="2" s="1"/>
  <c r="H2279" i="2" s="1"/>
  <c r="H2280" i="2" s="1"/>
  <c r="H2281" i="2" s="1"/>
  <c r="H2282" i="2" s="1"/>
  <c r="H2283" i="2" s="1"/>
  <c r="H2284" i="2" s="1"/>
  <c r="H2285" i="2" s="1"/>
  <c r="H2286" i="2" s="1"/>
  <c r="H2287" i="2" s="1"/>
  <c r="H2288" i="2" s="1"/>
  <c r="H2289" i="2" s="1"/>
  <c r="H2290" i="2" s="1"/>
  <c r="H2006" i="2"/>
  <c r="H2007" i="2" s="1"/>
  <c r="H2008" i="2" s="1"/>
  <c r="H2009" i="2" s="1"/>
  <c r="H2010" i="2" s="1"/>
  <c r="H2011" i="2" s="1"/>
  <c r="H2012" i="2" s="1"/>
  <c r="H2013" i="2" s="1"/>
  <c r="H2014" i="2" s="1"/>
  <c r="H2015" i="2" s="1"/>
  <c r="H2016" i="2" s="1"/>
  <c r="H2017" i="2" s="1"/>
  <c r="H2018" i="2" s="1"/>
  <c r="H2019" i="2" s="1"/>
  <c r="H2020" i="2" s="1"/>
  <c r="H2021" i="2" s="1"/>
  <c r="H2022" i="2" s="1"/>
  <c r="H2023" i="2" s="1"/>
  <c r="H2024" i="2" s="1"/>
  <c r="H2025" i="2" s="1"/>
  <c r="H2026" i="2" s="1"/>
  <c r="H1885" i="2"/>
  <c r="H1886" i="2" s="1"/>
  <c r="H1887" i="2" s="1"/>
  <c r="H1888" i="2" s="1"/>
  <c r="H1889" i="2" s="1"/>
  <c r="H1890" i="2" s="1"/>
  <c r="H1891" i="2" s="1"/>
  <c r="H1892" i="2" s="1"/>
  <c r="H1893" i="2" s="1"/>
  <c r="H1894" i="2" s="1"/>
  <c r="H1895" i="2" s="1"/>
  <c r="H1896" i="2" s="1"/>
  <c r="H1897" i="2" s="1"/>
  <c r="H1898" i="2" s="1"/>
  <c r="H1899" i="2" s="1"/>
  <c r="H1900" i="2" s="1"/>
  <c r="H1901" i="2" s="1"/>
  <c r="H1902" i="2" s="1"/>
  <c r="H1903" i="2" s="1"/>
  <c r="H1904" i="2" s="1"/>
  <c r="H1905" i="2" s="1"/>
  <c r="H1906" i="2" s="1"/>
  <c r="H1907" i="2" s="1"/>
  <c r="H1908" i="2" s="1"/>
  <c r="H1909" i="2" s="1"/>
  <c r="H1910" i="2" s="1"/>
  <c r="H1911" i="2" s="1"/>
  <c r="H1834" i="2"/>
  <c r="H1835" i="2" s="1"/>
  <c r="H1836" i="2" s="1"/>
  <c r="H1837" i="2" s="1"/>
  <c r="H1838" i="2" s="1"/>
  <c r="H1839" i="2" s="1"/>
  <c r="H1840" i="2" s="1"/>
  <c r="H1841" i="2" s="1"/>
  <c r="H1842" i="2" s="1"/>
  <c r="H1843" i="2" s="1"/>
  <c r="H1844" i="2" s="1"/>
  <c r="H1845" i="2" s="1"/>
  <c r="H1846" i="2" s="1"/>
  <c r="H1847" i="2" s="1"/>
  <c r="H1848" i="2" s="1"/>
  <c r="H1849" i="2" s="1"/>
  <c r="H1850" i="2" s="1"/>
  <c r="H1851" i="2" s="1"/>
  <c r="H1852" i="2" s="1"/>
  <c r="H1853" i="2" s="1"/>
  <c r="H1854" i="2" s="1"/>
  <c r="H1855" i="2" s="1"/>
  <c r="H2346" i="2" l="1"/>
  <c r="H2293" i="2"/>
  <c r="H3016" i="2"/>
  <c r="I1219" i="4"/>
  <c r="I1217" i="4"/>
  <c r="I1218" i="4"/>
  <c r="I159" i="4"/>
  <c r="I158" i="4"/>
  <c r="I157" i="4"/>
  <c r="I156" i="4"/>
  <c r="I154" i="4"/>
  <c r="I155" i="4"/>
  <c r="I165" i="4"/>
  <c r="I163" i="4"/>
  <c r="I164" i="4"/>
  <c r="I162" i="4"/>
  <c r="I161" i="4"/>
  <c r="I160" i="4"/>
  <c r="I153" i="4"/>
  <c r="I152" i="4"/>
  <c r="I151" i="4"/>
  <c r="I1682" i="4"/>
  <c r="I1681" i="4"/>
  <c r="I1680" i="4"/>
  <c r="I1679" i="4"/>
  <c r="I1678" i="4"/>
  <c r="I1677" i="4"/>
  <c r="I1676" i="4"/>
  <c r="I1675" i="4"/>
  <c r="I1674" i="4"/>
  <c r="I1673" i="4"/>
  <c r="I1672" i="4"/>
  <c r="I1671" i="4"/>
  <c r="I1670" i="4"/>
  <c r="I1669" i="4"/>
  <c r="I1668" i="4"/>
  <c r="I1667" i="4"/>
  <c r="I1666" i="4"/>
  <c r="I1665" i="4"/>
  <c r="I1664" i="4"/>
  <c r="I1663" i="4"/>
  <c r="I1662" i="4"/>
  <c r="I1661" i="4"/>
  <c r="I1660" i="4"/>
  <c r="I1659" i="4"/>
  <c r="I1658" i="4"/>
  <c r="I1657" i="4"/>
  <c r="I1656" i="4"/>
  <c r="I1655" i="4"/>
  <c r="I1654" i="4"/>
  <c r="I1653" i="4"/>
  <c r="I1652" i="4"/>
  <c r="I1651" i="4"/>
  <c r="I1650" i="4"/>
  <c r="I1649" i="4"/>
  <c r="I1648" i="4"/>
  <c r="I1647" i="4"/>
  <c r="I1646" i="4"/>
  <c r="I1645" i="4"/>
  <c r="I1644" i="4"/>
  <c r="I1643" i="4"/>
  <c r="I1642" i="4"/>
  <c r="I1641" i="4"/>
  <c r="I1640" i="4"/>
  <c r="I1639" i="4"/>
  <c r="I1638" i="4"/>
  <c r="I1637" i="4"/>
  <c r="I1636" i="4"/>
  <c r="I1635" i="4"/>
  <c r="I1634" i="4"/>
  <c r="I1633" i="4"/>
  <c r="I1632" i="4"/>
  <c r="I1631" i="4"/>
  <c r="I1630" i="4"/>
  <c r="I1629" i="4"/>
  <c r="I1628" i="4"/>
  <c r="I1627" i="4"/>
  <c r="I1626" i="4"/>
  <c r="I1625" i="4"/>
  <c r="I1624" i="4"/>
  <c r="I1623" i="4"/>
  <c r="I1622" i="4"/>
  <c r="I1621" i="4"/>
  <c r="I1620" i="4"/>
  <c r="I1619" i="4"/>
  <c r="I1618" i="4"/>
  <c r="I1617" i="4"/>
  <c r="I1616" i="4"/>
  <c r="I1615" i="4"/>
  <c r="I1614" i="4"/>
  <c r="I1613" i="4"/>
  <c r="I1612" i="4"/>
  <c r="I1611" i="4"/>
  <c r="I1610" i="4"/>
  <c r="I1609" i="4"/>
  <c r="I1608" i="4"/>
  <c r="I1607" i="4"/>
  <c r="I1606" i="4"/>
  <c r="I1605" i="4"/>
  <c r="I1604" i="4"/>
  <c r="I1603" i="4"/>
  <c r="I1602" i="4"/>
  <c r="I1601" i="4"/>
  <c r="I1600" i="4"/>
  <c r="I1599" i="4"/>
  <c r="I1598" i="4"/>
  <c r="I1597" i="4"/>
  <c r="I1596" i="4"/>
  <c r="I1595" i="4"/>
  <c r="I1594" i="4"/>
  <c r="I1593" i="4"/>
  <c r="I1592" i="4"/>
  <c r="I1591" i="4"/>
  <c r="I1590" i="4"/>
  <c r="I1589" i="4"/>
  <c r="I1588" i="4"/>
  <c r="I1587" i="4"/>
  <c r="I1586" i="4"/>
  <c r="I1585" i="4"/>
  <c r="I1584" i="4"/>
  <c r="I1583" i="4"/>
  <c r="I1582" i="4"/>
  <c r="I1581" i="4"/>
  <c r="I1580" i="4"/>
  <c r="I1579" i="4"/>
  <c r="I1578" i="4"/>
  <c r="I1577" i="4"/>
  <c r="I1576" i="4"/>
  <c r="I1575" i="4"/>
  <c r="I1574" i="4"/>
  <c r="I1573" i="4"/>
  <c r="I1572" i="4"/>
  <c r="I1571" i="4"/>
  <c r="I1570" i="4"/>
  <c r="I1569" i="4"/>
  <c r="I1568" i="4"/>
  <c r="I1567" i="4"/>
  <c r="I1566" i="4"/>
  <c r="I1565" i="4"/>
  <c r="I1564" i="4"/>
  <c r="I1563" i="4"/>
  <c r="I1562" i="4"/>
  <c r="I1561" i="4"/>
  <c r="I1560" i="4"/>
  <c r="I1559" i="4"/>
  <c r="I1558" i="4"/>
  <c r="I1557" i="4"/>
  <c r="I1556" i="4"/>
  <c r="I1555" i="4"/>
  <c r="I1554" i="4"/>
  <c r="I1553" i="4"/>
  <c r="I1552" i="4"/>
  <c r="I1551" i="4"/>
  <c r="I1550" i="4"/>
  <c r="I1549" i="4"/>
  <c r="I1548" i="4"/>
  <c r="I1547" i="4"/>
  <c r="I1546" i="4"/>
  <c r="I1545" i="4"/>
  <c r="I1544" i="4"/>
  <c r="I1543" i="4"/>
  <c r="I1542" i="4"/>
  <c r="I1541" i="4"/>
  <c r="I1540" i="4"/>
  <c r="I1539" i="4"/>
  <c r="I1538" i="4"/>
  <c r="I1537" i="4"/>
  <c r="I1533" i="4"/>
  <c r="I1532" i="4"/>
  <c r="I1531" i="4"/>
  <c r="I1530" i="4"/>
  <c r="I1529" i="4"/>
  <c r="I1528" i="4"/>
  <c r="I1527" i="4"/>
  <c r="I1526" i="4"/>
  <c r="I1525" i="4"/>
  <c r="I1524" i="4"/>
  <c r="I1523" i="4"/>
  <c r="I1522" i="4"/>
  <c r="I1521" i="4"/>
  <c r="I1520" i="4"/>
  <c r="I1519" i="4"/>
  <c r="I1518" i="4"/>
  <c r="I1501" i="4"/>
  <c r="I1500" i="4"/>
  <c r="I1499" i="4"/>
  <c r="I1498" i="4"/>
  <c r="I1497" i="4"/>
  <c r="I1496" i="4"/>
  <c r="I1495" i="4"/>
  <c r="I1494" i="4"/>
  <c r="I1493" i="4"/>
  <c r="I1492" i="4"/>
  <c r="I1491" i="4"/>
  <c r="I1490" i="4"/>
  <c r="I1489" i="4"/>
  <c r="I1488" i="4"/>
  <c r="I1487" i="4"/>
  <c r="I1486" i="4"/>
  <c r="I1485" i="4"/>
  <c r="I1484" i="4"/>
  <c r="I1483" i="4"/>
  <c r="I1482" i="4"/>
  <c r="I1481" i="4"/>
  <c r="I1480" i="4"/>
  <c r="I1479" i="4"/>
  <c r="I1478" i="4"/>
  <c r="I1457" i="4"/>
  <c r="I1456" i="4"/>
  <c r="I1455" i="4"/>
  <c r="I1454" i="4"/>
  <c r="I1453" i="4"/>
  <c r="I1452" i="4"/>
  <c r="I1448" i="4"/>
  <c r="I1447" i="4"/>
  <c r="I1446" i="4"/>
  <c r="I1445" i="4"/>
  <c r="I1444" i="4"/>
  <c r="I1443" i="4"/>
  <c r="I1442" i="4"/>
  <c r="I1441" i="4"/>
  <c r="I1432" i="4"/>
  <c r="I1431" i="4"/>
  <c r="I1430" i="4"/>
  <c r="I1429" i="4"/>
  <c r="I1428" i="4"/>
  <c r="I1427" i="4"/>
  <c r="I1426" i="4"/>
  <c r="I1425" i="4"/>
  <c r="I1424" i="4"/>
  <c r="I1423" i="4"/>
  <c r="I1422" i="4"/>
  <c r="I1421" i="4"/>
  <c r="I1420" i="4"/>
  <c r="I1419" i="4"/>
  <c r="I1418" i="4"/>
  <c r="I1417" i="4"/>
  <c r="I1416" i="4"/>
  <c r="I1415" i="4"/>
  <c r="I1414" i="4"/>
  <c r="I1413" i="4"/>
  <c r="I1412" i="4"/>
  <c r="I1411" i="4"/>
  <c r="I1409" i="4"/>
  <c r="I1408" i="4"/>
  <c r="I1407" i="4"/>
  <c r="I1406" i="4"/>
  <c r="I1405" i="4"/>
  <c r="I1404" i="4"/>
  <c r="I1403" i="4"/>
  <c r="I1402" i="4"/>
  <c r="I1401" i="4"/>
  <c r="I1400" i="4"/>
  <c r="I1398" i="4"/>
  <c r="I1399" i="4"/>
  <c r="I1397" i="4"/>
  <c r="I1396" i="4"/>
  <c r="I1395" i="4"/>
  <c r="I1394" i="4"/>
  <c r="I1393" i="4"/>
  <c r="I1392" i="4"/>
  <c r="I1391" i="4"/>
  <c r="I1387" i="4"/>
  <c r="I1386" i="4"/>
  <c r="I1385" i="4"/>
  <c r="I1384" i="4"/>
  <c r="I1371" i="4"/>
  <c r="I1372" i="4"/>
  <c r="I1370" i="4"/>
  <c r="I1369" i="4"/>
  <c r="I1368" i="4"/>
  <c r="I1367" i="4"/>
  <c r="I1366" i="4"/>
  <c r="I1365" i="4"/>
  <c r="I1364" i="4"/>
  <c r="I1363" i="4"/>
  <c r="I1362" i="4"/>
  <c r="I1361" i="4"/>
  <c r="I1360" i="4"/>
  <c r="I1359" i="4"/>
  <c r="I1358" i="4"/>
  <c r="I1352" i="4"/>
  <c r="I1351" i="4"/>
  <c r="I1350" i="4"/>
  <c r="I1349" i="4"/>
  <c r="I1348" i="4"/>
  <c r="I1347" i="4"/>
  <c r="I1346" i="4"/>
  <c r="I1345" i="4"/>
  <c r="I1344" i="4"/>
  <c r="I1343" i="4"/>
  <c r="I1342" i="4"/>
  <c r="I1341" i="4"/>
  <c r="I1340" i="4"/>
  <c r="I1339" i="4"/>
  <c r="I1338" i="4"/>
  <c r="I1337" i="4"/>
  <c r="I1336" i="4"/>
  <c r="I1335" i="4"/>
  <c r="I1334" i="4"/>
  <c r="I1333" i="4"/>
  <c r="I1332" i="4"/>
  <c r="I1331" i="4"/>
  <c r="I1330" i="4"/>
  <c r="I1329" i="4"/>
  <c r="I1328" i="4"/>
  <c r="I1327" i="4"/>
  <c r="I1326" i="4"/>
  <c r="I1325" i="4"/>
  <c r="I1324" i="4"/>
  <c r="I1323" i="4"/>
  <c r="I1322" i="4"/>
  <c r="I1321" i="4"/>
  <c r="I1320" i="4"/>
  <c r="I1319" i="4"/>
  <c r="I1318" i="4"/>
  <c r="I1317" i="4"/>
  <c r="I1316" i="4"/>
  <c r="I1315" i="4"/>
  <c r="I1314" i="4"/>
  <c r="I1313" i="4"/>
  <c r="I1312" i="4"/>
  <c r="I1311" i="4"/>
  <c r="I1310" i="4"/>
  <c r="I1309" i="4"/>
  <c r="I1308" i="4"/>
  <c r="I1307" i="4"/>
  <c r="I1306" i="4"/>
  <c r="I1305" i="4"/>
  <c r="I1304" i="4"/>
  <c r="I1303" i="4"/>
  <c r="I1302" i="4"/>
  <c r="I1301" i="4"/>
  <c r="I1300" i="4"/>
  <c r="I1299" i="4"/>
  <c r="I1298" i="4"/>
  <c r="I1297" i="4"/>
  <c r="I1296" i="4"/>
  <c r="I1295" i="4"/>
  <c r="I1294" i="4"/>
  <c r="I1293" i="4"/>
  <c r="I1292" i="4"/>
  <c r="I1291" i="4"/>
  <c r="I1290" i="4"/>
  <c r="I1289" i="4"/>
  <c r="I1288" i="4"/>
  <c r="I1287" i="4"/>
  <c r="I1286" i="4"/>
  <c r="I1285" i="4"/>
  <c r="I1284" i="4"/>
  <c r="I1283" i="4"/>
  <c r="I1282" i="4"/>
  <c r="I1281" i="4"/>
  <c r="I1280" i="4"/>
  <c r="I1279" i="4"/>
  <c r="I1278" i="4"/>
  <c r="I1277" i="4"/>
  <c r="I1276" i="4"/>
  <c r="I1275" i="4"/>
  <c r="I1274" i="4"/>
  <c r="I1273" i="4"/>
  <c r="I1272" i="4"/>
  <c r="I1271" i="4"/>
  <c r="I1270" i="4"/>
  <c r="I1269" i="4"/>
  <c r="I1268" i="4"/>
  <c r="I1267" i="4"/>
  <c r="I1266" i="4"/>
  <c r="I1265" i="4"/>
  <c r="I1263" i="4"/>
  <c r="I1261" i="4"/>
  <c r="I1264" i="4"/>
  <c r="I1262" i="4"/>
  <c r="I1260" i="4"/>
  <c r="I1259" i="4"/>
  <c r="I1258" i="4"/>
  <c r="I1257" i="4"/>
  <c r="I1256" i="4"/>
  <c r="I1255" i="4"/>
  <c r="I1254" i="4"/>
  <c r="I1253" i="4"/>
  <c r="I1252" i="4"/>
  <c r="I1251" i="4"/>
  <c r="I1250" i="4"/>
  <c r="I1249" i="4"/>
  <c r="I1248" i="4"/>
  <c r="I1247" i="4"/>
  <c r="I1246" i="4"/>
  <c r="I1245" i="4"/>
  <c r="I1244" i="4"/>
  <c r="I1243" i="4"/>
  <c r="I1242" i="4"/>
  <c r="I1241" i="4"/>
  <c r="I1240" i="4"/>
  <c r="I1239" i="4"/>
  <c r="I1238" i="4"/>
  <c r="I1237" i="4"/>
  <c r="I1236" i="4"/>
  <c r="I1235" i="4"/>
  <c r="I1234" i="4"/>
  <c r="I1233" i="4"/>
  <c r="I1232" i="4"/>
  <c r="I1231" i="4"/>
  <c r="I1230" i="4"/>
  <c r="I1229" i="4"/>
  <c r="I1228" i="4"/>
  <c r="I1227" i="4"/>
  <c r="I1226" i="4"/>
  <c r="I1225" i="4"/>
  <c r="I1224" i="4"/>
  <c r="I1223" i="4"/>
  <c r="I1222" i="4"/>
  <c r="I1221" i="4"/>
  <c r="I1220" i="4"/>
  <c r="I1216" i="4"/>
  <c r="I1215" i="4"/>
  <c r="I1206" i="4"/>
  <c r="I1205" i="4"/>
  <c r="I1204" i="4"/>
  <c r="I1203" i="4"/>
  <c r="I1198" i="4"/>
  <c r="I1197" i="4"/>
  <c r="I1196" i="4"/>
  <c r="I1195" i="4"/>
  <c r="I1194" i="4"/>
  <c r="I1193" i="4"/>
  <c r="I1192" i="4"/>
  <c r="I1191" i="4"/>
  <c r="I1190" i="4"/>
  <c r="I1189" i="4"/>
  <c r="I1187" i="4"/>
  <c r="I1186" i="4"/>
  <c r="I1185" i="4"/>
  <c r="I1184" i="4"/>
  <c r="I1183" i="4"/>
  <c r="I1182" i="4"/>
  <c r="I1181" i="4"/>
  <c r="I1180" i="4"/>
  <c r="I1179" i="4"/>
  <c r="I1178" i="4"/>
  <c r="I1177" i="4"/>
  <c r="I1176" i="4"/>
  <c r="I1175" i="4"/>
  <c r="I1174" i="4"/>
  <c r="I1173" i="4"/>
  <c r="I1172" i="4"/>
  <c r="I1171" i="4"/>
  <c r="I1170" i="4"/>
  <c r="I1169" i="4"/>
  <c r="I1168" i="4"/>
  <c r="I1167" i="4"/>
  <c r="I1166" i="4"/>
  <c r="I1165" i="4"/>
  <c r="I1164" i="4"/>
  <c r="I1163" i="4"/>
  <c r="I1162" i="4"/>
  <c r="I1161" i="4"/>
  <c r="I1160" i="4"/>
  <c r="I1159" i="4"/>
  <c r="I1158" i="4"/>
  <c r="I1157" i="4"/>
  <c r="I1156" i="4"/>
  <c r="I1155" i="4"/>
  <c r="I1154" i="4"/>
  <c r="I1153" i="4"/>
  <c r="I1142" i="4"/>
  <c r="I1141" i="4"/>
  <c r="I1140" i="4"/>
  <c r="I1139" i="4"/>
  <c r="I1138" i="4"/>
  <c r="I1116" i="4"/>
  <c r="I1115" i="4"/>
  <c r="I1090" i="4"/>
  <c r="I1089" i="4"/>
  <c r="I1057" i="4"/>
  <c r="I1056" i="4"/>
  <c r="I1055" i="4"/>
  <c r="I1054" i="4"/>
  <c r="I1045" i="4"/>
  <c r="I1044" i="4"/>
  <c r="I1043" i="4"/>
  <c r="I1042" i="4"/>
  <c r="I1041" i="4"/>
  <c r="I1040" i="4"/>
  <c r="I1039" i="4"/>
  <c r="I1038" i="4"/>
  <c r="I1037" i="4"/>
  <c r="I1036" i="4"/>
  <c r="I1035" i="4"/>
  <c r="I1034" i="4"/>
  <c r="I1033" i="4"/>
  <c r="I1032" i="4"/>
  <c r="I1031" i="4"/>
  <c r="I1030" i="4"/>
  <c r="I1029" i="4"/>
  <c r="I1026" i="4"/>
  <c r="I1025" i="4"/>
  <c r="I1024" i="4"/>
  <c r="I1023" i="4"/>
  <c r="I1022" i="4"/>
  <c r="I1013" i="4"/>
  <c r="I1012" i="4"/>
  <c r="I1011" i="4"/>
  <c r="I1010" i="4"/>
  <c r="I1009" i="4"/>
  <c r="I1008" i="4"/>
  <c r="I1007" i="4"/>
  <c r="I1006" i="4"/>
  <c r="I1005" i="4"/>
  <c r="I1004" i="4"/>
  <c r="I1003" i="4"/>
  <c r="I1002" i="4"/>
  <c r="I1001" i="4"/>
  <c r="I1000" i="4"/>
  <c r="I999" i="4"/>
  <c r="I998" i="4"/>
  <c r="I997" i="4"/>
  <c r="I996" i="4"/>
  <c r="I995" i="4"/>
  <c r="I994" i="4"/>
  <c r="I993" i="4"/>
  <c r="I992" i="4"/>
  <c r="I991" i="4"/>
  <c r="I990" i="4"/>
  <c r="I989" i="4"/>
  <c r="I988" i="4"/>
  <c r="I987" i="4"/>
  <c r="I986" i="4"/>
  <c r="I985" i="4"/>
  <c r="I984" i="4"/>
  <c r="I983" i="4"/>
  <c r="I982" i="4"/>
  <c r="I981" i="4"/>
  <c r="I980" i="4"/>
  <c r="I979" i="4"/>
  <c r="I978" i="4"/>
  <c r="I977" i="4"/>
  <c r="I976" i="4"/>
  <c r="I975" i="4"/>
  <c r="I686" i="4"/>
  <c r="I685" i="4"/>
  <c r="I684" i="4"/>
  <c r="I683" i="4"/>
  <c r="I419" i="4"/>
  <c r="I418" i="4"/>
  <c r="I417" i="4"/>
  <c r="I416" i="4"/>
  <c r="I415" i="4"/>
  <c r="I414" i="4"/>
  <c r="I413" i="4"/>
  <c r="I412" i="4"/>
  <c r="I411" i="4"/>
  <c r="I410" i="4"/>
  <c r="I409" i="4"/>
  <c r="I408" i="4"/>
  <c r="I407" i="4"/>
  <c r="I406" i="4"/>
  <c r="I405" i="4"/>
  <c r="I404" i="4"/>
  <c r="I403" i="4"/>
  <c r="I402" i="4"/>
  <c r="I401" i="4"/>
  <c r="I400" i="4"/>
  <c r="I399" i="4"/>
  <c r="I398" i="4"/>
  <c r="I397" i="4"/>
  <c r="I396" i="4"/>
  <c r="I395" i="4"/>
  <c r="I394" i="4"/>
  <c r="I393" i="4"/>
  <c r="I392" i="4"/>
  <c r="I391" i="4"/>
  <c r="I390" i="4"/>
  <c r="I389" i="4"/>
  <c r="I388" i="4"/>
  <c r="I387" i="4"/>
  <c r="I386" i="4"/>
  <c r="I385" i="4"/>
  <c r="I384" i="4"/>
  <c r="I383" i="4"/>
  <c r="I382" i="4"/>
  <c r="I381" i="4"/>
  <c r="I380" i="4"/>
  <c r="I379" i="4"/>
  <c r="I378" i="4"/>
  <c r="I377" i="4"/>
  <c r="I376" i="4"/>
  <c r="I375" i="4"/>
  <c r="I374" i="4"/>
  <c r="I373" i="4"/>
  <c r="I372" i="4"/>
  <c r="I371" i="4"/>
  <c r="I370" i="4"/>
  <c r="I369" i="4"/>
  <c r="I368" i="4"/>
  <c r="I367" i="4"/>
  <c r="I366" i="4"/>
  <c r="I365" i="4"/>
  <c r="I364" i="4"/>
  <c r="I363" i="4"/>
  <c r="I362" i="4"/>
  <c r="I361" i="4"/>
  <c r="I360" i="4"/>
  <c r="I359" i="4"/>
  <c r="I358" i="4"/>
  <c r="I357" i="4"/>
  <c r="I356" i="4"/>
  <c r="I355" i="4"/>
  <c r="I354" i="4"/>
  <c r="I353" i="4"/>
  <c r="I352" i="4"/>
  <c r="I351" i="4"/>
  <c r="I350" i="4"/>
  <c r="I349" i="4"/>
  <c r="I348" i="4"/>
  <c r="I347" i="4"/>
  <c r="I346" i="4"/>
  <c r="I345" i="4"/>
  <c r="I344" i="4"/>
  <c r="I343" i="4"/>
  <c r="I342" i="4"/>
  <c r="I341" i="4"/>
  <c r="I340" i="4"/>
  <c r="I339" i="4"/>
  <c r="I338" i="4"/>
  <c r="I337" i="4"/>
  <c r="I336" i="4"/>
  <c r="I335" i="4"/>
  <c r="I334" i="4"/>
  <c r="I333" i="4"/>
  <c r="I332" i="4"/>
  <c r="I331" i="4"/>
  <c r="I330" i="4"/>
  <c r="I329" i="4"/>
  <c r="I328" i="4"/>
  <c r="I327" i="4"/>
  <c r="I326" i="4"/>
  <c r="I325" i="4"/>
  <c r="I324" i="4"/>
  <c r="I323" i="4"/>
  <c r="I322" i="4"/>
  <c r="I321" i="4"/>
  <c r="I320" i="4"/>
  <c r="I319" i="4"/>
  <c r="I318" i="4"/>
  <c r="I317" i="4"/>
  <c r="I316" i="4"/>
  <c r="I315" i="4"/>
  <c r="I314" i="4"/>
  <c r="I313" i="4"/>
  <c r="I312" i="4"/>
  <c r="I311" i="4"/>
  <c r="I310" i="4"/>
  <c r="I309" i="4"/>
  <c r="I308" i="4"/>
  <c r="I307" i="4"/>
  <c r="I306" i="4"/>
  <c r="I305" i="4"/>
  <c r="I304" i="4"/>
  <c r="I303" i="4"/>
  <c r="I302" i="4"/>
  <c r="I301" i="4"/>
  <c r="I300" i="4"/>
  <c r="I299" i="4"/>
  <c r="I298" i="4"/>
  <c r="I297" i="4"/>
  <c r="I296" i="4"/>
  <c r="I295" i="4"/>
  <c r="I294" i="4"/>
  <c r="I293" i="4"/>
  <c r="I292" i="4"/>
  <c r="I291" i="4"/>
  <c r="I290" i="4"/>
  <c r="I289" i="4"/>
  <c r="I288" i="4"/>
  <c r="I287" i="4"/>
  <c r="I286" i="4"/>
  <c r="I285" i="4"/>
  <c r="I284" i="4"/>
  <c r="I283" i="4"/>
  <c r="I282" i="4"/>
  <c r="I281" i="4"/>
  <c r="I280" i="4"/>
  <c r="I279" i="4"/>
  <c r="I278" i="4"/>
  <c r="I277" i="4"/>
  <c r="I276" i="4"/>
  <c r="I275" i="4"/>
  <c r="I274" i="4"/>
  <c r="I273" i="4"/>
  <c r="I272" i="4"/>
  <c r="I271" i="4"/>
  <c r="I270" i="4"/>
  <c r="I269" i="4"/>
  <c r="I268" i="4"/>
  <c r="I267" i="4"/>
  <c r="I266" i="4"/>
  <c r="I265" i="4"/>
  <c r="I264" i="4"/>
  <c r="I263" i="4"/>
  <c r="I227" i="4"/>
  <c r="I226" i="4"/>
  <c r="I225" i="4"/>
  <c r="I224" i="4"/>
  <c r="I223" i="4"/>
  <c r="I222" i="4"/>
  <c r="I221" i="4"/>
  <c r="I220" i="4"/>
  <c r="I219" i="4"/>
  <c r="I218" i="4"/>
  <c r="I217" i="4"/>
  <c r="I216" i="4"/>
  <c r="I215" i="4"/>
  <c r="I214" i="4"/>
  <c r="I213" i="4"/>
  <c r="I212" i="4"/>
  <c r="I211" i="4"/>
  <c r="I210" i="4"/>
  <c r="I208" i="4"/>
  <c r="I209" i="4"/>
  <c r="I207" i="4"/>
  <c r="I206" i="4"/>
  <c r="I205" i="4"/>
  <c r="I204" i="4"/>
  <c r="I203" i="4"/>
  <c r="I202" i="4"/>
  <c r="I201" i="4"/>
  <c r="I200" i="4"/>
  <c r="I199" i="4"/>
  <c r="I198" i="4"/>
  <c r="I197" i="4"/>
  <c r="I196" i="4"/>
  <c r="I195" i="4"/>
  <c r="I194" i="4"/>
  <c r="I189" i="4"/>
  <c r="I188" i="4"/>
  <c r="I187" i="4"/>
  <c r="I186" i="4"/>
  <c r="I185" i="4"/>
  <c r="I184" i="4"/>
  <c r="I183" i="4"/>
  <c r="I182" i="4"/>
  <c r="I181" i="4"/>
  <c r="I180" i="4"/>
  <c r="I179" i="4"/>
  <c r="I178" i="4"/>
  <c r="I177" i="4"/>
  <c r="I176" i="4"/>
  <c r="I175" i="4"/>
  <c r="I174" i="4"/>
  <c r="I173" i="4"/>
  <c r="I172" i="4"/>
  <c r="I171" i="4"/>
  <c r="I170" i="4"/>
  <c r="I169" i="4"/>
  <c r="I168" i="4"/>
  <c r="I167" i="4"/>
  <c r="I166" i="4"/>
  <c r="I149" i="4"/>
  <c r="I148" i="4"/>
  <c r="I147" i="4"/>
  <c r="I146" i="4"/>
  <c r="I145" i="4"/>
  <c r="I128" i="4"/>
  <c r="I127" i="4"/>
  <c r="I12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0" i="4"/>
  <c r="I68" i="4"/>
  <c r="I71" i="4"/>
  <c r="I69" i="4"/>
  <c r="I66" i="4"/>
  <c r="I67" i="4"/>
  <c r="I65" i="4"/>
  <c r="I64" i="4"/>
  <c r="I63" i="4"/>
  <c r="I62" i="4"/>
  <c r="I60" i="4"/>
  <c r="I59" i="4"/>
  <c r="I61" i="4"/>
  <c r="I49" i="4"/>
  <c r="I48" i="4"/>
  <c r="I47" i="4"/>
  <c r="I46" i="4"/>
  <c r="I45" i="4"/>
  <c r="I44" i="4"/>
  <c r="I40" i="4"/>
  <c r="I37" i="4"/>
  <c r="I36" i="4"/>
  <c r="I32" i="4"/>
  <c r="I31" i="4"/>
  <c r="I19" i="4"/>
  <c r="I18" i="4"/>
  <c r="I17" i="4"/>
  <c r="I16" i="4"/>
  <c r="I15" i="4"/>
  <c r="I14" i="4"/>
  <c r="I13" i="4"/>
  <c r="I12" i="4"/>
  <c r="I11" i="4"/>
  <c r="I10" i="4"/>
  <c r="I9" i="4"/>
  <c r="I8" i="4"/>
  <c r="I7" i="4"/>
  <c r="I6" i="4"/>
  <c r="I5" i="4"/>
  <c r="I4" i="4"/>
  <c r="I3" i="4"/>
  <c r="I2" i="4"/>
  <c r="J1219" i="4"/>
  <c r="J1217" i="4"/>
  <c r="J1218" i="4"/>
  <c r="J159" i="4"/>
  <c r="J158" i="4"/>
  <c r="J157" i="4"/>
  <c r="J156" i="4"/>
  <c r="J154" i="4"/>
  <c r="J155" i="4"/>
  <c r="J165" i="4"/>
  <c r="J163" i="4"/>
  <c r="J164" i="4"/>
  <c r="J162" i="4"/>
  <c r="J161" i="4"/>
  <c r="J160" i="4"/>
  <c r="J153" i="4"/>
  <c r="J152" i="4"/>
  <c r="J151" i="4"/>
  <c r="J1682" i="4"/>
  <c r="J1681" i="4"/>
  <c r="J1680" i="4"/>
  <c r="J1679" i="4"/>
  <c r="J1678" i="4"/>
  <c r="J1677" i="4"/>
  <c r="J1676" i="4"/>
  <c r="J1675" i="4"/>
  <c r="J1674" i="4"/>
  <c r="J1673" i="4"/>
  <c r="J1672" i="4"/>
  <c r="J1671" i="4"/>
  <c r="J1670" i="4"/>
  <c r="J1669" i="4"/>
  <c r="J1668" i="4"/>
  <c r="J1667" i="4"/>
  <c r="J1666" i="4"/>
  <c r="J1665" i="4"/>
  <c r="J1664" i="4"/>
  <c r="J1663" i="4"/>
  <c r="J1662" i="4"/>
  <c r="J1661" i="4"/>
  <c r="J1660" i="4"/>
  <c r="J1659" i="4"/>
  <c r="J1658" i="4"/>
  <c r="J1657" i="4"/>
  <c r="J1656" i="4"/>
  <c r="J1655" i="4"/>
  <c r="J1654" i="4"/>
  <c r="J1653" i="4"/>
  <c r="J1652" i="4"/>
  <c r="J1651" i="4"/>
  <c r="J1650" i="4"/>
  <c r="J1649" i="4"/>
  <c r="J1648" i="4"/>
  <c r="J1647" i="4"/>
  <c r="J1646" i="4"/>
  <c r="J1645" i="4"/>
  <c r="J1644" i="4"/>
  <c r="J1643" i="4"/>
  <c r="J1642" i="4"/>
  <c r="J1641" i="4"/>
  <c r="J1640" i="4"/>
  <c r="J1639" i="4"/>
  <c r="J1638" i="4"/>
  <c r="J1637" i="4"/>
  <c r="J1636" i="4"/>
  <c r="J1635" i="4"/>
  <c r="J1634" i="4"/>
  <c r="J1633" i="4"/>
  <c r="J1632" i="4"/>
  <c r="J1631" i="4"/>
  <c r="J1630" i="4"/>
  <c r="J1629" i="4"/>
  <c r="J1628" i="4"/>
  <c r="J1627" i="4"/>
  <c r="J1626" i="4"/>
  <c r="J1625" i="4"/>
  <c r="J1624" i="4"/>
  <c r="J1623" i="4"/>
  <c r="J1622" i="4"/>
  <c r="J1621" i="4"/>
  <c r="J1620" i="4"/>
  <c r="J1619" i="4"/>
  <c r="J1618" i="4"/>
  <c r="J1617" i="4"/>
  <c r="J1616" i="4"/>
  <c r="J1615" i="4"/>
  <c r="J1614" i="4"/>
  <c r="J1613" i="4"/>
  <c r="J1612" i="4"/>
  <c r="J1611" i="4"/>
  <c r="J1610" i="4"/>
  <c r="J1609" i="4"/>
  <c r="J1608" i="4"/>
  <c r="J1607" i="4"/>
  <c r="J1606" i="4"/>
  <c r="J1605" i="4"/>
  <c r="J1604" i="4"/>
  <c r="J1603" i="4"/>
  <c r="J1602" i="4"/>
  <c r="J1601" i="4"/>
  <c r="J1600" i="4"/>
  <c r="J1599" i="4"/>
  <c r="J1598" i="4"/>
  <c r="J1597" i="4"/>
  <c r="J1596" i="4"/>
  <c r="J1595" i="4"/>
  <c r="J1594" i="4"/>
  <c r="J1593" i="4"/>
  <c r="J1592" i="4"/>
  <c r="J1591" i="4"/>
  <c r="J1590" i="4"/>
  <c r="J1589" i="4"/>
  <c r="J1588" i="4"/>
  <c r="J1587" i="4"/>
  <c r="J1586" i="4"/>
  <c r="J1585" i="4"/>
  <c r="J1584" i="4"/>
  <c r="J1583" i="4"/>
  <c r="J1582" i="4"/>
  <c r="J1581" i="4"/>
  <c r="J1580" i="4"/>
  <c r="J1579" i="4"/>
  <c r="J1578" i="4"/>
  <c r="J1577" i="4"/>
  <c r="J1576" i="4"/>
  <c r="J1575" i="4"/>
  <c r="J1574" i="4"/>
  <c r="J1573" i="4"/>
  <c r="J1572" i="4"/>
  <c r="J1571" i="4"/>
  <c r="J1570" i="4"/>
  <c r="J1569" i="4"/>
  <c r="J1568" i="4"/>
  <c r="J1567" i="4"/>
  <c r="J1566" i="4"/>
  <c r="J1565" i="4"/>
  <c r="J1564" i="4"/>
  <c r="J1563" i="4"/>
  <c r="J1562" i="4"/>
  <c r="J1561" i="4"/>
  <c r="J1560" i="4"/>
  <c r="J1559" i="4"/>
  <c r="J1558" i="4"/>
  <c r="J1557" i="4"/>
  <c r="J1556" i="4"/>
  <c r="J1555" i="4"/>
  <c r="J1554" i="4"/>
  <c r="J1553" i="4"/>
  <c r="J1552" i="4"/>
  <c r="J1551" i="4"/>
  <c r="J1550" i="4"/>
  <c r="J1549" i="4"/>
  <c r="J1548" i="4"/>
  <c r="J1547" i="4"/>
  <c r="J1546" i="4"/>
  <c r="J1545" i="4"/>
  <c r="J1544" i="4"/>
  <c r="J1543" i="4"/>
  <c r="J1542" i="4"/>
  <c r="J1541" i="4"/>
  <c r="J1540" i="4"/>
  <c r="J1539" i="4"/>
  <c r="J1538" i="4"/>
  <c r="J1537" i="4"/>
  <c r="J1533" i="4"/>
  <c r="J1532" i="4"/>
  <c r="J1531" i="4"/>
  <c r="J1530" i="4"/>
  <c r="J1529" i="4"/>
  <c r="J1528" i="4"/>
  <c r="J1527" i="4"/>
  <c r="J1526" i="4"/>
  <c r="J1525" i="4"/>
  <c r="J1524" i="4"/>
  <c r="J1523" i="4"/>
  <c r="J1522" i="4"/>
  <c r="J1521" i="4"/>
  <c r="J1520" i="4"/>
  <c r="J1519" i="4"/>
  <c r="J1518" i="4"/>
  <c r="J1501" i="4"/>
  <c r="J1500" i="4"/>
  <c r="J1499" i="4"/>
  <c r="J1498" i="4"/>
  <c r="J1497" i="4"/>
  <c r="J1496" i="4"/>
  <c r="J1495" i="4"/>
  <c r="J1494" i="4"/>
  <c r="J1493" i="4"/>
  <c r="J1492" i="4"/>
  <c r="J1491" i="4"/>
  <c r="J1490" i="4"/>
  <c r="J1489" i="4"/>
  <c r="J1488" i="4"/>
  <c r="J1487" i="4"/>
  <c r="J1486" i="4"/>
  <c r="J1485" i="4"/>
  <c r="J1484" i="4"/>
  <c r="J1483" i="4"/>
  <c r="J1482" i="4"/>
  <c r="J1481" i="4"/>
  <c r="J1480" i="4"/>
  <c r="J1479" i="4"/>
  <c r="J1478" i="4"/>
  <c r="J1457" i="4"/>
  <c r="J1456" i="4"/>
  <c r="J1455" i="4"/>
  <c r="J1454" i="4"/>
  <c r="J1453" i="4"/>
  <c r="J1452" i="4"/>
  <c r="J1448" i="4"/>
  <c r="J1447" i="4"/>
  <c r="J1446" i="4"/>
  <c r="J1445" i="4"/>
  <c r="J1444" i="4"/>
  <c r="J1443" i="4"/>
  <c r="J1442" i="4"/>
  <c r="J1441" i="4"/>
  <c r="J1432" i="4"/>
  <c r="J1431" i="4"/>
  <c r="J1430" i="4"/>
  <c r="J1429" i="4"/>
  <c r="J1428" i="4"/>
  <c r="J1427" i="4"/>
  <c r="J1426" i="4"/>
  <c r="J1425" i="4"/>
  <c r="J1424" i="4"/>
  <c r="J1423" i="4"/>
  <c r="J1422" i="4"/>
  <c r="J1421" i="4"/>
  <c r="J1420" i="4"/>
  <c r="J1419" i="4"/>
  <c r="J1418" i="4"/>
  <c r="J1417" i="4"/>
  <c r="J1416" i="4"/>
  <c r="J1415" i="4"/>
  <c r="J1414" i="4"/>
  <c r="J1413" i="4"/>
  <c r="J1412" i="4"/>
  <c r="J1411" i="4"/>
  <c r="J1409" i="4"/>
  <c r="J1408" i="4"/>
  <c r="J1407" i="4"/>
  <c r="J1406" i="4"/>
  <c r="J1405" i="4"/>
  <c r="J1404" i="4"/>
  <c r="J1403" i="4"/>
  <c r="J1402" i="4"/>
  <c r="J1401" i="4"/>
  <c r="J1400" i="4"/>
  <c r="J1398" i="4"/>
  <c r="J1399" i="4"/>
  <c r="J1397" i="4"/>
  <c r="J1396" i="4"/>
  <c r="J1395" i="4"/>
  <c r="J1394" i="4"/>
  <c r="J1393" i="4"/>
  <c r="J1392" i="4"/>
  <c r="J1391" i="4"/>
  <c r="J1387" i="4"/>
  <c r="J1386" i="4"/>
  <c r="J1385" i="4"/>
  <c r="J1384" i="4"/>
  <c r="J1371" i="4"/>
  <c r="J1372" i="4"/>
  <c r="J1370" i="4"/>
  <c r="J1369" i="4"/>
  <c r="J1368" i="4"/>
  <c r="J1367" i="4"/>
  <c r="J1366" i="4"/>
  <c r="J1365" i="4"/>
  <c r="J1364" i="4"/>
  <c r="J1363" i="4"/>
  <c r="J1362" i="4"/>
  <c r="J1361" i="4"/>
  <c r="J1360" i="4"/>
  <c r="J1359" i="4"/>
  <c r="J1358" i="4"/>
  <c r="J1352" i="4"/>
  <c r="J1351" i="4"/>
  <c r="J1350" i="4"/>
  <c r="J1349" i="4"/>
  <c r="J1348" i="4"/>
  <c r="J1347" i="4"/>
  <c r="J1346" i="4"/>
  <c r="J1345" i="4"/>
  <c r="J1344" i="4"/>
  <c r="J1343" i="4"/>
  <c r="J1342" i="4"/>
  <c r="J1341" i="4"/>
  <c r="J1340" i="4"/>
  <c r="J1339" i="4"/>
  <c r="J1338" i="4"/>
  <c r="J1337" i="4"/>
  <c r="J1336" i="4"/>
  <c r="J1335" i="4"/>
  <c r="J1334" i="4"/>
  <c r="J1333" i="4"/>
  <c r="J1332" i="4"/>
  <c r="J1331" i="4"/>
  <c r="J1330" i="4"/>
  <c r="J1329" i="4"/>
  <c r="J1328" i="4"/>
  <c r="J1327" i="4"/>
  <c r="J1326" i="4"/>
  <c r="J1325" i="4"/>
  <c r="J1324" i="4"/>
  <c r="J1323" i="4"/>
  <c r="J1322" i="4"/>
  <c r="J1321" i="4"/>
  <c r="J1320" i="4"/>
  <c r="J1319" i="4"/>
  <c r="J1318" i="4"/>
  <c r="J1317" i="4"/>
  <c r="J1316" i="4"/>
  <c r="J1315" i="4"/>
  <c r="J1314" i="4"/>
  <c r="J1313" i="4"/>
  <c r="J1312" i="4"/>
  <c r="J1311" i="4"/>
  <c r="J1310" i="4"/>
  <c r="J1309" i="4"/>
  <c r="J1308" i="4"/>
  <c r="J1307" i="4"/>
  <c r="J1306" i="4"/>
  <c r="J1305" i="4"/>
  <c r="J1304" i="4"/>
  <c r="J1303" i="4"/>
  <c r="J1302" i="4"/>
  <c r="J1301" i="4"/>
  <c r="J1300" i="4"/>
  <c r="J1299" i="4"/>
  <c r="J1298" i="4"/>
  <c r="J1297" i="4"/>
  <c r="J1296" i="4"/>
  <c r="J1295" i="4"/>
  <c r="J1294" i="4"/>
  <c r="J1293" i="4"/>
  <c r="J1292" i="4"/>
  <c r="J1291" i="4"/>
  <c r="J1290" i="4"/>
  <c r="J1289" i="4"/>
  <c r="J1288" i="4"/>
  <c r="J1287" i="4"/>
  <c r="J1286" i="4"/>
  <c r="J1285" i="4"/>
  <c r="J1284" i="4"/>
  <c r="J1283" i="4"/>
  <c r="J1282" i="4"/>
  <c r="J1281" i="4"/>
  <c r="J1280" i="4"/>
  <c r="J1279" i="4"/>
  <c r="J1278" i="4"/>
  <c r="J1277" i="4"/>
  <c r="J1276" i="4"/>
  <c r="J1275" i="4"/>
  <c r="J1274" i="4"/>
  <c r="J1273" i="4"/>
  <c r="J1272" i="4"/>
  <c r="J1271" i="4"/>
  <c r="J1270" i="4"/>
  <c r="J1269" i="4"/>
  <c r="J1268" i="4"/>
  <c r="J1267" i="4"/>
  <c r="J1266" i="4"/>
  <c r="J1265" i="4"/>
  <c r="J1263" i="4"/>
  <c r="J1261" i="4"/>
  <c r="J1264" i="4"/>
  <c r="J1262" i="4"/>
  <c r="J1260" i="4"/>
  <c r="J1259" i="4"/>
  <c r="J1258" i="4"/>
  <c r="J1257" i="4"/>
  <c r="J1256" i="4"/>
  <c r="J1255" i="4"/>
  <c r="J1254" i="4"/>
  <c r="J1253" i="4"/>
  <c r="J1252" i="4"/>
  <c r="J1251" i="4"/>
  <c r="J1250" i="4"/>
  <c r="J1249" i="4"/>
  <c r="J1248" i="4"/>
  <c r="J1247" i="4"/>
  <c r="J1246" i="4"/>
  <c r="J1245" i="4"/>
  <c r="J1244" i="4"/>
  <c r="J1243" i="4"/>
  <c r="J1242" i="4"/>
  <c r="J1241" i="4"/>
  <c r="J1240" i="4"/>
  <c r="J1239" i="4"/>
  <c r="J1238" i="4"/>
  <c r="J1237" i="4"/>
  <c r="J1236" i="4"/>
  <c r="J1235" i="4"/>
  <c r="J1234" i="4"/>
  <c r="J1233" i="4"/>
  <c r="J1232" i="4"/>
  <c r="J1231" i="4"/>
  <c r="J1230" i="4"/>
  <c r="J1229" i="4"/>
  <c r="J1228" i="4"/>
  <c r="J1227" i="4"/>
  <c r="J1226" i="4"/>
  <c r="J1225" i="4"/>
  <c r="J1224" i="4"/>
  <c r="J1223" i="4"/>
  <c r="J1222" i="4"/>
  <c r="J1221" i="4"/>
  <c r="J1220" i="4"/>
  <c r="J1216" i="4"/>
  <c r="J1215" i="4"/>
  <c r="J1206" i="4"/>
  <c r="J1205" i="4"/>
  <c r="J1204" i="4"/>
  <c r="J1203" i="4"/>
  <c r="J1198" i="4"/>
  <c r="J1197" i="4"/>
  <c r="J1196" i="4"/>
  <c r="J1195" i="4"/>
  <c r="J1194" i="4"/>
  <c r="J1193" i="4"/>
  <c r="J1192" i="4"/>
  <c r="J1191" i="4"/>
  <c r="J1190" i="4"/>
  <c r="J1189" i="4"/>
  <c r="J1187" i="4"/>
  <c r="J1186" i="4"/>
  <c r="J1185" i="4"/>
  <c r="J1184" i="4"/>
  <c r="J1183" i="4"/>
  <c r="J1182" i="4"/>
  <c r="J1181" i="4"/>
  <c r="J1180" i="4"/>
  <c r="J1179" i="4"/>
  <c r="J1178" i="4"/>
  <c r="J1177" i="4"/>
  <c r="J1176" i="4"/>
  <c r="J1175" i="4"/>
  <c r="J1174" i="4"/>
  <c r="J1173" i="4"/>
  <c r="J1172" i="4"/>
  <c r="J1171" i="4"/>
  <c r="J1170" i="4"/>
  <c r="J1169" i="4"/>
  <c r="J1168" i="4"/>
  <c r="J1167" i="4"/>
  <c r="J1166" i="4"/>
  <c r="J1165" i="4"/>
  <c r="J1164" i="4"/>
  <c r="J1163" i="4"/>
  <c r="J1162" i="4"/>
  <c r="J1161" i="4"/>
  <c r="J1160" i="4"/>
  <c r="J1159" i="4"/>
  <c r="J1158" i="4"/>
  <c r="J1157" i="4"/>
  <c r="J1156" i="4"/>
  <c r="J1155" i="4"/>
  <c r="J1154" i="4"/>
  <c r="J1153" i="4"/>
  <c r="J1142" i="4"/>
  <c r="J1141" i="4"/>
  <c r="J1140" i="4"/>
  <c r="J1139" i="4"/>
  <c r="J1138" i="4"/>
  <c r="J1116" i="4"/>
  <c r="J1115" i="4"/>
  <c r="J1090" i="4"/>
  <c r="J1089" i="4"/>
  <c r="J1057" i="4"/>
  <c r="J1056" i="4"/>
  <c r="J1055" i="4"/>
  <c r="J1054" i="4"/>
  <c r="J1045" i="4"/>
  <c r="J1044" i="4"/>
  <c r="J1043" i="4"/>
  <c r="J1042" i="4"/>
  <c r="J1041" i="4"/>
  <c r="J1040" i="4"/>
  <c r="J1039" i="4"/>
  <c r="J1038" i="4"/>
  <c r="J1037" i="4"/>
  <c r="J1036" i="4"/>
  <c r="J1035" i="4"/>
  <c r="J1034" i="4"/>
  <c r="J1033" i="4"/>
  <c r="J1032" i="4"/>
  <c r="J1031" i="4"/>
  <c r="J1030" i="4"/>
  <c r="J1029" i="4"/>
  <c r="J1026" i="4"/>
  <c r="J1025" i="4"/>
  <c r="J1024" i="4"/>
  <c r="J1023" i="4"/>
  <c r="J1022" i="4"/>
  <c r="J1013" i="4"/>
  <c r="J1012" i="4"/>
  <c r="J1011" i="4"/>
  <c r="J1010" i="4"/>
  <c r="J1009" i="4"/>
  <c r="J1008" i="4"/>
  <c r="J1007" i="4"/>
  <c r="J1006" i="4"/>
  <c r="J1005" i="4"/>
  <c r="J1004" i="4"/>
  <c r="J1003" i="4"/>
  <c r="J1002" i="4"/>
  <c r="J1001" i="4"/>
  <c r="J1000" i="4"/>
  <c r="J999" i="4"/>
  <c r="J998" i="4"/>
  <c r="J997" i="4"/>
  <c r="J996" i="4"/>
  <c r="J995" i="4"/>
  <c r="J994" i="4"/>
  <c r="J993" i="4"/>
  <c r="J992" i="4"/>
  <c r="J991" i="4"/>
  <c r="J990" i="4"/>
  <c r="J989" i="4"/>
  <c r="J988" i="4"/>
  <c r="J987" i="4"/>
  <c r="J986" i="4"/>
  <c r="J985" i="4"/>
  <c r="J984" i="4"/>
  <c r="J983" i="4"/>
  <c r="J982" i="4"/>
  <c r="J981" i="4"/>
  <c r="J980" i="4"/>
  <c r="J979" i="4"/>
  <c r="J978" i="4"/>
  <c r="J977" i="4"/>
  <c r="J976" i="4"/>
  <c r="J975" i="4"/>
  <c r="J686" i="4"/>
  <c r="J685" i="4"/>
  <c r="J684" i="4"/>
  <c r="J683" i="4"/>
  <c r="J419" i="4"/>
  <c r="J418" i="4"/>
  <c r="J417" i="4"/>
  <c r="J416" i="4"/>
  <c r="J415" i="4"/>
  <c r="J414" i="4"/>
  <c r="J413" i="4"/>
  <c r="J412" i="4"/>
  <c r="J411" i="4"/>
  <c r="J410" i="4"/>
  <c r="J409" i="4"/>
  <c r="J408" i="4"/>
  <c r="J407" i="4"/>
  <c r="J406" i="4"/>
  <c r="J405" i="4"/>
  <c r="J404" i="4"/>
  <c r="J403" i="4"/>
  <c r="J402" i="4"/>
  <c r="J401" i="4"/>
  <c r="J400" i="4"/>
  <c r="J399" i="4"/>
  <c r="J398" i="4"/>
  <c r="J397" i="4"/>
  <c r="J396" i="4"/>
  <c r="J395" i="4"/>
  <c r="J394" i="4"/>
  <c r="J393" i="4"/>
  <c r="J392" i="4"/>
  <c r="J391" i="4"/>
  <c r="J390" i="4"/>
  <c r="J389" i="4"/>
  <c r="J388" i="4"/>
  <c r="J387" i="4"/>
  <c r="J386" i="4"/>
  <c r="J385" i="4"/>
  <c r="J384" i="4"/>
  <c r="J383" i="4"/>
  <c r="J382" i="4"/>
  <c r="J381" i="4"/>
  <c r="J380" i="4"/>
  <c r="J379" i="4"/>
  <c r="J378" i="4"/>
  <c r="J377" i="4"/>
  <c r="J376" i="4"/>
  <c r="J375" i="4"/>
  <c r="J374" i="4"/>
  <c r="J373" i="4"/>
  <c r="J372" i="4"/>
  <c r="J371" i="4"/>
  <c r="J370" i="4"/>
  <c r="J369" i="4"/>
  <c r="J368" i="4"/>
  <c r="J367" i="4"/>
  <c r="J366" i="4"/>
  <c r="J365" i="4"/>
  <c r="J364" i="4"/>
  <c r="J363" i="4"/>
  <c r="J362" i="4"/>
  <c r="J361" i="4"/>
  <c r="J360" i="4"/>
  <c r="J359" i="4"/>
  <c r="J358" i="4"/>
  <c r="J357" i="4"/>
  <c r="J356" i="4"/>
  <c r="J355" i="4"/>
  <c r="J354" i="4"/>
  <c r="J353" i="4"/>
  <c r="J352" i="4"/>
  <c r="J351" i="4"/>
  <c r="J350" i="4"/>
  <c r="J349" i="4"/>
  <c r="J348" i="4"/>
  <c r="J347" i="4"/>
  <c r="J346" i="4"/>
  <c r="J345" i="4"/>
  <c r="J344" i="4"/>
  <c r="J343" i="4"/>
  <c r="J342" i="4"/>
  <c r="J341" i="4"/>
  <c r="J340" i="4"/>
  <c r="J339" i="4"/>
  <c r="J338" i="4"/>
  <c r="J337" i="4"/>
  <c r="J336" i="4"/>
  <c r="J335" i="4"/>
  <c r="J334" i="4"/>
  <c r="J333" i="4"/>
  <c r="J332" i="4"/>
  <c r="J331" i="4"/>
  <c r="J330" i="4"/>
  <c r="J329" i="4"/>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J276" i="4"/>
  <c r="J275" i="4"/>
  <c r="J274" i="4"/>
  <c r="J273" i="4"/>
  <c r="J272" i="4"/>
  <c r="J271" i="4"/>
  <c r="J270" i="4"/>
  <c r="J269" i="4"/>
  <c r="J268" i="4"/>
  <c r="J267" i="4"/>
  <c r="J266" i="4"/>
  <c r="J265" i="4"/>
  <c r="J264" i="4"/>
  <c r="J263" i="4"/>
  <c r="J227" i="4"/>
  <c r="J226" i="4"/>
  <c r="J225" i="4"/>
  <c r="J224" i="4"/>
  <c r="J223" i="4"/>
  <c r="J222" i="4"/>
  <c r="J221" i="4"/>
  <c r="J220" i="4"/>
  <c r="J219" i="4"/>
  <c r="J218" i="4"/>
  <c r="J217" i="4"/>
  <c r="J216" i="4"/>
  <c r="J215" i="4"/>
  <c r="J214" i="4"/>
  <c r="J213" i="4"/>
  <c r="J212" i="4"/>
  <c r="J211" i="4"/>
  <c r="J210" i="4"/>
  <c r="J208" i="4"/>
  <c r="J209" i="4"/>
  <c r="J207" i="4"/>
  <c r="J206" i="4"/>
  <c r="J205" i="4"/>
  <c r="J204" i="4"/>
  <c r="J203" i="4"/>
  <c r="J202" i="4"/>
  <c r="J201" i="4"/>
  <c r="J200" i="4"/>
  <c r="J199" i="4"/>
  <c r="J198" i="4"/>
  <c r="J197" i="4"/>
  <c r="J196" i="4"/>
  <c r="J195" i="4"/>
  <c r="J194" i="4"/>
  <c r="J189" i="4"/>
  <c r="J188" i="4"/>
  <c r="J187" i="4"/>
  <c r="J186" i="4"/>
  <c r="J185" i="4"/>
  <c r="J184" i="4"/>
  <c r="J183" i="4"/>
  <c r="J182" i="4"/>
  <c r="J181" i="4"/>
  <c r="J180" i="4"/>
  <c r="J179" i="4"/>
  <c r="J178" i="4"/>
  <c r="J177" i="4"/>
  <c r="J176" i="4"/>
  <c r="J175" i="4"/>
  <c r="J174" i="4"/>
  <c r="J173" i="4"/>
  <c r="J172" i="4"/>
  <c r="J171" i="4"/>
  <c r="J170" i="4"/>
  <c r="J169" i="4"/>
  <c r="J168" i="4"/>
  <c r="J167" i="4"/>
  <c r="J166" i="4"/>
  <c r="J149" i="4"/>
  <c r="J148" i="4"/>
  <c r="J147" i="4"/>
  <c r="J146" i="4"/>
  <c r="J145" i="4"/>
  <c r="J128" i="4"/>
  <c r="J127" i="4"/>
  <c r="J12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0" i="4"/>
  <c r="J68" i="4"/>
  <c r="J71" i="4"/>
  <c r="J69" i="4"/>
  <c r="J66" i="4"/>
  <c r="J67" i="4"/>
  <c r="J65" i="4"/>
  <c r="J64" i="4"/>
  <c r="J63" i="4"/>
  <c r="J62" i="4"/>
  <c r="J60" i="4"/>
  <c r="J59" i="4"/>
  <c r="J61" i="4"/>
  <c r="J49" i="4"/>
  <c r="J48" i="4"/>
  <c r="J47" i="4"/>
  <c r="J46" i="4"/>
  <c r="J45" i="4"/>
  <c r="J44" i="4"/>
  <c r="J40" i="4"/>
  <c r="J37" i="4"/>
  <c r="J36" i="4"/>
  <c r="J32" i="4"/>
  <c r="J31" i="4"/>
  <c r="J19" i="4"/>
  <c r="J18" i="4"/>
  <c r="J17" i="4"/>
  <c r="J16" i="4"/>
  <c r="J15" i="4"/>
  <c r="J14" i="4"/>
  <c r="J13" i="4"/>
  <c r="J12" i="4"/>
  <c r="J11" i="4"/>
  <c r="J10" i="4"/>
  <c r="J9" i="4"/>
  <c r="J8" i="4"/>
  <c r="J7" i="4"/>
  <c r="J6" i="4"/>
  <c r="J5" i="4"/>
  <c r="J4" i="4"/>
  <c r="J3" i="4"/>
  <c r="J2" i="4"/>
  <c r="H2347" i="2" l="1"/>
  <c r="H2294" i="2"/>
  <c r="H3017" i="2"/>
  <c r="H3018" i="2" l="1"/>
  <c r="H2295" i="2"/>
  <c r="H2296" i="2" l="1"/>
  <c r="H3019" i="2"/>
  <c r="H3020" i="2" l="1"/>
  <c r="H2297" i="2"/>
  <c r="H3021" i="2" l="1"/>
  <c r="H2298" i="2"/>
  <c r="H3022" i="2" l="1"/>
  <c r="H2299" i="2"/>
  <c r="H3023" i="2" l="1"/>
  <c r="H2300" i="2"/>
  <c r="H3024" i="2" l="1"/>
  <c r="H2301" i="2"/>
  <c r="H3025" i="2" l="1"/>
  <c r="H2302" i="2"/>
  <c r="H3026" i="2" l="1"/>
  <c r="H2303" i="2"/>
  <c r="H3027" i="2" l="1"/>
  <c r="H2304" i="2"/>
  <c r="H3028" i="2" l="1"/>
  <c r="H2305" i="2"/>
  <c r="H3029" i="2" l="1"/>
  <c r="H2306" i="2"/>
  <c r="H3030" i="2" l="1"/>
  <c r="H2307" i="2"/>
  <c r="H3031" i="2" l="1"/>
  <c r="H2308" i="2"/>
  <c r="H3032" i="2" l="1"/>
  <c r="H2309" i="2"/>
  <c r="H3033" i="2" l="1"/>
  <c r="H2310" i="2"/>
  <c r="H3034" i="2" l="1"/>
  <c r="H3035" i="2" l="1"/>
  <c r="H3036" i="2" l="1"/>
  <c r="H3037" i="2" l="1"/>
  <c r="H3038" i="2" l="1"/>
  <c r="H3039" i="2" l="1"/>
  <c r="H3040" i="2" l="1"/>
  <c r="H3041" i="2" l="1"/>
  <c r="H3042" i="2" l="1"/>
  <c r="H3043" i="2" l="1"/>
  <c r="H3044" i="2" l="1"/>
  <c r="H304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Whittlestone</author>
  </authors>
  <commentList>
    <comment ref="A1" authorId="0" shapeId="0" xr:uid="{00000000-0006-0000-0000-000001000000}">
      <text>
        <r>
          <rPr>
            <sz val="10"/>
            <color indexed="81"/>
            <rFont val="Tahoma"/>
            <family val="2"/>
          </rPr>
          <t>Double-click cells in column A to show group on headings sheet</t>
        </r>
      </text>
    </comment>
    <comment ref="F1" authorId="0" shapeId="0" xr:uid="{00000000-0006-0000-0000-000002000000}">
      <text>
        <r>
          <rPr>
            <b/>
            <sz val="8"/>
            <color indexed="81"/>
            <rFont val="Tahoma"/>
            <family val="2"/>
          </rPr>
          <t>Peter Whittlestone:</t>
        </r>
        <r>
          <rPr>
            <sz val="8"/>
            <color indexed="81"/>
            <rFont val="Tahoma"/>
            <family val="2"/>
          </rPr>
          <t xml:space="preserve">
Add muliplte children with + between group names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 Wade</author>
  </authors>
  <commentList>
    <comment ref="A22" authorId="0" shapeId="0" xr:uid="{E7887D38-F755-4413-AE1B-7098CAEF5C86}">
      <text>
        <r>
          <rPr>
            <b/>
            <sz val="9"/>
            <color indexed="81"/>
            <rFont val="Tahoma"/>
            <family val="2"/>
          </rPr>
          <t>Phil Wade:</t>
        </r>
        <r>
          <rPr>
            <sz val="9"/>
            <color indexed="81"/>
            <rFont val="Tahoma"/>
            <family val="2"/>
          </rPr>
          <t xml:space="preserve">
Last line for non component description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Peter Whittlestone</author>
  </authors>
  <commentList>
    <comment ref="H1" authorId="0" shapeId="0" xr:uid="{00000000-0006-0000-0100-000001000000}">
      <text>
        <r>
          <rPr>
            <b/>
            <sz val="8"/>
            <color indexed="81"/>
            <rFont val="Tahoma"/>
            <family val="2"/>
          </rPr>
          <t>Peter Whittlestone:</t>
        </r>
        <r>
          <rPr>
            <sz val="8"/>
            <color indexed="81"/>
            <rFont val="Tahoma"/>
            <family val="2"/>
          </rPr>
          <t xml:space="preserve">
Leave empty to ignore row</t>
        </r>
      </text>
    </comment>
  </commentList>
</comments>
</file>

<file path=xl/sharedStrings.xml><?xml version="1.0" encoding="utf-8"?>
<sst xmlns="http://schemas.openxmlformats.org/spreadsheetml/2006/main" count="35384" uniqueCount="8967">
  <si>
    <t>Group sheet</t>
  </si>
  <si>
    <t>Double click on group, and the Heading sheet will show filtered to that group</t>
  </si>
  <si>
    <t>Headings sheet</t>
  </si>
  <si>
    <t>Double click on group, and the Groups sheet will show filtered to that group</t>
  </si>
  <si>
    <t>Double click on PA, and the ABBR sheet will show filtered to the relevant list</t>
  </si>
  <si>
    <t>Group Name</t>
  </si>
  <si>
    <t>Class</t>
  </si>
  <si>
    <t>Contents</t>
  </si>
  <si>
    <t>Status</t>
  </si>
  <si>
    <t>Parent</t>
  </si>
  <si>
    <t>Child</t>
  </si>
  <si>
    <t>Group Order</t>
  </si>
  <si>
    <t>Group Notes</t>
  </si>
  <si>
    <t>Group Rules</t>
  </si>
  <si>
    <t>Australia Notes for Guidance</t>
  </si>
  <si>
    <t>Source</t>
  </si>
  <si>
    <t>Comment</t>
  </si>
  <si>
    <t>ffffff</t>
  </si>
  <si>
    <t>PROJ</t>
  </si>
  <si>
    <t>Project / Data Transmission Details</t>
  </si>
  <si>
    <t>Project Information</t>
  </si>
  <si>
    <t>Required in all files (Rule 13)</t>
  </si>
  <si>
    <t>-</t>
  </si>
  <si>
    <t>• PROJ is required in all AGS4 files (Rule 13). 
• PROJ_ENG should contain the details of the consultant/designer for the project.</t>
  </si>
  <si>
    <t>Prior to 4.1</t>
  </si>
  <si>
    <t>ABBR</t>
  </si>
  <si>
    <t>Abbreviation Definitions</t>
  </si>
  <si>
    <t>Required in all files (Rule 16)</t>
  </si>
  <si>
    <t>• ABBR is required in all AGS4 data files and describes all abbreviations used in headings defined by the PA data type (Rule 16). 
• The AGS Format website (www.agsdataformat.com) lists the standard abbreviations. 
• Additional abbreviations, used in any heading in the file, must be defined in this group. 
• ABBR_LIST details the list from which the ABBR_CODE originates. For standard AGS headings this value would be ‘AGS4’ to refer to the AGS website.</t>
  </si>
  <si>
    <t>DICT</t>
  </si>
  <si>
    <t>User Defined Groups and Headings</t>
  </si>
  <si>
    <t>Required in all files which include user defined groups and/or headings (Rule 18)</t>
  </si>
  <si>
    <t>• DICT is required in all AGS4 files where user defined groups and/or headings are specified (Rule 18).
• DICT_STAT defines the status of the heading. This shall contain the data 'KEY', 'REQUIRED', 'KEY+REQUIRED' or 'OTHER', where OTHER denotes the data field is neither key nor required (Rule 10).
• DICT_PGRP allows for inclusion of the parent group name when the DICT_TYPE is "GROUP". This permits data integrity checking where data files include user defined groups.</t>
  </si>
  <si>
    <t>• If the DICT_TYPE is HEADING, there shall be data variables present for DICT_GRP, DICT_HDNG, DICT_STAT, DICT_UNIT, DICT_DTYP and DICT_DESC. 
• If the DICT_TYPE is GROUP, there shall be data variables present for DICT_GRP and DICT_DESC and the DICT_HDNG, DICT_STAT, DICT_DTYP and DICT_UNIT headings shall contain NULL values.
• Data type for data field heading DICT_UNIT shall not be changed from PU.</t>
  </si>
  <si>
    <t>If a heading doesn't have a unit, then set DICT_UNIT to UNITLESS.</t>
  </si>
  <si>
    <t>FILE</t>
  </si>
  <si>
    <t>Associated Files</t>
  </si>
  <si>
    <t>Required in file if FILE_FSET data provided in any group (Rule 19)</t>
  </si>
  <si>
    <t>• Rule 20 defines how associated files are to be included in AGS submissions.</t>
  </si>
  <si>
    <t>TRAN</t>
  </si>
  <si>
    <t>Data File Transmission Information / Data Status</t>
  </si>
  <si>
    <t>Required in all files (Rule 14)</t>
  </si>
  <si>
    <t xml:space="preserve">• TRAN is required in all AGS4 files (Rule 14). _x000D_
• Delimiter and concatenator characters (TRAN_DLIM &amp; TRAN_RCON) need to be defined if Record Link data or multiple concatenated abbreviations are included in the file. These characters cannot be used in IDs and abbreviations that are referred to in data key sets. </t>
  </si>
  <si>
    <t>TYPE</t>
  </si>
  <si>
    <t>Definition of Data Types</t>
  </si>
  <si>
    <t>Required in all files (Rule 17)</t>
  </si>
  <si>
    <t>• TYPE is required in all AGS4 files (Rule 17). _x000D_
• The AGS Data Transfer Format website (www.agsdataformat.com) lists the standard data type definitions.</t>
  </si>
  <si>
    <t>UNIT</t>
  </si>
  <si>
    <t>Definition of Units</t>
  </si>
  <si>
    <t>Required in all files (Rule 15)</t>
  </si>
  <si>
    <t xml:space="preserve">• UNIT is required in all AGS4 files (Rule 15) and defines all units used for data headings and within data records (e.g. GCHM, MOND and ELRG).
• The AGS Data Transfer Format website (www.agsdataformat.com) lists the standard unit definitions.
</t>
  </si>
  <si>
    <t>AAVT</t>
  </si>
  <si>
    <t>Materials Laboratory Testing (Aggregates)</t>
  </si>
  <si>
    <t>Aggregate Abrasion Tests</t>
  </si>
  <si>
    <t>SAMP</t>
  </si>
  <si>
    <t>• None</t>
  </si>
  <si>
    <t>ACVT</t>
  </si>
  <si>
    <t>Aggregate Crushing Value Tests</t>
  </si>
  <si>
    <t>AELO</t>
  </si>
  <si>
    <t>Aggregate Elongation Index Tests</t>
  </si>
  <si>
    <t>AFLK</t>
  </si>
  <si>
    <t>Aggregate Flakiness Tests</t>
  </si>
  <si>
    <t>AIVT</t>
  </si>
  <si>
    <t>Aggregate Impact Value Tests</t>
  </si>
  <si>
    <t>ALOS</t>
  </si>
  <si>
    <t>Los Angeles Abrasion Tests</t>
  </si>
  <si>
    <t>• Headings are included for both BS1377 and ISRM test specifications.</t>
  </si>
  <si>
    <t>APSV</t>
  </si>
  <si>
    <t>Aggregate Polished Stone Tests</t>
  </si>
  <si>
    <t>ARTW</t>
  </si>
  <si>
    <t>Aggregate Determination of the Resistance to Wear (micro-Deval)</t>
  </si>
  <si>
    <t>ASDI</t>
  </si>
  <si>
    <t>Slake Durability Index Tests</t>
  </si>
  <si>
    <t>ASNS</t>
  </si>
  <si>
    <t>Aggregate Soundness Tests</t>
  </si>
  <si>
    <t>AWAD</t>
  </si>
  <si>
    <t>Aggregate Water Absorption Tests</t>
  </si>
  <si>
    <t>BKFL</t>
  </si>
  <si>
    <t>Locations and Exploratory Hole Construction Details</t>
  </si>
  <si>
    <t>Exploratory Hole Backfill Details</t>
  </si>
  <si>
    <t>LOCA</t>
  </si>
  <si>
    <t>CBRG</t>
  </si>
  <si>
    <t>Geotechnical Laboratory Testing (Soils and Rocks)</t>
  </si>
  <si>
    <t>California Bearing Ratio Tests - General</t>
  </si>
  <si>
    <t>CBRT</t>
  </si>
  <si>
    <t xml:space="preserve">• Initial water/moisture content required for each stage of testing, heading added to CBRT group and removed from CBRG. _x000D_
• New headings added to permit details of test method, laboratory and test accreditation to be included in data. </t>
  </si>
  <si>
    <t>California Bearing Ratio Tests - Data</t>
  </si>
  <si>
    <t>• CBRT_SWEL shall be used to report the amount of swelling recorded on the specimen in each test.
• CBRT_IMC allows the initial water/moisture content of the CBR test sample to be recorded which may differ from the after test water content especially if the sample is pre-soaked.
• CBRT_REM allows commentary for the addition of test specific remarks. For example, where CBR is tested at natural water/moisture content, natural water content +2% and natural water content -2% or to include details of whether curve correction was applied.</t>
  </si>
  <si>
    <t>CDIA</t>
  </si>
  <si>
    <t>Casing Diameter by Depth</t>
  </si>
  <si>
    <t>• CDIA is used to transfer details of casing in the completed hole.</t>
  </si>
  <si>
    <t>CHIS</t>
  </si>
  <si>
    <t>Chiselling Details</t>
  </si>
  <si>
    <t>• CHIS is to be used to transfer details of chiselling carried out when using a cable percussion rig to advance a borehole.</t>
  </si>
  <si>
    <t>CHOC</t>
  </si>
  <si>
    <t>Samples, Amalgamated Specimens and Laboratory Test Scheduling</t>
  </si>
  <si>
    <t>Chain of Custody Information</t>
  </si>
  <si>
    <t>• The CHOC group is used to transfer chain of custody information relating to samples.</t>
  </si>
  <si>
    <t>CMPG</t>
  </si>
  <si>
    <t>Compaction Tests - General</t>
  </si>
  <si>
    <t>CMPT</t>
  </si>
  <si>
    <t>Compaction Tests - Data</t>
  </si>
  <si>
    <t>CONG</t>
  </si>
  <si>
    <t>Consolidation Tests - General</t>
  </si>
  <si>
    <t>CONS</t>
  </si>
  <si>
    <t>• CONG_IVR shall be used to report the initial voids ratio at the start of testing.</t>
  </si>
  <si>
    <t>Consolidation Tests - Data</t>
  </si>
  <si>
    <t>• CONS_IVR description clarified to the voids ratio at the start of the increment rather than repeat the initial voids ratio on each record in the CONS group as listed in previous editions.
• CONS_TEMP - BS1377 and BS EN ISO 17892-5 requires laboratory temperature at which test was carried out, but since Cv is corrected to 20 DegC from the temperature over the stage, it has to be per stage (but may be same throughout).
• BS allows reporting of either CONS_CVRT or CONS_CVLG or both, the laboratory will populate these headings as appropriate.</t>
  </si>
  <si>
    <t>CORE</t>
  </si>
  <si>
    <t>Coring Information</t>
  </si>
  <si>
    <t>• CORE is used to transfer details of rotary coring in rock and soil materials.
• The data transferred for coring in rock will be more extensive than for soil coring; specifically the SCR and RQD are not determined for soil cores.
• CORE_DURN permits the inclusion of the time duration for the core run to be drilled if this is a specified additional measured parameter.</t>
  </si>
  <si>
    <t>CTRC</t>
  </si>
  <si>
    <t>Cyclic Triaxial Tests - Consolidation</t>
  </si>
  <si>
    <t>New 4.1</t>
  </si>
  <si>
    <t>CTRG</t>
  </si>
  <si>
    <t>CTRP</t>
  </si>
  <si>
    <t>CTRD</t>
  </si>
  <si>
    <t>Cyclic Triaxial Tests - Data</t>
  </si>
  <si>
    <t>• Assumes axial cycles in deviator stress (constant cell pressure, controlled axial load)</t>
  </si>
  <si>
    <t>Cyclic Triaxial Test - General</t>
  </si>
  <si>
    <t>CTRC+CTRS</t>
  </si>
  <si>
    <t>• Total number of stages of test to include all components of consolidation (hold and swelling) stages, Bender element test stages, cyclic loading stages (one set of N cycles at a uniform frequency and amplitude is equivalent to one stage) and shearing stages (if any).
• There is no facility to capture non-uniform cycles at present.
• Cyclic loading is assumed to be sinusoidal.</t>
  </si>
  <si>
    <t>Cyclic Triaxial Test - Derived Parameters</t>
  </si>
  <si>
    <t>CTRS</t>
  </si>
  <si>
    <t>Cyclic Triaxial Tests - Saturation</t>
  </si>
  <si>
    <t>DCPG</t>
  </si>
  <si>
    <r>
      <t xml:space="preserve">Geotechnical </t>
    </r>
    <r>
      <rPr>
        <i/>
        <sz val="10"/>
        <rFont val="Arial"/>
        <family val="2"/>
      </rPr>
      <t>in situ</t>
    </r>
    <r>
      <rPr>
        <sz val="10"/>
        <rFont val="Arial"/>
        <family val="2"/>
      </rPr>
      <t xml:space="preserve"> Testing</t>
    </r>
  </si>
  <si>
    <t>Dynamic Cone Penetrometer Tests - General</t>
  </si>
  <si>
    <t>DCPT</t>
  </si>
  <si>
    <t>• DCPG and DCPT are used together to record dynamic cone penetrometer (DCP) tests where data is recorded as penetration per blow.  If data is recorded as blows over an interval, data shall be recorded in DPRG and DPRB.
• DCPG_REM should be used to record test set up including surface type, surface condition, base type, thickness of base (if removed) mm (ref TRL Project PR/INT/277/04).
• It is suggested that if CBR values derived from DCP tests are to be transferred in the AGS data then these should be included in the ICBR group.</t>
  </si>
  <si>
    <t>Generally in Australia, excluding on QLD-TMR projects, data should be transmitted in DPRG and DPRB as number of blows are usually recorded by a defined depth interval.</t>
  </si>
  <si>
    <t>Dynamic Cone Penetrometer Tests - Data</t>
  </si>
  <si>
    <t>Generally in Australia data should be transmitted in DPRG and DPRB</t>
  </si>
  <si>
    <t>DETL</t>
  </si>
  <si>
    <t>Geological Descriptions and Information</t>
  </si>
  <si>
    <t>Stratum Detail Descriptions</t>
  </si>
  <si>
    <t>• DETL is used to include geological details to the geological description of a stratum typically included in the margins of a borehole log. 
• A geological description in DETL_DESC should be considered as a supplement to the main stratum description given in GEOL_DESC of the GEOL Group. Detailed descriptions should be given a single depth (which is repeated in both the DETL_TOP and DETL_BASE headings), only if it has no significant thickness, or if it marks the top of a gradational change in the nature of the stratum.  For example, "27.65m Marl parting" or "35.65m Becoming very sandy". If the change in the stratum is not gradational it is generally preferable to give depth ranges. For example, "6.50 to 8.70m Sandy", is generally preferable to "Sandy below 6.50m". The depth or depth range of the detailed feature may be repeated within the description. Since the detailed descriptions are a supplement to the main description, detailed description depth ranges shall not cross main stratum boundaries.</t>
  </si>
  <si>
    <t>DISC</t>
  </si>
  <si>
    <t>Discontinuity Data</t>
  </si>
  <si>
    <t>• DISC is used to record detailed discontinuity logging typically carried out in rock exposures and rock core.
• Discontinuity spacing data is recorded in the FRAC group.
• Changes have been made to bring the Group in line with BS EN ISO 14689. References to ISRM have been removed as BS EN ISO 14689 is compatible with previous standards. Terminology has been amended to reflect current requirements.
• DISC_DIP and DISC_DIR data type changed to X but care should be taken to ensure a consistent convention is used throughout the AGS file. Where possible one value should be reported but if a range is required the presence of excess spaces and inconsistent separators is discouraged e.g. “150-160” not “150 – 160” or “150 to 160”
REPORTING DISCONTINUITY LOGGING DATA
Discontinuity logging may be carried out as part of a scanline survey of a rock face, or as a detailed fracture log of borehole core. 
a) The logging may take one of three forms, the first two being the commonest:
• The recording of the nature of individual discontinuities.  All discontinuity descriptions are given in the DISC Group.  The FRAC Group shall not be used.  The spacing between individual discontinuities may be assessed from their depths.
• The recording of the typical nature of sets of discontinuities. The typical description for a discontinuity set is given in the DISC Group and the typical spacing is given in the FRAC Group. Individual discontinuities are not described.
• The recording of the nature of individual discontinuities, with each discontinuity assigned to a discontinuity set. The individual discontinuity descriptions are given in the DISC Group and the typical spacing of a discontinuity set is given in the FRAC Group.
b) If individual discontinuities have been logged along a scanline or in a borehole, then the reporting procedure is as follows:
• The nature of the individual discontinuities is recorded in the DISC Group.
• For scanline logging, the location of each discontinuity is given in DISC_TOP as a distance from the start of the traverse along a scanline. The DISC_BASE should be completed to allow for checks against the discontinuity dip.
• For borehole cores, the location of each discontinuity is given as a depth in either DISC_TOP for horizontal to sub horizontal discontinuities or DISC_TOP and DISC_BASE for vertical to inclined discontinuities.
• Each discontinuity is numbered sequentially in DISC_NUMB from the top of the borehole, or from the start of the traverse.
• If each discontinuity has been assigned to a discontinuity set, then the set reference number should be given in FRAC_SET (see c below). The use of FRAC_SET is optional when individual discontinuities are logged.
• The orientation and nature of each discontinuity is reported using the remaining fields in DISC.
• For borehole logs the surface nature of the discontinuity is described using a combination of DISC_RGH, DISC_PLAN, DISC_JRC, DISC_APP, DISC_STR and DISC_WETH. It is generally not reliable to measure the aperture of a discontinuity in borehole core as the effect of drilling disturbance is unknown. However, the thickness of any discontinuity infill should be given in DISC_APT, and the nature of the infill given in DISC_INFM. Discontinuity dip can be given in DISC_DIP for vertical boreholes, and inclined boreholes with orientated core. Discontinuity dip direction can only be given in DISC_DIR if the core is orientated. In an inclined borehole with unorientated core only relative discontinuity dip can be given with respect to the normal to the core axis.
• For scanline logs all the above details of discontinuity orientation and nature can be given, together with the large scale waviness, true discontinuity aperture, discontinuity termination (using the abbreviations defined on the AGS website), and water seepage observations.
• The format of the DISC Group is applicable to most descriptive schemes, other than ISRM (1978) ) and/or BS EN ISO 14689-1. Alternative schemes may be used on agreement between the Provider and Receiver.
c) If sets or zones of discontinuities have been logged along a scanline or in a borehole, then the reporting procedure is as follows:
• The discontinuity sets or zones are recorded in a combination of the DISC and FRAC Groups. The DISC Group is used to record either the typical orientation and nature of each set or zone of discontinuities, or the individual discontinuities. The FRAC Group is used to record the spacing of the discontinuities in each set or zone.
• The start and end of each set or zone of discontinuities of similar nature is given in DISC_TOP and DISC_BASE, either as depth in a borehole, or as distance from the start of the traverse along a scanline.  The start and end of each set or zone of discontinuities with a similar spacing is given in FRAC_FROM and FRAC_TO. Normally the "nature" and "spacing" zones will coincide, and, therefore, DISC_TOP and DISC_BASE will be the same as FRAC_FROM and FRAC_TO.
• DISC_NUMB data variable is null (Rule 12) when logging discontinuity sets or zones.
• Each discontinuity set or zone must be given a unique set reference number in FRAC_SET. For example, joint sets may be numbered J1, J2, J3 etc, bedding discontinuities as B1, B2 etc. The use of FRAC_SET provides the link between the DISC and FRAC Groups.
• The typical orientation and nature of each discontinuity set or zone is reported using the remaining fields in DISC. 
The spacing of the discontinuities within each discontinuity set or zone is reported  in the FRAC Group, giving the minimum, average (typical), and maximum spacing in mm of the fractures in that set or zone, using the FRAC_IMIN, FRAC_IAVE and FRAC_IMAX fields. Alternatively, the average (typical) number of fractures per metre can be given in FRAC_FI.</t>
  </si>
  <si>
    <t>• DISC_APT shall generally be numeric data.  A text form shall only be used by addition of a prefixing operator to denote greater than or less than conditions i.e. &gt;200</t>
  </si>
  <si>
    <t>• Descriptions of defects should be based on AS1726-2017 – Table 22.
• In addition, mechanical breaks MB can be differentiated between handling breaks HB (when the break occurred during or after removal of the core from the splits) and drilling breaks DB (inferred). 
• Dips should be provided as apparent dips in DISC_DIP, relative to a plane perpendicular to the core axis, even for inclined boreholes. When measured (e.g. goniometer, downhole imaging), true dips and maximum dip directions should be provided separately in the true dip headings DISC_DIPT and DISC_DIRT.
• All zones and seams shall have a DISC_TOP and DISC_BASE.
• For borehole cores, the depth of each joint, bedding parting and sheared surface is given as a depth in DISC_TOP. This depth should correspond to the depth where the defect intersects the core axis and can be different to the mid-depth. If these defects are sub-vertical, in addition to DISC_TOP, the maximum length of the discontinuity shall be provided in DISC_PERS.
• Surfaces with tensile capacity such as “closed”, “cemented” and “non-persistent” should be differentiated, and recorded in DISC_APOB. Non-persistent means that the defect does not cross the width of exposure/core. Cemented means that there is a visible cement creating tensile strength. Closed means that the defect has tensile strength despite being persistent and not having visible cement.
• Open (DISC_APOB) is the opposite of tight and means that the defect has an aperture recorded in DISC_APT.
• The degree of defect description required shall be evaluated to suit project requirements. For some projects it will be unnecessary to describe each individual defect in a rock mass. Where multiple similar defects are present which are too numerous to log individually, generalized descriptions should be used.
• When generalized descriptions are used, set DISC_GNRL = "Y", provide DISC_TOP and DISC_BASE and record spacing in DISC_SPC.
• DISC is used to record detailed discontinuity logging typically carried out in rock exposures and rock core.
• Discontinuity spacing data is recorded in the FRAC group.
• DISC_DIP and DISC_DIR data type changed to X but care should be taken to ensure a consistent convention is used throughout the AGS file. Where possible one value should be reported but if a range is required the presence of excess spaces and inconsistent separators is discouraged e.g. “150-160” not “150 – 160” or “150 to 160”
REPORTING DISCONTINUITY LOGGING DATA
Discontinuity logging may be carried out as part of a scanline survey of a rock face, or as a detailed fracture log of borehole core. 
The recording of the nature of individual discontinuities should be done with each discontinuity assigned to a discontinuity set. The individual discontinuity descriptions are given in the DISC Group and the typical spacing of a discontinuity set is given in the FRAC Group.
• Each discontinuity is numbered sequentially in DISC_NUMB from the top of the borehole, or from the start of the traverse.
• If each discontinuity has been assigned to a discontinuity set, then the set reference number should be given in FRAC_SET (see c below). The use of FRAC_SET is optional when individual discontinuities are logged.
• The orientation and nature of each discontinuity is reported using the remaining fields in DISC.
•  The thickness of any discontinuity infill should be given in DISC_APT, and the infill material shall be described in DISC_INFM as per AS1726 Section 6 at an appropriate level of detail. 
 If sets or zones of discontinuities have been logged along a scanline or in a borehole, then the reporting procedure is as follows:
• The discontinuity sets or zones are recorded in a combination of the DISC and FRAC Groups. The DISC Group is used to record either the typical orientation and nature of each set or zone of discontinuities, or the individual discontinuities. The FRAC Group is used to record the spacing of each discontinuity or generalised discontinuity.
• The start and end of each set or zone of discontinuities of similar nature is given in DISC_TOP and DISC_BASE, either as depth in a borehole, or as distance from the start of the traverse along a scanline.  The start and end of each set or zone of discontinuities with a similar spacing is given in FRAC_FROM and FRAC_TO. 
• DISC_NUMB data variable is null (Rule 12) when logging discontinuity sets or zones.
• Each discontinuity set or zone must be given a unique set reference number in FRAC_SET. For example, joint sets may be numbered J1, J2, J3 etc, bedding discontinuities as B1, B2 etc. The use of FRAC_SET provides the link between the DISC and FRAC Groups.
• The typical orientation and nature of each discontinuity set or zone is reported using the remaining fields in DISC. 
The spacing of the discontinuities within each discontinuity set or zone is reported in the FRAC Group, giving the minimum, average (typical), and maximum spacing in mm of the fractures in that set or zone, using the FRAC_IMIN, FRAC_IAVE and FRAC_IMAX fields. Alternatively, the average (typical) number of fractures per metre can be given in FRAC_FI.</t>
  </si>
  <si>
    <t>DLOG</t>
  </si>
  <si>
    <t>Driller Geological Description</t>
  </si>
  <si>
    <t xml:space="preserve">• The DLOG group is to record initial stratum descriptions as recorded by the driller on the driller’s logs. Engineers descriptions to be included in the GEOL group. </t>
  </si>
  <si>
    <t>DOBS</t>
  </si>
  <si>
    <t>Drilling/Advancement Observations &amp; Parameters</t>
  </si>
  <si>
    <t>• DOBS is to be used to record information on hole advancement and drilling parameters, for example open hole rotary drilling information.
• DOBS records are data relating to the drilling parameters over a depth range. Where instrumentation on drilling rigs provides point readings of these parameters, this data should either be collated to summarise parameters over appropriate depth ranges, or reported with the start and end of each depth range to represent a point reading.
• DOBS_SET allows for multiple readings to be included in the group in circumstances for example where a hole depth section is re-drilled.
• FLSH shall be used to record other flushing related information.
• It is suggested that DOBS can be used to transfer information recorded from instrumented drilling rigs. Additional fields maybe required to fully transfer the information.</t>
  </si>
  <si>
    <t>DPRB</t>
  </si>
  <si>
    <t>Dynamic Probe Tests - Data</t>
  </si>
  <si>
    <t>DPRG</t>
  </si>
  <si>
    <t>• Use when test procedure is by depth i.e. recording number of blows in a depth interval. 
• The termination criterion should be reported in DPRG_REET.</t>
  </si>
  <si>
    <t>Dynamic Probe Tests - General</t>
  </si>
  <si>
    <t>• The cone angle and rod mass (per unit length) have been included to provide additional test data for defining non-standard equipment such as the Mackintosh Probe.</t>
  </si>
  <si>
    <t>Use when test procedure is by depth i.e. recording number of blows in a depth interval</t>
  </si>
  <si>
    <t>DREM</t>
  </si>
  <si>
    <t>Depth Related Remarks</t>
  </si>
  <si>
    <t>• DREM may be used for all remarks and notes that are related to a specific depth in the borehole or trial pit, that are not geological. Typically this includes drillers comments usually found on the boring or drilling journal.
• DREM is used for reporting incidents during drilling (such as "Fishing for broken U100"), drilling records that don't readily fit in any other groups (such as "Pushing boulder ahead of casing"), observations that are not strictly geological (such as "Strong petrol smell").</t>
  </si>
  <si>
    <t>ECTN</t>
  </si>
  <si>
    <t>Field and Laboratory Environmental Testing</t>
  </si>
  <si>
    <t>Sample Container Details</t>
  </si>
  <si>
    <t>• The ECTN group is used to record details of multiple containers forming part of a sample; e.g. glass jars, vials, tubs etc taken for contamination testing.
• SAMP_ID does not have to be used and can be NULL (Rule 12); the remaining keyset data field headings can be used on their own.</t>
  </si>
  <si>
    <t>• When the sample is contained in a single container the sample shall not be reported in this group.</t>
  </si>
  <si>
    <t>ELRG</t>
  </si>
  <si>
    <t>Environmental Laboratory Reporting</t>
  </si>
  <si>
    <t>• ELRG provides for the transfer of results provided by an environmental laboratory data. Linked to the SAMP group this results group is suitable for both results of geoenvironmental testing carried out in the field or in a chemical test laboratory. 
• Geotechnical chemical testing is to be transferred using the GCHM group. 
• The headings listed in ELRG represent a range of attributes to describe geoenvironmental test results to cater for both simple and extended reporting requirements. It is important to note there is no requirement to complete all headings in data files for every analysis carried out. Where additional quality control data is required then further user defined headings may be necessary to transfer additional information. It is imperative that data providers and data receivers agree the specification for ELRG data at the outset of a project. 
• ELRG shall not be a repository of data that more properly belongs in a more appropriate, pre-existing AGS group. For example, geotechnical testing conducted by a geoenvironmental laboratory (such as an Atterberg test to a geotechnical standard) should be reported in the LLPL group and not in ELRG. ELRG permits inclusion of non-chemical results where appropriate e.g. No fibres, weight of sample, colour, % stones.
Replacing AGS 4.0 ERES with AGS 4.1 ELRG
To provide context for the changes made from AGS 4.0 (ERES) the below text is written to explain the rationale for changing the approach taken in AGS 4.1 for the transfer of geoenvironmental laboratory results/information.
• The naming of ERES (Environmental Contaminant Testing) and accompanying notes for guidance (NFG) focused the content too heavily on chemicals thus making presentation of non-chemical results challenging.
• Limitations of the ERES keyset provided significant challenges for complete reporting of various environmental datasets, including:
  - Unable to fully report leachate test results without misuse of the ERES_MATX (Laboratory test matrix) and due to ERES_RUNI being excluded from the keyset
  - Unable to report TIC (Tentatively Identified Compounds) data variables
  - Unable to report gas testing results as multiple units for the same analyte are reported together
  - Unable to report deviating sample / result details
• These limitations resulted in geoenvironmental laboratories developing a variety of ways to achieve keyset uniqueness for reporting some results. This inconsistent approach was not helpful to the industry / data receivers.
The ERES (Environmental Contaminated Testing) group resulted in information included on the laboratory certificates being unable to be transferred within an AGS 4.0 format file. In AGS 4.1 the ERES group is deprecated and replaced with this new group ELRG (Environmental Laboratory Reporting Group).
• ELRG provides a more generic construct that does not focus on chemicals/contaminants/determinands but instead the reporting deliverable (or result) from the geoenvironmental laboratory. The transfer format should be capable of transferring the information that is reported in the laboratory certificate (currently provided in Adobe Portable Document Format - PDF). 
• ERES data headings are able to be transferred into ELRG with a minimal amount of data manipulation. ERES headings have been migrated into ELRG to provide compatibility. 
• ELRG_MATX has been returned to the original pick list configuration of “SOLID”, “LIQUID”, “GAS” and adds “PRODUCT”. 
• New heading ELRG_TADE (test additional descriptor) is a data heading providing the ability to use discriminators such as those that have been inserted into the ERES_MATX picklists previously (primarily leachates). 
• In conjunction with ELRG_RUNI, ELRG_TADE provides the capacity to aid keyset uniqueness. Examples of ELRG_TADE are “CEN_2_1”, “CEN_10_1”, “NRA”, or references to relevant standards.
• Heading ELRG_TICN (tentatively identified compound (TIC) IUPAC name) is now a keyset heading in order to store the TIC name provided by the laboratory. To permit data analysis ELRG_CODE becomes a P code for TIC and the breakdown information is stored in the TIC headings. The headings ELRG_TICN, ELRG_TICP and ELRG_TICT allow for inclusion of tentatively identified compounds. ELRG_RTCD shall be flagged as 'TIC'. 
• Heading ELRG_RDEV (result deviation descriptions) permits reporting the sample or result deviation. Multiple descriptions can be used e.g. Holding time; Wrong container. 
• Heading ELRG_ITYP (Instrument Type) records instrument type information i.e. human readable description e.g. GCMS, ICP-OES
• Heading ELRG_TEST (Test or Suite name) enables ELRG results to be connected to testing suites. The test or suite name can either be provided within the LBST group, or via manual scheduling methods. If utilising LBSG/LBST groups, ELRG_TEST shall match LBST_TEST. Suites are often used in geoenvironmental test scheduling rather than individual determinands so this change better supports actual practices but still supports inclusion of single determinand tests where applicable.</t>
  </si>
  <si>
    <t>• Where there is no unit, the ELRG_RUNI data variable shall be set to "UNITLESS". 
• Data type for data field heading ELRG_UNIT, ELRG_DUNI shall not be changed from PU.
• When reporting Tentatively Identified Compound (TIC) data variables the ELRG_CODE shall be P4100</t>
  </si>
  <si>
    <t>ESCG</t>
  </si>
  <si>
    <t>Effective Stress Consolidation Tests - General</t>
  </si>
  <si>
    <t>ESCT</t>
  </si>
  <si>
    <t>• ESCG and ESCT are primarily designed to take data from the consolidation tests detailed in BS1377 Part 6 including hydraulic cells such as the Rowe cell. Other types of testing can be included but headings should only be populated where the data is consistent with those of the BS tests and ambiguity of terminology should be avoided.
• ESCG_IVR shall be used to report the initial voids ratio at the start of testing. This will not necessarily be the same as the voids ratio at the start of first stage consolidation ESCT_VR0 due to saturation.</t>
  </si>
  <si>
    <t>Effective Stress Consolidation Tests - Data</t>
  </si>
  <si>
    <t>• ESCT_DVOL - consolidation (flow of water out of specimen) to be reported as positive and dilatancy or swelling (flow of water into specimen) to be reported as negative.</t>
  </si>
  <si>
    <t>• ESCT_INK shall generally be numeric data.  A text form shall only be used by addition of a prefixing operator to denote greater than or less than conditions i.e. &gt;200 when readings are above the reporting limit of the testing equipment.</t>
  </si>
  <si>
    <t>FGHG</t>
  </si>
  <si>
    <t>Field Geohydraulic Testing - General</t>
  </si>
  <si>
    <t>FGHI+FGHS</t>
  </si>
  <si>
    <t>• The FGHG and related groups are for reporting the results of field geohydraulic permeability tests carried out in general accordance with BS EN ISO 22282-2 (Water permeability tests in a borehole using open systems) and -3 (Water pressure tests in rock), and the General rules of Part 1. These cover the variable head test methods (rising and falling head) and constant head/constant flow-rate methods in boreholes and installations, and 'packer tests' (now referred to in the standard as water pressure tests).
• The FGHG groups allow reporting of additional information required by the standards and in particular the data from test instrumentation using flowmeters, pressure transducers, etc which were not included in the AGS4.0 IPRT group.
• The FGHG groups shall not be used for Pumping tests covered in Part 4 of the standard nor Infiltrometer tests in Part 5. (N.B. Infiltrometer tests here are not the same as 'soakaway' tests covered elsewhere.)
• All reported depths are assumed to relate to ground level at the time of test, as used elsewhere and recorded in LOCA_GL
• For tests in boreholes FGHG_TOP and FGHG_BASE are defined by depths of borehole, casing, packers, etc. For tests in standpipe type installations FGHG_TOP and FGHG_BASE are defined by the installation response zone, and correspond to MONG_TRZ and MONG_BRZ. However, for response zones in non-homogenous materials of different permeability it may be appropriate to use a different depth range for interpretation.
• FGHG_TDIA is the diameter of the borehole for tests in both boreholes and installations (where the response zone diameter corresponds to the borehole diameter in the latter).
• FGHG_SDIA is the diameter of rising/falling cylinder of water used in volume change calculation for variable head tests only. This heading is not required for constant head or constant flow-rate tests.
• FGHG_HBAS is the base depth of a test in a borehole, for example, double packer configurations where the test section base does not correspond to the base of the borehole.
• FGHG_SFAC and FGHG_SFRF are to report shape (or intake) factors in BS EN ISO 22282-1, Hvorslev (1951) or other reference stated.
• FGHG_CNFG is to report test configuration e.g. borehole, standpipe, standpipe piezometer, well, single packer, double packer, single instrumented packer, double instrumented packer.
• FGHG_PRWL and FGHG_AWL are expressed as depths to water in metres, but may be calculated values obtained from pressure measurement devices in the test section.
• FGHG_PRWL refers to the depth to water prior to any changes made to initiate the test.
• FGHG_HEAD is the applied head of water in the test section in excess of the ambient head due to the assumed equilibrium groundwater level. It may be calculated from pressure measurement devices in the test section. This applies only to single stage constant head/flow tests with a corresponding value for FGHG_FLOW. 
• FGHG_IPRM is used to report the assessed permeability from non-multistage type tests (e.g. VHT) and the representative permeability from analysis of multistage tests (e.g. water pressure/'packer' tests) where this has been assessed. See FGHS for reporting results for separate stages of multistage tests.
• FGHG_FTYP is the flow type identified during a water pressure test in accordance with Annex B of BS EN ISO 22282-3, or other specification.</t>
  </si>
  <si>
    <t>FGHI</t>
  </si>
  <si>
    <t>Field Geohydraulic Testing - Instrumentation Details</t>
  </si>
  <si>
    <t>FGHT</t>
  </si>
  <si>
    <t>• The FGHI group, together with the FGHT group, allows transfer of test records (readings or measurements) made during the test where this is required in the test specification. 
• FGHI_INST defines a specific measuring device within the test system by a unique reference. Further information on the type, model, etc can be provided in FGHI_TYPE and FGHI_DETL.
• Details of the location/position of the measuring device can be provided in FGHI_LOCT, including depths in relation to the test section defined by FGHG_TOP and FGHG_BASE.
• Multiple simultaneous readings in the FGHT group can be accommodated through FGHI_INST, e.g. simultaneous flow and pressure readings at 1  minute intervals, including pressure readings from more than one location within the system.</t>
  </si>
  <si>
    <t>FGHS</t>
  </si>
  <si>
    <t>Field Geohydraulic Testing - Test Results (per stage)</t>
  </si>
  <si>
    <t>• The FGHS group is used for reporting calculated permeability results for multistage constant head/flow-rate tests, including water pressure tests. For non- multistage tests where all results are reported in FGHG then the FHGS group shall not be used.</t>
  </si>
  <si>
    <t>Field Geohydraulic Testing - Data</t>
  </si>
  <si>
    <t>FLSH</t>
  </si>
  <si>
    <t>Drilling Flush Details</t>
  </si>
  <si>
    <t>FRAC</t>
  </si>
  <si>
    <t>Fracture Spacing</t>
  </si>
  <si>
    <t>• FRAC is used to include fracture set details derived from rock core. Fracture information collected from scanline surveys of rock exposures or similar should be recorded in the DISC group.
• It is not typical to define fracture set spacing’s as both min/avg/max fracture spacing and Fracture Index. The requirement for one or other should be specified.</t>
  </si>
  <si>
    <t>• FRAC_IMAX, FRAC_IAVE, FRAC_IMIN and FRAC_FI shall generally be numeric data.  A text form shall only be used by addition of a prefixing operator to denote greater than or less than conditions i.e. &gt;200 or for 'Not intact' (NI).</t>
  </si>
  <si>
    <t>FRST</t>
  </si>
  <si>
    <t>Frost Susceptibility Tests</t>
  </si>
  <si>
    <t>• BS 812 requires the results of three specimens and the mean to be reported. However, all three specimens are prepared to exactly the same density and water/moisture content and hence both the standard and the data format only require one density and water content.</t>
  </si>
  <si>
    <t>GCHM</t>
  </si>
  <si>
    <t>Geotechnical Chemistry Testing</t>
  </si>
  <si>
    <t>This group is reserved for soil/water chemistry testing associated with geotechnical design assessments. Environmental contamination testing should be recorded in Group ERES</t>
  </si>
  <si>
    <t>• GCHM is used to report chemical testing carried out for geotechnical design. It is to be used for testing in accordance with BS 1377, BS EN 1744-1+A1, testing for use in the assessment described in BRE Special Digest 1 and/or buried steel testing described in the Design Manual for Roads and Bridges; CD 375. Chemical testing for contamination or water quality testing is reported in ERES. Laboratory resistivity test results should be reported using the LRES Group.
• The GCHM_CODE abbreviations to report testing to BRE Special Digest 1 and BS 1377-3 would be:
   PH = Acidity/alkalinity (pH value to nearest 0.1)
   WS = Water-soluble sulfate (as mg/l SO4)
   AS = Acid-soluble sulfate (as % SO4)
   TS = Total sulfur (as % S)
   WMG = Water/soil extract Magnesium (as mg/l)
   NH4 = Ammonium ion (as mg/l) 
   CL = Chloride (as mg/l)
   NO3 = Nitrate (as mg/l)
   ACO2 = Aggressive Carbon dioxide (as mg/l)
   CO2 = Carbonate content (as %CO2)
   LOI = Loss on ignition (as %)
   OGM = Organic matter content (as %)
   TDS = Total dissolved solids (in mg/l to 2SF)
   CACO3 = Chalk content (as %CaCO3)
• The GCHM_CODE abbreviations to report testing of buried steel would be:
   REDOX = Redox Potential (as mV)
• All GCHM_CODE abbreviations reported in this group are to be listed in the ABBR group.
• The GCHM_TTYP abbreviations would be limited to SOLID_21WAT, SOLID_ACID, SOLID_TOT and WATER to report testing to BRE Special Digest 1 and BS 1377-3. 
• GCHM_UNIT is a REQUIRED field (Rule 10b) which enforces the inclusion of units for all test results. Where a test result has no unit, the GCHM_UNIT data shall be set to "UNITLESS".
• Units reported in GCHM_UNIT must be fully defined in the UNIT group (Rule 15). It is possible that units require conversion when the data is received and amalgamated into project databases to ensure that data are consistent across testing tranches and appropriate for the assessment.
• For a chalk content test carried out to BS1377-3, it would be good practice to report both a Carbonate content (as CO2) and the chalk content (as %CaCO3).</t>
  </si>
  <si>
    <t>• Where a reading has no unit, the GCHM_UNIT data shall be set to "UNITLESS".
• Units included in GCHM_UNIT shall be fully defined in the UNIT group (Rule 15), the unit group is case sensitive. 
• Data type for data field heading GCHM_UNIT shall not be changed from PU.</t>
  </si>
  <si>
    <t>GEOL</t>
  </si>
  <si>
    <t>Field Geological Descriptions</t>
  </si>
  <si>
    <t>• GEOL is used to transfer the field descriptions of geological materials required by EN ISO 14688-1 and 14689, and as described in guidance including BS 5930. Stratum descriptions recorded by the driller should be recorded in DLOG. This information will not need to be duplicated wholesale in GEOL
• GEOL_GEOL and GEOL_GEO2 can contain codes that are defined by the organization supervising the investigation and may be an organization or project based classification of the strata. The codification is typically determined by the investigation supervisor, designer or consultant. The inclusion of the codification by a ground investigation contractor and provision in the AGS Format files has to be specified in full in the investigation specification as codification is typically not a requirement of investigation standards.
• A suggested use of the GEOL_GEOL and GEOL_GEO2 codes is as follows:
a) The geology code GEOL_GEOL relates to the Geological Name of each geological unit, for example:
  RA as an abbreviation for Recent Alluvium
  LC as an abbreviation for London Clay
b) The second geology code GEOL_GEO2 is an abbreviation for the material type of each stratum, for example:
  CS as an abbreviation for sandy CLAY
  C as an abbreviation for CLAY
The BGS classification system (http://nora.nerc.ac.uk/9179/) could be a suitable classification for use on particular projects.
• The stratum code GEOL_STAT may be used as the reference letter or number of each stratum on a trial pit log. Its sole purpose is to link the stratum shown on the face sketch of the trial pit to the stratum description given elsewhere on the log.  It is therefore not used on borehole logs and it is not used on simple trial pit logs which are presented in borehole log format, without a face sketch.  GEOL_STAT is usually just the numbers 1, 2, 3 etc or the letters A, B, C etc.
• GEOL_STAT also appears in the SAMP Group and several of the in situ testing Groups so that it is possible to indicate which stratum on a trial pit face a sample was taken from, or an in situ test carried out in.
• GEOL_BGS can be included if required to contain the abbreviations from the British Geological Survey (BGS) lexicon of strata that is associated with the stratum. There is a list of these abbreviations provided and maintained on the BGS website: www.bgs.ac.uk/lexicon/home.html.
• BS 5930 states that the geological formation may also be named. Typically this information is presented as part of the exploratory hole log at the end of stratum description. If this is required, this data must be specified and the data is not included in GEOL_DESC but transferred in an additional heading GEOL_FORM. There is a link between GEOL_FORM and GEOL_BGS, however, the use of GEOL_FORM will include for strata that do not have BGS Lexicon codes; for example, types of ANTHROPOGENIC GROUND such as embankment fill.
• If more detailed information on material weathering grades is required then these details are to be included in the WETH group.</t>
  </si>
  <si>
    <t xml:space="preserve">• GEOL is used to transfer the field descriptions of geological materials as described in AS1726-2017. Stratum descriptions recorded by the driller should be recorded in DLOG. This information will not need to be duplicated wholesale in GEOL.
• Material descriptions shall be input in the GEOL_DESC as a combined description, and optionally split in the individual component description headings (as agreed with the client).
• GEOL_DESC must be populated even if the individual component description headings are populated.
• If component description headings are input, they shall take precedence over the combined GEOL_DESC.
• The geological formation can be named in GEOL_FORM.  
• GEOL_MAP would not typically be used as the geological unit is already stated in GEOL_FORM and it would be unusual to print the map code on a log
• information on rock weathering shall only be  included in the WETH group. 
• information on soil moisture shall only be included in the SOLM group. 
• information on soil consistency/density shall only be included in the SOLC group. 
• information on rock strength shall only be included in the RCKS group. 
• DETL_DESC should be considered as a supplement to the main stratum description given in GEOL_DESC of the GEOL Group.
• Soil Classification abbreviations should be recorded in GEOL_1SCL (and GEOL_2SCL for composite materials)
• GEOL_GEOL and GEOL_GEO2 can contain codes that are defined by the organization supervising the investigation and may be an organization or project based classification of the strata. The codification is typically determined by the investigation supervisor, designer or consultant. The inclusion of the codification by a ground investigation contractor and provision in the AGS Format files has to be specified in full in the investigation specification as codification is typically not a requirement of investigation standards
• The stratum code GEOL_STAT may be used as the reference letter or number of each stratum on a trial pit log. Its sole purpose is to link the stratum shown on the face sketch of the trial pit to the stratum description given elsewhere on the log.  It is therefore not used on borehole logs and it is not used on simple trial pit logs which are presented in borehole log format, without a face sketch.  GEOL_STAT is usually just the numbers 1, 2, 3, etc. or the letters A, B, C, etc.
• GEOL_STAT also appears in the SAMP Group and several of the in situ testing Groups so that it is possible to indicate which stratum on a trial pit face a sample was taken from, or an in situ test carried out in.
• GEOL_BGS shall not be used, use GEOL_MAP instead.
Additional guidance on the GEOL group is provided in the GEOL_EXAMPLE worksheet.
</t>
  </si>
  <si>
    <t xml:space="preserve">
• The terms “shale breccia” should be avoided and be described as “(matrix rock type) with irregular (clast rock type) clasts (estimate proportion %), matrix-supported / clast-supported”.
• The term “laminite” should be avoided in favour of the term “interlaminated primary rock type / secondary rock type”.
• The term “mudstone” should only be used if siltstone and claystone cannot be differentiated. 
• The term “shale” shall generally not be used.
• Residual soil and extremely weathered rock should be differentiated based on the presence of visible rock structure or fabric in the sample.
• Descriptions should be updated based on the results of any available laboratory testing</t>
  </si>
  <si>
    <t>GRAG</t>
  </si>
  <si>
    <t>Particle Size Distribution Analysis - General</t>
  </si>
  <si>
    <t>GRAT</t>
  </si>
  <si>
    <t>• GRAG is intended to report general information for particle size distribution testing carried out in accordance with BS EN ISO 17892-4.
• The data in GRAG_CRED indicates the accreditation status of the testing as a whole. Therefore if part of the test method used, for example the pipette rather than the sieve, is not accredited, the GRAG_CRED should be appropriately qualified or left empty.
• It should be noted that the results of percentage passing reported in GRAT_PERP are to 0DP, in accordance with BS EN ISO 17892-4, whereas the calculated proportions of the various particle size fractions reported in GRAG_VCRE, etc are to 1DP. This is intended to minimise any discrepancy, where the sum of the individual particle size fractions does not add up to exactly 100%, from using source data with a greater resolution than presented in the GRAT_PERP values rounded to 0DP.</t>
  </si>
  <si>
    <t>Particle Size Distribution Analysis - Data</t>
  </si>
  <si>
    <t>• None.</t>
  </si>
  <si>
    <t>HDIA</t>
  </si>
  <si>
    <t>Hole Diameter by Depth</t>
  </si>
  <si>
    <t>• HDIA describes the profile of final exploratory hole. Casing information for the final hole construction should be recorded in the CDIA group.
• HDIA_REM allows additional information on the hole construction to be included in the data file as necessary.</t>
  </si>
  <si>
    <t>HDPH</t>
  </si>
  <si>
    <t>Depth Related Exploratory Hole Information</t>
  </si>
  <si>
    <t>• HDPH is used to record information regarding exploratory hole construction. The HDPH group subdivides the hole development by depth such that the differing methods used to advance a hole or pit (or holes developed using combined methods) are explicitly described As a minimum, one record will exist in HDPH for each record in the LOCA group if the AGS file is transferring hole construction details.
• Records of orientation and inclination of the exploratory hole shall be included in the HORN group.
• Records in HDPH shall be continuous and non-overlapping.
• HDPH_LOG and HDPH_LOGD have been added to include the name of the person describing the strata in this section of the exploratory hole and date as required in BS EN ISO 14688-1 (Section 6) and BS EN ISO 14689 (Section 5). It is not deemed necessary to detail this information further for example in the GEOL group.</t>
  </si>
  <si>
    <t>HORN</t>
  </si>
  <si>
    <t>Exploratory Hole Orientation and Inclination</t>
  </si>
  <si>
    <t>• HORN is used to record the details of exploratory hole orientation and inclination.</t>
  </si>
  <si>
    <t>ICBR</t>
  </si>
  <si>
    <t>In Situ California Bearing Ratio Tests</t>
  </si>
  <si>
    <t>• ICBR_TYPE allows a description or abbreviation to be included to categorise the equipment and method of measurement.
• ICBR_SEAT allows the plunger seating force to be included in the data as required.
• ICBR_SURC allows the surcharge pressure to be recorded and the description for the ICBR_REM heading has been modified.
• ICBR_CONT allows the name of a specialist sub-contracting organization to be credited with the testing.</t>
  </si>
  <si>
    <t>IDEN</t>
  </si>
  <si>
    <t>In Situ Density Tests</t>
  </si>
  <si>
    <t xml:space="preserve">• None.
</t>
  </si>
  <si>
    <t>IFID</t>
  </si>
  <si>
    <r>
      <t xml:space="preserve">Geoenvironmental </t>
    </r>
    <r>
      <rPr>
        <i/>
        <sz val="10"/>
        <rFont val="Arial"/>
        <family val="2"/>
      </rPr>
      <t>in situ</t>
    </r>
    <r>
      <rPr>
        <sz val="10"/>
        <rFont val="Arial"/>
        <family val="2"/>
      </rPr>
      <t xml:space="preserve"> Testing</t>
    </r>
  </si>
  <si>
    <t>On Site Volatile Headspace Testing Using Flame Ionisation Detector</t>
  </si>
  <si>
    <t>• IFID is used to record the results of on-site volatile testing by means of headspace analysis using flame ionisation detectors.
• IFID_CRED added to permit details of any test accreditation if appropriate to be included in data.</t>
  </si>
  <si>
    <t>• IFID_RES shall generally be numeric data.  A text form shall only be used by addition of a prefixing operator to denote greater than or less than conditions i.e. &gt;200 when readings are above the reporting limit of the testing equipment.</t>
  </si>
  <si>
    <t>IPEN</t>
  </si>
  <si>
    <t>In Situ Hand Penetrometer Tests</t>
  </si>
  <si>
    <t>• IPEN_IPEN shall generally be numeric data.  A text form shall only be used by addition of a prefixing operator to denote greater than or less than conditions i.e. &gt;200 when readings are above the reporting limit of the testing equipment.</t>
  </si>
  <si>
    <t>All the readings from hand penetrometers should be recorded in unconfined compressive strength in kPa.</t>
  </si>
  <si>
    <t>IPID</t>
  </si>
  <si>
    <t>On Site Volatile Headspace Testing by Photo Ionisation Detector</t>
  </si>
  <si>
    <t>• IPID is used to record the results of on-site volatile testing by means of headspace analysis using photo ionisation detectors.
• IPID_CRED added to permit details of any test accreditation if appropriate to be included in data.
• Clause 7.9.8 of the updated SISG Specification advises ambient weather and temperature to be recorded at time of test. IPID_ENV and IPID_TEMP added to include this information.</t>
  </si>
  <si>
    <t>• IPID_RES shall generally be numeric data.  A text form shall only be used by addition of a prefixing operator to denote greater than or less than conditions i.e. &gt;200 when readings are above the reporting limit of the testing equipment.</t>
  </si>
  <si>
    <t>IRDX</t>
  </si>
  <si>
    <t>In Situ Redox Tests</t>
  </si>
  <si>
    <t>IRES</t>
  </si>
  <si>
    <t>In Situ Resistivity Tests</t>
  </si>
  <si>
    <t>ISAG</t>
  </si>
  <si>
    <t>Soakaway Tests - General</t>
  </si>
  <si>
    <t>ISAT</t>
  </si>
  <si>
    <t>Soakaway Tests - Data</t>
  </si>
  <si>
    <t>ISPT</t>
  </si>
  <si>
    <t>Standard Penetration Test Results</t>
  </si>
  <si>
    <t>• Where appropriate or requested, SPT equipment calibration certificates could be referred to in FILE_FSET.</t>
  </si>
  <si>
    <t>• If the test was extended to 100 blows (as described in ISO 22476-3), the data variable under ISPT_ROCK shall be 'Y'. To avoid ambiguity, in cases where the test was not extended the ISPT_ROCK data shall be 'N'.</t>
  </si>
  <si>
    <t xml:space="preserve">• Enter data for 3 interval tests in ISPT_INC1, ISPT_INC3, ISPT_INC5, ISPT_PEN1, ISPT_PEN3, ISPT_PEN5
• Blowcounts, N values and recovery lengths should be recorded. If any spoil is recovered, the recovery length in spoil shall be reported in SAMP_RECL.
</t>
  </si>
  <si>
    <t>IVAN</t>
  </si>
  <si>
    <t>In Situ Vane Tests</t>
  </si>
  <si>
    <t>• IVAN_ENV allows records of environmental conditions to be recorded. Where the test is down hole this field should be left empty as this has no bearing on the measurement made.</t>
  </si>
  <si>
    <t>• IVAN_IVAN and IVAN_IVAR data shall generally be numeric.  A text form can only be used by addition of a prefixing operator to denote greater than or less than conditions i.e. &gt;200 when readings are above the reporting limit of the testing equipment.</t>
  </si>
  <si>
    <t>LBSG</t>
  </si>
  <si>
    <t>Testing Schedule</t>
  </si>
  <si>
    <t>LBST</t>
  </si>
  <si>
    <t>• The LBSG group is used to describe the testing schedules generated on a project.
• One data row in this group represents the issue of one schedule to a laboratory or testing organization.
• Any general requirements for the test schedule, for example, dates for completion, contact details, should be included in this group. Details of the test required are provided in the LBST group against the samples.</t>
  </si>
  <si>
    <t>Testing Schedule Details</t>
  </si>
  <si>
    <t>• The LBST group is used to describe instructions and requirements to be passed to the laboratory regarding testing on samples.
• Each data row represents a test on a sample. Therefore sample details will be repeated for each test scheduled on that sample.
• LBSG_REF provides the link between the test and the test schedule details.
• LBST_TEST is the specific code or name of the particular test required on the sample. Whilst these will be drawn from standards, the test names are typically unique to laboratories or maybe linked to a particular contract specification. At the outset of scheduling testing the list of test names that are particular to a project or contract should ascertained and used as a pick-list in any information system generating LBST data. It is envisaged that laboratories or contract specifications can provide coded lists for test details that would be suitable for LBST_TEST data.
• The headings of LBST_TTYP, LBST_METH, LBST_PREP, LBST_DEPN allow for descriptions of the test name/method or standard, specific method details or test parameters, test specimen preparation and dependent options or comments. For any test some or all of these data items may be required to fully define the test. An example of the type of information that could be included under these headings could be:
LBST_TEST = “CBR”
LBST_TTYP = “California Bearing Ratio. BS1377 : 1990 : Part 4 , Section 7”
LBST_METH = “Top and Base. Surcharge mass 100 kPa”
LBST_PREP = “Recompacted (see Remarks for compaction details), Soaked”
LBST_DEPN = “Advise if sample unsuitable”
• The group also includes headings that can be used by the testing laboratory to report testing progress or highlight problems with carrying out the instructed testing; LBST_STAT, LBST_DETL and LBST_DONE. If data is provided under these headings to the organization that schedules the tests, they can use the information to track progress and monitor completion
• LBST_STAT is used to describe the status of testing. Typically this would include standard phrases rather than detailed descriptions such as ‘Scheduled’, ‘Restricted’, ‘In progress’, ‘Completed’.
• Details of testing restrictions, for example insufficient or unsuitable sample, should be included under LBST_DETL. The transfer of LBST could provide a suitable method for laboratories to advise on testing restrictions, for example, returning a file containing all LBST records with an LBST_STAT of ‘Restricted’.</t>
  </si>
  <si>
    <t>LDEN</t>
  </si>
  <si>
    <t>Density Tests</t>
  </si>
  <si>
    <t>• Measurements of density on rock materials should be reported in RDEN.</t>
  </si>
  <si>
    <t>LDYN</t>
  </si>
  <si>
    <t>Dynamic Testing</t>
  </si>
  <si>
    <t xml:space="preserve">• LDYN is to be used to report dynamic testing on soil and rock materials.
• The measurements of bulk density, dry density, water/moisture content, porosity and saturation that described the test specimen condition related to these tests should be recorded in RDEN.
</t>
  </si>
  <si>
    <t>LFCN</t>
  </si>
  <si>
    <t>Laboratory Fall Cone Test</t>
  </si>
  <si>
    <t>LLIN</t>
  </si>
  <si>
    <t>Linear Shrinkage Tests</t>
  </si>
  <si>
    <t>• The LLIN group is included to transfer linear shrinkage tests. Shrinkage limit is to be transferred using the LSLT group.</t>
  </si>
  <si>
    <t>LLPL</t>
  </si>
  <si>
    <t>Liquid and Plastic Limit Tests</t>
  </si>
  <si>
    <t>LNMC</t>
  </si>
  <si>
    <t>Water/moisture Content Tests</t>
  </si>
  <si>
    <t>• This group shall be for water (moisture) content tests (usually synonymous with ‘as received’) carried out as individual or separate tests. Where a water content is measured as part of another test (e.g. a triaxial test), the water content shall be transferred in that group under the appropriate heading.
• Water/moisture content corrected for material &gt;425um and fluid content are not included as automatic headings. Apart from being very rarely used (in the UK), these are usually dependent upon assumptions about representativity, water content retention in coarse material or salt content in pore water.  It is better left to the recipient of the data to interpret these other parameters which are not specified requirements of water content (or index) standards. It could be argued that if fluid content were to be included here, it should also be in all tests with water content.</t>
  </si>
  <si>
    <t>Location Details</t>
  </si>
  <si>
    <t>• LOCA is used to transfer the spatial location of all exploratory locations where data has been recorded. This includes the location of exploratory holes, sampling points or other locations where an observation / test has been made, or a sample / measurement taken.
• The LOCA_TYPE code is used to categorise the type of activity that has occurred at the location.
• The details of exploratory hole construction are contained in the HDPH group. If LOCA_TYPE codes are used that represent the type of exploratory hole construction then they must be correlated with the code or combinations of codes in HDPH_TYPE. Alternatively the code 'EH' could be used to represent an Exploratory Hole the details of which are contained in HDPH.
• If the AGS data file includes information on construction items, then LOCA would also include references to these locations.
• LOCA_ID must be unique for the project and should be unique for the site to allow for consolidation of data. Consideration of this needs to be made at the outset of the project. Typically the consulting engineer or designer allows for this in specifying hole or location identifiers.
• LOCA_FDEP will generally be null for location points other than exploratory holes, pits, piles or other below ground constructed elements.
• Two headings, LOCA_LOCA and LOCA_CLST, provide a heading for tags of hole groupings. These groupings would typically be specified by the Investigation Supervisor/Designer rather than the Ground Investigation Contractor. LOCA_LOCA should be used to define the grouping of a hole by site location, whereas LOCA_CLST is typically used to indicate investigation phase. If codes are used to define these location or phase data, then the codes shall be defined in the ABBR group.
• LOCA_OFFS, LOCA_CNGE and LOCA_ALID allow location data to be presented by chainage and offset to an alignment as typically used for location on road and rail projects. The data included in these headings will probably be expressed in project related units. For example, offset can be defined as positive or negative (e.g. +10 or -12). Chainage on UK railway projects may well be expressed in miles and chains (e.g. 10 mi 1 ch).</t>
  </si>
  <si>
    <t>• For the transfer of proposed exploratory locations, the designer shall use the LOCA group with LOCA_STAT = 'PROPOSED', noting that the LOCA group does not accommodate both proposed and as-built data for a single position (such as co-ordinates), this is considered a data management issue.</t>
  </si>
  <si>
    <t>• For LOCA_TYPE, use "SCP" for Cone Penetration Test and a typical borehole which used auger, washbore and rock coring would be "AUGH+W+RC"</t>
  </si>
  <si>
    <t>LPDN</t>
  </si>
  <si>
    <t>Particle Density Tests</t>
  </si>
  <si>
    <t>LPEN</t>
  </si>
  <si>
    <t>Laboratory Hand Penetrometer Tests</t>
  </si>
  <si>
    <t>LRES</t>
  </si>
  <si>
    <t>Laboratory Resistivity Tests</t>
  </si>
  <si>
    <t>• The water conductivity LRES_WCND may be included from relevant testing. For tests with natural water content values may come from suitable water collected in boreholes or, where water is added, a combination of in situ values and  those of the added water.
• The method used including the container shape (LRES_CSHP) and test geometry (LRES_PENT) should be included.</t>
  </si>
  <si>
    <t>LSLT</t>
  </si>
  <si>
    <t>Shrinkage Limit Tests</t>
  </si>
  <si>
    <t>• Group LSLT is to be used to report shrinkage limit tests on soils.
• The LLIN group is to be used to report linear shrinkage tests.</t>
  </si>
  <si>
    <t>LSTG</t>
  </si>
  <si>
    <t>Initial Consumption of Lime Tests - General</t>
  </si>
  <si>
    <t>LSTT</t>
  </si>
  <si>
    <t>Initial Consumption of Lime Tests - Data</t>
  </si>
  <si>
    <t>LSWL</t>
  </si>
  <si>
    <t>Swelling Index Testing</t>
  </si>
  <si>
    <t>• The LSWL group should be used for swelling tests on both soil and rock materials.</t>
  </si>
  <si>
    <t>LTCH</t>
  </si>
  <si>
    <t>Laboratory Thermal Conductivity</t>
  </si>
  <si>
    <t>LUCT</t>
  </si>
  <si>
    <t>Laboratory Unconfined Compression Test</t>
  </si>
  <si>
    <t xml:space="preserve">• This group is for soil testing (ISO). Please refer to the RUCS group for reporting rock UCS testing (ISRM or ASTM).
</t>
  </si>
  <si>
    <t>LVAN</t>
  </si>
  <si>
    <t>Laboratory Vane Tests</t>
  </si>
  <si>
    <t>• LVAN_VNPK and LVAN_VNRM should generally be numeric data.  A text form can only be used by addition of a prefixing operator to denote greater than or less than conditions i.e. &gt;200 when readings are above the reporting limit of the testing equipment.</t>
  </si>
  <si>
    <t>• LVAN_VNPK and LVAN_VNRM shall generally be numeric data.  A text form shall only be used by addition of a prefixing operator to denote greater than or less than conditions i.e. &gt;200 when readings are above the reporting limit of the testing equipment.</t>
  </si>
  <si>
    <t>MCVG</t>
  </si>
  <si>
    <t>MCV Tests - General</t>
  </si>
  <si>
    <t>MCVT</t>
  </si>
  <si>
    <t>MCV Tests - Data</t>
  </si>
  <si>
    <t>• MCVT_BDEN is included to allow reporting of bulk density of the specimen after test. However, the requirement and procedure for this is not covered by BS1377.
• MCVT_DIFF and MCVT_RAPD are proposed to allow adequate and unambiguous reporting of a rapid assessment test.</t>
  </si>
  <si>
    <t>MOND</t>
  </si>
  <si>
    <t>Monitoring Installations, Instruments and Readings</t>
  </si>
  <si>
    <t>Monitoring Readings</t>
  </si>
  <si>
    <t>MONG</t>
  </si>
  <si>
    <t>• MOND is used to transfer measurements or readings from instruments or geoenvironmental monitoring equipment. Geoenvironmental sampling (and laboratory testing should be included in the SAMP/ELRG groups).
• This group covers the scope of data included in AGS3 within groups MONR and ICCT.
• MOND_TYPE defines the reading but not the instrument type nor units (which are defined by MONG_TYPE and MOND_UNIT respectively). 
A full list of abbreviations is provided on the AGS website www.agsdataformat.org.uk.
• Units included in MOND_UNIT must be fully defined in the UNIT group (Rule 15). It is possible that units require conversion when the data is received and amalgamated into project databases to ensure that data are consistent across monitoring tranches and appropriate for the assessment.
• Where an instrument records more than one parameter with each reading, for example the three components for a survey total station, or the temperature and pressure then each reading has separate entry.
• Allowance has been made for recording peak and steady gas concentrations which are a requirement of the SISG specification and CIRIA C665 report / BS8676:2013.
• If an incident affects a particular instrument or a particular data reading in a single instrument then it is best reported as a remark in MOND_REM on the date and time at which it occurred or was noted, and associated with the particular reading that is affected e.g. 'Installation vandalised. Cover damaged'.
• If there is an event on the site that is of a more general nature that may affect the results on a number of instruments then this can be reported in PREM or TREM as a time related remark.</t>
  </si>
  <si>
    <t>• MOND_RDNG shall generally be numeric data.  A text form shall only be used by addition of a prefixing operator to denote greater than or less than conditions i.e. &gt;200 when readings are above the reporting limit of the testing equipment.
• Where a reading has no unit, the MOND_UNIT data shall be set to "UNITLESS".
• Units included in MOND_UNIT shall be fully defined in the UNIT group (Rule 15), the unit group is case sensitive. 
• Data type for data field heading MOND_UNIT shall not be changed from PU.</t>
  </si>
  <si>
    <t>Monitoring Installations and Instruments</t>
  </si>
  <si>
    <t>• Each monitoring point should have a unique identification detailed in MONG_ID. Typically this reflects the actual reference or marking on the instrument.
• MONG_DETL should be used to describe the instrument/sensor location or parameter in specific terms.
• MONG_CONT used to include details of which organization installed the monitoring device.
• PIPE_REF is to be used to link the monitoring installation with the appropriate pipe within an installation (for example where there is both a shallow and a deep installation).</t>
  </si>
  <si>
    <t>PIPE</t>
  </si>
  <si>
    <t>Monitoring Installation Pipe Work</t>
  </si>
  <si>
    <t>• PIPE is to be used to transfer pipe work lengths installed in an exploratory hole to provide instrumentation access. 
• A data row is included for each pipe length/type/diameter combination in a hole.
• PIPE_TYPE would typically define the graphics used to represent the installation pipe work on reports or diagrams.</t>
  </si>
  <si>
    <t>PLTG</t>
  </si>
  <si>
    <t>Plate Loading Tests - General</t>
  </si>
  <si>
    <t>PLTT</t>
  </si>
  <si>
    <t xml:space="preserve">• PLTG is to be used to transfer plate load tests. One data row in this group represents a test and loading cycle.
• The Factors a0, a1 and a2 are determined in testing carried out to the DIN standard and would not be appropriate for testing to other standards.
• PLTG_EV2 is normally only completed when PLTG_CYC = 2.
</t>
  </si>
  <si>
    <t>Plate Loading Tests - Data</t>
  </si>
  <si>
    <t>• PLTT is used to transfer the load settlement readings from a test/load cycle of a plate load test.</t>
  </si>
  <si>
    <t>PMTD</t>
  </si>
  <si>
    <t>Pressuremeter Test Data</t>
  </si>
  <si>
    <t>PMTG</t>
  </si>
  <si>
    <t>Due to potential conflict of interpretation for definitions of PMTD_ARM1, PMTD_ARM2 and PMTD_ARM3, and suggested use of additional arm displacement headings (i.e. PMTD_ARM4 etc) these have been deprecated and replaced with field headings for separate reporting of arm and axis displacements.
PMTD_AX1, PMTD_AX2 and PMTD_AX3 are used to report displacements across the pressuremeter axis. This is the change in diameter across the outside of the pressuremeter membrane (and Chinese lantern strips or other protective sheath if fitted) as measured on the inside of the membrane by a single arm (3 arm pressuremeter) or pair of diametrically opposite arms (6 arm pressuremeter) and adjusted for the thickness of the membrane (including effects of membrane compression and thinning with expansion). 
Displacements measured directly by individual arms are reported using PMTD_SA1 etc, according to the number of displacement measuring arms fitted.
PMTD_SAME is used to report the mean arm displacement.
• Pressuremeters not fitted with internal strain arms (e.g. Menard type pressuremeters), where the volumetric expansion of the pressuremeter is measured by recording the volume of fluid entering the system, will have no data for PMTD_ARM1, 2 and 3. The volume change in the test cell entered in PMTD_VOL is the volumetric change measured at the surface corrected for line expansion, etc.
• Previous requirements to record the pressure against each arm/axis of the equipment have been removed and replaced with the total pressure in the test cell PMTD_TPC. The total pressure is measured inside the pressuremeter with a pressure cell. The measured pressure is corrected for the inherent stiffness of the membrane – the amount of pressure to inflate the membrane when the pressuremeter is out of the ground. This amount is assessed by a membrane calibration where the membrane is inflated in free air. The pressure correction is subtracted from the measured pressure to get the pressure exerted on the ground.
• PMTD_TPC is the pressure imposed by the outside of the membrane; i.e. that required to expand the pressuremeter, corrected for the inherent membrane stiffness. For modern type pressuremeters this is normally measured inside the pressuremeter by one or more electronic transducers. For instruments without internal pressure transducers, where the pressure is measured at the surface, PMTD_TPC will also include corrected for the elevation head due to the difference in height between the pressuremeter instrument in the borehole and the measuring equipment at the surface.</t>
  </si>
  <si>
    <t>Pressuremeter Test Results - General</t>
  </si>
  <si>
    <t>PMTD+PMTL</t>
  </si>
  <si>
    <t>• PMTG (together with PMTD and PMTL) are used to record pressuremeter tests using standard pressuremeters, including Menard type pressuremeters, self-boring pressuremeters, pre-bored pressuremeters (dilatometers) and full-displacement pressuremeters (e.g. cone pressuremeters). 
• PMTG_NUAR has been added to record the number of displacement measurement 'arms' for the pressuremeter used. This data variable will be null (Rule 12) for devices based on volume measurement (e.g. original Menard pressuremeter).
• PMTG_ORNT has been added to record the orientation of Arm 1 as clockwise angle in degrees relative to North.
• Interpretation of parameters is conventionally carried out on average displacements measured on the three instrument axes (generally by 3 or 6 arms), however, alternative arm combinations may be used where readings from one or more arms are considered to be unrepresentative. The arm combination is recorded in PMTG_AXIS; likely combinations for a 6 arm device would be Average arms, Odd arms (arms 1, 3 and 5), Even arms (arms 2, 4 and 6), Axis 1 (arms 1 and 4), etc. If one or more arms/axes are excluded this should be noted in PMTG_REM.</t>
  </si>
  <si>
    <t>PMTL</t>
  </si>
  <si>
    <t>Pressuremeter Test Results - Individual Loops</t>
  </si>
  <si>
    <t>• PMTL is used to transfer summary details of test loops. If detailed information is required on test loop data this would be provided as attached files and listed under FILE_FSET in the PMTG group.
• Additional headings PMTL_NLSA and PMTL_NLSB have been added to include for data from Bolton and Whittle’s (1999) interpretation of unload-reload loops to derive non-linear stiffness parameters. The interpretation gives two parameters, sometimes referred to as the linearity exponent and shear stress coefficient (Beta and alpha respective).
• PMTL_AXIS is used to report which arm combination has been used for analysis of the test loops in the same way as defined for PMTG_AXIS given above.</t>
  </si>
  <si>
    <t>PREM</t>
  </si>
  <si>
    <t>Project Specific Time Related Remarks</t>
  </si>
  <si>
    <t>• PREM may be used to report a site diary of key events e.g. 'Heavy rain for 2 days, site flooded'.
• TREM should be used to record general remarks that are related to a site location.
• PREM_ETIM and PREM_DURN could be different depending on the nature of the activity or commentary. Where there are differences in elapsed time and duration these would be explained or expanded on in PREM_REM.</t>
  </si>
  <si>
    <t>PTIM</t>
  </si>
  <si>
    <t>Boring/Drilling Progress by Time</t>
  </si>
  <si>
    <t>• PTIM is used to record information on the development of the exploratory hole, including readings of depth of hole, casing and water level at the start and end of shift.</t>
  </si>
  <si>
    <t>PTST</t>
  </si>
  <si>
    <t>Laboratory Permeability Tests</t>
  </si>
  <si>
    <t>PUMG</t>
  </si>
  <si>
    <t>Pumping Tests - General</t>
  </si>
  <si>
    <t>PUMT</t>
  </si>
  <si>
    <t>• PUMG is to be used to record the general arrangements and details of pumping test.</t>
  </si>
  <si>
    <t>Pumping Tests - Data</t>
  </si>
  <si>
    <t>• The general information about the pumping test should be recorded in the PUMG group.
• Records for observation holes and piezometers during the tests can be recorded in MONG and MOND.</t>
  </si>
  <si>
    <t>RCAG</t>
  </si>
  <si>
    <t>Rock Abrasiveness Tests - General</t>
  </si>
  <si>
    <t>RCAT</t>
  </si>
  <si>
    <t>• This group is for reporting the results of rock abrasiveness tests carried out by the CERCHAR method in accordance with ISRM Suggested Method for Determining the Abrasivity of Rock by the CERCHAR Abrasivity Test (2013)</t>
  </si>
  <si>
    <t>Rock Abrasiveness Tests - Data</t>
  </si>
  <si>
    <t>RCCV</t>
  </si>
  <si>
    <t>Chalk Crushing Value Tests</t>
  </si>
  <si>
    <t>• Group added to report data specific to the Chalk Crushing Value test to BS1377 part 4 Clause 6.
• The saturated water/moisture content should be reported in RDEN_SMC.</t>
  </si>
  <si>
    <t>RDEN</t>
  </si>
  <si>
    <t>Rock Porosity and Density Tests</t>
  </si>
  <si>
    <t>• Measurements of density on soil materials should be reported in LDEN.
• RDEN_PDEN is denoted as the 'apparent particle density' reflecting fact that it is calculated rather than measured. This may not be the same as the particle density of the solid material.</t>
  </si>
  <si>
    <t>RELD</t>
  </si>
  <si>
    <t>Relative Density Tests</t>
  </si>
  <si>
    <t>• The maximum and minimum on sands has the possibility of being on two different sizes, &lt;6.3mm (max) and &lt;2mm (min). Since the minimum density is a discreet test the percentage retained 2mm should be the total and not that between 6.3 and 2mm - as may be derived in practice.</t>
  </si>
  <si>
    <t>RESC</t>
  </si>
  <si>
    <t>Resonant Column Test - Consolidation</t>
  </si>
  <si>
    <t>RESG</t>
  </si>
  <si>
    <t>RESD</t>
  </si>
  <si>
    <t>Resonant Column Test - Data</t>
  </si>
  <si>
    <t>RESP</t>
  </si>
  <si>
    <t>Resonant Column Test - General</t>
  </si>
  <si>
    <t>RESC+RESD+RESS</t>
  </si>
  <si>
    <t>• Sample photos before and after the test may be included in FILE_FSET</t>
  </si>
  <si>
    <t>Resonant Column Test - Derived Parameters</t>
  </si>
  <si>
    <t>RESS</t>
  </si>
  <si>
    <t>Resonant Column Test - Saturation</t>
  </si>
  <si>
    <t>RPLT</t>
  </si>
  <si>
    <t>Point Load Testing</t>
  </si>
  <si>
    <t>• A list has been defined for RPLT_PLTF to include the test abbreviations derived from the ISRM Suggested Method (ISRM, 2007). Typically a test will include combined abbreviations to represent the sample type/orientation and the direction of the test with respect to bedding. For example a piece of core tested across the diameter and along the bedding direction will be coded as A+L. Reference: ISRM: 2007 : The Complete ISRM Suggested Methods for  Rock Characterisation , Testing and Monitoring : 1974-2006.</t>
  </si>
  <si>
    <t>The Australian Standard for Point Load includes rocks less than 15MPa, therefore the data type has been changed to 2SF in order to capture lower strength rocks.</t>
  </si>
  <si>
    <t>RSCH</t>
  </si>
  <si>
    <t>Schmidt Rebound Hardness Tests</t>
  </si>
  <si>
    <t>RSHR</t>
  </si>
  <si>
    <t>Shore Scleroscope Hardness Tests</t>
  </si>
  <si>
    <t>RTEN</t>
  </si>
  <si>
    <t>Tensile Strength Testing</t>
  </si>
  <si>
    <t>RUCS</t>
  </si>
  <si>
    <t>Rock Uniaxial Compressive Strength and Deformability Tests</t>
  </si>
  <si>
    <t>• The units and accuracy for UCS are not prescribed in ISRM and the conventional MPa to 3SF is adopted here. ISRM defines GPa to 3SF for Young’s modulus and as such this is also adopted. 
• ISRM specifies stress rate MPa/s but most tests are performed at a rate of loading kN/s or kN/min, and sometimes under strain controlled conditions for deformability. The results should always be converted and reported as MPa/s where necessary. 
• RUCS_E, RUCS_ESTR and RUCS_ETYP have been deprecated to allow for reporting of Young’s modulus secant, tangent and average simultaneously.
• RUCS_MU has been deprecated to allow for reporting of Poisson's ratio secant, tangent and average simultaneously.</t>
  </si>
  <si>
    <t>RWCO</t>
  </si>
  <si>
    <t>Water Content of Rock Tests</t>
  </si>
  <si>
    <t>Sample Information</t>
  </si>
  <si>
    <t>• The SAMP group is used to record all samples; e.g. those taken during field sampling or monitoring or sub-samples created in the laboratory.
• SAMP_ID has been added to the sample key set. Unique sample identifiers can be used to enhance the process of reintegration of testing results from subcontract laboratories and/or used to contain barcode or pre-made label references.  The addition of the SAMP_ID heading into the SAMP group provides greater flexibility for accommodating different process methodologies. A full explanation of example uses of SAMP_ID are given in on the AGS website.
• SAMP_ID does not have to be used and can be NULL (Rule 12).  The remaining descriptive key/label headings can be used on their own.
• SAMP_LINK has been added to permit the source of samples to be fully detailed. The SAMP_LINK field is a Record Link (RL) format as defined in Rule 11 and accompanying Note v.
• In selecting abbreviations for use in SAMP_TYPE, allowance should be made for use of additional codification or suffixes to standard abbreviations to reflect the sample types and collection methods applying to measurement / payment purposes.
• SAMP_PREP allow details of the sample preparation to be included. This would typically be used to detail the precautions taken with samples for further chemical or environmental testing.
• SAMP_LOG and SAMP_DESD allow inclusion of the name of the person describing the sample and date this was carried out as required in BS EN ISO 14688-1, Section 6 and BS EN ISO 14689, Section 5.
• SAMP_COND has been included to provide for any comments on condition, representativeness and reliability of the sample which are requirements of EN ISO 14688-1 (Section 6) and BS 5930.  This heading together with the sample recovery SAMP_RECV provide useful data to those specifying laboratory scheduling. Data included if not 100%.
• The requirement of BS EN ISO 14688-1 (Section 6) and BS EN ISO 14689 (Section 5) to record the details of origin, collection and handling of samples are included in the associated groups.
• SAMP_ETIM and SAMP_DURN allow for data that describes the duration of sampling event if that is required. This can be important in environmental sampling applications.
• SAMP_CAPT provides for description of sample composition in the case of an amalgamated sample.</t>
  </si>
  <si>
    <t>• Core samples should only be recorded where material has specifically been retained/identified for testing - whole core runs (which may contain lengths of core loss) shall not be represented as a sample.
• A sample resulting from a SPT would be normally SAMP_TYPE = D</t>
  </si>
  <si>
    <t>SCDG</t>
  </si>
  <si>
    <t>Static Cone Dissipation Tests - General</t>
  </si>
  <si>
    <t>SCPG</t>
  </si>
  <si>
    <t>SCDT</t>
  </si>
  <si>
    <t>• SCDG is to be used to record the general information relating to dissipation tests carried out during static cone penetrometer testing.</t>
  </si>
  <si>
    <t>Static Cone Dissipation Tests - Data</t>
  </si>
  <si>
    <t>• SCDT is used to include the dissipation test readings converted from the measurement data using any required calibration factors.</t>
  </si>
  <si>
    <t>Static Cone Penetration Tests - General</t>
  </si>
  <si>
    <t>SCPT+SCPP</t>
  </si>
  <si>
    <t>• SCPG is used to record the general information about static cone penetration tests.
• Pressuremeter tests using CPT equipment (e.g. cone or driven pressuremeter) shall be recorded in the PMTG and associated groups.
• SCPG_FILT and SCPG_FRIC are included as they are reporting requirements of BS1377 and BS EN ISO 22476-1.
• SCPG_WATA is required to clarify origin of water level recorded in SCPG_WAT.
• SCPG_REM is used to transfer comments on the test and any interpreted parameters. SCPG_REM may refer to the STND group where full information on standards and references could be provided.
• CPT testing is frequently carried out by specialist sub-contractors. SCPG_CONT is included to record name of specialist sub-contractor.
• SCPG_CAR and SCPG_SLAR are included to transfer information used to calculate qt and ft.</t>
  </si>
  <si>
    <t>SCPP</t>
  </si>
  <si>
    <t>Static Cone Penetration Tests - Derived Parameters</t>
  </si>
  <si>
    <t>• The SCPP group is to be used to transfer derived soil parameters determined from CPT test data. The requirement for this information as part of ground investigation reporting shall be full specified at the outset of the investigation. The specification may need to detail the interpretative method(s) to be used.
• The interpretation is given a reference in SCPP_REF that defines who and possibly how the interpretation has been carried out.
• Details of the standards and methods used to carry out calculations need to be included in SCPG_REM. SCPG_REM may in turn refer to the STND group where full information on standards and references may be provided.
• Where soil type interpretation leading to borehole style stratum descriptions is carried out the information should be entered in GEOL.
• The coefficient of consolidation is calculated from dissipation testing data which is included in SCDG and SCDT.</t>
  </si>
  <si>
    <t>• SCPP_BASE may be empty
• User defined headings can be made for additional parameters</t>
  </si>
  <si>
    <t>SCPT</t>
  </si>
  <si>
    <t>Static Cone Penetration Tests - Data</t>
  </si>
  <si>
    <t>• SCPT is used to include the readings from the cone converted from the measurement data using any required calibration factors and other mathematical formulae employed by the measurement contractor in accordance with the specification.
• Readings included in group will depend on the test carried out. For example, the ground parameters measured and included in this group will depend on test type / cone.
• The fluorescence intensity, photo-multiplier tube readings, PID, FID and conductivity data require graphic interpretation. These have been removed.
• SCPT_BDEN and SCPT_ISPP allow for complex assumptions on density and piezometric profiles. Explanation of these assumptions is required within SCPG_REM.
• The requirements for transfer of data in SCPT should be fully specified at the outset of testing in the investigation specification.</t>
  </si>
  <si>
    <t>• Vertical offset corrections should have been applied, e.g. the cone sleeve offset, so that a row of readings is for the soil at SCPT_DPTH.
• If inclination data was recorded, inclination correction should be applied</t>
  </si>
  <si>
    <t>SHBG</t>
  </si>
  <si>
    <t>Shear Box Testing - General</t>
  </si>
  <si>
    <t>SHBT</t>
  </si>
  <si>
    <t>• Group SHBG and SHBT contain the processed results from soil or rock joint shear box tests. Raw data, such as the stresses and displacements at all points of the test are not included.</t>
  </si>
  <si>
    <t>Shear Box Testing - Data</t>
  </si>
  <si>
    <t>• SHBT_PDIN &amp; SHBT_RDIN - consolidation (flow of water out of specimen) to be reported as positive and dilatancy or swelling (flow of water into specimen) to be reported as negative.</t>
  </si>
  <si>
    <t>STND</t>
  </si>
  <si>
    <t>Standards / Specifications</t>
  </si>
  <si>
    <t>• STND may be used to state a list of standards, specifications and other reference documents that define the methods to which data has been collected and reported. For example, BS EN ISO 14688-1 (Section 6) and BS EN ISO 14689 (Section 5) describes that it should be clearly stated that the descriptions are based on visual and manual identification.
• Information on the scope of the data collected to each standard is included in STND_SCPE.</t>
  </si>
  <si>
    <t>SUCT</t>
  </si>
  <si>
    <t>Suction Tests</t>
  </si>
  <si>
    <t>TNPC</t>
  </si>
  <si>
    <t>Ten Per Cent Fines</t>
  </si>
  <si>
    <t>TREG</t>
  </si>
  <si>
    <t>Triaxial Tests - Effective Stress - General</t>
  </si>
  <si>
    <t>TRET</t>
  </si>
  <si>
    <t>• TREG and TRET are to be used for the reporting of effective stress testing.</t>
  </si>
  <si>
    <t>TREM</t>
  </si>
  <si>
    <t>Location Specific Time Related Remarks</t>
  </si>
  <si>
    <t>• TREM_COMP allows comments to be related to specific activities or components of work occurring at the location given by LOCA_ID. This heading can be used to tag similar construction activities occurring at multiple locations or identify specific construction elements.
• TREM_DURN allows the length of time associated with a particular event to be included if this is appropriate.</t>
  </si>
  <si>
    <t>Triaxial Tests - Effective Stress - Data</t>
  </si>
  <si>
    <t>• The information in this group is only used in conjunction with the detailed laboratory reports.
• TRET_STV - consolidation (flow of water out of specimen) to be reported as positive and dilatancy or swelling (flow of water into specimen) to be reported as negative.</t>
  </si>
  <si>
    <t>TRIG</t>
  </si>
  <si>
    <t>Triaxial Tests - Total Stress - General</t>
  </si>
  <si>
    <t>TRIT</t>
  </si>
  <si>
    <t>• The data reported from total and effective stress testing is different therefore TREG and TRET has been added for the reporting of effective stress testing. LUCT should be used for Laboratory Unconfined Compression Tests
• Standard testing methods normally report the Cu value against each test specimen and defer from providing an assessed Cu value for a set of specimens from a sample. This data is therefore included in the TRIT group.</t>
  </si>
  <si>
    <t>Triaxial Tests - Total Stress - Data</t>
  </si>
  <si>
    <t>• Individual stage undrained shear strength values should be included as TRIT_CU. Interpretation is usually beyond the remit of the geotechnical testing laboratory.
• The information in this group is only used in conjunction with the detailed laboratory reports.</t>
  </si>
  <si>
    <t>WADD</t>
  </si>
  <si>
    <t>Water Added Records</t>
  </si>
  <si>
    <t>• WADD is to be used to record details of water added to exploratory holes.</t>
  </si>
  <si>
    <t>WETH</t>
  </si>
  <si>
    <t>Weathering</t>
  </si>
  <si>
    <t xml:space="preserve">• WETH_SCH  and WETH_SYS are used to identify the weathering scheme utilised and whether it is the material or mass that is described in accordance with BS 5930.
• This means that as well as special descriptions specific to rock types (e.g. in the UK: Chalk, Mercia Mudstone) other systems can be used. This then allows the use of: 
Grades = I to VI, Zones = 1 to 6, Classes = A to E, for example, or more complex classifiers.  These are all systems/methods currently practised in the UK. The BS and EN refer to weathering of rocks but there have also been weathering classifications derived for soils (Solid strata on BGS maps) such as the London Clay. </t>
  </si>
  <si>
    <t xml:space="preserve">• AS 1726-2017 weathering terms should be used. 
• Where the rock is transitioning between successive weathering grades, the more weathered classification shall be entered in WETH_WETH (e.g. SW) and the less weathered classification shall be entered in WETH_GRDX (e.g. FR)
</t>
  </si>
  <si>
    <t>• AS 1726 makes reference to the strength of the rock, with colour only provided as a typical indication of the degree of weathering. As such, the comparison of the expected strength of the fresh rock compared to the weathered rock shall take precedence over the colour.</t>
  </si>
  <si>
    <t>WGPG</t>
  </si>
  <si>
    <t>Geophysics Downhole</t>
  </si>
  <si>
    <t>Wireline Geophysics - General</t>
  </si>
  <si>
    <t>WGPT</t>
  </si>
  <si>
    <t>• WGPG_TOOL abbreviations could be the name of the test reference. Examples of WGPG_CODE include: SGR – Spectral Gamma, CAL3 – 3 arm calliper
• Good practice dictates that Instrument method, upper reading detection limits are provided as part of the appendix of the test
• WGPG_CDIA is intentionally a text field recording the information provided to the wireline surveyors from the drilling operations to compare it to the information reported in CDIA (Casing Diameter by Depth) group.
• WGPG_STRT shall report the test top depth and WGPG_STOP shall report the base depth, irrespective of direction the test was run.</t>
  </si>
  <si>
    <t>Wireline Geophysics - Readings</t>
  </si>
  <si>
    <t>• WGPT_CAS defines if the reading was carried out in open hole, cased hole, PVC cased. Example of WGPT_CAS include: OH = Open hole; CH = Cased hole; PVC = PVC cased; 6IN = 6 inch casing; PQ = PQ size casing; SLOT = Slotted casing
• Refer to parent group for definition of WGPG_TOOL, WGPT_PARA.
• Where the heading has no unit the WGPT_UNIT data variable shall be set to "UNITLESS”.</t>
  </si>
  <si>
    <t>• Where a reading has no unit, the WGPT_UNIT data shall be set to "UNITLESS".
• Units included in WGPT_UNIT shall be fully defined in the UNIT group (Rule 15), the unit group is case sensitive. 
• Data type for data field heading WGPT_UNIT shall not be changed from PU.</t>
  </si>
  <si>
    <t>WINS</t>
  </si>
  <si>
    <t>Window or Windowless Sampling Run Details</t>
  </si>
  <si>
    <t>• WINS is used to record the details of window sampling runs.</t>
  </si>
  <si>
    <t>WSTD</t>
  </si>
  <si>
    <t>Water Strike - Details</t>
  </si>
  <si>
    <t>WSTG</t>
  </si>
  <si>
    <t>• See notes provided with WSTG.</t>
  </si>
  <si>
    <t>Water Strike - General</t>
  </si>
  <si>
    <t>• WSTG and WSTD are used to record information on the behaviour of water encountered during development of an exploratory hole.
• Water levels recorded during sampling or testing in exploratory holes are recorded in the appropriate group together with the related data. Water readings in installations (e.g. piezometers) are recorded in Group MOND.</t>
  </si>
  <si>
    <t>• PTIM should be used for water level at the start and end of shift, rather than WSTK</t>
  </si>
  <si>
    <t>RCKA</t>
  </si>
  <si>
    <t>Rock Alteration</t>
  </si>
  <si>
    <t>New 4.1 AU 1.0</t>
  </si>
  <si>
    <t>4.1 AU 1.0</t>
  </si>
  <si>
    <t>reviewed</t>
  </si>
  <si>
    <t>RCKS</t>
  </si>
  <si>
    <t>Rock Strength</t>
  </si>
  <si>
    <t xml:space="preserve"> The ratio used in assessment of strength from point load tests should be stated in RPLT_COR</t>
  </si>
  <si>
    <t>AGS 3.1 RTA 1.1</t>
  </si>
  <si>
    <t>• Strength logs are to be based on Uniaxial Confined Strength (UCS) testing performed at close to the in situ moisture content as possible. 
• Where UCS results are not scheduled, the strength shall be based on Is(50). The Is(50) should be perpendicular to any fabric. 
• In the absence of material or project-specific correlation, a ratio of 20 should be used for correlation with UCS and strength as per AS1726-2017.
' In the absence of material or project-specific correlation, a ratio of 20 should be used for correlation with UCS and strength as per AS1726-2017.</t>
  </si>
  <si>
    <t>SOLC</t>
  </si>
  <si>
    <t>Soil Consistency</t>
  </si>
  <si>
    <t>SOLM</t>
  </si>
  <si>
    <t>Soil Moisture Condition</t>
  </si>
  <si>
    <t>DCPI</t>
  </si>
  <si>
    <t>Dynamic Cone Penetrometer Tests / Dynamic Probe Tests - Interpretation</t>
  </si>
  <si>
    <t>• Based on results in DCPT and DPRB</t>
  </si>
  <si>
    <t>DMDG</t>
  </si>
  <si>
    <t>Flat Dilatometer Dissipation Test - General</t>
  </si>
  <si>
    <t>DMDT</t>
  </si>
  <si>
    <t>• DMDG is to be used to record the general information relating to dissipation tests carried out during the flat dilatometer test</t>
  </si>
  <si>
    <t>4.0.4 NZ 1.0.1</t>
  </si>
  <si>
    <t>ags 5.0 has a group for this</t>
  </si>
  <si>
    <t>no comment</t>
  </si>
  <si>
    <t>Geotechnical in situ Testing</t>
  </si>
  <si>
    <t>Flat Dilatometer Dissipation Test - Data</t>
  </si>
  <si>
    <t>• DMDT is used to include the dissipation test readings</t>
  </si>
  <si>
    <t>DMTG</t>
  </si>
  <si>
    <t>Flat Dilatometer Test and Seismic Dilatometer  (sDMT) - General</t>
  </si>
  <si>
    <t>DMTT+DMTP</t>
  </si>
  <si>
    <t>• DMTG is used to record the general information about flat dilatometer and seismic dilatometer tests.
• DMTG_GWD is required to clarify the origin of water level recorded in DMTG_WAT.
• Flat dilatometer testing us frequently carried out by specialist sub-contractors. DMTG_CONT is included to record the name of the specialist sub-contractor.</t>
  </si>
  <si>
    <t>DMTP</t>
  </si>
  <si>
    <t>Flat Dilatometer Test and Seismic Dilatometer  (sDMT) - Derived Parameters</t>
  </si>
  <si>
    <t>DMTT</t>
  </si>
  <si>
    <t>• The DMTP group is used to transfer derived soil parameters determined from DMT test data.
• The requirement for this information as part of ground investigation reporting must be fully specified at the outset of the investigation. The specification may need to detail the interpretative method(s) to be used.
• DMTP_REF can be used to define who and possibly how the interpretation has been carried out.
• DMTP_REM needs to include the details of the standards and methods used to carry out calculations.
• DMTP_REM may in turn refer to the STND group where full information on standards and references may be provided.</t>
  </si>
  <si>
    <t>Flat Dilatometer Test and Seismic Dilatometer  (sDMT) - Data</t>
  </si>
  <si>
    <t>• DMTT is used to include the readings from the measurement data using any required calibration factors and other mathematical formulae employed by the measurement contractor in accordance with the specification.
• Readings included in group will depend on test carried out. For example, the ground parameters measured and included in this group will depend on test type.</t>
  </si>
  <si>
    <t>ICBP</t>
  </si>
  <si>
    <t>In Situ CBR Penetration</t>
  </si>
  <si>
    <t>ICIV</t>
  </si>
  <si>
    <t>Clegg Impact Value</t>
  </si>
  <si>
    <t>IDER</t>
  </si>
  <si>
    <t>In Situ Density Readings</t>
  </si>
  <si>
    <t>IMAG</t>
  </si>
  <si>
    <t>Image</t>
  </si>
  <si>
    <t>ITCN</t>
  </si>
  <si>
    <t>In Situ Thermal Conductivity</t>
  </si>
  <si>
    <t>Wiertsema &amp; Partners</t>
  </si>
  <si>
    <t>COND</t>
  </si>
  <si>
    <t>Consolidation Deformation - Readings</t>
  </si>
  <si>
    <t>LCPF</t>
  </si>
  <si>
    <t>Compaction Factor</t>
  </si>
  <si>
    <t>LCPR</t>
  </si>
  <si>
    <t>Capillary Rise</t>
  </si>
  <si>
    <t>LCSI</t>
  </si>
  <si>
    <t>Core Shrinkage Index</t>
  </si>
  <si>
    <t>LCSR</t>
  </si>
  <si>
    <t>Core Shrinkage Readings</t>
  </si>
  <si>
    <t>LDIS</t>
  </si>
  <si>
    <t>Percent Dispersion</t>
  </si>
  <si>
    <t>LDYT</t>
  </si>
  <si>
    <t>Dynamic Testing - Test Data</t>
  </si>
  <si>
    <t>Golder AU</t>
  </si>
  <si>
    <t>LEMC</t>
  </si>
  <si>
    <t>Emerson Class</t>
  </si>
  <si>
    <t>LHIF</t>
  </si>
  <si>
    <t>Hilf Density Ratio and Moisture Variation</t>
  </si>
  <si>
    <t>LPHD</t>
  </si>
  <si>
    <t>Pinhole Dispersion Classification</t>
  </si>
  <si>
    <t>LSEQ</t>
  </si>
  <si>
    <t>Sand Equivalent</t>
  </si>
  <si>
    <t>LSIN</t>
  </si>
  <si>
    <t>Loaded Shrinkage Index</t>
  </si>
  <si>
    <t>LSSI</t>
  </si>
  <si>
    <t>Shrink-Swell Index</t>
  </si>
  <si>
    <t>RDGD</t>
  </si>
  <si>
    <t>Geotechnical Laboratory Testing (Rocks)</t>
  </si>
  <si>
    <t>Rock Drillability - Goodrich</t>
  </si>
  <si>
    <t>RDSJ</t>
  </si>
  <si>
    <t>Rock Drillability - Siever's J</t>
  </si>
  <si>
    <t>RTBM</t>
  </si>
  <si>
    <t>Rock Laboratory Test - TBM Test Suite</t>
  </si>
  <si>
    <t>SHBS</t>
  </si>
  <si>
    <t>Shear Box Readings</t>
  </si>
  <si>
    <t>SUCR</t>
  </si>
  <si>
    <t>Suction Readings</t>
  </si>
  <si>
    <t>TREV</t>
  </si>
  <si>
    <t>Triaxial Tests - Effective Stress - Readings</t>
  </si>
  <si>
    <t>DONG 21 Mar 2013</t>
  </si>
  <si>
    <t>TRIV</t>
  </si>
  <si>
    <t>Triaxial Tests - Total Stress - Readings</t>
  </si>
  <si>
    <t>PENR</t>
  </si>
  <si>
    <t>Penetration Resistance</t>
  </si>
  <si>
    <t>AAVS</t>
  </si>
  <si>
    <t>Aggregate Abrasion Value Steel</t>
  </si>
  <si>
    <t>This has been added as a key test associated with tunnel boring test suite</t>
  </si>
  <si>
    <t>ADEG</t>
  </si>
  <si>
    <t>Aggregate Degradation</t>
  </si>
  <si>
    <t>Degradation test AKA Wet/Dry strength AS 1141.22-2008</t>
  </si>
  <si>
    <t>ANAV</t>
  </si>
  <si>
    <t>Aggregate Norwegian Abrasion Value</t>
  </si>
  <si>
    <t>ASWB</t>
  </si>
  <si>
    <t>Aggregate Brittlness - Swedish</t>
  </si>
  <si>
    <t>LPXD</t>
  </si>
  <si>
    <t>Lab petrographic analysis and x-ray diffraction</t>
  </si>
  <si>
    <t>LTCT</t>
  </si>
  <si>
    <t>Laboratory Thermal Conductivity - Data</t>
  </si>
  <si>
    <t>IPLT</t>
  </si>
  <si>
    <t>Field Point Load Testing</t>
  </si>
  <si>
    <t>Use when tests done outside a laboratory</t>
  </si>
  <si>
    <t>CBRP</t>
  </si>
  <si>
    <t>California Bearing Ratio Tests - Readings</t>
  </si>
  <si>
    <t>SCPZ</t>
  </si>
  <si>
    <t>Static Cone Penetration Tests - Zeros</t>
  </si>
  <si>
    <t>COPY ROCK AND SOIL DESCRIPTIONS FROM AS AND SHOW IN WHICH FIELDS THE INFO NEEDS TO BE ENTERED</t>
  </si>
  <si>
    <t>Group</t>
  </si>
  <si>
    <t>Heading</t>
  </si>
  <si>
    <t>Suggested Unit</t>
  </si>
  <si>
    <t>Suggested Type</t>
  </si>
  <si>
    <t>Description</t>
  </si>
  <si>
    <t>Example 1 - from AS1726</t>
  </si>
  <si>
    <t>Example 2 - from AS1726</t>
  </si>
  <si>
    <t>Example 3 - from AS1726</t>
  </si>
  <si>
    <t>Example 4 - from AS1726</t>
  </si>
  <si>
    <t>*</t>
  </si>
  <si>
    <t>LOCA_ID</t>
  </si>
  <si>
    <t>ID</t>
  </si>
  <si>
    <t>Location identifier</t>
  </si>
  <si>
    <t>327-16A</t>
  </si>
  <si>
    <t>GEOL_TOP</t>
  </si>
  <si>
    <t>m</t>
  </si>
  <si>
    <t>2DP</t>
  </si>
  <si>
    <t>Depth to the top of stratum</t>
  </si>
  <si>
    <t>16.21</t>
  </si>
  <si>
    <t>GEOL_BASE</t>
  </si>
  <si>
    <t xml:space="preserve">Depth to the base of description </t>
  </si>
  <si>
    <t>17.25</t>
  </si>
  <si>
    <t>GEOL_DESC</t>
  </si>
  <si>
    <t>X</t>
  </si>
  <si>
    <t xml:space="preserve">General description of stratum </t>
  </si>
  <si>
    <t>Stiff grey silty CLAY</t>
  </si>
  <si>
    <t>CI CLAY with gravel, red-brown, medium plasticity, very stiff; gravel 20%, fine to medium, sub-rounded, moist, with desiccation cracks; residual</t>
  </si>
  <si>
    <t>SP SAND, trace silt, grey, medium grained, medium dense, dry, marine, Tomago Sandbeds</t>
  </si>
  <si>
    <t>ANDESITE, grey-blue, vertical columnar joints, columnar joints planar and rough. Triassic Mount Byron Volcanics.</t>
  </si>
  <si>
    <t>INTERBEDDED SANDSTONE WITH MUDSTONE: grey, sandstone: grey-green mudstone; laminations spaced 10-20 mm. Ordovician Eildon Formation</t>
  </si>
  <si>
    <t>INTERLAMINATED SANDSTONE AND SILTSTONE: 60% light grey sandstone; 40% dark grey siltstone; indistinct bedding, laminations at 5 degrees, 10 mm typical spacing</t>
  </si>
  <si>
    <t>MIXTURE OF Clayey SAND AND COBBLES/BOULDERS; 70% Sand is … ; 30% Cobbles/boulders is … matrix supported</t>
  </si>
  <si>
    <t>GEOL_LEG</t>
  </si>
  <si>
    <t>PA</t>
  </si>
  <si>
    <t>Legend code</t>
  </si>
  <si>
    <t>201</t>
  </si>
  <si>
    <t>AU802</t>
  </si>
  <si>
    <t>GEOL_GEOL</t>
  </si>
  <si>
    <t>Geology code</t>
  </si>
  <si>
    <t>LC</t>
  </si>
  <si>
    <t> </t>
  </si>
  <si>
    <t>GEOL_GEO2</t>
  </si>
  <si>
    <t>Second geology code</t>
  </si>
  <si>
    <t xml:space="preserve">SAND </t>
  </si>
  <si>
    <t>GEOL_STAT</t>
  </si>
  <si>
    <t>Stratum reference shown on trial pit or traverse sketch</t>
  </si>
  <si>
    <t>1</t>
  </si>
  <si>
    <t>GEOL_BGS</t>
  </si>
  <si>
    <t>BGS Lexicon code</t>
  </si>
  <si>
    <t>CHAM</t>
  </si>
  <si>
    <t>GEOL_FORM</t>
  </si>
  <si>
    <t>Geological formation or stratum name</t>
  </si>
  <si>
    <t>Charmouth Mudstone Formation</t>
  </si>
  <si>
    <t>Tomago Sandbeds</t>
  </si>
  <si>
    <t>Triassic Mount Byron Volcanics</t>
  </si>
  <si>
    <t>Ordovician Eildon Formation</t>
  </si>
  <si>
    <t>GEOL_REM</t>
  </si>
  <si>
    <t>Remarks</t>
  </si>
  <si>
    <t>FILE_FSET</t>
  </si>
  <si>
    <t>Associated file reference (e.g. logging field sheets, photographs of exposures)</t>
  </si>
  <si>
    <t>FS4</t>
  </si>
  <si>
    <t>GEOL_MAP</t>
  </si>
  <si>
    <t>Geological formation abbreviation</t>
  </si>
  <si>
    <t>Qpa</t>
  </si>
  <si>
    <t>GEOL_LEGB</t>
  </si>
  <si>
    <t>Legend code for composite material</t>
  </si>
  <si>
    <t>203</t>
  </si>
  <si>
    <t>GEOL_CONF</t>
  </si>
  <si>
    <t>Defines the confidence of the base boundary; Sets the line type for layer lines within the description column</t>
  </si>
  <si>
    <t>0</t>
  </si>
  <si>
    <t>GEOL_ORQ1</t>
  </si>
  <si>
    <t>Origin of material 1 qualifier</t>
  </si>
  <si>
    <t>possibly</t>
  </si>
  <si>
    <t>GEOL_ORG1</t>
  </si>
  <si>
    <t>Origin of material 1</t>
  </si>
  <si>
    <t>alluvial soil / Free</t>
  </si>
  <si>
    <t>residual</t>
  </si>
  <si>
    <t>marine</t>
  </si>
  <si>
    <t>GEOL_ORGC</t>
  </si>
  <si>
    <t>Origin of material conjunction</t>
  </si>
  <si>
    <t>and</t>
  </si>
  <si>
    <t>GEOL_ORQ2</t>
  </si>
  <si>
    <t>Origin of material 2 qualifier</t>
  </si>
  <si>
    <t>GEOL_ORG2</t>
  </si>
  <si>
    <t>Origin of material 2</t>
  </si>
  <si>
    <t>residual soil</t>
  </si>
  <si>
    <t>GEOL_PARR</t>
  </si>
  <si>
    <t>Name of parent rock from which soil material is derived</t>
  </si>
  <si>
    <t>GEOL_MT</t>
  </si>
  <si>
    <t>YN</t>
  </si>
  <si>
    <t>Material Type, Y for rock, N for soil or 'other than rock'</t>
  </si>
  <si>
    <t>N</t>
  </si>
  <si>
    <t>Y</t>
  </si>
  <si>
    <t>GEOL_1SCL</t>
  </si>
  <si>
    <t>Classification group symbol</t>
  </si>
  <si>
    <t>GW</t>
  </si>
  <si>
    <t>CI</t>
  </si>
  <si>
    <t>SP</t>
  </si>
  <si>
    <t>GEOL_1SNM</t>
  </si>
  <si>
    <t>Soil name modification qualifier</t>
  </si>
  <si>
    <t>modified</t>
  </si>
  <si>
    <t>GEOL_1SNQ</t>
  </si>
  <si>
    <t>Primary soil or non-rock component name qualifier</t>
  </si>
  <si>
    <t>calcareous</t>
  </si>
  <si>
    <t>GEOL_1SN</t>
  </si>
  <si>
    <t>Primary soil or non-rock component name</t>
  </si>
  <si>
    <t>GRAVEL</t>
  </si>
  <si>
    <t>clay</t>
  </si>
  <si>
    <t>sand</t>
  </si>
  <si>
    <t>GEOL_1SNS</t>
  </si>
  <si>
    <t>Primary soil or non-rock component name suffix</t>
  </si>
  <si>
    <t>GEOL_1RNQ</t>
  </si>
  <si>
    <t>Rock name qualifier</t>
  </si>
  <si>
    <t>carbonaceous</t>
  </si>
  <si>
    <t>GEOL_1RNM</t>
  </si>
  <si>
    <t>Rock name</t>
  </si>
  <si>
    <t>sandstone</t>
  </si>
  <si>
    <t>andesite</t>
  </si>
  <si>
    <t>GEOL_1RNS</t>
  </si>
  <si>
    <t>Rock name suffix</t>
  </si>
  <si>
    <t>GEOL_1C</t>
  </si>
  <si>
    <t>Colour</t>
  </si>
  <si>
    <t>dark red brown</t>
  </si>
  <si>
    <t>red-brown</t>
  </si>
  <si>
    <t>grey</t>
  </si>
  <si>
    <t>grey-blue</t>
  </si>
  <si>
    <t>pale grey</t>
  </si>
  <si>
    <t>GEOL_1P1</t>
  </si>
  <si>
    <t>Minimum particle or grain size</t>
  </si>
  <si>
    <t>fine</t>
  </si>
  <si>
    <t>medium</t>
  </si>
  <si>
    <t>GEOL_1PC</t>
  </si>
  <si>
    <t>Particle or grain size conjunction</t>
  </si>
  <si>
    <t>to</t>
  </si>
  <si>
    <t>GEOL_1P2</t>
  </si>
  <si>
    <t>Maximum particle or grain size</t>
  </si>
  <si>
    <t>GEOL_1SX</t>
  </si>
  <si>
    <t>mm</t>
  </si>
  <si>
    <t>1DP</t>
  </si>
  <si>
    <t>Soil or non-rock maximum particle size measurement</t>
  </si>
  <si>
    <t>5.0</t>
  </si>
  <si>
    <t>GEOL_1SU</t>
  </si>
  <si>
    <t>Soil or non-rock particle size uniformity</t>
  </si>
  <si>
    <t>well</t>
  </si>
  <si>
    <t>GEOL_1SH</t>
  </si>
  <si>
    <t>Soil or non-rock particle shape</t>
  </si>
  <si>
    <t>angular</t>
  </si>
  <si>
    <t>GEOL_1SL</t>
  </si>
  <si>
    <t>Soil or non-rock plasticity or plasticity range</t>
  </si>
  <si>
    <t>low to medium</t>
  </si>
  <si>
    <t>GEOL_1S1N</t>
  </si>
  <si>
    <t>Soil or non-rock secondary component 1 name</t>
  </si>
  <si>
    <t>GEOL_1S1D</t>
  </si>
  <si>
    <t>Soil or non-rock secondary component 1 description</t>
  </si>
  <si>
    <t>fine to medium grained of limestone origin</t>
  </si>
  <si>
    <t>GEOL_1S2N</t>
  </si>
  <si>
    <t>Soil or non-rock secondary component 2 name</t>
  </si>
  <si>
    <t>GEOL_1S2D</t>
  </si>
  <si>
    <t>Soil or non-rock secondary component 2 description</t>
  </si>
  <si>
    <t>GEOL_1RTF</t>
  </si>
  <si>
    <t>Rock texture and fabric</t>
  </si>
  <si>
    <t>clastic</t>
  </si>
  <si>
    <t>vertical columnar joints, columnar joints planar and rough</t>
  </si>
  <si>
    <t>GEOL_1RMC</t>
  </si>
  <si>
    <t>Rock moisture condition</t>
  </si>
  <si>
    <t>Wet</t>
  </si>
  <si>
    <t>GEOL_1RDR</t>
  </si>
  <si>
    <t>Rock durability</t>
  </si>
  <si>
    <t>disintegrates in air</t>
  </si>
  <si>
    <t>GEOL_1MNC</t>
  </si>
  <si>
    <t>Inclusions or minor components</t>
  </si>
  <si>
    <t>trace fine sand</t>
  </si>
  <si>
    <t>trace silt</t>
  </si>
  <si>
    <t>GEOL_1ST</t>
  </si>
  <si>
    <t>Soil or non-rock Structure</t>
  </si>
  <si>
    <t>fissures present</t>
  </si>
  <si>
    <t>with dessication cracks</t>
  </si>
  <si>
    <t>GEOL_1REM</t>
  </si>
  <si>
    <t>Other matters, additional remarks, any other information or observations</t>
  </si>
  <si>
    <t>occasional cobbles</t>
  </si>
  <si>
    <t>GEOL_PROP</t>
  </si>
  <si>
    <t>%</t>
  </si>
  <si>
    <t>0DP</t>
  </si>
  <si>
    <t>Percentage proportion of material 1</t>
  </si>
  <si>
    <t>60</t>
  </si>
  <si>
    <t>GEOL_2NCQ</t>
  </si>
  <si>
    <t>Conjunction qualifier for composite material</t>
  </si>
  <si>
    <t>interbedded</t>
  </si>
  <si>
    <t>interlaminated</t>
  </si>
  <si>
    <t>mixture of</t>
  </si>
  <si>
    <t>GEOL_2NC</t>
  </si>
  <si>
    <t>Conjunction for composite material</t>
  </si>
  <si>
    <t>with</t>
  </si>
  <si>
    <t>GEOL_2SCL</t>
  </si>
  <si>
    <t>GEOL_2SNM</t>
  </si>
  <si>
    <t>GEOL_2SNQ</t>
  </si>
  <si>
    <t>Composite soil or non-rock primary component name qualifier</t>
  </si>
  <si>
    <t>GEOL_2SN</t>
  </si>
  <si>
    <t>Composite soil or non-rock primary component name</t>
  </si>
  <si>
    <t>gravel</t>
  </si>
  <si>
    <t>cobbles/boulders</t>
  </si>
  <si>
    <t>GEOL_2SNS</t>
  </si>
  <si>
    <t>Composite soil or non-rock primary component name suffix</t>
  </si>
  <si>
    <t>GEOL_2RNQ</t>
  </si>
  <si>
    <t>Composite rock name qualifier</t>
  </si>
  <si>
    <t>GEOL_2RNM</t>
  </si>
  <si>
    <t>Composite rock name</t>
  </si>
  <si>
    <t>siltstone</t>
  </si>
  <si>
    <t>GEOL_2RNS</t>
  </si>
  <si>
    <t>Composite rock name suffix</t>
  </si>
  <si>
    <t>GEOL_2C</t>
  </si>
  <si>
    <t>Composite colour</t>
  </si>
  <si>
    <t>dark grey</t>
  </si>
  <si>
    <t>GEOL_2P1</t>
  </si>
  <si>
    <t>Composite minimum particle or grain size</t>
  </si>
  <si>
    <t>GEOL_2PC</t>
  </si>
  <si>
    <t>GEOL_2P2</t>
  </si>
  <si>
    <t>Composite maximum particle or grain size</t>
  </si>
  <si>
    <t>GEOL_2SX</t>
  </si>
  <si>
    <t>Composite soil or non-rock maximum particle size measurement</t>
  </si>
  <si>
    <t>GEOL_2SU</t>
  </si>
  <si>
    <t>Composite soil or non-rock particle size uniformity</t>
  </si>
  <si>
    <t>GEOL_2SH</t>
  </si>
  <si>
    <t>Composite soil or non-rock particle shape</t>
  </si>
  <si>
    <t>GEOL_2SL1</t>
  </si>
  <si>
    <t>Composite soil or non-rock minimum plasticity</t>
  </si>
  <si>
    <t>GEOL_2S1N</t>
  </si>
  <si>
    <t>Composite soil or non-rock secondary component 1 name</t>
  </si>
  <si>
    <t>GEOL_2S1D</t>
  </si>
  <si>
    <t>Composite soil or non-rock secondary component 1 description</t>
  </si>
  <si>
    <t>GEOL_2S2N</t>
  </si>
  <si>
    <t>Composite soil or non-rock secondary component 2 name</t>
  </si>
  <si>
    <t>GEOL_2S2D</t>
  </si>
  <si>
    <t>Composite soil or non-rock secondary component 2 description</t>
  </si>
  <si>
    <t>GEOL_2RTF</t>
  </si>
  <si>
    <t>Composite rock texture and fabric</t>
  </si>
  <si>
    <t>vuggy</t>
  </si>
  <si>
    <t>GEOL_2RMC</t>
  </si>
  <si>
    <t>Composite rock moisture condition</t>
  </si>
  <si>
    <t>GEOL_2RDR</t>
  </si>
  <si>
    <t>Composite rock durability</t>
  </si>
  <si>
    <t>GEOL_2MNC</t>
  </si>
  <si>
    <t>GEOL_2ST</t>
  </si>
  <si>
    <t>Composite structure</t>
  </si>
  <si>
    <t>GEOL_2REM</t>
  </si>
  <si>
    <t>Composite other matters, additional remarks, any other information or observations</t>
  </si>
  <si>
    <t>matrix supported</t>
  </si>
  <si>
    <t>GEOL_ODR</t>
  </si>
  <si>
    <t>Odour</t>
  </si>
  <si>
    <t>hydrocarbon</t>
  </si>
  <si>
    <t>GEOL_STN</t>
  </si>
  <si>
    <t>Staining</t>
  </si>
  <si>
    <t>black oil</t>
  </si>
  <si>
    <t>GEOL_RTF</t>
  </si>
  <si>
    <t>Details of the composite conjunction nature</t>
  </si>
  <si>
    <t>10-20mm beds</t>
  </si>
  <si>
    <t>laminations spaced 10-20 mm</t>
  </si>
  <si>
    <t>indistinct bedding, laminations at 5 degrees, 10 mm typical spacing</t>
  </si>
  <si>
    <t>GEOL_OREM</t>
  </si>
  <si>
    <t>Overall layer other matters, additional remarks, any other information or observations</t>
  </si>
  <si>
    <t>Example</t>
  </si>
  <si>
    <t>In Group Order</t>
  </si>
  <si>
    <t>AGS 4.1 Change Log</t>
  </si>
  <si>
    <t>ABBR_HDNG</t>
  </si>
  <si>
    <t>PA Check</t>
  </si>
  <si>
    <t>Order Check</t>
  </si>
  <si>
    <t>SAMP_TOP</t>
  </si>
  <si>
    <t>Depth to top of sample</t>
  </si>
  <si>
    <t>24.55</t>
  </si>
  <si>
    <t>SAMP_REF</t>
  </si>
  <si>
    <t>Sample reference</t>
  </si>
  <si>
    <t>24</t>
  </si>
  <si>
    <t>SAMP_TYPE</t>
  </si>
  <si>
    <t>Sample type</t>
  </si>
  <si>
    <t>U</t>
  </si>
  <si>
    <t>SAMP_ID</t>
  </si>
  <si>
    <t>Sample unique global identifier</t>
  </si>
  <si>
    <t>ABC121415010</t>
  </si>
  <si>
    <t>SPEC_REF</t>
  </si>
  <si>
    <t>Specimen reference</t>
  </si>
  <si>
    <t>1a</t>
  </si>
  <si>
    <t>SPEC_DPTH</t>
  </si>
  <si>
    <t>Depth to top of test specimen</t>
  </si>
  <si>
    <t>SPEC_DESC</t>
  </si>
  <si>
    <t>Specimen description</t>
  </si>
  <si>
    <t>Grey angular limestone</t>
  </si>
  <si>
    <t>SPEC_PREP</t>
  </si>
  <si>
    <t>Details of specimen preparation including time between preparation and testing</t>
  </si>
  <si>
    <t>Prepared according to client instructions</t>
  </si>
  <si>
    <t>AAVS_PBY</t>
  </si>
  <si>
    <t>Specimen prepared by</t>
  </si>
  <si>
    <t>ABC</t>
  </si>
  <si>
    <t>SPEC_BASE</t>
  </si>
  <si>
    <t>Depth to base of specimen</t>
  </si>
  <si>
    <t>24.65</t>
  </si>
  <si>
    <t>AAVS_AVS</t>
  </si>
  <si>
    <t>mg</t>
  </si>
  <si>
    <t>2SF</t>
  </si>
  <si>
    <t>Abrasion Value Steel</t>
  </si>
  <si>
    <t>4.1</t>
  </si>
  <si>
    <t>AAVS_STDV</t>
  </si>
  <si>
    <t>1SF</t>
  </si>
  <si>
    <t>AVS Standard deviation</t>
  </si>
  <si>
    <t>0.2</t>
  </si>
  <si>
    <t>AAVS_CLSF</t>
  </si>
  <si>
    <t xml:space="preserve">Classification of rock abrasion or the ability to induce wear on cutter steel </t>
  </si>
  <si>
    <t>Low</t>
  </si>
  <si>
    <t>AAVS_TDUR</t>
  </si>
  <si>
    <t>min</t>
  </si>
  <si>
    <t>Test duration per test piece</t>
  </si>
  <si>
    <t>AAVS_ROTC</t>
  </si>
  <si>
    <t>Rotation count</t>
  </si>
  <si>
    <t>20</t>
  </si>
  <si>
    <t>AAVS_ROTR</t>
  </si>
  <si>
    <t>RPM</t>
  </si>
  <si>
    <t>Rate of turntable rotation</t>
  </si>
  <si>
    <t>AAVS_CTP</t>
  </si>
  <si>
    <t>Composition of test pieces</t>
  </si>
  <si>
    <t>Steel</t>
  </si>
  <si>
    <t>AAVS_HDTP</t>
  </si>
  <si>
    <t>HRC Hardness of test pieces</t>
  </si>
  <si>
    <t>29</t>
  </si>
  <si>
    <t>AAVS_MOTP</t>
  </si>
  <si>
    <t>kg</t>
  </si>
  <si>
    <t>Mass over test pieces</t>
  </si>
  <si>
    <t>10</t>
  </si>
  <si>
    <t>AAVS_FLWR</t>
  </si>
  <si>
    <t>g/min</t>
  </si>
  <si>
    <t>Flow rate of crushed rock powder</t>
  </si>
  <si>
    <t>80</t>
  </si>
  <si>
    <t>AAVS_REM</t>
  </si>
  <si>
    <t>Test performed on &lt;1mm crushed rock powder</t>
  </si>
  <si>
    <t>AAVS_METH</t>
  </si>
  <si>
    <t>Test method</t>
  </si>
  <si>
    <t>SINTEF internal procedure</t>
  </si>
  <si>
    <t>AAVS_DEV</t>
  </si>
  <si>
    <t>Deviation from the specified procedure</t>
  </si>
  <si>
    <t>none</t>
  </si>
  <si>
    <t>AAVS_DATE</t>
  </si>
  <si>
    <t>yyyy-mm-dd</t>
  </si>
  <si>
    <t>DT</t>
  </si>
  <si>
    <t>Date tested</t>
  </si>
  <si>
    <t>2009-10-01</t>
  </si>
  <si>
    <t>AAVS_TBY</t>
  </si>
  <si>
    <t>Tested by</t>
  </si>
  <si>
    <t>AAVS_LAB</t>
  </si>
  <si>
    <t>Name of testing laboratory/organisation</t>
  </si>
  <si>
    <t>ABC Soil Testing</t>
  </si>
  <si>
    <t>AAVS_CRED</t>
  </si>
  <si>
    <t>Accrediting body and reference number (when appropriate)</t>
  </si>
  <si>
    <t>NATA 12345</t>
  </si>
  <si>
    <t>TEST_STAT</t>
  </si>
  <si>
    <t>Test status</t>
  </si>
  <si>
    <t>Checked</t>
  </si>
  <si>
    <t>Associated file reference (eg test result sheets)</t>
  </si>
  <si>
    <t>FS10</t>
  </si>
  <si>
    <t xml:space="preserve">24 </t>
  </si>
  <si>
    <t>Sample unique identifier</t>
  </si>
  <si>
    <t>AAVT_AAV</t>
  </si>
  <si>
    <t>Aggregate Abrasion Value</t>
  </si>
  <si>
    <t>8.3</t>
  </si>
  <si>
    <t>AAVT_REM</t>
  </si>
  <si>
    <t>AAVT_METH</t>
  </si>
  <si>
    <t>BS 812: Part 113: 1990</t>
  </si>
  <si>
    <t>AAVT_LAB</t>
  </si>
  <si>
    <t>Name of testing laboratory/organization</t>
  </si>
  <si>
    <t>ACME Laboratories plc</t>
  </si>
  <si>
    <t>AAVT_CRED</t>
  </si>
  <si>
    <t>UKAS 0000</t>
  </si>
  <si>
    <t>Associated file reference (e.g. test result sheets)</t>
  </si>
  <si>
    <t>New</t>
  </si>
  <si>
    <t>AAVT_DEV</t>
  </si>
  <si>
    <t>AAVT_DATE</t>
  </si>
  <si>
    <t>AAVT_PBY</t>
  </si>
  <si>
    <t>AAVT_TBY</t>
  </si>
  <si>
    <t>*R</t>
  </si>
  <si>
    <t>Field heading in group</t>
  </si>
  <si>
    <t>LOCA_TYPE</t>
  </si>
  <si>
    <t>ABBR_CODE</t>
  </si>
  <si>
    <t>Abbreviation used</t>
  </si>
  <si>
    <t>TP</t>
  </si>
  <si>
    <t>R</t>
  </si>
  <si>
    <t>ABBR_DESC</t>
  </si>
  <si>
    <t>Description of abbreviation</t>
  </si>
  <si>
    <t>Trial Pit</t>
  </si>
  <si>
    <t>ABBR_LIST</t>
  </si>
  <si>
    <t>Source of abbreviation</t>
  </si>
  <si>
    <t>AGS4</t>
  </si>
  <si>
    <t>ABBR_REM</t>
  </si>
  <si>
    <t>Associated file reference (e.g. contract data specification)</t>
  </si>
  <si>
    <t>FS1</t>
  </si>
  <si>
    <t>ACVT_ACV</t>
  </si>
  <si>
    <t>Aggregate Crushing Value</t>
  </si>
  <si>
    <t>17</t>
  </si>
  <si>
    <t>ACVT_FRAC</t>
  </si>
  <si>
    <t>Size fraction from which test portion was obtained</t>
  </si>
  <si>
    <t>10-14mm aggregate</t>
  </si>
  <si>
    <t>ACVT_REM</t>
  </si>
  <si>
    <t>ACVT_METH</t>
  </si>
  <si>
    <t>BS 812: Part 110: 1990</t>
  </si>
  <si>
    <t>ACVT_LAB</t>
  </si>
  <si>
    <t>ACVT_CRED</t>
  </si>
  <si>
    <t>ACVT_DEV</t>
  </si>
  <si>
    <t>ACVT_DATE</t>
  </si>
  <si>
    <t>ACVT_PBY</t>
  </si>
  <si>
    <t>ACVT_TBY</t>
  </si>
  <si>
    <t>ADEG_PBY</t>
  </si>
  <si>
    <t>ADEG_STYP</t>
  </si>
  <si>
    <t>The nature of the bulk sample (production sample, spalls, drill core, laboratory crushed) tested.</t>
  </si>
  <si>
    <t>Crushed by laboratory from specimen received</t>
  </si>
  <si>
    <t>ADEG_NASZ</t>
  </si>
  <si>
    <t>Nominal aggregate size</t>
  </si>
  <si>
    <t>19.0</t>
  </si>
  <si>
    <t>ADEG_SFTP</t>
  </si>
  <si>
    <t>Size fraction of test portion</t>
  </si>
  <si>
    <t>9.5</t>
  </si>
  <si>
    <t>ADEG_DSTR</t>
  </si>
  <si>
    <t>kN</t>
  </si>
  <si>
    <t>Dry strength (average if duplicate testing performed)</t>
  </si>
  <si>
    <t>44</t>
  </si>
  <si>
    <t>ADEG_WSTR</t>
  </si>
  <si>
    <t>Wet strength (average if duplicate testing performed)</t>
  </si>
  <si>
    <t>38</t>
  </si>
  <si>
    <t>ADEG_DST1</t>
  </si>
  <si>
    <t>Dry strength (specimen 1)</t>
  </si>
  <si>
    <t>ADEG_DST2</t>
  </si>
  <si>
    <t>Dry strength (specimen 2)</t>
  </si>
  <si>
    <t>ADEG_WST1</t>
  </si>
  <si>
    <t>Wet strength (specimen 1)</t>
  </si>
  <si>
    <t>ADEG_WST2</t>
  </si>
  <si>
    <t>Wet strength (specimen 2)</t>
  </si>
  <si>
    <t>ADEG_BRKC</t>
  </si>
  <si>
    <t>Breakdown comment</t>
  </si>
  <si>
    <t>Significant breakdown of the specimen has been observed</t>
  </si>
  <si>
    <t>ADEG_TCID</t>
  </si>
  <si>
    <t>Test cylinder internal diameter</t>
  </si>
  <si>
    <t>75.0</t>
  </si>
  <si>
    <t>ADEG_TCIH</t>
  </si>
  <si>
    <t>Test cylinder internal depth or height</t>
  </si>
  <si>
    <t>80.0</t>
  </si>
  <si>
    <t>ADEG_TCSZ</t>
  </si>
  <si>
    <t>Test cylinder size</t>
  </si>
  <si>
    <t>75</t>
  </si>
  <si>
    <t>ADEG_WDSV</t>
  </si>
  <si>
    <t>Wet Dry Strength Variation</t>
  </si>
  <si>
    <t>14</t>
  </si>
  <si>
    <t>ADEG_REM</t>
  </si>
  <si>
    <t>Tested under laboratory conditions</t>
  </si>
  <si>
    <t>ADEG_METH</t>
  </si>
  <si>
    <t>ADEG_DEV</t>
  </si>
  <si>
    <t>ADEG_TBY</t>
  </si>
  <si>
    <t>ADEG_DATE</t>
  </si>
  <si>
    <t>ADEG_LAB</t>
  </si>
  <si>
    <t>ADEG_CRED</t>
  </si>
  <si>
    <t>AELO_EI</t>
  </si>
  <si>
    <t>Aggregate elongation index</t>
  </si>
  <si>
    <t>9</t>
  </si>
  <si>
    <t>AELO_REM</t>
  </si>
  <si>
    <t>AELO_METH</t>
  </si>
  <si>
    <t>Should examples be blank?</t>
  </si>
  <si>
    <t>AELO_LAB</t>
  </si>
  <si>
    <t>AELO_CRED</t>
  </si>
  <si>
    <t>AELO_DEV</t>
  </si>
  <si>
    <t>AELO_DATE</t>
  </si>
  <si>
    <t>AELO_PBY</t>
  </si>
  <si>
    <t>AELO_TBY</t>
  </si>
  <si>
    <t>AFLK_FI</t>
  </si>
  <si>
    <t>Aggregate flakiness index</t>
  </si>
  <si>
    <t>AFLK_MASS</t>
  </si>
  <si>
    <t>Mass of test portion</t>
  </si>
  <si>
    <t>35.1</t>
  </si>
  <si>
    <t>AFLK_REM</t>
  </si>
  <si>
    <t>AFLK_METH</t>
  </si>
  <si>
    <t xml:space="preserve">BS EN 933-3:2012 </t>
  </si>
  <si>
    <t>AFLK_LAB</t>
  </si>
  <si>
    <t>AFLK_CRED</t>
  </si>
  <si>
    <t>AFLK_DEV</t>
  </si>
  <si>
    <t>AFLK_DATE</t>
  </si>
  <si>
    <t>AFLK_PBY</t>
  </si>
  <si>
    <t>AFLK_TBY</t>
  </si>
  <si>
    <t>AIVT_AIV1</t>
  </si>
  <si>
    <t>Aggregate impact value test 1</t>
  </si>
  <si>
    <t>15.01</t>
  </si>
  <si>
    <t>AIVT_AIV2</t>
  </si>
  <si>
    <t>Aggregate impact value test 2</t>
  </si>
  <si>
    <t>15.03</t>
  </si>
  <si>
    <t>AIVT_AIV</t>
  </si>
  <si>
    <t>Mean aggregate impact value</t>
  </si>
  <si>
    <t>15.0</t>
  </si>
  <si>
    <t>AIVT_FRAC</t>
  </si>
  <si>
    <t>50% between 8mm and 10mm, 25% between 10mm and 11.2mm, 25% between 11.2mm and 12.5mm</t>
  </si>
  <si>
    <t>AIVT_PDEN</t>
  </si>
  <si>
    <t>Mg/m3</t>
  </si>
  <si>
    <t>Particle density of size fraction between 8 mm and 12.5mm</t>
  </si>
  <si>
    <t>2.53</t>
  </si>
  <si>
    <t>AIVT_REM</t>
  </si>
  <si>
    <t>AIVT_METH</t>
  </si>
  <si>
    <t>BS EN 1097-2:202</t>
  </si>
  <si>
    <t>AIVT_LAB</t>
  </si>
  <si>
    <t>AIVT_CRED</t>
  </si>
  <si>
    <t>AIVT_DEV</t>
  </si>
  <si>
    <t>AIVT_DATE</t>
  </si>
  <si>
    <t>AIVT_PBY</t>
  </si>
  <si>
    <t>AIVT_TBY</t>
  </si>
  <si>
    <t>ALOS_LOSA</t>
  </si>
  <si>
    <t>Los Angeles coefficient</t>
  </si>
  <si>
    <t>15</t>
  </si>
  <si>
    <t>ALOS_LOPW</t>
  </si>
  <si>
    <t>Los Angeles percentage wear</t>
  </si>
  <si>
    <t>ALOS_LOWR</t>
  </si>
  <si>
    <t>Los Angeles wear ratio</t>
  </si>
  <si>
    <t>8</t>
  </si>
  <si>
    <t>ALOS_FRAC</t>
  </si>
  <si>
    <t>10-14mm with between 60% and 70% passing a 12.5mm test sieve.</t>
  </si>
  <si>
    <t>ALOS_CHAR</t>
  </si>
  <si>
    <t>Ball load or charge grading</t>
  </si>
  <si>
    <t>11 steel balls 45-49mm, total load 4800g</t>
  </si>
  <si>
    <t>ALOS_REM</t>
  </si>
  <si>
    <t>ALOS_METH</t>
  </si>
  <si>
    <t>ALOS_LAB</t>
  </si>
  <si>
    <t>ALOS_CRED</t>
  </si>
  <si>
    <t>ALOS_DEV</t>
  </si>
  <si>
    <t>ALOS_DATE</t>
  </si>
  <si>
    <t>ALOS_PBY</t>
  </si>
  <si>
    <t>ALOS_TBY</t>
  </si>
  <si>
    <t>ANAV_PBY</t>
  </si>
  <si>
    <t>ANAV_NAV</t>
  </si>
  <si>
    <t>Abrasion value</t>
  </si>
  <si>
    <t>ANAV_TDUR</t>
  </si>
  <si>
    <t>5</t>
  </si>
  <si>
    <t>ANAV_ROTC</t>
  </si>
  <si>
    <t>100</t>
  </si>
  <si>
    <t>ANAV_ROTR</t>
  </si>
  <si>
    <t>ANAV_CTP</t>
  </si>
  <si>
    <t>Tungsten Carbide</t>
  </si>
  <si>
    <t>ANAV_HDTP</t>
  </si>
  <si>
    <t>Vickers Hardness of test pieces</t>
  </si>
  <si>
    <t>1300</t>
  </si>
  <si>
    <t xml:space="preserve">Golder AU </t>
  </si>
  <si>
    <t>ANAV_MOTP</t>
  </si>
  <si>
    <t>ANAV_FLWR</t>
  </si>
  <si>
    <t>ANAV_METH</t>
  </si>
  <si>
    <t>ANAV_DEV</t>
  </si>
  <si>
    <t>ANAV_TBY</t>
  </si>
  <si>
    <t>ANAV_DATE</t>
  </si>
  <si>
    <t>ANAV_REM</t>
  </si>
  <si>
    <t>ANAV_LAB</t>
  </si>
  <si>
    <t>ANAV_CRED</t>
  </si>
  <si>
    <t>APSV_AAV</t>
  </si>
  <si>
    <t>Aggregate polished stone value</t>
  </si>
  <si>
    <t>67</t>
  </si>
  <si>
    <t>APSV_REM</t>
  </si>
  <si>
    <t>APSV_METH</t>
  </si>
  <si>
    <t xml:space="preserve">BS 812-114:1989 </t>
  </si>
  <si>
    <t>APSV_LAB</t>
  </si>
  <si>
    <t>APSV_CRED</t>
  </si>
  <si>
    <t>APSV_DEV</t>
  </si>
  <si>
    <t>APSV_DATE</t>
  </si>
  <si>
    <t>APSV_PBY</t>
  </si>
  <si>
    <t>APSV_TBY</t>
  </si>
  <si>
    <t>ARTW_FRAC</t>
  </si>
  <si>
    <t>Size fraction on which sample obtained</t>
  </si>
  <si>
    <t>10 to 14mm aggregate grading a)</t>
  </si>
  <si>
    <t>ARTW_TYPE</t>
  </si>
  <si>
    <t>Type of test</t>
  </si>
  <si>
    <t>WET</t>
  </si>
  <si>
    <t>ARTW_MD1</t>
  </si>
  <si>
    <t>Micro-Deval coefficient for test specimen one</t>
  </si>
  <si>
    <t>24.3</t>
  </si>
  <si>
    <t>ARTW_MD2</t>
  </si>
  <si>
    <t>Micro-Deval coefficient for test specimen two</t>
  </si>
  <si>
    <t>ARTW_MDE</t>
  </si>
  <si>
    <t>Mean micro-Deval value (dry)</t>
  </si>
  <si>
    <t>ARTW_MDS</t>
  </si>
  <si>
    <t>Mean micro-Deval value (wet)</t>
  </si>
  <si>
    <t>ARTW_DATE</t>
  </si>
  <si>
    <t>Date control 2 polished stone value first run</t>
  </si>
  <si>
    <t>2003-02-10</t>
  </si>
  <si>
    <t>ARTW_REM</t>
  </si>
  <si>
    <t>ARTW_METH</t>
  </si>
  <si>
    <t>BS EN 1097-1:2011</t>
  </si>
  <si>
    <t>ARTW_LAB</t>
  </si>
  <si>
    <t>ARTW_CRED</t>
  </si>
  <si>
    <t>ARTW_DEV</t>
  </si>
  <si>
    <t>ARTW_PBY</t>
  </si>
  <si>
    <t>ARTW_TBY</t>
  </si>
  <si>
    <t>ASDI_SDI1</t>
  </si>
  <si>
    <t>First cycle slake durability index (if ASDI_SDI1 or ASDI_SDI2 is between 0% and 10%)</t>
  </si>
  <si>
    <t>6.1</t>
  </si>
  <si>
    <t>ASDI_SDI2</t>
  </si>
  <si>
    <t>Second cycle slake durability index</t>
  </si>
  <si>
    <t>8.6</t>
  </si>
  <si>
    <t>ASDI_SOLN</t>
  </si>
  <si>
    <t>Nature and temperature of slaking fluid</t>
  </si>
  <si>
    <t>Tap water at 20 DegC</t>
  </si>
  <si>
    <t>ASDI_INDR</t>
  </si>
  <si>
    <t>Appearance of fragments retained in the drum</t>
  </si>
  <si>
    <t>All fragments showing partial disintegration</t>
  </si>
  <si>
    <t>ASDI_PADR</t>
  </si>
  <si>
    <t>Appearance of fragments passing through the drum</t>
  </si>
  <si>
    <t>Fine particles in suspension with thin layer of larger particles in base of trough.</t>
  </si>
  <si>
    <t>ASDI_REM</t>
  </si>
  <si>
    <t>ASDI_METH</t>
  </si>
  <si>
    <t>ISRM: Suggested method for determining slake durability index.</t>
  </si>
  <si>
    <t>ASDI_LAB</t>
  </si>
  <si>
    <t>ASDI_CRED</t>
  </si>
  <si>
    <t>ASDI_DEV</t>
  </si>
  <si>
    <t>ASDI_DATE</t>
  </si>
  <si>
    <t>ASDI_PBY</t>
  </si>
  <si>
    <t>ASDI_TBY</t>
  </si>
  <si>
    <t>ASNS_SOUN</t>
  </si>
  <si>
    <t>Aggregate soundness test</t>
  </si>
  <si>
    <t>12</t>
  </si>
  <si>
    <t>ASNS_FRAC</t>
  </si>
  <si>
    <t>ASNS_REM</t>
  </si>
  <si>
    <t>ASNS_METH</t>
  </si>
  <si>
    <t xml:space="preserve">BS 812-121:1989 - Magnesium Sulfate </t>
  </si>
  <si>
    <t>ASNS_LAB</t>
  </si>
  <si>
    <t>ASNS_CRED</t>
  </si>
  <si>
    <t>ASNS_DEV</t>
  </si>
  <si>
    <t>4.1.1</t>
  </si>
  <si>
    <t>ASNS_DATE</t>
  </si>
  <si>
    <t>ASNS_PBY</t>
  </si>
  <si>
    <t>ASNS_TBY</t>
  </si>
  <si>
    <t>ASWB_PBY</t>
  </si>
  <si>
    <t>BRT</t>
  </si>
  <si>
    <t>ASWB_BS20</t>
  </si>
  <si>
    <t>Brittleness Value S20</t>
  </si>
  <si>
    <t>52.2</t>
  </si>
  <si>
    <t>ASWB_PDEN</t>
  </si>
  <si>
    <t>g/cm3</t>
  </si>
  <si>
    <t>Measured particle density</t>
  </si>
  <si>
    <t>2.67</t>
  </si>
  <si>
    <t>ASWB_FCRS</t>
  </si>
  <si>
    <t>Fraction &gt; 11.2 mm (coarse)</t>
  </si>
  <si>
    <t>35.5</t>
  </si>
  <si>
    <t>ASWB_FINT</t>
  </si>
  <si>
    <t>Fraction &gt; 8.0 &lt; 11.2 mm (intermediate)</t>
  </si>
  <si>
    <t>49.4</t>
  </si>
  <si>
    <t>ASWB_FINE</t>
  </si>
  <si>
    <t>Fraction &lt;8.0 mm (fine)</t>
  </si>
  <si>
    <t>15.1</t>
  </si>
  <si>
    <t>ASWB_CMPI</t>
  </si>
  <si>
    <t>Compaction Index</t>
  </si>
  <si>
    <t>2</t>
  </si>
  <si>
    <t>ASWB_REM</t>
  </si>
  <si>
    <t>It was necessary to use tools to remove the compacted material from the mould</t>
  </si>
  <si>
    <t>ASWB_METH</t>
  </si>
  <si>
    <t>ASWB_DEV</t>
  </si>
  <si>
    <t>ASWB_TBY</t>
  </si>
  <si>
    <t>ASWB_DATE</t>
  </si>
  <si>
    <t>ASWB_LAB</t>
  </si>
  <si>
    <t>ASWB_CRED</t>
  </si>
  <si>
    <t>AWAD_WTAB</t>
  </si>
  <si>
    <t>Aggregate water absorption</t>
  </si>
  <si>
    <t>2.6</t>
  </si>
  <si>
    <t>AWAD_REM</t>
  </si>
  <si>
    <t>AWAD_METH</t>
  </si>
  <si>
    <t>BS 812 - Gas jar method 10 mm aggregate</t>
  </si>
  <si>
    <t>AWAD_LAB</t>
  </si>
  <si>
    <t>AWAD_CRED</t>
  </si>
  <si>
    <t>AWAD_DEV</t>
  </si>
  <si>
    <t>AWAD_DATE</t>
  </si>
  <si>
    <t>AWAD_PBY</t>
  </si>
  <si>
    <t>AWAD_TBY</t>
  </si>
  <si>
    <t>BKFL_TOP</t>
  </si>
  <si>
    <t>Depth to top of section</t>
  </si>
  <si>
    <t>1.40</t>
  </si>
  <si>
    <t>BKFL_BASE</t>
  </si>
  <si>
    <t>Depth to base of section</t>
  </si>
  <si>
    <t>11.40</t>
  </si>
  <si>
    <t>BKFL_DESC</t>
  </si>
  <si>
    <t>Backfill description</t>
  </si>
  <si>
    <t>Arisings</t>
  </si>
  <si>
    <t>BKFL_LEG</t>
  </si>
  <si>
    <t>Backfill legend abbreviation</t>
  </si>
  <si>
    <t>901</t>
  </si>
  <si>
    <t>BKFL_DATE</t>
  </si>
  <si>
    <t>Date of completion of backfill</t>
  </si>
  <si>
    <t>2004-04-01</t>
  </si>
  <si>
    <t>BKFL_REM</t>
  </si>
  <si>
    <t>Backfill remarks including how it was placed</t>
  </si>
  <si>
    <t>Associated file reference (e.g. drilling journals)</t>
  </si>
  <si>
    <t>FS20</t>
  </si>
  <si>
    <t>Grey slightly gravelly clay</t>
  </si>
  <si>
    <t>Stored at constant water/moisture content for 7 days, then soaked for 7 days, maintained at 20±2°C throughout</t>
  </si>
  <si>
    <t>CBRG_COND</t>
  </si>
  <si>
    <t>Sample condition</t>
  </si>
  <si>
    <t>UNDISTURBED</t>
  </si>
  <si>
    <t>CBRG_NMC</t>
  </si>
  <si>
    <t>Natural water/moisture content of specimen prior to test</t>
  </si>
  <si>
    <t>16.4</t>
  </si>
  <si>
    <t>CBRG_200</t>
  </si>
  <si>
    <t>Weight percent retained on 19mm or 20mm sieve</t>
  </si>
  <si>
    <t>4.1 AU 1.0 Rev</t>
  </si>
  <si>
    <t>CBRG_STAB</t>
  </si>
  <si>
    <t>Amount of stabiliser added</t>
  </si>
  <si>
    <t>23</t>
  </si>
  <si>
    <t>CBRG_STYP</t>
  </si>
  <si>
    <t>Type of stabiliser added</t>
  </si>
  <si>
    <t>Cement</t>
  </si>
  <si>
    <t>CBRG_REM</t>
  </si>
  <si>
    <t>Remarks including commentary on effect of specimen disturbance on test result</t>
  </si>
  <si>
    <t>Specimen lifted during penetration</t>
  </si>
  <si>
    <t>CBRG_METH</t>
  </si>
  <si>
    <t>Test method including remoulding</t>
  </si>
  <si>
    <t>BS1377: Part 4: 1990  4.5kg compactive effort</t>
  </si>
  <si>
    <t>CBRG_LAB</t>
  </si>
  <si>
    <t>CBRG_CRED</t>
  </si>
  <si>
    <t>Associated file reference (e.g. equipment calibrations)</t>
  </si>
  <si>
    <t>FS16</t>
  </si>
  <si>
    <t>CBRG_DEV</t>
  </si>
  <si>
    <t/>
  </si>
  <si>
    <t>CBRG_475</t>
  </si>
  <si>
    <t>Mass percent retained on 4.75mm sieve</t>
  </si>
  <si>
    <t>10.0</t>
  </si>
  <si>
    <t>CBRG_MCD</t>
  </si>
  <si>
    <t>Design moisture content</t>
  </si>
  <si>
    <t>CBRG_OMC</t>
  </si>
  <si>
    <t>Optimum moisture content for standard compactive effort</t>
  </si>
  <si>
    <t>CBRG_OMCR</t>
  </si>
  <si>
    <t>Optimum moisture content for reduced compactive effort</t>
  </si>
  <si>
    <t>Exploratory hole or location equivalent</t>
  </si>
  <si>
    <t>6421/A</t>
  </si>
  <si>
    <t>6.50</t>
  </si>
  <si>
    <t>Sample reference number</t>
  </si>
  <si>
    <t>D</t>
  </si>
  <si>
    <t>Specimen depth</t>
  </si>
  <si>
    <t>Test number</t>
  </si>
  <si>
    <t>CBRT_TESN</t>
  </si>
  <si>
    <t>Sample end</t>
  </si>
  <si>
    <t>TOP or BOT</t>
  </si>
  <si>
    <t>CBRP_PEN</t>
  </si>
  <si>
    <t>Penetration</t>
  </si>
  <si>
    <t>2.00</t>
  </si>
  <si>
    <t>CBRP_LOAD</t>
  </si>
  <si>
    <t>3DP</t>
  </si>
  <si>
    <t>Force/Load</t>
  </si>
  <si>
    <t>Test reference</t>
  </si>
  <si>
    <t>CBRT_TOP</t>
  </si>
  <si>
    <t>CBR at top</t>
  </si>
  <si>
    <t>6.4</t>
  </si>
  <si>
    <t>CBRT_BASE</t>
  </si>
  <si>
    <t>CBR at bottom</t>
  </si>
  <si>
    <t>5.2</t>
  </si>
  <si>
    <t>CBRT_MCT</t>
  </si>
  <si>
    <t>Water/moisture content at top after test</t>
  </si>
  <si>
    <t>CBRT_MCBT</t>
  </si>
  <si>
    <t>Water/moisture content at bottom after test</t>
  </si>
  <si>
    <t>14.2</t>
  </si>
  <si>
    <t>CBRT_IMC</t>
  </si>
  <si>
    <t>Initial water/moisture content</t>
  </si>
  <si>
    <t>21.3</t>
  </si>
  <si>
    <t>CBRT_BDEN</t>
  </si>
  <si>
    <t>Initial bulk density</t>
  </si>
  <si>
    <t>1.84</t>
  </si>
  <si>
    <t>CBRT_DDEN</t>
  </si>
  <si>
    <t>Initial Dry density</t>
  </si>
  <si>
    <t>1.60</t>
  </si>
  <si>
    <t>CBRT_SURC</t>
  </si>
  <si>
    <t>kPa</t>
  </si>
  <si>
    <t>Surcharge pressure applied</t>
  </si>
  <si>
    <t>CBRT_SKDT</t>
  </si>
  <si>
    <t>Details of soaking</t>
  </si>
  <si>
    <t>4 days in tap water</t>
  </si>
  <si>
    <t>CBRT_SWEL</t>
  </si>
  <si>
    <t>Amount of swell recorded during soaking (if applicable)</t>
  </si>
  <si>
    <t>3.0</t>
  </si>
  <si>
    <t>CBRT_REM</t>
  </si>
  <si>
    <t>Test specific remarks</t>
  </si>
  <si>
    <t>CBRT_PBY</t>
  </si>
  <si>
    <t>CBRT_TPEN</t>
  </si>
  <si>
    <t>Top penetration at CBR value</t>
  </si>
  <si>
    <t>CBRT_CT25</t>
  </si>
  <si>
    <t>CBR top at  2.5 mm</t>
  </si>
  <si>
    <t>CBRT_CT50</t>
  </si>
  <si>
    <t xml:space="preserve">CBR top at 5.0 mm </t>
  </si>
  <si>
    <t>CBRT_BPEN</t>
  </si>
  <si>
    <t>Bottom penetration at CBR value</t>
  </si>
  <si>
    <t>CBRT_CB25</t>
  </si>
  <si>
    <t>CBR bottom at 2.5 mm</t>
  </si>
  <si>
    <t>CBRT_CB50</t>
  </si>
  <si>
    <t>CBR bottom at 5.0 mm</t>
  </si>
  <si>
    <t>CBRT_MCR</t>
  </si>
  <si>
    <t>Moisture content remainder after penetration</t>
  </si>
  <si>
    <t>CBRT_SWEP</t>
  </si>
  <si>
    <t>Swell as percentage of initial height</t>
  </si>
  <si>
    <t>6.0</t>
  </si>
  <si>
    <t>CBRT_LMR</t>
  </si>
  <si>
    <t>Lab moisture ratio when compacted</t>
  </si>
  <si>
    <t>CBRT_LDR</t>
  </si>
  <si>
    <t>Lab density ratio when compacted</t>
  </si>
  <si>
    <t>CBRT_MCAC</t>
  </si>
  <si>
    <t>Moisture content after compaction</t>
  </si>
  <si>
    <t>CBRT_SOAK</t>
  </si>
  <si>
    <t>day</t>
  </si>
  <si>
    <t>Soak time</t>
  </si>
  <si>
    <t>CBRT_SURM</t>
  </si>
  <si>
    <t>Surcharge mass</t>
  </si>
  <si>
    <t>CBRT_DDAS</t>
  </si>
  <si>
    <t>t/m3</t>
  </si>
  <si>
    <t>Dry density after soak</t>
  </si>
  <si>
    <t>CBRT_CMPE</t>
  </si>
  <si>
    <t>Compactive effort</t>
  </si>
  <si>
    <t>Standard</t>
  </si>
  <si>
    <t>CBRT_CRIT</t>
  </si>
  <si>
    <t>XN</t>
  </si>
  <si>
    <t>Critical</t>
  </si>
  <si>
    <t>CBRT_METH</t>
  </si>
  <si>
    <t>AS 1289.6.1.2-1998</t>
  </si>
  <si>
    <t>CBRT_DATE</t>
  </si>
  <si>
    <t>CBRT_TBY</t>
  </si>
  <si>
    <t>AGS RTA has many more headings, they should be considered</t>
  </si>
  <si>
    <t>CDIA_DPTH</t>
  </si>
  <si>
    <t>Depth of base of casing recorded in CDIA_DIAM</t>
  </si>
  <si>
    <t>18.00</t>
  </si>
  <si>
    <t>CDIA_DIAM</t>
  </si>
  <si>
    <t>Casing diameter</t>
  </si>
  <si>
    <t>200</t>
  </si>
  <si>
    <t>CDIA_REM</t>
  </si>
  <si>
    <t>Associated file reference (e.g. casing cement records)</t>
  </si>
  <si>
    <t>CDIA_CODE</t>
  </si>
  <si>
    <t>Casing code</t>
  </si>
  <si>
    <t>HW</t>
  </si>
  <si>
    <t>CHIS_FROM</t>
  </si>
  <si>
    <t>Depth at start of chiselling</t>
  </si>
  <si>
    <t>5.20</t>
  </si>
  <si>
    <t>CHIS_TO</t>
  </si>
  <si>
    <t>Depth at end of chiselling</t>
  </si>
  <si>
    <t>5.35</t>
  </si>
  <si>
    <t>CHIS_TIME</t>
  </si>
  <si>
    <t>hh:mm</t>
  </si>
  <si>
    <t>T</t>
  </si>
  <si>
    <t>Time taken</t>
  </si>
  <si>
    <t>00:30</t>
  </si>
  <si>
    <t>CHIS_STAR</t>
  </si>
  <si>
    <t>yyyy-mm-ddThh:mm</t>
  </si>
  <si>
    <t>Start time</t>
  </si>
  <si>
    <t>2004-04-01T09:00</t>
  </si>
  <si>
    <t>CHIS_TOOL</t>
  </si>
  <si>
    <t>Chiselling tool used</t>
  </si>
  <si>
    <t>Shell</t>
  </si>
  <si>
    <t>CHIS_REM</t>
  </si>
  <si>
    <t>Notes on chiselling</t>
  </si>
  <si>
    <t>Chiselling sandstone boulder</t>
  </si>
  <si>
    <t>CHOC_REF</t>
  </si>
  <si>
    <t>Chain of custody reference</t>
  </si>
  <si>
    <t>A1241/1</t>
  </si>
  <si>
    <t>CHOC_FROM</t>
  </si>
  <si>
    <t>Samples despatched from</t>
  </si>
  <si>
    <t>ACME Sampling Ltd</t>
  </si>
  <si>
    <t>CHOC_TO</t>
  </si>
  <si>
    <t>Samples despatched to</t>
  </si>
  <si>
    <t>CHOC_DDIS</t>
  </si>
  <si>
    <t>Date dispatched</t>
  </si>
  <si>
    <t>2009-09-20</t>
  </si>
  <si>
    <t>CHOC_BTCH</t>
  </si>
  <si>
    <t>Batch reference</t>
  </si>
  <si>
    <t>S234-1</t>
  </si>
  <si>
    <t>CHOC_REM</t>
  </si>
  <si>
    <t>CHOC_CONT</t>
  </si>
  <si>
    <t>Number of sample containers</t>
  </si>
  <si>
    <t>Associated file reference (chain of custody sheets)</t>
  </si>
  <si>
    <t>FS99</t>
  </si>
  <si>
    <t>CMPG_TESN</t>
  </si>
  <si>
    <t>CMPG_TYPE</t>
  </si>
  <si>
    <t>Compaction test type</t>
  </si>
  <si>
    <t xml:space="preserve">2.5kg </t>
  </si>
  <si>
    <t>CMPG_MOLD</t>
  </si>
  <si>
    <t>Compaction mould type</t>
  </si>
  <si>
    <t>1 litre</t>
  </si>
  <si>
    <t>CMPG_375</t>
  </si>
  <si>
    <t>Weight percent of material retained on 37.5mm sieve</t>
  </si>
  <si>
    <t>7</t>
  </si>
  <si>
    <t>CMPG_200</t>
  </si>
  <si>
    <t>Weight percent of material retained on 20mm sieve</t>
  </si>
  <si>
    <t>CMPG_PDEN</t>
  </si>
  <si>
    <t>Particle density with prefix # if value assumed</t>
  </si>
  <si>
    <t>#2.65</t>
  </si>
  <si>
    <t>CMPG_MAXD</t>
  </si>
  <si>
    <t>Maximum dry density</t>
  </si>
  <si>
    <t>2.06</t>
  </si>
  <si>
    <t>CMPG_MCOP</t>
  </si>
  <si>
    <t>Water/moisture content at maximum dry density (Optimum)</t>
  </si>
  <si>
    <t>CMPG_STAB</t>
  </si>
  <si>
    <t>CMPG_STYP</t>
  </si>
  <si>
    <t>CMPG_REM</t>
  </si>
  <si>
    <t>Single sample used</t>
  </si>
  <si>
    <t>CMPG_METH</t>
  </si>
  <si>
    <t>BS1377:Part 4:1990,cl 3.3</t>
  </si>
  <si>
    <t>CMPG_LAB</t>
  </si>
  <si>
    <t>CMPG_CRED</t>
  </si>
  <si>
    <t>FS23</t>
  </si>
  <si>
    <t>CMPG_DEV</t>
  </si>
  <si>
    <t>CMPG_MCWD</t>
  </si>
  <si>
    <t>Maximum converted wet density</t>
  </si>
  <si>
    <t>CMPG_AOMC</t>
  </si>
  <si>
    <t>Apparent optimum moisture content (oversize corrected)</t>
  </si>
  <si>
    <t>14.1</t>
  </si>
  <si>
    <t>CMPG_AMDD</t>
  </si>
  <si>
    <t>Apparent maximum dry density (oversize corrected)</t>
  </si>
  <si>
    <t>2.21</t>
  </si>
  <si>
    <t>CMPG_MV</t>
  </si>
  <si>
    <t>Moisture variation</t>
  </si>
  <si>
    <t>2.1</t>
  </si>
  <si>
    <t>CMPG_MMC</t>
  </si>
  <si>
    <t>Moisture content test method</t>
  </si>
  <si>
    <t>AS 1289.2.1.1-2005</t>
  </si>
  <si>
    <t>CMPG_DATE</t>
  </si>
  <si>
    <t>CMPG_PBY</t>
  </si>
  <si>
    <t>CMPG_TBY</t>
  </si>
  <si>
    <t>CMPT_TESN</t>
  </si>
  <si>
    <t>Compaction point number</t>
  </si>
  <si>
    <t>CMPT_MC</t>
  </si>
  <si>
    <t>Water/moisture content</t>
  </si>
  <si>
    <t>7.8</t>
  </si>
  <si>
    <t>CMPT_DDEN</t>
  </si>
  <si>
    <t>Dry density at CMPT_MC water/moisture content</t>
  </si>
  <si>
    <t>1.852</t>
  </si>
  <si>
    <t>CMPT_REM</t>
  </si>
  <si>
    <t>CONS_INCN</t>
  </si>
  <si>
    <t>Oedometer stress increment number</t>
  </si>
  <si>
    <t>3</t>
  </si>
  <si>
    <t>COND_NMIN</t>
  </si>
  <si>
    <t>Time elapsed</t>
  </si>
  <si>
    <t>50.00</t>
  </si>
  <si>
    <t>COND_DHT</t>
  </si>
  <si>
    <t>Change in specimen height from initial</t>
  </si>
  <si>
    <t>0.151</t>
  </si>
  <si>
    <t>Sample from base of U100 sample, axis vertical</t>
  </si>
  <si>
    <t>CONG_TYPE</t>
  </si>
  <si>
    <t>Type of consolidation test</t>
  </si>
  <si>
    <t>OEDOMETER</t>
  </si>
  <si>
    <t>CONG_COND</t>
  </si>
  <si>
    <t>CONG_SDIA</t>
  </si>
  <si>
    <t>Test specimen diameter</t>
  </si>
  <si>
    <t>75.15</t>
  </si>
  <si>
    <t>CONG_HIGT</t>
  </si>
  <si>
    <t xml:space="preserve">Test specimen height </t>
  </si>
  <si>
    <t>CONG_MCI</t>
  </si>
  <si>
    <t>21.1</t>
  </si>
  <si>
    <t>CONG_MCF</t>
  </si>
  <si>
    <t>Final water/moisture content</t>
  </si>
  <si>
    <t>18.8</t>
  </si>
  <si>
    <t>CONG_BDEN</t>
  </si>
  <si>
    <t>2.12</t>
  </si>
  <si>
    <t>CONG_DDEN</t>
  </si>
  <si>
    <t>Initial dry density</t>
  </si>
  <si>
    <t>1.75</t>
  </si>
  <si>
    <t>CONG_PDEN</t>
  </si>
  <si>
    <t>CONG_SATR</t>
  </si>
  <si>
    <t>Initial degree of saturation</t>
  </si>
  <si>
    <t>98</t>
  </si>
  <si>
    <t>CONG_SPRS</t>
  </si>
  <si>
    <t>Swelling pressure</t>
  </si>
  <si>
    <t>CONG_SATH</t>
  </si>
  <si>
    <t>Height change of specimen on saturation, or flooding as percentage of original height (BS1377 Settlement on saturation test)</t>
  </si>
  <si>
    <t>1.1</t>
  </si>
  <si>
    <t>CONG_IVR</t>
  </si>
  <si>
    <t>Initial voids ratio</t>
  </si>
  <si>
    <t>0.800</t>
  </si>
  <si>
    <t>CONG_REM</t>
  </si>
  <si>
    <t>Swell test prior to standard Oedometer</t>
  </si>
  <si>
    <t>CONG_METH</t>
  </si>
  <si>
    <t>K H Head</t>
  </si>
  <si>
    <t>CONG_LAB</t>
  </si>
  <si>
    <t>CONG_CRED</t>
  </si>
  <si>
    <t>FS9</t>
  </si>
  <si>
    <t>CONG_DEV</t>
  </si>
  <si>
    <t>Deviations from the test method</t>
  </si>
  <si>
    <t>5 increments carried out only.</t>
  </si>
  <si>
    <t>CONG_MCIS</t>
  </si>
  <si>
    <t>Initial water/moisture content source</t>
  </si>
  <si>
    <t>Specimen trimmings</t>
  </si>
  <si>
    <t>CONG_CORR</t>
  </si>
  <si>
    <t>Results corrected for equipment deformation</t>
  </si>
  <si>
    <t>CONG_PCP</t>
  </si>
  <si>
    <t>Pre-consolidation Pressure for cohesive soils</t>
  </si>
  <si>
    <t>1526</t>
  </si>
  <si>
    <t>CONG_DATE</t>
  </si>
  <si>
    <t>CONG_PBY</t>
  </si>
  <si>
    <t>CONG_TBY</t>
  </si>
  <si>
    <t>Oedometer stress increment</t>
  </si>
  <si>
    <t>CONS_IVR</t>
  </si>
  <si>
    <t>Voids ratio at start of increment</t>
  </si>
  <si>
    <t>CONS_INCF</t>
  </si>
  <si>
    <t>Stress at end of stress increment/decrement</t>
  </si>
  <si>
    <t>400</t>
  </si>
  <si>
    <t>CONS_INCE</t>
  </si>
  <si>
    <t>Voids ratio at end of stress increment</t>
  </si>
  <si>
    <t>0.622</t>
  </si>
  <si>
    <t>To 3DP from 2DP</t>
  </si>
  <si>
    <t>CONS_INMV</t>
  </si>
  <si>
    <t>m2/MN</t>
  </si>
  <si>
    <t>Reported coefficient of volume compressibility over stress increment</t>
  </si>
  <si>
    <t>0.32</t>
  </si>
  <si>
    <t>CONS_INSC</t>
  </si>
  <si>
    <t>Coefficient of secondary compression over stress increment</t>
  </si>
  <si>
    <t>0.12</t>
  </si>
  <si>
    <t>CONS_CVRT</t>
  </si>
  <si>
    <t>m2/yr</t>
  </si>
  <si>
    <t>Coefficient of consolidation over stress increment determined by the root time method</t>
  </si>
  <si>
    <t>CONS_CVLG</t>
  </si>
  <si>
    <t>Coefficient of consolidation over stress increment determined by the log time method</t>
  </si>
  <si>
    <t>CONS_TEMP</t>
  </si>
  <si>
    <t>DegC</t>
  </si>
  <si>
    <t>Average temperature over stress increment</t>
  </si>
  <si>
    <t>22.0</t>
  </si>
  <si>
    <t>CONS_REM</t>
  </si>
  <si>
    <t>CORE_TOP</t>
  </si>
  <si>
    <t>Depth to top of core run</t>
  </si>
  <si>
    <t>2.54</t>
  </si>
  <si>
    <t>CORE_BASE</t>
  </si>
  <si>
    <t>Depth to base of core run</t>
  </si>
  <si>
    <t>3.54</t>
  </si>
  <si>
    <t>CORE_PREC</t>
  </si>
  <si>
    <t>Percentage of core recovered in core run (TCR)</t>
  </si>
  <si>
    <t>32</t>
  </si>
  <si>
    <t>CORE_SREC</t>
  </si>
  <si>
    <t>Percentage of solid core recovered in core run (SCR)</t>
  </si>
  <si>
    <t>CORE_RQD</t>
  </si>
  <si>
    <t>Rock Quality Designation for core run (RQD)</t>
  </si>
  <si>
    <t>CORE_DIAM</t>
  </si>
  <si>
    <t>Core diameter</t>
  </si>
  <si>
    <t>CORE_DURN</t>
  </si>
  <si>
    <t>Time taken to drill core run</t>
  </si>
  <si>
    <t>00:05</t>
  </si>
  <si>
    <t>CORE_REM</t>
  </si>
  <si>
    <t>Rods dropped 200mm at 3.10m</t>
  </si>
  <si>
    <t>Associated file reference (e.g. photographs of rock cores)</t>
  </si>
  <si>
    <t>FS5</t>
  </si>
  <si>
    <t>CTRC_TESN</t>
  </si>
  <si>
    <t>Test / Stage Number</t>
  </si>
  <si>
    <t>CTRC_CELL</t>
  </si>
  <si>
    <t>Final cell pressure</t>
  </si>
  <si>
    <t>350.5</t>
  </si>
  <si>
    <t>CTRC_BPWP</t>
  </si>
  <si>
    <t>Base porewater pressure</t>
  </si>
  <si>
    <t>692.0</t>
  </si>
  <si>
    <t>CTRC_MPWP</t>
  </si>
  <si>
    <t>Mid-height porewater pressure</t>
  </si>
  <si>
    <t>CTRC_MPB</t>
  </si>
  <si>
    <t>Mid-height B value</t>
  </si>
  <si>
    <t>99.12</t>
  </si>
  <si>
    <t>CTRC_BB</t>
  </si>
  <si>
    <t>Base B value</t>
  </si>
  <si>
    <t>99.10</t>
  </si>
  <si>
    <t>CTRC_TYPE</t>
  </si>
  <si>
    <t>Type of consolidation</t>
  </si>
  <si>
    <t>ISOTROPIC</t>
  </si>
  <si>
    <t>CTRC_BACF</t>
  </si>
  <si>
    <t>Final back pressure</t>
  </si>
  <si>
    <t>200.0</t>
  </si>
  <si>
    <t>CTRC_ELAP</t>
  </si>
  <si>
    <t>hh:mm:ss</t>
  </si>
  <si>
    <t>Duration of test/stage number</t>
  </si>
  <si>
    <t>09:38:23</t>
  </si>
  <si>
    <t>CTRC_CHGT</t>
  </si>
  <si>
    <t>Specimen height at end of stage</t>
  </si>
  <si>
    <t>36.98</t>
  </si>
  <si>
    <t>CTRC_DIAE</t>
  </si>
  <si>
    <t>Specimen diameter at end of stage</t>
  </si>
  <si>
    <t>75.21</t>
  </si>
  <si>
    <t>CTRC_MCE</t>
  </si>
  <si>
    <t>Water content at end of stage</t>
  </si>
  <si>
    <t>CTRC_BDE</t>
  </si>
  <si>
    <t>Bulk density at end of stage</t>
  </si>
  <si>
    <t>2.01</t>
  </si>
  <si>
    <t>CTRC_DDE</t>
  </si>
  <si>
    <t>Dry density at end of stage</t>
  </si>
  <si>
    <t>CTRC_RDE</t>
  </si>
  <si>
    <t>Relative density index of sand at end of stage</t>
  </si>
  <si>
    <t>90.1</t>
  </si>
  <si>
    <t>CTRC_INCE</t>
  </si>
  <si>
    <t>Voids ratio at end of stage</t>
  </si>
  <si>
    <t>0.765</t>
  </si>
  <si>
    <t>CTRC_ASE</t>
  </si>
  <si>
    <t>Effective axial stress at end of stage</t>
  </si>
  <si>
    <t>200.1</t>
  </si>
  <si>
    <t>CTRC_RSE</t>
  </si>
  <si>
    <t>Effective radial stress at end of stage</t>
  </si>
  <si>
    <t>100.1</t>
  </si>
  <si>
    <t>CTRC_SSE</t>
  </si>
  <si>
    <t>Shear stress at end of stage</t>
  </si>
  <si>
    <t>CTRC_DEVE</t>
  </si>
  <si>
    <t>Deviatoric stress at end of stage</t>
  </si>
  <si>
    <t>CTRC_MNSE</t>
  </si>
  <si>
    <t>Mean effective stress at end of stage</t>
  </si>
  <si>
    <t>99.7</t>
  </si>
  <si>
    <t>CTRC_RTOE</t>
  </si>
  <si>
    <t>Ratio of radial to axial effective stress at end of stage</t>
  </si>
  <si>
    <t>CTRC_EASE</t>
  </si>
  <si>
    <t>External axial strain at end of stage</t>
  </si>
  <si>
    <t>0.221</t>
  </si>
  <si>
    <t>CTRC_VLSE</t>
  </si>
  <si>
    <t>Volumetric strain from measured volume change at end of stage</t>
  </si>
  <si>
    <t>0.271</t>
  </si>
  <si>
    <t>CTRC_RDSE</t>
  </si>
  <si>
    <t>Radial strain from measured volume change at end of stage</t>
  </si>
  <si>
    <t>0.232</t>
  </si>
  <si>
    <t>CTRC_B</t>
  </si>
  <si>
    <t>B value</t>
  </si>
  <si>
    <t>99.1</t>
  </si>
  <si>
    <t>CTRC_BETS</t>
  </si>
  <si>
    <t>Bender element test sequence</t>
  </si>
  <si>
    <t>After anisotropic consolidation stage 2</t>
  </si>
  <si>
    <t>CTRC_BEAX</t>
  </si>
  <si>
    <t>Bender element axis of measurement</t>
  </si>
  <si>
    <t>hv</t>
  </si>
  <si>
    <t>CTRC_BEDS</t>
  </si>
  <si>
    <t>Distance between bender elements</t>
  </si>
  <si>
    <t>1.92</t>
  </si>
  <si>
    <t>CTRC_MAT</t>
  </si>
  <si>
    <t>s</t>
  </si>
  <si>
    <t>4DP</t>
  </si>
  <si>
    <t>Measured arrival time of propagated wave</t>
  </si>
  <si>
    <t>0.4943</t>
  </si>
  <si>
    <t>CTRC_MATM</t>
  </si>
  <si>
    <t>Method of measuring arrival time of propagated wave</t>
  </si>
  <si>
    <t>Peak to peak</t>
  </si>
  <si>
    <t>CTRC_SWV</t>
  </si>
  <si>
    <t>m/s</t>
  </si>
  <si>
    <t>Calculated shear wave velocity</t>
  </si>
  <si>
    <t>395</t>
  </si>
  <si>
    <t>CTRC_SMGM</t>
  </si>
  <si>
    <t>MPa</t>
  </si>
  <si>
    <t>Shear modulus Gmax</t>
  </si>
  <si>
    <t>295.3</t>
  </si>
  <si>
    <t>CTRC_REM</t>
  </si>
  <si>
    <t>Associated file reference</t>
  </si>
  <si>
    <t>CTRP_CYC</t>
  </si>
  <si>
    <t>Cycle number</t>
  </si>
  <si>
    <t>CTRD_TIME</t>
  </si>
  <si>
    <t>yyyy-mm-ddThh:mm:ss</t>
  </si>
  <si>
    <t>Date/time of reading</t>
  </si>
  <si>
    <t>2017-10-02T00:20:32</t>
  </si>
  <si>
    <t>CTRD_COND</t>
  </si>
  <si>
    <t>Test conditions</t>
  </si>
  <si>
    <t>DRAINED</t>
  </si>
  <si>
    <t>CTRD_SDIA</t>
  </si>
  <si>
    <t>Specimen diameter</t>
  </si>
  <si>
    <t>36.51</t>
  </si>
  <si>
    <t>CTRD_HIGH</t>
  </si>
  <si>
    <t>Specimen height</t>
  </si>
  <si>
    <t>73.55</t>
  </si>
  <si>
    <t>CTRD_CELL</t>
  </si>
  <si>
    <t>Cell pressure</t>
  </si>
  <si>
    <t>350.1</t>
  </si>
  <si>
    <t>CTRD_BPWP</t>
  </si>
  <si>
    <t>CTRD_MPWP</t>
  </si>
  <si>
    <t>Mid-plane porewater pressure</t>
  </si>
  <si>
    <t>CTRD_EAS</t>
  </si>
  <si>
    <t>External axial strain</t>
  </si>
  <si>
    <t>0.002</t>
  </si>
  <si>
    <t>CTRD_LAS1</t>
  </si>
  <si>
    <t>Local axial strain 1</t>
  </si>
  <si>
    <t>CTRD_LAS2</t>
  </si>
  <si>
    <t>Local axial strain 2</t>
  </si>
  <si>
    <t>0.001</t>
  </si>
  <si>
    <t>CTRD_VOL</t>
  </si>
  <si>
    <t>Volumetric strain</t>
  </si>
  <si>
    <t>0.005</t>
  </si>
  <si>
    <t>CTRD_RAD</t>
  </si>
  <si>
    <t>Radial strain</t>
  </si>
  <si>
    <t>0.012</t>
  </si>
  <si>
    <t>CTRD_SHSN</t>
  </si>
  <si>
    <t>Shear strain</t>
  </si>
  <si>
    <t>0.543</t>
  </si>
  <si>
    <t>CTRD_SHST</t>
  </si>
  <si>
    <t>Shear stress</t>
  </si>
  <si>
    <t>98.2</t>
  </si>
  <si>
    <t>CTRD_DEV</t>
  </si>
  <si>
    <t>Deviatoric stress</t>
  </si>
  <si>
    <t>80.2 </t>
  </si>
  <si>
    <t>CTRD_PSD</t>
  </si>
  <si>
    <t>Principal stress difference</t>
  </si>
  <si>
    <t>150.0</t>
  </si>
  <si>
    <t>CTRD_MEES</t>
  </si>
  <si>
    <t>Mean effective stress</t>
  </si>
  <si>
    <t>510.0</t>
  </si>
  <si>
    <t>CTRD_SECE</t>
  </si>
  <si>
    <t>Secant Young's Modulus (Local)</t>
  </si>
  <si>
    <t>619.4</t>
  </si>
  <si>
    <t>CTRD_TANE</t>
  </si>
  <si>
    <t>Tangent Young's Modulus</t>
  </si>
  <si>
    <t>CTRD_FREQ</t>
  </si>
  <si>
    <t>Hz</t>
  </si>
  <si>
    <t>Loading frequency</t>
  </si>
  <si>
    <t>0.31</t>
  </si>
  <si>
    <t>CTRD_CSTS</t>
  </si>
  <si>
    <t>Cyclic amplitude</t>
  </si>
  <si>
    <t>CTRD_ACVS</t>
  </si>
  <si>
    <t>Average cyclic axial stress</t>
  </si>
  <si>
    <t>CTRD_DAVS</t>
  </si>
  <si>
    <t>Double amplitude axial strain</t>
  </si>
  <si>
    <t>14.323</t>
  </si>
  <si>
    <t>CTRD_CESR</t>
  </si>
  <si>
    <t>Compression/Extension stress ratio</t>
  </si>
  <si>
    <t>0.02</t>
  </si>
  <si>
    <t>CTRD_EMPR</t>
  </si>
  <si>
    <t>Excess mid-plane pore pressure ratio</t>
  </si>
  <si>
    <t>CTRD_EBPR</t>
  </si>
  <si>
    <t>Excess base pore pressure ratio</t>
  </si>
  <si>
    <t>9.0</t>
  </si>
  <si>
    <t>CTRD_REM</t>
  </si>
  <si>
    <t>CLAY</t>
  </si>
  <si>
    <t>Specimen preparation technique used</t>
  </si>
  <si>
    <t>Water pluviation</t>
  </si>
  <si>
    <t>CTRG_TYPE</t>
  </si>
  <si>
    <t>CAUc/CIUc</t>
  </si>
  <si>
    <t>CTRG_MCI</t>
  </si>
  <si>
    <t>CTRG_MCF</t>
  </si>
  <si>
    <t>CTRG_H2O</t>
  </si>
  <si>
    <t>Description of type of water used for filter flushing, and salt content if relevant</t>
  </si>
  <si>
    <t>Salt water 30g/L</t>
  </si>
  <si>
    <t>CTRG_SBP</t>
  </si>
  <si>
    <t>Saturation back pressure</t>
  </si>
  <si>
    <t>CTRG_SATR</t>
  </si>
  <si>
    <t>Initial degree of saturation after back pressure</t>
  </si>
  <si>
    <t>CTRG_IRD</t>
  </si>
  <si>
    <t>Initial sample relative density</t>
  </si>
  <si>
    <t>CTRG_SDIA</t>
  </si>
  <si>
    <t>Initial specimen diameter</t>
  </si>
  <si>
    <t>CTRG_HIGT</t>
  </si>
  <si>
    <t>Initial height of specimen</t>
  </si>
  <si>
    <t>CTRG_TMSS</t>
  </si>
  <si>
    <t>g</t>
  </si>
  <si>
    <t>Total mass of installed specimen</t>
  </si>
  <si>
    <t>CTRG_PDEN</t>
  </si>
  <si>
    <t>CTRG_MADD</t>
  </si>
  <si>
    <t>Maximum density of sand</t>
  </si>
  <si>
    <t>CTRG_MIDD</t>
  </si>
  <si>
    <t>Minimum density of sand</t>
  </si>
  <si>
    <t>CTRG_DDEN</t>
  </si>
  <si>
    <t>CTRG_BDEN</t>
  </si>
  <si>
    <t>CTRG_IVR</t>
  </si>
  <si>
    <t>CTRG_SAT</t>
  </si>
  <si>
    <t>Method of saturation</t>
  </si>
  <si>
    <t>Back pressure, none</t>
  </si>
  <si>
    <t>CTRG_DURN</t>
  </si>
  <si>
    <t>Test Duration</t>
  </si>
  <si>
    <t>CTRG_REM</t>
  </si>
  <si>
    <t>CTRG_METH</t>
  </si>
  <si>
    <t>ASTM D5311/D5311M-13</t>
  </si>
  <si>
    <t>CTRG_DEV</t>
  </si>
  <si>
    <t>CTRG_LAB</t>
  </si>
  <si>
    <t>CTRG_CRED</t>
  </si>
  <si>
    <t>CTRG_DATE</t>
  </si>
  <si>
    <t>CTRG_PBY</t>
  </si>
  <si>
    <t>CTRG_TBY</t>
  </si>
  <si>
    <t>CTRP_CYCF</t>
  </si>
  <si>
    <t>Cycle number of failure</t>
  </si>
  <si>
    <t>CTRP_PWPM</t>
  </si>
  <si>
    <t>Maximum excess porewater pressure</t>
  </si>
  <si>
    <t>CTRP_MNPP</t>
  </si>
  <si>
    <t>Minimum excess porewater pressure</t>
  </si>
  <si>
    <t>95.1</t>
  </si>
  <si>
    <t>CTRP_MXSS</t>
  </si>
  <si>
    <t>Maximum shear stress</t>
  </si>
  <si>
    <t>125.2</t>
  </si>
  <si>
    <t>CTRP_MNSS</t>
  </si>
  <si>
    <t>Minimum shear stress</t>
  </si>
  <si>
    <t>110.2 </t>
  </si>
  <si>
    <t>CTRP_AVSS</t>
  </si>
  <si>
    <t>Mean shear stress</t>
  </si>
  <si>
    <t>99.2</t>
  </si>
  <si>
    <t>CTRP_CSS</t>
  </si>
  <si>
    <t>Cyclic shear stress ((Max-Min)/2)</t>
  </si>
  <si>
    <t>117.2</t>
  </si>
  <si>
    <t>CTRP_ACVS</t>
  </si>
  <si>
    <t>CTRP_ASF</t>
  </si>
  <si>
    <t>Axial strain at failure</t>
  </si>
  <si>
    <t>0.015</t>
  </si>
  <si>
    <t>CTRP_FPWP</t>
  </si>
  <si>
    <t>Porewater pressure at failure</t>
  </si>
  <si>
    <t>320.1</t>
  </si>
  <si>
    <t>CTRP_QMAX</t>
  </si>
  <si>
    <t>Maximum deviatoric stress</t>
  </si>
  <si>
    <t>232.2</t>
  </si>
  <si>
    <t>CTRP_QMIN</t>
  </si>
  <si>
    <t>Minimum deviatoric stress</t>
  </si>
  <si>
    <t>75.1</t>
  </si>
  <si>
    <t>CTRP_MNES</t>
  </si>
  <si>
    <t>Mean effective stress at end of CTRD_CYC</t>
  </si>
  <si>
    <t>81.2</t>
  </si>
  <si>
    <t>CTRP_EAMX</t>
  </si>
  <si>
    <t>Maximum axial strain</t>
  </si>
  <si>
    <t>0.258</t>
  </si>
  <si>
    <t>CTRP_EAMN</t>
  </si>
  <si>
    <t>Minimum axial strain</t>
  </si>
  <si>
    <t>CTRP_FVR</t>
  </si>
  <si>
    <t>Final voids ratio</t>
  </si>
  <si>
    <t>0.783</t>
  </si>
  <si>
    <t>CTRP_QEMX</t>
  </si>
  <si>
    <t>Deviatoric stress at maximum axial strain</t>
  </si>
  <si>
    <t>195.1</t>
  </si>
  <si>
    <t>CTRP_QEMN</t>
  </si>
  <si>
    <t>Deviatoric stress at minimum axial strain</t>
  </si>
  <si>
    <t>55.2</t>
  </si>
  <si>
    <t>CTRP_ESEC</t>
  </si>
  <si>
    <t>Secant modulus</t>
  </si>
  <si>
    <t>452.2</t>
  </si>
  <si>
    <t>CTRP_DAMP</t>
  </si>
  <si>
    <t>Damping ratio</t>
  </si>
  <si>
    <t>7.31</t>
  </si>
  <si>
    <t>CTRP_MODE</t>
  </si>
  <si>
    <t>Mode of failure</t>
  </si>
  <si>
    <t>Brittle</t>
  </si>
  <si>
    <t>CTRP_DIPL</t>
  </si>
  <si>
    <t>Percent Difference from Programmed Load</t>
  </si>
  <si>
    <t>3.24</t>
  </si>
  <si>
    <t>CTRP_OBP</t>
  </si>
  <si>
    <t>Observed Performance (Visual)</t>
  </si>
  <si>
    <t>Uniform straining</t>
  </si>
  <si>
    <t>CTRP_REM</t>
  </si>
  <si>
    <t>CTRS_TESN</t>
  </si>
  <si>
    <t>CTRS_CELL</t>
  </si>
  <si>
    <t>Saturation cell pressure</t>
  </si>
  <si>
    <t>CTRS_BPWP</t>
  </si>
  <si>
    <t>Saturation base porewater pressure</t>
  </si>
  <si>
    <t>100.2</t>
  </si>
  <si>
    <t>CTRS_MPWP</t>
  </si>
  <si>
    <t>Saturation mid-height porewater pressure</t>
  </si>
  <si>
    <t>120.1</t>
  </si>
  <si>
    <t>CTRS_MPB</t>
  </si>
  <si>
    <t>Saturation mid-height B value</t>
  </si>
  <si>
    <t>0.95</t>
  </si>
  <si>
    <t>CTRS_BB</t>
  </si>
  <si>
    <t>Saturation base B value</t>
  </si>
  <si>
    <t>0.99</t>
  </si>
  <si>
    <t>CTRS_SAT</t>
  </si>
  <si>
    <t>Saturation method</t>
  </si>
  <si>
    <t>Back Pressure</t>
  </si>
  <si>
    <t>CTRS_FSAT</t>
  </si>
  <si>
    <t>Final saturation</t>
  </si>
  <si>
    <t>CTRS_REM</t>
  </si>
  <si>
    <t>DCPG_DATE</t>
  </si>
  <si>
    <t>Test date</t>
  </si>
  <si>
    <t>2003-03-20</t>
  </si>
  <si>
    <t>DCPG_TESN</t>
  </si>
  <si>
    <t>DCPG_DPTH</t>
  </si>
  <si>
    <t>Depth from surface to start of test</t>
  </si>
  <si>
    <t>0.30</t>
  </si>
  <si>
    <t>DCPG_ZERO</t>
  </si>
  <si>
    <t>Zero reading</t>
  </si>
  <si>
    <t>223</t>
  </si>
  <si>
    <t>DCPG_LREM</t>
  </si>
  <si>
    <t>Details of surface and base layers removed prior to/during the test (if applicable)</t>
  </si>
  <si>
    <t>Asphalt surface layer removed by coring to allow testing of sub-base layers</t>
  </si>
  <si>
    <t>DCPG_REM</t>
  </si>
  <si>
    <t>Test remarks</t>
  </si>
  <si>
    <t>Test terminated at 0.53m penetration due to significant lean away from vertical</t>
  </si>
  <si>
    <t>DCPG_ENV</t>
  </si>
  <si>
    <t>Details of weather and environmental conditions during test</t>
  </si>
  <si>
    <t>Sunny and warm</t>
  </si>
  <si>
    <t>DCPG_METH</t>
  </si>
  <si>
    <t>DMRB HD29/08 Section 7.27</t>
  </si>
  <si>
    <t>DCPG_CONT</t>
  </si>
  <si>
    <t>Name of testing organization</t>
  </si>
  <si>
    <t>ACME On-site Testing Ltd</t>
  </si>
  <si>
    <t>DCPG_CRED</t>
  </si>
  <si>
    <t>Associated file reference (e.g. field record sheets)</t>
  </si>
  <si>
    <t>FS26</t>
  </si>
  <si>
    <t>DCPG_TYPE</t>
  </si>
  <si>
    <t>Probe type</t>
  </si>
  <si>
    <t>DCP9</t>
  </si>
  <si>
    <t>DCPG_OPER</t>
  </si>
  <si>
    <t>Name of test operator</t>
  </si>
  <si>
    <t>Location Identifier</t>
  </si>
  <si>
    <t>DCPI_TOP</t>
  </si>
  <si>
    <t>Top of interval</t>
  </si>
  <si>
    <t>1.00</t>
  </si>
  <si>
    <t>DCPI_BASE</t>
  </si>
  <si>
    <t>Base of interval</t>
  </si>
  <si>
    <t>DCPI_BLOW</t>
  </si>
  <si>
    <t>Blows in interval</t>
  </si>
  <si>
    <t>DCPI_ICBR</t>
  </si>
  <si>
    <t>Correlated In Situ CBR</t>
  </si>
  <si>
    <t>10.5</t>
  </si>
  <si>
    <t>DCPI_REM</t>
  </si>
  <si>
    <t>Remark</t>
  </si>
  <si>
    <t>DCPT_CBLO</t>
  </si>
  <si>
    <t>Cumulative blows</t>
  </si>
  <si>
    <t>DCPT_PEN</t>
  </si>
  <si>
    <t>Penetration at DCPT_CBLO</t>
  </si>
  <si>
    <t>DCPT_DEL</t>
  </si>
  <si>
    <t>Delay before increment started</t>
  </si>
  <si>
    <t>00:00</t>
  </si>
  <si>
    <t>DCPT_REM</t>
  </si>
  <si>
    <t>Test reading remarks</t>
  </si>
  <si>
    <t>DETL_TOP</t>
  </si>
  <si>
    <t>Depth to top of detail description</t>
  </si>
  <si>
    <t>3.46</t>
  </si>
  <si>
    <t>DETL_BASE</t>
  </si>
  <si>
    <t>Depth to base of detail description</t>
  </si>
  <si>
    <t>3.76</t>
  </si>
  <si>
    <t>DETL_DESC</t>
  </si>
  <si>
    <t xml:space="preserve">Detail description </t>
  </si>
  <si>
    <t>Claystone</t>
  </si>
  <si>
    <t>DETL_REM</t>
  </si>
  <si>
    <t>Associated file reference (e.g. logging field sheets)</t>
  </si>
  <si>
    <t>DICT_TYPE</t>
  </si>
  <si>
    <t>Flag to indicate definition is a GROUP or HEADING (i.e. can be either of GROUP or HEADING)</t>
  </si>
  <si>
    <t>HEADING</t>
  </si>
  <si>
    <t>DICT_GRP</t>
  </si>
  <si>
    <t>Group name</t>
  </si>
  <si>
    <t>NGRP</t>
  </si>
  <si>
    <t>DICT_HDNG</t>
  </si>
  <si>
    <t>Heading name 
(Note: This data is REQUIRED where DICT_TYPE="HEADING")</t>
  </si>
  <si>
    <t>NGRP_HED1</t>
  </si>
  <si>
    <t>DICT_STAT</t>
  </si>
  <si>
    <t>Heading status KEY, REQUIRED or OTHER 
(Note: This data is REQUIRED where DICT_TYPE="HEADING")</t>
  </si>
  <si>
    <t>OTHER</t>
  </si>
  <si>
    <t>DICT_DTYP</t>
  </si>
  <si>
    <t>PT</t>
  </si>
  <si>
    <t>Type of data and format 
(Note: This data is REQUIRED where DICT_TYPE="HEADING")</t>
  </si>
  <si>
    <t>DICT_DESC</t>
  </si>
  <si>
    <t>New group heading 1</t>
  </si>
  <si>
    <t>DICT_UNIT</t>
  </si>
  <si>
    <t>PU</t>
  </si>
  <si>
    <t>Units 
(Note: This data is REQUIRED where DICT_TYPE="HEADING")</t>
  </si>
  <si>
    <t>mg/kg</t>
  </si>
  <si>
    <t>DICT_EXMP</t>
  </si>
  <si>
    <t>DICT_PGRP</t>
  </si>
  <si>
    <t>Parent group name 
(Note: This data is REQUIRED where DICT_TYPE="GROUP")</t>
  </si>
  <si>
    <t>DICT_REM</t>
  </si>
  <si>
    <t>DISC_TOP</t>
  </si>
  <si>
    <t>Depth to top in hole, or distance to start on traverse, of discontinuity zone, or discontinuity. For joints in core enter depth at which the discontinuity intersects the core axis.</t>
  </si>
  <si>
    <t>10.26</t>
  </si>
  <si>
    <t>DISC_BASE</t>
  </si>
  <si>
    <t>Depth to base in hole, or distance to end on traverse, of discontinuity zone</t>
  </si>
  <si>
    <t>12.67</t>
  </si>
  <si>
    <t>FRAC_SET</t>
  </si>
  <si>
    <t>Discontinuity set reference</t>
  </si>
  <si>
    <t>J3</t>
  </si>
  <si>
    <t>DISC_NUMB</t>
  </si>
  <si>
    <t>Discontinuity reference</t>
  </si>
  <si>
    <t>57</t>
  </si>
  <si>
    <t>DISC_TYPE</t>
  </si>
  <si>
    <t>Type of discontinuity</t>
  </si>
  <si>
    <t>Joint</t>
  </si>
  <si>
    <t>DISC_DIP</t>
  </si>
  <si>
    <t>deg</t>
  </si>
  <si>
    <t>Dip of discontinuity (apparent), for a range enter e.g. 10-15</t>
  </si>
  <si>
    <t>08</t>
  </si>
  <si>
    <t>X from 0DP</t>
  </si>
  <si>
    <t>DISC_DIR</t>
  </si>
  <si>
    <t>Dip direction of discontinuity (apparent)</t>
  </si>
  <si>
    <t>247</t>
  </si>
  <si>
    <t>DISC_RGH</t>
  </si>
  <si>
    <t>Surface roughness</t>
  </si>
  <si>
    <t>SM</t>
  </si>
  <si>
    <t>DISC_PLAN</t>
  </si>
  <si>
    <t>Surface shape</t>
  </si>
  <si>
    <t>IR</t>
  </si>
  <si>
    <t>DISC_WAVE</t>
  </si>
  <si>
    <t>Large scale roughness, wavelength (not in AS 1726)</t>
  </si>
  <si>
    <t>DISC_AMP</t>
  </si>
  <si>
    <t>Large scale roughness, amplitude (not in AS 1726)</t>
  </si>
  <si>
    <t>0.5</t>
  </si>
  <si>
    <t>DISC_JRC</t>
  </si>
  <si>
    <t>Joint Roughness Coefficient</t>
  </si>
  <si>
    <t>DISC_APP</t>
  </si>
  <si>
    <t>Surface appearance (not in AS 1726)</t>
  </si>
  <si>
    <t>Slightly polished</t>
  </si>
  <si>
    <t>DISC_APT</t>
  </si>
  <si>
    <t>Discontinuity aperture (openness) / thickness measurement</t>
  </si>
  <si>
    <t>&lt;2</t>
  </si>
  <si>
    <t>XN from 0DP</t>
  </si>
  <si>
    <t>DISC_APOB</t>
  </si>
  <si>
    <t>Discontinuity aperture observation</t>
  </si>
  <si>
    <t>VN</t>
  </si>
  <si>
    <t>DISC_INFM</t>
  </si>
  <si>
    <t>Infilling material</t>
  </si>
  <si>
    <t>sandy clay</t>
  </si>
  <si>
    <t>DISC_TERM</t>
  </si>
  <si>
    <t>Discontinuity termination (lower, upper)</t>
  </si>
  <si>
    <t xml:space="preserve">XR </t>
  </si>
  <si>
    <t>DISC_PERS</t>
  </si>
  <si>
    <t>Persistence measurement</t>
  </si>
  <si>
    <t>DISC_STR</t>
  </si>
  <si>
    <t>Discontinuity wall strength</t>
  </si>
  <si>
    <t>50</t>
  </si>
  <si>
    <t>DISC_WETH</t>
  </si>
  <si>
    <t>Discontinuity wall weathering</t>
  </si>
  <si>
    <t>Slightly weathered</t>
  </si>
  <si>
    <t>DISC_SEEP</t>
  </si>
  <si>
    <t>Seepage rating</t>
  </si>
  <si>
    <t>Small</t>
  </si>
  <si>
    <t>DISC_FLOW</t>
  </si>
  <si>
    <t>l/s</t>
  </si>
  <si>
    <t>Water flow estimate</t>
  </si>
  <si>
    <t>DISC_REM</t>
  </si>
  <si>
    <t>FS24</t>
  </si>
  <si>
    <t>DISC_DIPT</t>
  </si>
  <si>
    <t>Dip of discontinuity (true)</t>
  </si>
  <si>
    <t>90 deg from alpha/beta, so no need to also have alpha/beta</t>
  </si>
  <si>
    <t>DISC_DIRT</t>
  </si>
  <si>
    <t>Dip direction of discontinuity (true)</t>
  </si>
  <si>
    <t>DISC_WAVI</t>
  </si>
  <si>
    <t>Waviness, angle of the asperities relative to overall dip angle</t>
  </si>
  <si>
    <t>DISC_GNRL</t>
  </si>
  <si>
    <t>General/multiple discontinuity, set true if multiple discontinuitys are discribed by this record</t>
  </si>
  <si>
    <t>DISC_TYPS</t>
  </si>
  <si>
    <t>Type of discontinuity suffix</t>
  </si>
  <si>
    <t>s, or x2</t>
  </si>
  <si>
    <t>DISC_SPC</t>
  </si>
  <si>
    <t>Spacing</t>
  </si>
  <si>
    <t>80-100 mm</t>
  </si>
  <si>
    <t>DLOG_TOP</t>
  </si>
  <si>
    <t>Depth to top of drillers stratum description</t>
  </si>
  <si>
    <t>11.25</t>
  </si>
  <si>
    <t>DLOG_BASE</t>
  </si>
  <si>
    <t>Depth to base of drillers stratum description</t>
  </si>
  <si>
    <t>12.25</t>
  </si>
  <si>
    <t>DLOG_DESC</t>
  </si>
  <si>
    <t>Drillers description of stratum</t>
  </si>
  <si>
    <t>Dense yellow SAND</t>
  </si>
  <si>
    <t>DLOG_REM</t>
  </si>
  <si>
    <t>Associated file reference (e.g. sampling field sheets)</t>
  </si>
  <si>
    <t>FS67</t>
  </si>
  <si>
    <t>DMTG_TESN</t>
  </si>
  <si>
    <t>DMDG_DPTH</t>
  </si>
  <si>
    <t>Depth of dissipation test</t>
  </si>
  <si>
    <t>5.05</t>
  </si>
  <si>
    <t>DMDG_TFLX</t>
  </si>
  <si>
    <t>Time to point of inflection on dissipation curve (tflex)</t>
  </si>
  <si>
    <t>10.15</t>
  </si>
  <si>
    <t>DMDG_CH</t>
  </si>
  <si>
    <t>Coefficient of consolidation (Ch), (horizontal), calculated from DMDG_TFLX</t>
  </si>
  <si>
    <t>27.1</t>
  </si>
  <si>
    <t>DMDG_DK</t>
  </si>
  <si>
    <t>1SCI</t>
  </si>
  <si>
    <t>Coefficient of permeability (k), (horizontal), calculated from DMDG_TFLX</t>
  </si>
  <si>
    <t>1.1E-08</t>
  </si>
  <si>
    <t>DMDG_DATE</t>
  </si>
  <si>
    <t>2013-02-15</t>
  </si>
  <si>
    <t>DMDG_REM</t>
  </si>
  <si>
    <t>Note on set up conditions</t>
  </si>
  <si>
    <t>Associated File Reference</t>
  </si>
  <si>
    <t>DMDG_OPER</t>
  </si>
  <si>
    <t>DMDT_MINS</t>
  </si>
  <si>
    <t>Minutes elapsed since start of test</t>
  </si>
  <si>
    <t>5.55</t>
  </si>
  <si>
    <t>DMDT_PTA</t>
  </si>
  <si>
    <t>A-pressure test reading</t>
  </si>
  <si>
    <t>1.12</t>
  </si>
  <si>
    <t>DMDT_REM</t>
  </si>
  <si>
    <t>DMTG_DATE</t>
  </si>
  <si>
    <t>2013-10-15</t>
  </si>
  <si>
    <t>DMTG_REM</t>
  </si>
  <si>
    <t>DMTG_WAT</t>
  </si>
  <si>
    <t>Depth to groundwater level, Zw at time of test</t>
  </si>
  <si>
    <t>2.25</t>
  </si>
  <si>
    <t>DMTG_GWD</t>
  </si>
  <si>
    <t>Method of groundwater determination (eg measured, assumed)</t>
  </si>
  <si>
    <t>Measured</t>
  </si>
  <si>
    <t>DMTG_REMB</t>
  </si>
  <si>
    <t>Serial number of blade</t>
  </si>
  <si>
    <t>ABC123</t>
  </si>
  <si>
    <t>DMTG_REMS</t>
  </si>
  <si>
    <t>Serial number of seismic module (if used)</t>
  </si>
  <si>
    <t>DEF123</t>
  </si>
  <si>
    <t>DMTG_CONT</t>
  </si>
  <si>
    <t>Subcontractors name</t>
  </si>
  <si>
    <t>ACME In Situ</t>
  </si>
  <si>
    <t>DMTG_METH</t>
  </si>
  <si>
    <t>Standard followed for testing</t>
  </si>
  <si>
    <t>D6635 - 01(2007)</t>
  </si>
  <si>
    <t>DMTG_OPER</t>
  </si>
  <si>
    <t>DMTG_RIG</t>
  </si>
  <si>
    <t>Type of penetration rig</t>
  </si>
  <si>
    <t>Small track rig</t>
  </si>
  <si>
    <t>DMTG_MRF</t>
  </si>
  <si>
    <t>Method of reaction</t>
  </si>
  <si>
    <t>10t water</t>
  </si>
  <si>
    <t>DMTG_COT</t>
  </si>
  <si>
    <t>Method and calibration of thrust measurement</t>
  </si>
  <si>
    <t>DMTG_TDR</t>
  </si>
  <si>
    <t>Type and diameter of penetration rods</t>
  </si>
  <si>
    <t>DMTG_DITH</t>
  </si>
  <si>
    <t>Diaphragm thickness</t>
  </si>
  <si>
    <t>0.25</t>
  </si>
  <si>
    <t>DMTG_BCVA</t>
  </si>
  <si>
    <t>Blade calibration value, delta A</t>
  </si>
  <si>
    <t>0.15</t>
  </si>
  <si>
    <t>DMTG_BCVB</t>
  </si>
  <si>
    <t>Blade calibration value, delta B</t>
  </si>
  <si>
    <t>0.40</t>
  </si>
  <si>
    <t>DMTG_CFZM</t>
  </si>
  <si>
    <t>Correction factor, Zm</t>
  </si>
  <si>
    <t>0.347</t>
  </si>
  <si>
    <t>DMTG_FAED</t>
  </si>
  <si>
    <t>Dilatometer modulus (Ed) factor</t>
  </si>
  <si>
    <t>34.71</t>
  </si>
  <si>
    <t>DMTG_SOFF</t>
  </si>
  <si>
    <t>Seismic source offset from rods</t>
  </si>
  <si>
    <t>DMTT_DPTH</t>
  </si>
  <si>
    <t>Depth below ground level of result</t>
  </si>
  <si>
    <t>1.25</t>
  </si>
  <si>
    <t>DMTP_REF</t>
  </si>
  <si>
    <t>Interpretation reference</t>
  </si>
  <si>
    <t>A</t>
  </si>
  <si>
    <t>DMTP_DMID</t>
  </si>
  <si>
    <t>Material index, I_D</t>
  </si>
  <si>
    <t>5.66</t>
  </si>
  <si>
    <t>DMTP_DKD</t>
  </si>
  <si>
    <t>Horizontal stress index, K_D</t>
  </si>
  <si>
    <t>1.8</t>
  </si>
  <si>
    <t>DMTP_DED</t>
  </si>
  <si>
    <t>Dilatometer modulus, E_D</t>
  </si>
  <si>
    <t>31.1</t>
  </si>
  <si>
    <t>DMTP_DSD</t>
  </si>
  <si>
    <t>Interpreted soil description</t>
  </si>
  <si>
    <t>SAND</t>
  </si>
  <si>
    <t>DMTP_EGAM</t>
  </si>
  <si>
    <t>kN/m3</t>
  </si>
  <si>
    <t>Estimated bulk unit weight of soil, gamma</t>
  </si>
  <si>
    <t>17.4</t>
  </si>
  <si>
    <t>DMTP_EEFS</t>
  </si>
  <si>
    <t>Estimated effective vertical stress, sigma_v' (Calculated from DMTP_ETVS and DMTP_ISPP or DMTG_WAT)</t>
  </si>
  <si>
    <t>DMTP_DKO</t>
  </si>
  <si>
    <t>Coefficient of lateral earth pressure at rest, K_0, fine soils only</t>
  </si>
  <si>
    <t>1.81</t>
  </si>
  <si>
    <t>DMTP_DOCR</t>
  </si>
  <si>
    <t>Over-consolidation ratio, OCR, fine soils only</t>
  </si>
  <si>
    <t>11.3</t>
  </si>
  <si>
    <t>DMTP_TECH</t>
  </si>
  <si>
    <t>Definition of DMTP_EGAM</t>
  </si>
  <si>
    <t>Empirical</t>
  </si>
  <si>
    <t>DMTP_ETVS</t>
  </si>
  <si>
    <t>Estimated total vertical stress, sigma_v, (based on DMTP_EGAM)</t>
  </si>
  <si>
    <t>DMTP_ISPP</t>
  </si>
  <si>
    <t>Estimated in-situ porewater pressure, U_0 (measured or assumed where not simple hydrostatic based on DMTG_WAT)</t>
  </si>
  <si>
    <t>DMTP_DUD</t>
  </si>
  <si>
    <t>Pore pressure index u_D</t>
  </si>
  <si>
    <t>1.11</t>
  </si>
  <si>
    <t>DMTP_DPHI</t>
  </si>
  <si>
    <t>Effective angle of internal friction, phi’, coarse soils only</t>
  </si>
  <si>
    <t>39.1</t>
  </si>
  <si>
    <t>DMTP_DVDM</t>
  </si>
  <si>
    <t>Vertical drained constrained modulus, M</t>
  </si>
  <si>
    <t>121.1</t>
  </si>
  <si>
    <t>DMTP_DSU</t>
  </si>
  <si>
    <t>Undrained shear strength, s_u, fine soils only</t>
  </si>
  <si>
    <t>DMTP_DGO</t>
  </si>
  <si>
    <t>Small strain shear modulus, G_0), calculated</t>
  </si>
  <si>
    <t>12.1</t>
  </si>
  <si>
    <t>DMTP_BDEN</t>
  </si>
  <si>
    <t>kg/m3</t>
  </si>
  <si>
    <t>Bulk density (estimated from DMT readings  or  generic  if  no  DMT readings taken)</t>
  </si>
  <si>
    <t>1700</t>
  </si>
  <si>
    <t>DMTP_REM</t>
  </si>
  <si>
    <t>DMTT_MTH</t>
  </si>
  <si>
    <t>Thrust (optional)</t>
  </si>
  <si>
    <t>0.23</t>
  </si>
  <si>
    <t>DMTT_TMST</t>
  </si>
  <si>
    <t>Pressurisation start time</t>
  </si>
  <si>
    <t>2016-10-05T10:12:25</t>
  </si>
  <si>
    <t>DMTT_PTA</t>
  </si>
  <si>
    <t>1.82</t>
  </si>
  <si>
    <t>DMTT_TMA</t>
  </si>
  <si>
    <t>A-position time since DMTT_TMST</t>
  </si>
  <si>
    <t>DMTT_PTB</t>
  </si>
  <si>
    <t>B-pressure test reading</t>
  </si>
  <si>
    <t>10.90</t>
  </si>
  <si>
    <t>DMTT_TMB</t>
  </si>
  <si>
    <t>B-position time since DMTT_TMST</t>
  </si>
  <si>
    <t>DMTT_PTC</t>
  </si>
  <si>
    <t>C-pressure test reading</t>
  </si>
  <si>
    <t>DMTT_TMC</t>
  </si>
  <si>
    <t>C-position time since DMTT_TMST</t>
  </si>
  <si>
    <t>DMTT_APTA</t>
  </si>
  <si>
    <t>Corrected test reading A, p_0</t>
  </si>
  <si>
    <t>158</t>
  </si>
  <si>
    <t>DMTT_APTB</t>
  </si>
  <si>
    <t>Corrected test reading B, p_1</t>
  </si>
  <si>
    <t>1054</t>
  </si>
  <si>
    <t>DMTT_APTC</t>
  </si>
  <si>
    <t>Corrected test reading C, p_2</t>
  </si>
  <si>
    <t>42</t>
  </si>
  <si>
    <t>DMTT_SLP1</t>
  </si>
  <si>
    <t>Inclination 1</t>
  </si>
  <si>
    <t>2.35</t>
  </si>
  <si>
    <t>DMTT_SLP2</t>
  </si>
  <si>
    <t>Inclination 2</t>
  </si>
  <si>
    <t>1.15</t>
  </si>
  <si>
    <t>DMTT_REMD</t>
  </si>
  <si>
    <t>Remarks on DMT test at specific depth</t>
  </si>
  <si>
    <t>Remarks, Comments on the test</t>
  </si>
  <si>
    <t>DMTT_SWV</t>
  </si>
  <si>
    <t>Shear wave velocity, V_s</t>
  </si>
  <si>
    <t>DMTT_REMS</t>
  </si>
  <si>
    <t>Remarks on DMTT_SWV test at specific depth</t>
  </si>
  <si>
    <t>DMTT_REM</t>
  </si>
  <si>
    <t>DMTT_PWVU</t>
  </si>
  <si>
    <t>Primary (compression) wave velocity at upper sensor</t>
  </si>
  <si>
    <t>DMTT_PWVL</t>
  </si>
  <si>
    <t>Primary (compression) wave velocity at lower sensor</t>
  </si>
  <si>
    <t>1702</t>
  </si>
  <si>
    <t>DMTT_REMP</t>
  </si>
  <si>
    <t>Remarks on DMTT_PWVU and DMTT_PWVL</t>
  </si>
  <si>
    <t>DOBS_TOP</t>
  </si>
  <si>
    <t>Depth to top of reported section</t>
  </si>
  <si>
    <t>6.20</t>
  </si>
  <si>
    <t>DOBS_BASE</t>
  </si>
  <si>
    <t>Depth to base of reported section</t>
  </si>
  <si>
    <t>7.20</t>
  </si>
  <si>
    <t>DOBS_SET</t>
  </si>
  <si>
    <t>Readings set reference</t>
  </si>
  <si>
    <t>DOBS_DURN</t>
  </si>
  <si>
    <t>Duration to advance reported section</t>
  </si>
  <si>
    <t>00:05:00</t>
  </si>
  <si>
    <t>DOBS_STIM</t>
  </si>
  <si>
    <t>Date and time of start of reported section</t>
  </si>
  <si>
    <t>2010-12-02T14:05:15</t>
  </si>
  <si>
    <t>DOBS_ETIM</t>
  </si>
  <si>
    <t>Date and time at end of reported section</t>
  </si>
  <si>
    <t>2010-12-02T14:10:15</t>
  </si>
  <si>
    <t>DOBS_DHRT</t>
  </si>
  <si>
    <t>Nm</t>
  </si>
  <si>
    <t>Drill head rotational torque</t>
  </si>
  <si>
    <t>DOBS_DHRS</t>
  </si>
  <si>
    <t>rpm</t>
  </si>
  <si>
    <t>Drill head rotational speed</t>
  </si>
  <si>
    <t>76</t>
  </si>
  <si>
    <t>DOBS_PENR</t>
  </si>
  <si>
    <t>m/hr</t>
  </si>
  <si>
    <t>Penetration rate</t>
  </si>
  <si>
    <t>2.0</t>
  </si>
  <si>
    <t>DOBS_HAMM</t>
  </si>
  <si>
    <t>Hammering used during section</t>
  </si>
  <si>
    <t>DOBS_THRP</t>
  </si>
  <si>
    <t>bar</t>
  </si>
  <si>
    <t>Pressure of downthrust system</t>
  </si>
  <si>
    <t>30.0</t>
  </si>
  <si>
    <t>DOBS_RESP</t>
  </si>
  <si>
    <t>Pressure of restraining (holdback) system</t>
  </si>
  <si>
    <t>25.0</t>
  </si>
  <si>
    <t>DOBS_TORP</t>
  </si>
  <si>
    <t>Torque pressure</t>
  </si>
  <si>
    <t>20.0</t>
  </si>
  <si>
    <t>DOBS_TORQ</t>
  </si>
  <si>
    <t>Torque applied to top of drill rods</t>
  </si>
  <si>
    <t>250.0</t>
  </si>
  <si>
    <t>DOBS_THST</t>
  </si>
  <si>
    <t>Downward thrust on bit</t>
  </si>
  <si>
    <t>DOBS_REST</t>
  </si>
  <si>
    <t>Restraining (holdback) force</t>
  </si>
  <si>
    <t>DOBS_HAMP</t>
  </si>
  <si>
    <t>Supply pressure to downhole hammer</t>
  </si>
  <si>
    <t>DOBS_SPEN</t>
  </si>
  <si>
    <t>MJ/m3</t>
  </si>
  <si>
    <t>Specific energy</t>
  </si>
  <si>
    <t>500.0</t>
  </si>
  <si>
    <t>DOBS_FMPO</t>
  </si>
  <si>
    <t>Flushing medium pressure at the output of the pump over flush zone</t>
  </si>
  <si>
    <t>15.3</t>
  </si>
  <si>
    <t>DOBS_FMCR</t>
  </si>
  <si>
    <t>l/min</t>
  </si>
  <si>
    <t>Flushing medium circulation rate (input) over flush zone</t>
  </si>
  <si>
    <t>1.2</t>
  </si>
  <si>
    <t>DOBS_FMRR</t>
  </si>
  <si>
    <t>Flushing medium recovery rate over flush zone</t>
  </si>
  <si>
    <t>DOBS_REM</t>
  </si>
  <si>
    <t>Associated file reference (e.g. drilling journals or log files)</t>
  </si>
  <si>
    <t>FS36</t>
  </si>
  <si>
    <t>DPRG_TESN</t>
  </si>
  <si>
    <t>DPRB_DPTH</t>
  </si>
  <si>
    <t>Depth to start of dynamic probe increment</t>
  </si>
  <si>
    <t>2.50</t>
  </si>
  <si>
    <t>DPRB_BLOW</t>
  </si>
  <si>
    <t>Dynamic probe blows for increment DPRB_INC</t>
  </si>
  <si>
    <t>DPRB_CBLW</t>
  </si>
  <si>
    <t>Cumulative blows for test</t>
  </si>
  <si>
    <t>35</t>
  </si>
  <si>
    <t>DPRB_TORQ</t>
  </si>
  <si>
    <t>Maximum torque required to rotate rods</t>
  </si>
  <si>
    <t>DPRB_DEL</t>
  </si>
  <si>
    <t>DPRB_INC</t>
  </si>
  <si>
    <t xml:space="preserve">Dynamic probe increment </t>
  </si>
  <si>
    <t>DPRB_REM</t>
  </si>
  <si>
    <t>Notes on events during increment</t>
  </si>
  <si>
    <t>FS25</t>
  </si>
  <si>
    <t>DPRG_DATE</t>
  </si>
  <si>
    <t>DPRG_TYPE</t>
  </si>
  <si>
    <t>Dynamic probe type</t>
  </si>
  <si>
    <t xml:space="preserve">DPL </t>
  </si>
  <si>
    <t>DPRG_METH</t>
  </si>
  <si>
    <t>BS EN ISO 22476-2</t>
  </si>
  <si>
    <t>DPRG_MASS</t>
  </si>
  <si>
    <t>Hammer mass</t>
  </si>
  <si>
    <t>50.0</t>
  </si>
  <si>
    <t>1DP from 0DP</t>
  </si>
  <si>
    <t>DPRG_DROP</t>
  </si>
  <si>
    <t>Standard drop</t>
  </si>
  <si>
    <t>500</t>
  </si>
  <si>
    <t>DPRG_CONE</t>
  </si>
  <si>
    <t>Cone base diameter</t>
  </si>
  <si>
    <t>43.0</t>
  </si>
  <si>
    <t>DPRG_ROD</t>
  </si>
  <si>
    <t>Rod diameter</t>
  </si>
  <si>
    <t>DPRG_TANV</t>
  </si>
  <si>
    <t>Type of anvil</t>
  </si>
  <si>
    <t>DPRG_DAMP</t>
  </si>
  <si>
    <t>Type of anvil damper</t>
  </si>
  <si>
    <t>None</t>
  </si>
  <si>
    <t>DPRG_TIP</t>
  </si>
  <si>
    <t>Depth of cone if left in ground</t>
  </si>
  <si>
    <t>8.00</t>
  </si>
  <si>
    <t>DPRG_REM</t>
  </si>
  <si>
    <t>General remarks</t>
  </si>
  <si>
    <t>Hole backfilled on completion</t>
  </si>
  <si>
    <t>DPRG_ANG</t>
  </si>
  <si>
    <t>Cone angle</t>
  </si>
  <si>
    <t>90</t>
  </si>
  <si>
    <t>DPRG_RMSS</t>
  </si>
  <si>
    <t>kg/m</t>
  </si>
  <si>
    <t>Rod mass</t>
  </si>
  <si>
    <t>DPRG_PARF</t>
  </si>
  <si>
    <t>Precautions against rod friction</t>
  </si>
  <si>
    <t>DPRG_PDIU</t>
  </si>
  <si>
    <t>Pre-drilling if used</t>
  </si>
  <si>
    <t>DPRG_BCF</t>
  </si>
  <si>
    <t>Blow count frequency</t>
  </si>
  <si>
    <t>DPRG_GW</t>
  </si>
  <si>
    <t>Groundwater level</t>
  </si>
  <si>
    <t>DPRG_REET</t>
  </si>
  <si>
    <t>Reasons for early end of test</t>
  </si>
  <si>
    <t>DPRG_ENV</t>
  </si>
  <si>
    <t>Heavy rain</t>
  </si>
  <si>
    <t>DPRG_CONT</t>
  </si>
  <si>
    <t>DPRG_CRED</t>
  </si>
  <si>
    <t>DPRG_OPER</t>
  </si>
  <si>
    <t>DREM_TOP</t>
  </si>
  <si>
    <t>Depth of remark (DREM_REM)</t>
  </si>
  <si>
    <t>12.50</t>
  </si>
  <si>
    <t>DREM_BASE</t>
  </si>
  <si>
    <t>Base depth</t>
  </si>
  <si>
    <t>13.80</t>
  </si>
  <si>
    <t>DREM_REM</t>
  </si>
  <si>
    <t>Depth related remark</t>
  </si>
  <si>
    <t>Driving boulder ahead of casing</t>
  </si>
  <si>
    <t>ES</t>
  </si>
  <si>
    <t>ABC121418010</t>
  </si>
  <si>
    <t>ECTN_ID</t>
  </si>
  <si>
    <t>Container unique identifier</t>
  </si>
  <si>
    <t>AA121589465</t>
  </si>
  <si>
    <t>ECTN_TYPE</t>
  </si>
  <si>
    <t>Sample container type</t>
  </si>
  <si>
    <t>AMBER_GLASS</t>
  </si>
  <si>
    <t>ECTN_REM</t>
  </si>
  <si>
    <t>Sample container remarks</t>
  </si>
  <si>
    <t>ELRG_CODE</t>
  </si>
  <si>
    <t>Determinand code</t>
  </si>
  <si>
    <t>P04100</t>
  </si>
  <si>
    <t>ABBR codes not released by AGS UK</t>
  </si>
  <si>
    <t>ELRG_METH</t>
  </si>
  <si>
    <t>In house method no 231241</t>
  </si>
  <si>
    <t>ELRG_MATX</t>
  </si>
  <si>
    <t>Laboratory test matrix</t>
  </si>
  <si>
    <t>LIQUID</t>
  </si>
  <si>
    <t>ELRG_RTYP</t>
  </si>
  <si>
    <t>Run type (initial or reanalysis)</t>
  </si>
  <si>
    <t xml:space="preserve">INITIAL </t>
  </si>
  <si>
    <t>ELRG_TADE</t>
  </si>
  <si>
    <t>Test additional descriptor</t>
  </si>
  <si>
    <t>CEN_2_1</t>
  </si>
  <si>
    <t>ELRG_TICN</t>
  </si>
  <si>
    <t>Tentatively identified compound (TIC)</t>
  </si>
  <si>
    <t>1,2,3,dibrom etc</t>
  </si>
  <si>
    <t>ELRG_RUNI</t>
  </si>
  <si>
    <t>Result unit</t>
  </si>
  <si>
    <t>mg/l</t>
  </si>
  <si>
    <t>ELRG_LSID</t>
  </si>
  <si>
    <t>Laboratory sample ID</t>
  </si>
  <si>
    <t>ABC123-A</t>
  </si>
  <si>
    <t>ELRG_RTCD</t>
  </si>
  <si>
    <t>Result type</t>
  </si>
  <si>
    <t>TIC</t>
  </si>
  <si>
    <t>ELRG_IQLF</t>
  </si>
  <si>
    <t>Interpreted qualifiers</t>
  </si>
  <si>
    <t>ELRG_LQLF</t>
  </si>
  <si>
    <t>Laboratory qualifiers</t>
  </si>
  <si>
    <t>&lt;</t>
  </si>
  <si>
    <t>ELRG_RVAL</t>
  </si>
  <si>
    <t>Result value</t>
  </si>
  <si>
    <t>ELRG_RTXT</t>
  </si>
  <si>
    <t>Reported result</t>
  </si>
  <si>
    <t>&lt;2.3</t>
  </si>
  <si>
    <t>ELRG_NAME</t>
  </si>
  <si>
    <t>Determinand name</t>
  </si>
  <si>
    <t>Boron</t>
  </si>
  <si>
    <t>ELRG_TNAM</t>
  </si>
  <si>
    <t>Laboratory analytical name</t>
  </si>
  <si>
    <t>ELRG_DCAT</t>
  </si>
  <si>
    <t>Determinand category</t>
  </si>
  <si>
    <t>Metals, VOC, Pesticides</t>
  </si>
  <si>
    <t>ELRG_TESN</t>
  </si>
  <si>
    <t>ELRG_FDEV</t>
  </si>
  <si>
    <t>Flagged deviation</t>
  </si>
  <si>
    <t>ELRG_DEV</t>
  </si>
  <si>
    <t>Result deviation description(s)</t>
  </si>
  <si>
    <t>Holding time + Incorrect containers</t>
  </si>
  <si>
    <t>ELRG_RRES</t>
  </si>
  <si>
    <t>Reportable result</t>
  </si>
  <si>
    <t>ELRG_DETF</t>
  </si>
  <si>
    <t>Detect flag</t>
  </si>
  <si>
    <t>ELRG_ORG</t>
  </si>
  <si>
    <t>Organic</t>
  </si>
  <si>
    <t>ELRG_RDLM</t>
  </si>
  <si>
    <t>Reporting detection limit</t>
  </si>
  <si>
    <t>ELRG_MDLM</t>
  </si>
  <si>
    <t>Method detection limit</t>
  </si>
  <si>
    <t>ELRG_QLM</t>
  </si>
  <si>
    <t>Quantification limit</t>
  </si>
  <si>
    <t>ELRG_DUNI</t>
  </si>
  <si>
    <t>Unit of detection/quantification limits</t>
  </si>
  <si>
    <t>ELRG_CASC</t>
  </si>
  <si>
    <t>CAS code</t>
  </si>
  <si>
    <t>ELRG_TICP</t>
  </si>
  <si>
    <t>Tentatively identified compound (TIC) probability</t>
  </si>
  <si>
    <t>ELRG_TICT</t>
  </si>
  <si>
    <t>Tentatively identified compound (TIC) retention time</t>
  </si>
  <si>
    <t>ELRG_RDAT</t>
  </si>
  <si>
    <t>Sample receipt date/time at laboratory</t>
  </si>
  <si>
    <t>2020-12-05T12:00</t>
  </si>
  <si>
    <t>ELRG_SGRP</t>
  </si>
  <si>
    <t>Sample delivery or batch code</t>
  </si>
  <si>
    <t>ELRG_DTIM</t>
  </si>
  <si>
    <t>Analysis date and time</t>
  </si>
  <si>
    <t>2020-12-06T09:09</t>
  </si>
  <si>
    <t>ELRG_TEST</t>
  </si>
  <si>
    <t>Suite A</t>
  </si>
  <si>
    <t>ELRG_TORD</t>
  </si>
  <si>
    <t>Total or dissolved</t>
  </si>
  <si>
    <t>Total</t>
  </si>
  <si>
    <t>ELRG_LOCN</t>
  </si>
  <si>
    <t>Analysis location</t>
  </si>
  <si>
    <t xml:space="preserve">LAB </t>
  </si>
  <si>
    <t>ELRG_BAS</t>
  </si>
  <si>
    <t>Basis</t>
  </si>
  <si>
    <t xml:space="preserve">WET </t>
  </si>
  <si>
    <t>ELRG_DIL</t>
  </si>
  <si>
    <t>Dilution factor</t>
  </si>
  <si>
    <t>ELRG_LMTH</t>
  </si>
  <si>
    <t>Leachate preparation method</t>
  </si>
  <si>
    <t>ELRG_LDTM</t>
  </si>
  <si>
    <t>Leachate preparation date and time</t>
  </si>
  <si>
    <t>2020-12-06T09:19</t>
  </si>
  <si>
    <t>ELRG_IREF</t>
  </si>
  <si>
    <t>ELRG_ITYP</t>
  </si>
  <si>
    <t>Instrument type</t>
  </si>
  <si>
    <t>GCMS</t>
  </si>
  <si>
    <t>ELRG_SIZE</t>
  </si>
  <si>
    <t>ELRG_PERP</t>
  </si>
  <si>
    <t>Percentage of material removed</t>
  </si>
  <si>
    <t>8.9</t>
  </si>
  <si>
    <t>ELRG_REM</t>
  </si>
  <si>
    <t>ELRG_LAB</t>
  </si>
  <si>
    <t>ELRG_CRED</t>
  </si>
  <si>
    <t>ESCG_TYPE</t>
  </si>
  <si>
    <t>Test type</t>
  </si>
  <si>
    <t xml:space="preserve">CD </t>
  </si>
  <si>
    <t>ESCG_CELL</t>
  </si>
  <si>
    <t>Type of equipment used</t>
  </si>
  <si>
    <t>250mm dia Hydraulic cell</t>
  </si>
  <si>
    <t>ESCG_COND</t>
  </si>
  <si>
    <t xml:space="preserve">UNDISTURBED </t>
  </si>
  <si>
    <t>ESCG_SDIA</t>
  </si>
  <si>
    <t>100.15</t>
  </si>
  <si>
    <t>ESCG_HIGT</t>
  </si>
  <si>
    <t>100.25</t>
  </si>
  <si>
    <t>ESCG_MCI</t>
  </si>
  <si>
    <t>21.2</t>
  </si>
  <si>
    <t>ESCG_MCF</t>
  </si>
  <si>
    <t>18.6</t>
  </si>
  <si>
    <t>ESCG_BDEN</t>
  </si>
  <si>
    <t>ESCG_BDEF</t>
  </si>
  <si>
    <t>Final bulk density</t>
  </si>
  <si>
    <t>2.20</t>
  </si>
  <si>
    <t>ESCG_DDEN</t>
  </si>
  <si>
    <t>ESCG_PDEN</t>
  </si>
  <si>
    <t>ESCG_IVR</t>
  </si>
  <si>
    <t>0.812</t>
  </si>
  <si>
    <t>ESCG_SATR</t>
  </si>
  <si>
    <t>ESCG_LOAD</t>
  </si>
  <si>
    <t>Type of loading ( strain )</t>
  </si>
  <si>
    <t>Equal, Free, triaxial</t>
  </si>
  <si>
    <t>ESCG_DRAG</t>
  </si>
  <si>
    <t>Type of drainage</t>
  </si>
  <si>
    <t>To top, both ends, radial inwards, radial outwards</t>
  </si>
  <si>
    <t>ESCG_PPM</t>
  </si>
  <si>
    <t>Pore pressure measurement location</t>
  </si>
  <si>
    <t>Centre base, offset</t>
  </si>
  <si>
    <t>ESCG_SPRS</t>
  </si>
  <si>
    <t>Swelling pressure, if measured</t>
  </si>
  <si>
    <t>ESCG_SATM</t>
  </si>
  <si>
    <t>Back pressure, cell only, water permeation</t>
  </si>
  <si>
    <t>ESCG_SINC</t>
  </si>
  <si>
    <t>Saturation increments</t>
  </si>
  <si>
    <t>ESCG_SDIF</t>
  </si>
  <si>
    <t>Differential pressure during saturation</t>
  </si>
  <si>
    <t>ESCG_CELF</t>
  </si>
  <si>
    <t>Cell or diaphragm pressure at end of saturation</t>
  </si>
  <si>
    <t>310</t>
  </si>
  <si>
    <t>ESCG_BACF</t>
  </si>
  <si>
    <t>Back pressure at end of saturation</t>
  </si>
  <si>
    <t>300</t>
  </si>
  <si>
    <t>ESCG_BVAL</t>
  </si>
  <si>
    <t>B value at end of saturation</t>
  </si>
  <si>
    <t>0.96</t>
  </si>
  <si>
    <t>ESCG_SVOL</t>
  </si>
  <si>
    <t>ml</t>
  </si>
  <si>
    <t>Volume of water taken in during saturation</t>
  </si>
  <si>
    <t>ESCG_REM</t>
  </si>
  <si>
    <t>ESCG_METH</t>
  </si>
  <si>
    <t>BS1377, part 6, cl 5</t>
  </si>
  <si>
    <t>ESCG_LAB</t>
  </si>
  <si>
    <t>ESCG_CRED</t>
  </si>
  <si>
    <t>ESCG_ISVR</t>
  </si>
  <si>
    <t>Voids ratio at in situ vertical stress</t>
  </si>
  <si>
    <t>ESCG_ISVS</t>
  </si>
  <si>
    <t>In situ vertical stress</t>
  </si>
  <si>
    <t>ESCG_ISST</t>
  </si>
  <si>
    <t>Axial strain at in situ vertical stress</t>
  </si>
  <si>
    <t>ESCG_PCP</t>
  </si>
  <si>
    <t>Maximum pre-consolidation pressure</t>
  </si>
  <si>
    <t>ESCG_YSR</t>
  </si>
  <si>
    <t>Yield stress ratio (based on Casagrande Method)</t>
  </si>
  <si>
    <t>ESCG_CC</t>
  </si>
  <si>
    <t>Compression index over stress increment</t>
  </si>
  <si>
    <t>ESCG_CS</t>
  </si>
  <si>
    <t>Swelling index over stress increment</t>
  </si>
  <si>
    <t>ESCG_DEV</t>
  </si>
  <si>
    <t>ESCG_DATE</t>
  </si>
  <si>
    <t>ESCG_PBY</t>
  </si>
  <si>
    <t>ESCG_TBY</t>
  </si>
  <si>
    <t>ESCT_INCN</t>
  </si>
  <si>
    <t>Consolidation stage number</t>
  </si>
  <si>
    <t>ESCT_REM</t>
  </si>
  <si>
    <t>Additional stage specific details</t>
  </si>
  <si>
    <t>Stage terminated at 90% pwp dissipation</t>
  </si>
  <si>
    <t>ESCT_INCC</t>
  </si>
  <si>
    <t>Cell or diaphragm pressure applied during stage</t>
  </si>
  <si>
    <t>600</t>
  </si>
  <si>
    <t>ESCT_INCB</t>
  </si>
  <si>
    <t xml:space="preserve">Back pressure applied during stage </t>
  </si>
  <si>
    <t>ESCT_PWP0</t>
  </si>
  <si>
    <t xml:space="preserve">Pore pressure at end of undrained loading </t>
  </si>
  <si>
    <t>580</t>
  </si>
  <si>
    <t>ESCT_PWPF</t>
  </si>
  <si>
    <t xml:space="preserve">Pore pressure at end of consolidation stage </t>
  </si>
  <si>
    <t>ESCT_INCF</t>
  </si>
  <si>
    <t>Effective stress at end of consolidation stage</t>
  </si>
  <si>
    <t>ESCT_VR0</t>
  </si>
  <si>
    <t>0.801</t>
  </si>
  <si>
    <t>ESCT_VRE</t>
  </si>
  <si>
    <t>0.621</t>
  </si>
  <si>
    <t>ESCT_DISS</t>
  </si>
  <si>
    <t>Percentage pore pressure dissipation at end of stage</t>
  </si>
  <si>
    <t>ESCT_DSET</t>
  </si>
  <si>
    <t xml:space="preserve">Settlement measured during consolidation stage </t>
  </si>
  <si>
    <t>0.234</t>
  </si>
  <si>
    <t>ESCT_DVOL</t>
  </si>
  <si>
    <t>Volume change measured during consolidation stage</t>
  </si>
  <si>
    <t>22.1</t>
  </si>
  <si>
    <t>ESCT_INMV</t>
  </si>
  <si>
    <t>ESCT_INCV</t>
  </si>
  <si>
    <t>Reported coefficient of consolidation over stress increment</t>
  </si>
  <si>
    <t>ESCT_INSC</t>
  </si>
  <si>
    <t>ESCT_CVME</t>
  </si>
  <si>
    <t>Method used for deriving Cv</t>
  </si>
  <si>
    <t xml:space="preserve">Log time PWP, root time settlement </t>
  </si>
  <si>
    <t>ESCT_TEMP</t>
  </si>
  <si>
    <t>ESCT_INK</t>
  </si>
  <si>
    <t>Permeability over stress increment (t90)</t>
  </si>
  <si>
    <t>FGHG_TOP</t>
  </si>
  <si>
    <t>Depth to top of test zone</t>
  </si>
  <si>
    <t>FGHG_BASE</t>
  </si>
  <si>
    <t>Depth to base of test zone</t>
  </si>
  <si>
    <t>FGHG_TESN</t>
  </si>
  <si>
    <t>FGHG_TDIA</t>
  </si>
  <si>
    <t>Diameter of test zone</t>
  </si>
  <si>
    <t>FGHG_SDIA</t>
  </si>
  <si>
    <t>Inside diameter of installation standpipe or borehole casing</t>
  </si>
  <si>
    <t>FGHG_ODIA</t>
  </si>
  <si>
    <t>Outside diameter of installation standpipe or borehole casing</t>
  </si>
  <si>
    <t>FGHG_HBAS</t>
  </si>
  <si>
    <t>Depth of borehole during test (excluding tests in installations)</t>
  </si>
  <si>
    <t>FGHG_CAS</t>
  </si>
  <si>
    <t>Depth of casing during test (excluding tests in installations)</t>
  </si>
  <si>
    <t>FGHG_SFAC</t>
  </si>
  <si>
    <t>Shape factor for test zone</t>
  </si>
  <si>
    <t>FGHG_SFRF</t>
  </si>
  <si>
    <t>Shape factor reference</t>
  </si>
  <si>
    <t>BS EN ISO 22282-1 Annex B (4) Cylindrical cavity with:1,2 &lt; L/D &lt; 10</t>
  </si>
  <si>
    <t>FGHG_DATE</t>
  </si>
  <si>
    <t>FGHG_TYPE</t>
  </si>
  <si>
    <t>Constant</t>
  </si>
  <si>
    <t>FGHG_CNFG</t>
  </si>
  <si>
    <t>Test configuration</t>
  </si>
  <si>
    <t>FGHG_METH</t>
  </si>
  <si>
    <t xml:space="preserve">BS EN ISO 22282-2:2012 </t>
  </si>
  <si>
    <t>FGHG_PRWL</t>
  </si>
  <si>
    <t>Depth to water in borehole or installation prior to test</t>
  </si>
  <si>
    <t>FGHG_AWL</t>
  </si>
  <si>
    <t>Depth to assumed standing water level used for calculations of head during test</t>
  </si>
  <si>
    <t>FGHG_HEAD</t>
  </si>
  <si>
    <t>Applied total head of water at centre of test zone</t>
  </si>
  <si>
    <t>FGHG_FLOW</t>
  </si>
  <si>
    <t>Average flow rate during test</t>
  </si>
  <si>
    <t>FGHG_IPRM</t>
  </si>
  <si>
    <t>Representative permeability for test</t>
  </si>
  <si>
    <t>FGHG_ILUG</t>
  </si>
  <si>
    <t>Representative Lugeon value for water pressure test</t>
  </si>
  <si>
    <t>FGHG_FTYP</t>
  </si>
  <si>
    <t>Flow type for water pressure test</t>
  </si>
  <si>
    <t>Laminar</t>
  </si>
  <si>
    <t>FGHG_REM</t>
  </si>
  <si>
    <t>FGHG_ENV</t>
  </si>
  <si>
    <t>FGHG_CONT</t>
  </si>
  <si>
    <t>FGHG_OPER</t>
  </si>
  <si>
    <t>FGHG_CRED</t>
  </si>
  <si>
    <t>FGHI_INST</t>
  </si>
  <si>
    <t>Instrument reference / serial number</t>
  </si>
  <si>
    <t>P1</t>
  </si>
  <si>
    <t>FGHI_TYPE</t>
  </si>
  <si>
    <t>Test record type</t>
  </si>
  <si>
    <t>Pressure and temperature</t>
  </si>
  <si>
    <t>FGHI_DETL</t>
  </si>
  <si>
    <t>Details of instrument</t>
  </si>
  <si>
    <t>VWP-3000</t>
  </si>
  <si>
    <t>FGHI_LOCT</t>
  </si>
  <si>
    <t>Instrument position</t>
  </si>
  <si>
    <t>Centre of packer test section</t>
  </si>
  <si>
    <t>FGHI_REM</t>
  </si>
  <si>
    <t>FGHS_STG</t>
  </si>
  <si>
    <t>Stage number of multistage test</t>
  </si>
  <si>
    <t>FGHS_STTM</t>
  </si>
  <si>
    <t xml:space="preserve">Start of stage date / time </t>
  </si>
  <si>
    <t>2020-07-01T10:49:20</t>
  </si>
  <si>
    <t>FGHS_ENTM</t>
  </si>
  <si>
    <t>End of stage date / time</t>
  </si>
  <si>
    <t>FGHS_HEAD</t>
  </si>
  <si>
    <t>Applied head of water during test stage at centre of test zone</t>
  </si>
  <si>
    <t>FGHS_FLOW</t>
  </si>
  <si>
    <t>Average flow rate during test stage</t>
  </si>
  <si>
    <t>FGHS_IPRM</t>
  </si>
  <si>
    <t>Permeability for test stage</t>
  </si>
  <si>
    <t>FGHS_ILUG</t>
  </si>
  <si>
    <t>Lugeon value for test stage</t>
  </si>
  <si>
    <t>FGHS_REM</t>
  </si>
  <si>
    <t>FGHT_TIME</t>
  </si>
  <si>
    <t>Test date / clock time of reading</t>
  </si>
  <si>
    <t>FGHT_TYPE</t>
  </si>
  <si>
    <t>FLWR</t>
  </si>
  <si>
    <t>FGHT_DURN</t>
  </si>
  <si>
    <t>Elapsed time of reading during test or test stage</t>
  </si>
  <si>
    <t>FGHT_RDNG</t>
  </si>
  <si>
    <t>Test record (reading)</t>
  </si>
  <si>
    <t>123.321, 2000 or 0.0023</t>
  </si>
  <si>
    <t>FGHT_UNIT</t>
  </si>
  <si>
    <t>Reading units</t>
  </si>
  <si>
    <t>FGHT_REM</t>
  </si>
  <si>
    <t>Test record remark</t>
  </si>
  <si>
    <t>File set reference</t>
  </si>
  <si>
    <t>FS128</t>
  </si>
  <si>
    <t>FILE_NAME</t>
  </si>
  <si>
    <t>File name</t>
  </si>
  <si>
    <t>BH1_Core_West.JPG</t>
  </si>
  <si>
    <t>FILE_DESC</t>
  </si>
  <si>
    <t>Description of content</t>
  </si>
  <si>
    <t>BH1 Core  photo box 8</t>
  </si>
  <si>
    <t>FILE_TYPE</t>
  </si>
  <si>
    <t>File type</t>
  </si>
  <si>
    <t>JPG</t>
  </si>
  <si>
    <t>FILE_PROG</t>
  </si>
  <si>
    <t>Parent program and version number</t>
  </si>
  <si>
    <t>Irfanview v4.10</t>
  </si>
  <si>
    <t>FILE_DOCT</t>
  </si>
  <si>
    <t>Document type</t>
  </si>
  <si>
    <t xml:space="preserve">PH </t>
  </si>
  <si>
    <t>FILE_DATE</t>
  </si>
  <si>
    <t>File date</t>
  </si>
  <si>
    <t>2009-04-01T10:45</t>
  </si>
  <si>
    <t>FILE_REM</t>
  </si>
  <si>
    <t>Comments on file</t>
  </si>
  <si>
    <t>FLSH_TOP</t>
  </si>
  <si>
    <t>Depth to top of flush zone</t>
  </si>
  <si>
    <t>10.00</t>
  </si>
  <si>
    <t>FLSH_BASE</t>
  </si>
  <si>
    <t>Depth to bottom of flush zone</t>
  </si>
  <si>
    <t>20.00</t>
  </si>
  <si>
    <t>FLSH_TYPE</t>
  </si>
  <si>
    <t>Type of flush</t>
  </si>
  <si>
    <t>Water</t>
  </si>
  <si>
    <t>FLSH_RETN</t>
  </si>
  <si>
    <t>Flush return minimum (as percentage)</t>
  </si>
  <si>
    <t>FLSH_RETX</t>
  </si>
  <si>
    <t>Flush return maximum (as percentage)</t>
  </si>
  <si>
    <t>70</t>
  </si>
  <si>
    <t>FLSH_COL</t>
  </si>
  <si>
    <t>Colour of flush return</t>
  </si>
  <si>
    <t>White</t>
  </si>
  <si>
    <t>FLSH_REM</t>
  </si>
  <si>
    <t>Associated file reference (e.g. drilling journal, mud logging or test records)</t>
  </si>
  <si>
    <t>FRAC_FROM</t>
  </si>
  <si>
    <t>Depth to top in hole, or distance to start on traverse, of the zone</t>
  </si>
  <si>
    <t>31.20</t>
  </si>
  <si>
    <t>FRAC_TO</t>
  </si>
  <si>
    <t>Depth to base in hole, or distance to end on traverse, of the zone</t>
  </si>
  <si>
    <t>33.65</t>
  </si>
  <si>
    <t>FRAC_IMAX</t>
  </si>
  <si>
    <t>Maximum fracture spacing over zone</t>
  </si>
  <si>
    <t>350</t>
  </si>
  <si>
    <t>FRAC_IAVE</t>
  </si>
  <si>
    <t>Average fracture (modal) spacing over zone, or exact value</t>
  </si>
  <si>
    <t>220</t>
  </si>
  <si>
    <t>FRAC_IMIN</t>
  </si>
  <si>
    <t>Minimum fracture spacing over zone</t>
  </si>
  <si>
    <t>NI</t>
  </si>
  <si>
    <t>FRAC_FI</t>
  </si>
  <si>
    <t>Fracture Index / frequency over zone (fractures per metre)</t>
  </si>
  <si>
    <t>FRAC_REM</t>
  </si>
  <si>
    <t>Comments on fracture set</t>
  </si>
  <si>
    <t>FRST_COND</t>
  </si>
  <si>
    <t>RECOMPACTION</t>
  </si>
  <si>
    <t>FRST_DDEN</t>
  </si>
  <si>
    <t>Dry density of specimens after preparation</t>
  </si>
  <si>
    <t>1.96</t>
  </si>
  <si>
    <t>FRST_MC</t>
  </si>
  <si>
    <t>water/moisture content of specimens at preparation</t>
  </si>
  <si>
    <t>FRST_HVE1</t>
  </si>
  <si>
    <t xml:space="preserve">Frost heave, first specimen </t>
  </si>
  <si>
    <t>FRST_HVE2</t>
  </si>
  <si>
    <t>Frost heave, second specimen</t>
  </si>
  <si>
    <t>4.5</t>
  </si>
  <si>
    <t>FRST_HVE3</t>
  </si>
  <si>
    <t>Frost heave, third specimen</t>
  </si>
  <si>
    <t>3.5</t>
  </si>
  <si>
    <t>FRST_HVE</t>
  </si>
  <si>
    <t>Mean heave of 3 specimens</t>
  </si>
  <si>
    <t>3.6</t>
  </si>
  <si>
    <t>FRST_STAB</t>
  </si>
  <si>
    <t>FRST_STYP</t>
  </si>
  <si>
    <t>FRST_REM</t>
  </si>
  <si>
    <t>Notes on frost susceptibility testing as per TRRL SR 829</t>
  </si>
  <si>
    <t>FRST_METH</t>
  </si>
  <si>
    <t>BS 812-12</t>
  </si>
  <si>
    <t>FRST_LAB</t>
  </si>
  <si>
    <t>FRST_CRED</t>
  </si>
  <si>
    <t>FRST_DEV</t>
  </si>
  <si>
    <t>FRST_DATE</t>
  </si>
  <si>
    <t>FRST_PBY</t>
  </si>
  <si>
    <t>FRST_TBY</t>
  </si>
  <si>
    <t>GCHM_CODE</t>
  </si>
  <si>
    <t>Determinand</t>
  </si>
  <si>
    <t>AS</t>
  </si>
  <si>
    <t>GCHM_METH</t>
  </si>
  <si>
    <t>BS 1377-3:2018</t>
  </si>
  <si>
    <t>GCHM_TTYP</t>
  </si>
  <si>
    <t>SOLID_21 WATER EXTRACT</t>
  </si>
  <si>
    <t>GCHM_RESL</t>
  </si>
  <si>
    <t>Test result</t>
  </si>
  <si>
    <t>14.23</t>
  </si>
  <si>
    <t>GCHM_UNIT</t>
  </si>
  <si>
    <t>Test result units</t>
  </si>
  <si>
    <t>GCHM_NAME</t>
  </si>
  <si>
    <t>Client/laboratory preferred name of determinand</t>
  </si>
  <si>
    <t>Water Soluble Sulfate</t>
  </si>
  <si>
    <t>2:1 water/soil extract</t>
  </si>
  <si>
    <t>GCHM_REM</t>
  </si>
  <si>
    <t>Remarks on test</t>
  </si>
  <si>
    <t>GCHM_LAB</t>
  </si>
  <si>
    <t>GCHM_CRED</t>
  </si>
  <si>
    <t>GCHM_RTXT</t>
  </si>
  <si>
    <t>&lt;0.01</t>
  </si>
  <si>
    <t>GCHM_DLM</t>
  </si>
  <si>
    <t>Lower detection limit</t>
  </si>
  <si>
    <t>0.01</t>
  </si>
  <si>
    <t>GCHM_DEV</t>
  </si>
  <si>
    <t>GCHM_SGRP</t>
  </si>
  <si>
    <t xml:space="preserve"> </t>
  </si>
  <si>
    <t xml:space="preserve">X </t>
  </si>
  <si>
    <t xml:space="preserve">Sample delivery or batch code </t>
  </si>
  <si>
    <t xml:space="preserve">GCHM_LSID </t>
  </si>
  <si>
    <t xml:space="preserve">Laboratory sample ID </t>
  </si>
  <si>
    <t xml:space="preserve">GCHM_RDEV </t>
  </si>
  <si>
    <t xml:space="preserve">Result deviation description(s) </t>
  </si>
  <si>
    <t xml:space="preserve">GCHM_RDAT </t>
  </si>
  <si>
    <t xml:space="preserve">yyyy-mm-ddThh:mm </t>
  </si>
  <si>
    <t xml:space="preserve">DT </t>
  </si>
  <si>
    <t xml:space="preserve">Sample receipt date/time at laboratory </t>
  </si>
  <si>
    <t xml:space="preserve">GCHM_DTIM </t>
  </si>
  <si>
    <t xml:space="preserve">Analysis date and time </t>
  </si>
  <si>
    <t xml:space="preserve">GCHM_TEST </t>
  </si>
  <si>
    <t xml:space="preserve">Test/Suite </t>
  </si>
  <si>
    <t xml:space="preserve">GCHM_IREF </t>
  </si>
  <si>
    <t xml:space="preserve">Instrument reference no or identifier </t>
  </si>
  <si>
    <t xml:space="preserve">GCHM_ITYP </t>
  </si>
  <si>
    <t xml:space="preserve">Instrument type </t>
  </si>
  <si>
    <t>GCHM_PBY</t>
  </si>
  <si>
    <t>GCHM_TBY</t>
  </si>
  <si>
    <t>Deprecated 4.1 AU 1.0</t>
  </si>
  <si>
    <t>Regional specific code</t>
  </si>
  <si>
    <t>CONF</t>
  </si>
  <si>
    <t>GEOL_ORQ</t>
  </si>
  <si>
    <t>alluvial soil</t>
  </si>
  <si>
    <t>GEOL_ORG</t>
  </si>
  <si>
    <t>CONJ</t>
  </si>
  <si>
    <t>Sandstone</t>
  </si>
  <si>
    <t>GEOL_RNM</t>
  </si>
  <si>
    <t>GEOL_SCL</t>
  </si>
  <si>
    <t>GEOL_SNM</t>
  </si>
  <si>
    <t>GEOL_SNQ</t>
  </si>
  <si>
    <t>GEOL_SN</t>
  </si>
  <si>
    <t>with silt</t>
  </si>
  <si>
    <t>GEOL_RNQ</t>
  </si>
  <si>
    <t>GEOL_C</t>
  </si>
  <si>
    <t>GEOL_P</t>
  </si>
  <si>
    <t>GEOL_SU</t>
  </si>
  <si>
    <t>GEOL_SH</t>
  </si>
  <si>
    <t>GEOL_SL</t>
  </si>
  <si>
    <t>GEOL_RMC</t>
  </si>
  <si>
    <t>Structure</t>
  </si>
  <si>
    <t>GEOL_NCQ</t>
  </si>
  <si>
    <t>GEOL_NC</t>
  </si>
  <si>
    <t>GRAG_UC</t>
  </si>
  <si>
    <t>Uniformity coefficient D60/D10</t>
  </si>
  <si>
    <t>GRAG_VCRE</t>
  </si>
  <si>
    <t>Percentage of material tested greater than 63mm (cobbles)</t>
  </si>
  <si>
    <t>0.0</t>
  </si>
  <si>
    <t>GRAG_GRAV</t>
  </si>
  <si>
    <t>Percentage of material tested in range 63mm to 2mm (gravel)</t>
  </si>
  <si>
    <t>30.1</t>
  </si>
  <si>
    <t>GRAG_SAND</t>
  </si>
  <si>
    <t>Percentage of material tested in range 2mm to 63um (sand)</t>
  </si>
  <si>
    <t>40.4</t>
  </si>
  <si>
    <t>GRAG_SILT</t>
  </si>
  <si>
    <t>Percentage of material tested in range 63um to 2um (silt)</t>
  </si>
  <si>
    <t>14.5</t>
  </si>
  <si>
    <t>GRAG_CLAY</t>
  </si>
  <si>
    <t>Percentage of material tested less than 2um (clay)</t>
  </si>
  <si>
    <t>GRAG_FINE</t>
  </si>
  <si>
    <t>Percentage less than 63um</t>
  </si>
  <si>
    <t>29.5</t>
  </si>
  <si>
    <t>GRAG_REM</t>
  </si>
  <si>
    <t>GRAG_METH</t>
  </si>
  <si>
    <t>BS1377</t>
  </si>
  <si>
    <t>GRAG_LAB</t>
  </si>
  <si>
    <t>GRAG_CRED</t>
  </si>
  <si>
    <t>F21</t>
  </si>
  <si>
    <t>GRAG_DEV</t>
  </si>
  <si>
    <t>Any deviation from the specified test procedure, and any other information that could be important for interpreting the test results.</t>
  </si>
  <si>
    <t>GRAG_PDEN</t>
  </si>
  <si>
    <t>Particle density used in calculations with prefix # if value assumed</t>
  </si>
  <si>
    <t>GRAG_PRET</t>
  </si>
  <si>
    <t>Method of pre-treatment, when applied</t>
  </si>
  <si>
    <t>Hydrogen peroxide, hydrochloric acid</t>
  </si>
  <si>
    <t>GRAG_SUFF</t>
  </si>
  <si>
    <t>Amount of soil tested was sufficient to comply with recommended minimum mass</t>
  </si>
  <si>
    <t>GRAG_EXCL</t>
  </si>
  <si>
    <t>Remark if the size of the fractions is not expressed as percentage of total dry mass, together with the nature and amount of fractions excluded.</t>
  </si>
  <si>
    <t>GRAG_CC</t>
  </si>
  <si>
    <t>Coefficient of curvature</t>
  </si>
  <si>
    <t>GRAG_D10</t>
  </si>
  <si>
    <t>Sieve size at which 10% of the material passes through</t>
  </si>
  <si>
    <t>Ørsted 28 Nov 2017</t>
  </si>
  <si>
    <t>GRAG_D50</t>
  </si>
  <si>
    <t>Sieve size at which 50% of the material passes through</t>
  </si>
  <si>
    <t>1.51</t>
  </si>
  <si>
    <t>GRAG_D60</t>
  </si>
  <si>
    <t>Sieve size at which 60% of the material passes through</t>
  </si>
  <si>
    <t>GRAG_MSED</t>
  </si>
  <si>
    <t>Test method sedimentation</t>
  </si>
  <si>
    <t>AS 1289.3.6.1-1995</t>
  </si>
  <si>
    <t>GRAG_DATE</t>
  </si>
  <si>
    <t>GRAG_PBY</t>
  </si>
  <si>
    <t>GRAG_TBY</t>
  </si>
  <si>
    <t>GRAT_SIZE</t>
  </si>
  <si>
    <t>3SF</t>
  </si>
  <si>
    <t xml:space="preserve">Sieve or particle size </t>
  </si>
  <si>
    <t>3.35</t>
  </si>
  <si>
    <t>GRAT_PERP</t>
  </si>
  <si>
    <t>Percentage passing/finer than GRAT_SIZE</t>
  </si>
  <si>
    <t>25</t>
  </si>
  <si>
    <t>GRAT_TYPE</t>
  </si>
  <si>
    <t xml:space="preserve">WS </t>
  </si>
  <si>
    <t>GRAT_REM</t>
  </si>
  <si>
    <t>HDIA_DPTH</t>
  </si>
  <si>
    <t>Depth of base of hole at the diameter recorded in HDIA_DIAM</t>
  </si>
  <si>
    <t>16.00</t>
  </si>
  <si>
    <t>HDIA_DIAM</t>
  </si>
  <si>
    <t>Hole diameter</t>
  </si>
  <si>
    <t>HDIA_REM</t>
  </si>
  <si>
    <t>Cased to full depth</t>
  </si>
  <si>
    <t>HDIA_CODE</t>
  </si>
  <si>
    <t>Drill bit size code</t>
  </si>
  <si>
    <t>HQ3</t>
  </si>
  <si>
    <t>more PA needed</t>
  </si>
  <si>
    <t>HDPH_TOP</t>
  </si>
  <si>
    <t>HDPH_BASE</t>
  </si>
  <si>
    <t>3.40</t>
  </si>
  <si>
    <t>HDPH_TYPE</t>
  </si>
  <si>
    <t>Type of depth related information</t>
  </si>
  <si>
    <t xml:space="preserve">TP </t>
  </si>
  <si>
    <t>HDPH_STAR</t>
  </si>
  <si>
    <t>Date and time of start of section</t>
  </si>
  <si>
    <t>HDPH_ENDD</t>
  </si>
  <si>
    <t>Date and time of end of section</t>
  </si>
  <si>
    <t>2004-04-01T11:30</t>
  </si>
  <si>
    <t>HDPH_CREW</t>
  </si>
  <si>
    <t>Name of rig/drill crew/operator</t>
  </si>
  <si>
    <t>Bill Mallard</t>
  </si>
  <si>
    <t>HDPH_EXC</t>
  </si>
  <si>
    <t>Plant used</t>
  </si>
  <si>
    <t>JCB 3CX</t>
  </si>
  <si>
    <t>HDPH_SHOR</t>
  </si>
  <si>
    <t>Shoring/support used</t>
  </si>
  <si>
    <t>HDPH_STAB</t>
  </si>
  <si>
    <t>Stability of trial pit /  trial trench or logged traverse length</t>
  </si>
  <si>
    <t>Stable during excavation</t>
  </si>
  <si>
    <t>PA from X</t>
  </si>
  <si>
    <t>HDPH_DIML</t>
  </si>
  <si>
    <t>Trial pit / trial trench or logged traverse length</t>
  </si>
  <si>
    <t>27.56</t>
  </si>
  <si>
    <t>HDPH_DIMW</t>
  </si>
  <si>
    <t>Trial pit / trial trench  or logged traverse width</t>
  </si>
  <si>
    <t>1.35</t>
  </si>
  <si>
    <t>HDPH_DBIT</t>
  </si>
  <si>
    <t>Drill bit used</t>
  </si>
  <si>
    <t>Stepped ABC</t>
  </si>
  <si>
    <t>HDPH_BCON</t>
  </si>
  <si>
    <t>Bit condition</t>
  </si>
  <si>
    <t>Good</t>
  </si>
  <si>
    <t>HDPH_BTYP</t>
  </si>
  <si>
    <t>Barrel type</t>
  </si>
  <si>
    <t>Triple tube</t>
  </si>
  <si>
    <t>HDPH_BLEN</t>
  </si>
  <si>
    <t>Barrel length</t>
  </si>
  <si>
    <t>3.00</t>
  </si>
  <si>
    <t>HDPH_LOG</t>
  </si>
  <si>
    <t>Definitive person responsible for logging the section</t>
  </si>
  <si>
    <t>ANO</t>
  </si>
  <si>
    <t>HDPH_LOGD</t>
  </si>
  <si>
    <t>Start date of hole section logging</t>
  </si>
  <si>
    <t>2008-04-01</t>
  </si>
  <si>
    <t>HDPH_REM</t>
  </si>
  <si>
    <t>Breaker required</t>
  </si>
  <si>
    <t>HDPH_ENV</t>
  </si>
  <si>
    <t>Details of weather and environmental conditions during hole section construction</t>
  </si>
  <si>
    <t>Dry, rain, standing water</t>
  </si>
  <si>
    <t>HDPH_METH</t>
  </si>
  <si>
    <t>Details of method of hole section construction</t>
  </si>
  <si>
    <t>Odex</t>
  </si>
  <si>
    <t>HDPH_CONT</t>
  </si>
  <si>
    <t>Drilling contractor</t>
  </si>
  <si>
    <t>ACME Drilling Ltd</t>
  </si>
  <si>
    <t>Associated file reference (e.g. drilling journals, hole orientation data)</t>
  </si>
  <si>
    <t>FS21</t>
  </si>
  <si>
    <t>HDPH_EXM</t>
  </si>
  <si>
    <t>Excavation method, for use with excavation/test pits</t>
  </si>
  <si>
    <t>1200 mm toothed bucket</t>
  </si>
  <si>
    <t>HORN_TOP</t>
  </si>
  <si>
    <t>Depth to top of exploratory hole section</t>
  </si>
  <si>
    <t>0.00</t>
  </si>
  <si>
    <t>HORN_BASE</t>
  </si>
  <si>
    <t>Depth to base of exploratory hole section</t>
  </si>
  <si>
    <t>HORN_ORNT</t>
  </si>
  <si>
    <t>Orientation of exploratory hole section or traverse (degrees from north)</t>
  </si>
  <si>
    <t>210</t>
  </si>
  <si>
    <t>HORN_INCL</t>
  </si>
  <si>
    <t>Inclination of exploratory hole section or traverse (measured positively down from horizontal)</t>
  </si>
  <si>
    <t>65</t>
  </si>
  <si>
    <t>HORN_REM</t>
  </si>
  <si>
    <t>Remarks relating to orientation and inclination of hole section</t>
  </si>
  <si>
    <t>FS22</t>
  </si>
  <si>
    <t>ICBR_DPTH</t>
  </si>
  <si>
    <t>Depth to top of CBR test</t>
  </si>
  <si>
    <t>0.50</t>
  </si>
  <si>
    <t>ICBR_TESN</t>
  </si>
  <si>
    <t>ICBP_PEN</t>
  </si>
  <si>
    <t>Penetration in millimetres</t>
  </si>
  <si>
    <t>ICBP_LOAD</t>
  </si>
  <si>
    <t>Load/Force</t>
  </si>
  <si>
    <t>52.125</t>
  </si>
  <si>
    <t>ICBP_REM</t>
  </si>
  <si>
    <t>ICBR_ICBR</t>
  </si>
  <si>
    <t>CBR value</t>
  </si>
  <si>
    <t>ICBR_MC</t>
  </si>
  <si>
    <t>Water/moisture content relating to test</t>
  </si>
  <si>
    <t>ICBR_DATE</t>
  </si>
  <si>
    <t>ICBR_KENT</t>
  </si>
  <si>
    <t>Details of kentledge (reaction load)</t>
  </si>
  <si>
    <t>2t Landrover</t>
  </si>
  <si>
    <t>ICBR_SEAT</t>
  </si>
  <si>
    <t>Seating force</t>
  </si>
  <si>
    <t>ICBR_SURC</t>
  </si>
  <si>
    <t>Surcharge pressure</t>
  </si>
  <si>
    <t>ICBR_TYPE</t>
  </si>
  <si>
    <t>Type of CBR</t>
  </si>
  <si>
    <t>MEXECONE</t>
  </si>
  <si>
    <t>ICBR_REM</t>
  </si>
  <si>
    <t>Material &gt;20mm below plunger, test terminated early, water ingress</t>
  </si>
  <si>
    <t>ICBR_ENV</t>
  </si>
  <si>
    <t>Sunny and frosty</t>
  </si>
  <si>
    <t>ICBR_METH</t>
  </si>
  <si>
    <t>Manufacturer's instructions</t>
  </si>
  <si>
    <t>ICBR_CONT</t>
  </si>
  <si>
    <t>ICBR_CRED</t>
  </si>
  <si>
    <t>ICBR_PEN</t>
  </si>
  <si>
    <t>Penetration at which CBR was determined</t>
  </si>
  <si>
    <t>2.5</t>
  </si>
  <si>
    <t>ICBR_SURM</t>
  </si>
  <si>
    <t>5.123</t>
  </si>
  <si>
    <t>ICBR_190</t>
  </si>
  <si>
    <t>Mass percent retained on 19mm sieve, of the top 30mm</t>
  </si>
  <si>
    <t>ICBR_OPER</t>
  </si>
  <si>
    <t>ICIV_DPTH</t>
  </si>
  <si>
    <t>Distance from reference point</t>
  </si>
  <si>
    <t>2.30</t>
  </si>
  <si>
    <t>ICIV_TESN</t>
  </si>
  <si>
    <t>ICIV_DATE</t>
  </si>
  <si>
    <t>Test date and time</t>
  </si>
  <si>
    <t>1991-03-19T16:40</t>
  </si>
  <si>
    <t>ICIV_ANOM</t>
  </si>
  <si>
    <t>Visual anomalies</t>
  </si>
  <si>
    <t>Test location appears to be more trafficked than the remainder of the site</t>
  </si>
  <si>
    <t>ICIV_SALT</t>
  </si>
  <si>
    <t>Surface alterations</t>
  </si>
  <si>
    <t>Benched area on a cut slope</t>
  </si>
  <si>
    <t>ICIV_SUCN</t>
  </si>
  <si>
    <t>Surface conditions</t>
  </si>
  <si>
    <t>Some minor depressions on the surface that could puddle</t>
  </si>
  <si>
    <t>ICIV_SSCN</t>
  </si>
  <si>
    <t>Sub-surface conditions</t>
  </si>
  <si>
    <t>Some pockets of refuse noted in nearby investigation pit</t>
  </si>
  <si>
    <t>ICIV_CIV</t>
  </si>
  <si>
    <t>Clegg impact value</t>
  </si>
  <si>
    <t>ICIV_REM</t>
  </si>
  <si>
    <t>ICIV_METH</t>
  </si>
  <si>
    <t>AS 1289.6.9.1-2000</t>
  </si>
  <si>
    <t>ICIV_CRED</t>
  </si>
  <si>
    <t>Accrediting body and reference number (When appropriate)</t>
  </si>
  <si>
    <t>Stratum reference</t>
  </si>
  <si>
    <t>F22</t>
  </si>
  <si>
    <t>ICIV_OPER</t>
  </si>
  <si>
    <t>IDEN_DPTH</t>
  </si>
  <si>
    <t>Depth of in situ density test</t>
  </si>
  <si>
    <t>IDEN_TESN</t>
  </si>
  <si>
    <t>IDEN_DATE</t>
  </si>
  <si>
    <t>2003-02-23T10:05</t>
  </si>
  <si>
    <t>IDEN_TYPE</t>
  </si>
  <si>
    <t>Type of density test performed</t>
  </si>
  <si>
    <t>Core</t>
  </si>
  <si>
    <t>IDEN_IDEN</t>
  </si>
  <si>
    <t>In situ bulk density (after any calibration / corrections applied, i.e. reported value)</t>
  </si>
  <si>
    <t>1.86</t>
  </si>
  <si>
    <t>IDEN_MC</t>
  </si>
  <si>
    <t>Water/moisture content relating to in situ test (after any calibration / corrections applied, i.e. reported value)</t>
  </si>
  <si>
    <t>18.0</t>
  </si>
  <si>
    <t>IDEN_STAB</t>
  </si>
  <si>
    <t>IDEN_STYP</t>
  </si>
  <si>
    <t>IDEN_REM</t>
  </si>
  <si>
    <t>Uncorrected NDG values reported</t>
  </si>
  <si>
    <t>IDEN_ENV</t>
  </si>
  <si>
    <t>Cloudy and wet</t>
  </si>
  <si>
    <t>IDEN_METH</t>
  </si>
  <si>
    <t xml:space="preserve">BS 1377-9:1990 </t>
  </si>
  <si>
    <t>IDEN_CONT</t>
  </si>
  <si>
    <t>IDEN_CRED</t>
  </si>
  <si>
    <t>IDEN_DDEN</t>
  </si>
  <si>
    <t>Dry density</t>
  </si>
  <si>
    <t>IDEN_MMC</t>
  </si>
  <si>
    <t>Test method of moisture content</t>
  </si>
  <si>
    <t>IDEN_DTDP</t>
  </si>
  <si>
    <t>Direct transmission depth</t>
  </si>
  <si>
    <t>0.35</t>
  </si>
  <si>
    <t>IDEN_PO</t>
  </si>
  <si>
    <t>Proportion of oversize material, Po</t>
  </si>
  <si>
    <t>IDEN_JO</t>
  </si>
  <si>
    <t>Field wet density of oversize particles</t>
  </si>
  <si>
    <t>IDEN_MSIZ</t>
  </si>
  <si>
    <t>Maximum particle size present in-situ</t>
  </si>
  <si>
    <t>IDEN_OPER</t>
  </si>
  <si>
    <t>IDER_DPTH</t>
  </si>
  <si>
    <t>Depth of probe below IDEN_DPTH level</t>
  </si>
  <si>
    <t>0.10</t>
  </si>
  <si>
    <t>IDER_BDEN</t>
  </si>
  <si>
    <t>Wet density at probe position</t>
  </si>
  <si>
    <t>IDER_REM</t>
  </si>
  <si>
    <t>IFID_DPTH</t>
  </si>
  <si>
    <t xml:space="preserve">Depth of headspace test sample </t>
  </si>
  <si>
    <t>IFID_TESN</t>
  </si>
  <si>
    <t>IFID_DATE</t>
  </si>
  <si>
    <t>2003-02-20</t>
  </si>
  <si>
    <t>IFID_RES</t>
  </si>
  <si>
    <t>ppmv</t>
  </si>
  <si>
    <t>Result of FID analysis</t>
  </si>
  <si>
    <t>IFID_REM</t>
  </si>
  <si>
    <t>IFID_ENV</t>
  </si>
  <si>
    <t>Misty</t>
  </si>
  <si>
    <t>IFID_METH</t>
  </si>
  <si>
    <t>Details of FID used and method description</t>
  </si>
  <si>
    <t>Flame ionisation detector</t>
  </si>
  <si>
    <t>IFID_CONT</t>
  </si>
  <si>
    <t>IFID_CRED</t>
  </si>
  <si>
    <t>IFID_OPER</t>
  </si>
  <si>
    <t>IMAG_TOP</t>
  </si>
  <si>
    <t>Top of image</t>
  </si>
  <si>
    <t>IMAG_BASE</t>
  </si>
  <si>
    <t>Base of image</t>
  </si>
  <si>
    <t>IMAG_TESN</t>
  </si>
  <si>
    <t>Image number</t>
  </si>
  <si>
    <t>a</t>
  </si>
  <si>
    <t>IMAG_TYPE</t>
  </si>
  <si>
    <t>Image type</t>
  </si>
  <si>
    <t>VSC</t>
  </si>
  <si>
    <t>IMAG_ORNT</t>
  </si>
  <si>
    <t>deg azimuth</t>
  </si>
  <si>
    <t>Orientation/direction faced when the image was taken, i.e. the bearing the camera was pointed</t>
  </si>
  <si>
    <t>060.0</t>
  </si>
  <si>
    <t>IMAG_DESC</t>
  </si>
  <si>
    <t>Western face, showing fissures</t>
  </si>
  <si>
    <t>IMAG_REM</t>
  </si>
  <si>
    <t>Poor image</t>
  </si>
  <si>
    <t>IMAG_DATE</t>
  </si>
  <si>
    <t>Image date</t>
  </si>
  <si>
    <t>IMAG_BY</t>
  </si>
  <si>
    <t>Person responsible for the image</t>
  </si>
  <si>
    <t>IPAS_REAX</t>
  </si>
  <si>
    <t>Volcanic</t>
  </si>
  <si>
    <t>IPAS_POT</t>
  </si>
  <si>
    <t>Possible</t>
  </si>
  <si>
    <t>Cloudy with light rain</t>
  </si>
  <si>
    <t>Details of method description</t>
  </si>
  <si>
    <t>FS45</t>
  </si>
  <si>
    <t>IPEN_DPTH</t>
  </si>
  <si>
    <t>Depth of test</t>
  </si>
  <si>
    <t>13.50</t>
  </si>
  <si>
    <t>IPEN_TESN</t>
  </si>
  <si>
    <t>IPEN_IPEN</t>
  </si>
  <si>
    <t>Hand penetrometer result</t>
  </si>
  <si>
    <t>6.8 or &gt;20</t>
  </si>
  <si>
    <t>IPEN_DATE</t>
  </si>
  <si>
    <t>2003-02-28</t>
  </si>
  <si>
    <t>IPEN_REM</t>
  </si>
  <si>
    <t>IPEN_ENV</t>
  </si>
  <si>
    <t>Dry and warm</t>
  </si>
  <si>
    <t>IPEN_METH</t>
  </si>
  <si>
    <t>IPEN_CONT</t>
  </si>
  <si>
    <t>IPEN_CRED</t>
  </si>
  <si>
    <t>FS11</t>
  </si>
  <si>
    <t>IPEN_PP1</t>
  </si>
  <si>
    <t>Hand/pocket penetrometer UCS 1</t>
  </si>
  <si>
    <t>&gt;10</t>
  </si>
  <si>
    <t>IPEN_PP2</t>
  </si>
  <si>
    <t>Hand/pocket penetrometer UCS 2</t>
  </si>
  <si>
    <t>&lt;=500</t>
  </si>
  <si>
    <t>IPEN_OPER</t>
  </si>
  <si>
    <t>IPID_DPTH</t>
  </si>
  <si>
    <t>IPID_TESN</t>
  </si>
  <si>
    <t>IPID_DATE</t>
  </si>
  <si>
    <t>IPID_TEMP</t>
  </si>
  <si>
    <t>Ambient temperature at time of test</t>
  </si>
  <si>
    <t>IPID_RES</t>
  </si>
  <si>
    <t>Result of PID analysis</t>
  </si>
  <si>
    <t>IPID_REM</t>
  </si>
  <si>
    <t>IPID_ENV</t>
  </si>
  <si>
    <t>IPID_METH</t>
  </si>
  <si>
    <t>Details of PID used and method description</t>
  </si>
  <si>
    <t>Carried out on temporary samples using photo ionisation detector fitted with 10.6 eV lamp</t>
  </si>
  <si>
    <t>IPID_CONT</t>
  </si>
  <si>
    <t>IPID_CRED</t>
  </si>
  <si>
    <t>IPID_OPER</t>
  </si>
  <si>
    <t>IPLT_DPTH</t>
  </si>
  <si>
    <t>Mid point depth of test</t>
  </si>
  <si>
    <t>IPLT_TESN</t>
  </si>
  <si>
    <t>IPLT_DESC</t>
  </si>
  <si>
    <t>Brown sandstone</t>
  </si>
  <si>
    <t>IPLT_PREP</t>
  </si>
  <si>
    <t>IPLT_MCOD</t>
  </si>
  <si>
    <t>Moisture condition</t>
  </si>
  <si>
    <t>F</t>
  </si>
  <si>
    <t>IPLT_PLTF</t>
  </si>
  <si>
    <t>Point load test type</t>
  </si>
  <si>
    <t xml:space="preserve">A+L </t>
  </si>
  <si>
    <t>IPLT_PLS</t>
  </si>
  <si>
    <t>Uncorrected point load (Is)</t>
  </si>
  <si>
    <t>2.3</t>
  </si>
  <si>
    <t>IPLT_PLSI</t>
  </si>
  <si>
    <t>Size corrected point load index (Is 50)</t>
  </si>
  <si>
    <t>IPLT_COR</t>
  </si>
  <si>
    <t>UCS/Is50 correlation factor for strength interpretation</t>
  </si>
  <si>
    <t>IPLT_REM</t>
  </si>
  <si>
    <t>Saturated specimen</t>
  </si>
  <si>
    <t>IPLT_METH</t>
  </si>
  <si>
    <t>ISRM: 2007 : Suggested method for determining point load strength. Int J Rock Mech Min Sci &amp; Geomech Abstr, Vol 22, No 2, pp 51-60</t>
  </si>
  <si>
    <t>IPLT_DEV</t>
  </si>
  <si>
    <t>IPLT_DATE</t>
  </si>
  <si>
    <t>IPLT_OPER</t>
  </si>
  <si>
    <t>IPLT_CONT</t>
  </si>
  <si>
    <t>IPLT_CRED</t>
  </si>
  <si>
    <t>IRDX_DPTH</t>
  </si>
  <si>
    <t>Depth of redox test</t>
  </si>
  <si>
    <t>IRDX_TESN</t>
  </si>
  <si>
    <t>IRDX_DATE</t>
  </si>
  <si>
    <t>2003-02-04</t>
  </si>
  <si>
    <t>IRDX_PH</t>
  </si>
  <si>
    <t>pH</t>
  </si>
  <si>
    <t>7.0</t>
  </si>
  <si>
    <t>IRDX_MPOT</t>
  </si>
  <si>
    <t>Mean value of the potential of the two platinum probes</t>
  </si>
  <si>
    <t>IRDX_IRDX</t>
  </si>
  <si>
    <t>mV</t>
  </si>
  <si>
    <t>Redox potential</t>
  </si>
  <si>
    <t>IRDX_REM</t>
  </si>
  <si>
    <t>Details of redox test and probe type</t>
  </si>
  <si>
    <t>IRDX_ENV</t>
  </si>
  <si>
    <t>IRDX_METH</t>
  </si>
  <si>
    <t>IRDX_CONT</t>
  </si>
  <si>
    <t>IRDX_CRED</t>
  </si>
  <si>
    <t>IRDX_OPER</t>
  </si>
  <si>
    <t>IRES_DPTH</t>
  </si>
  <si>
    <t>Depth to which in situ resistivity test relates</t>
  </si>
  <si>
    <t>IRES_TESN</t>
  </si>
  <si>
    <t>IRES_BASE</t>
  </si>
  <si>
    <t>Base depth to which in-situ resistivity test relates</t>
  </si>
  <si>
    <t>IRES_TYPE</t>
  </si>
  <si>
    <t>Type of resistivity test</t>
  </si>
  <si>
    <t>SCHL</t>
  </si>
  <si>
    <t>IRES_DATE</t>
  </si>
  <si>
    <t>IRES_IRES</t>
  </si>
  <si>
    <t>ohm m</t>
  </si>
  <si>
    <t>Mean value of the apparent resistivity</t>
  </si>
  <si>
    <t>2500</t>
  </si>
  <si>
    <t>IRES_RES1</t>
  </si>
  <si>
    <t>First value of apparent resistivity when more than 15% different to mean</t>
  </si>
  <si>
    <t>30</t>
  </si>
  <si>
    <t>IRES_RES2</t>
  </si>
  <si>
    <t>Second value of apparent resistivity when more than 15% different to mean</t>
  </si>
  <si>
    <t>IRES_REM</t>
  </si>
  <si>
    <t>Details of test e.g. electrode spacing and configuration</t>
  </si>
  <si>
    <t>IRES_ENV</t>
  </si>
  <si>
    <t>Misty and cold</t>
  </si>
  <si>
    <t>IRES_METH</t>
  </si>
  <si>
    <t>IRES_CONT</t>
  </si>
  <si>
    <t>IRES_CRED</t>
  </si>
  <si>
    <t>IRES_OPER</t>
  </si>
  <si>
    <t>ISAG_TESN</t>
  </si>
  <si>
    <t>ISAG_DATE</t>
  </si>
  <si>
    <t>2010-02-28</t>
  </si>
  <si>
    <t>ISAG_DURN</t>
  </si>
  <si>
    <t>Test duration</t>
  </si>
  <si>
    <t>00:35</t>
  </si>
  <si>
    <t>ISAG_PWID</t>
  </si>
  <si>
    <t>Soakaway pit width</t>
  </si>
  <si>
    <t>ISAG_PLEN</t>
  </si>
  <si>
    <t>Soakaway pit length</t>
  </si>
  <si>
    <t>ISAG_PDIA</t>
  </si>
  <si>
    <t>Soakaway pit diameter</t>
  </si>
  <si>
    <t>1.50</t>
  </si>
  <si>
    <t>ISAG_DPTS</t>
  </si>
  <si>
    <t>Soakaway pit depth at start of test</t>
  </si>
  <si>
    <t>1.55</t>
  </si>
  <si>
    <t>ISAG_DPTE</t>
  </si>
  <si>
    <t>Soakaway pit depth at end of test</t>
  </si>
  <si>
    <t>ISAG_CONS</t>
  </si>
  <si>
    <t>Description of soakaway construction</t>
  </si>
  <si>
    <t>Vertical sides trimmed square with granular fill and observation tube</t>
  </si>
  <si>
    <t>ISAG_SI</t>
  </si>
  <si>
    <t>2SCI</t>
  </si>
  <si>
    <t>Soil infiltration rate</t>
  </si>
  <si>
    <t>6.80E-6</t>
  </si>
  <si>
    <t>ISAG_PORO</t>
  </si>
  <si>
    <t>Fill porosity</t>
  </si>
  <si>
    <t>ISAG_REM</t>
  </si>
  <si>
    <t>Unable to calculate infiltration rate. No fall in water level during test period.</t>
  </si>
  <si>
    <t>ISAG_ENV</t>
  </si>
  <si>
    <t>Raining</t>
  </si>
  <si>
    <t>ISAG_METH</t>
  </si>
  <si>
    <t>BRE Digest 365</t>
  </si>
  <si>
    <t>ISAG_CONT</t>
  </si>
  <si>
    <t>ISAG_CRED</t>
  </si>
  <si>
    <t>ISAG_OPER</t>
  </si>
  <si>
    <t>Name of operator carrying out test</t>
  </si>
  <si>
    <t>ISAG_IH</t>
  </si>
  <si>
    <t>Initial head</t>
  </si>
  <si>
    <t>ISAG_FH</t>
  </si>
  <si>
    <t>Final head</t>
  </si>
  <si>
    <t>400.0</t>
  </si>
  <si>
    <t>ISAG_MCSU</t>
  </si>
  <si>
    <t>Moisture condition of surface immediate prior to test</t>
  </si>
  <si>
    <t>Dry, damp</t>
  </si>
  <si>
    <t>ISAG_MCSS</t>
  </si>
  <si>
    <t>Moisture condition of sub-surface immediate prior to test</t>
  </si>
  <si>
    <t>ISAT_TIME</t>
  </si>
  <si>
    <t>Elapsed time</t>
  </si>
  <si>
    <t>05:00:02</t>
  </si>
  <si>
    <t>ISAT_DPTH</t>
  </si>
  <si>
    <t>Depth to water</t>
  </si>
  <si>
    <t>0.18</t>
  </si>
  <si>
    <t>ISAT_REM</t>
  </si>
  <si>
    <t>Remark relating to test reading</t>
  </si>
  <si>
    <t>ISPT_TOP</t>
  </si>
  <si>
    <t>Depth to top of test</t>
  </si>
  <si>
    <t>ISPT_SEAT</t>
  </si>
  <si>
    <t>Number of blows for seating drive</t>
  </si>
  <si>
    <t>ISPT_MAIN</t>
  </si>
  <si>
    <t>Number of blows for main test drive</t>
  </si>
  <si>
    <t>ISPT_NPEN</t>
  </si>
  <si>
    <t>Total penetration for seating drive and test drive</t>
  </si>
  <si>
    <t>450</t>
  </si>
  <si>
    <t>ISPT_NVAL</t>
  </si>
  <si>
    <t>SPT 'N' value</t>
  </si>
  <si>
    <t>ISPT_REP</t>
  </si>
  <si>
    <t>SPT reported result</t>
  </si>
  <si>
    <t>6,8/8,9,9,9 N=35</t>
  </si>
  <si>
    <t>ISPT_CAS</t>
  </si>
  <si>
    <t>Casing depth at time of test</t>
  </si>
  <si>
    <t>12.00</t>
  </si>
  <si>
    <t>ISPT_WAT</t>
  </si>
  <si>
    <t>Depth to water at time of test</t>
  </si>
  <si>
    <t>2.50 or Dry</t>
  </si>
  <si>
    <t>ISPT_TYPE</t>
  </si>
  <si>
    <t>Type of SPT test</t>
  </si>
  <si>
    <t xml:space="preserve">S </t>
  </si>
  <si>
    <t>ISPT_HAM</t>
  </si>
  <si>
    <t>Hammer serial number from manufacturer</t>
  </si>
  <si>
    <t>AB1234</t>
  </si>
  <si>
    <t>ISPT_ERAT</t>
  </si>
  <si>
    <t>Energy ratio of the hammer</t>
  </si>
  <si>
    <t>ISPT_SWP</t>
  </si>
  <si>
    <t>Self-weight penetration</t>
  </si>
  <si>
    <t>ISPT_INC1</t>
  </si>
  <si>
    <t>Number of blows for 1st Increment (Seating)</t>
  </si>
  <si>
    <t>6</t>
  </si>
  <si>
    <t>ISPT_INC2</t>
  </si>
  <si>
    <t>Number of blows for 2nd Increment (Seating)</t>
  </si>
  <si>
    <t>ISPT_INC3</t>
  </si>
  <si>
    <t>Number of blows for 1st Increment (Test)</t>
  </si>
  <si>
    <t>ISPT_INC4</t>
  </si>
  <si>
    <t>Number of blows for 2nd Increment (Test)</t>
  </si>
  <si>
    <t>ISPT_INC5</t>
  </si>
  <si>
    <t>Number of blows for 3rd Increment (Test)</t>
  </si>
  <si>
    <t>ISPT_INC6</t>
  </si>
  <si>
    <t>Number of blows for 4th Increment (Test)</t>
  </si>
  <si>
    <t>ISPT_PEN1</t>
  </si>
  <si>
    <t>Penetration for 1st Increment (Seating Drive)</t>
  </si>
  <si>
    <t>ISPT_PEN2</t>
  </si>
  <si>
    <t>Penetration for 2nd Increment (Seating Drive)</t>
  </si>
  <si>
    <t>ISPT_PEN3</t>
  </si>
  <si>
    <t>Penetration for 1st Increment (Test)</t>
  </si>
  <si>
    <t>ISPT_PEN4</t>
  </si>
  <si>
    <t>Penetration for 2nd Increment (Test)</t>
  </si>
  <si>
    <t>ISPT_PEN5</t>
  </si>
  <si>
    <t>Penetration for 3rd Increment (Test)</t>
  </si>
  <si>
    <t>ISPT_PEN6</t>
  </si>
  <si>
    <t>Penetration for 4th Increment (Test)</t>
  </si>
  <si>
    <t>ISPT_ROCK</t>
  </si>
  <si>
    <t>SPT carried out in soft rock</t>
  </si>
  <si>
    <t>ISPT_REM</t>
  </si>
  <si>
    <t>Borehole topped up with water prior to test</t>
  </si>
  <si>
    <t>ISPT_ENV</t>
  </si>
  <si>
    <t>ISPT_METH</t>
  </si>
  <si>
    <t>BS EN ISO 22476-3 : 2005</t>
  </si>
  <si>
    <t>ISPT_CRED</t>
  </si>
  <si>
    <t>ISPT_N60</t>
  </si>
  <si>
    <t>SPT 'N' value (corrected by energy ratio ISPT_ERAT)</t>
  </si>
  <si>
    <t>ISPT_RWP</t>
  </si>
  <si>
    <t>Rod weight penetration</t>
  </si>
  <si>
    <t>ISPT_HWP</t>
  </si>
  <si>
    <t>Hammer weight penetration</t>
  </si>
  <si>
    <t>ISPT_HB</t>
  </si>
  <si>
    <t>Hammer bouncing</t>
  </si>
  <si>
    <t>ISPT_CDIA</t>
  </si>
  <si>
    <t>Casing type, casing outside diameter, or hole diameter</t>
  </si>
  <si>
    <t>123 or HW</t>
  </si>
  <si>
    <t>ISPT_STUP</t>
  </si>
  <si>
    <t>Height of top of rods above ground at start of seating blows</t>
  </si>
  <si>
    <t>1.215</t>
  </si>
  <si>
    <t>ISPT_CLDT</t>
  </si>
  <si>
    <t>SPT hammer calibration date</t>
  </si>
  <si>
    <t>2016-10-01</t>
  </si>
  <si>
    <t>ISPT_HTYP</t>
  </si>
  <si>
    <t>Hammer Type</t>
  </si>
  <si>
    <t>Donut hammer</t>
  </si>
  <si>
    <t>ISPT_CLMT</t>
  </si>
  <si>
    <t>Hammer calibration method</t>
  </si>
  <si>
    <t>ASTM D4633-10</t>
  </si>
  <si>
    <t>ISPT_CLRM</t>
  </si>
  <si>
    <t>Calibrated in workshop</t>
  </si>
  <si>
    <t>ITCN_DPTH</t>
  </si>
  <si>
    <t>ITCN_TESN</t>
  </si>
  <si>
    <t>ITCN_DATE</t>
  </si>
  <si>
    <t>ITCN_TCON</t>
  </si>
  <si>
    <t>W/(K·m)</t>
  </si>
  <si>
    <t>Thermal Conductivity</t>
  </si>
  <si>
    <t>3.26</t>
  </si>
  <si>
    <t>ITCN_REM</t>
  </si>
  <si>
    <t>Details of test and probe type</t>
  </si>
  <si>
    <t>ITCN_ENV</t>
  </si>
  <si>
    <t>ITCN_METH</t>
  </si>
  <si>
    <t>In-house</t>
  </si>
  <si>
    <t>ITCN_CONT</t>
  </si>
  <si>
    <t>Name of testing organisation</t>
  </si>
  <si>
    <t>ITCN_CRED</t>
  </si>
  <si>
    <t>ITCN_OPER</t>
  </si>
  <si>
    <t>IVAN_DPTH</t>
  </si>
  <si>
    <t>Depth of vane test</t>
  </si>
  <si>
    <t>IVAN_TESN</t>
  </si>
  <si>
    <t>IVAN_TYPE</t>
  </si>
  <si>
    <t>Vane type</t>
  </si>
  <si>
    <t>BOREHOLE</t>
  </si>
  <si>
    <t>IVAN_IVAN</t>
  </si>
  <si>
    <t>Vane test result</t>
  </si>
  <si>
    <t>60 or &gt;80</t>
  </si>
  <si>
    <t>IVAN_IVAR</t>
  </si>
  <si>
    <t>Vane test residual result</t>
  </si>
  <si>
    <t>45 or &gt;80</t>
  </si>
  <si>
    <t>IVAN_DATE</t>
  </si>
  <si>
    <t>IVAN_REM</t>
  </si>
  <si>
    <t>Details of vane test, vane size</t>
  </si>
  <si>
    <t>IVAN_ENV</t>
  </si>
  <si>
    <t>IVAN_METH</t>
  </si>
  <si>
    <t xml:space="preserve">BS 1377-6:1990 </t>
  </si>
  <si>
    <t>IVAN_CONT</t>
  </si>
  <si>
    <t>IVAN_CRED</t>
  </si>
  <si>
    <t>IVAN_VNID</t>
  </si>
  <si>
    <t>Vane ID</t>
  </si>
  <si>
    <t>V01</t>
  </si>
  <si>
    <t>IVAN_BWID</t>
  </si>
  <si>
    <t>Blade width</t>
  </si>
  <si>
    <t>23.0</t>
  </si>
  <si>
    <t>IVAN_VTID</t>
  </si>
  <si>
    <t>Torque device ID</t>
  </si>
  <si>
    <t>T01</t>
  </si>
  <si>
    <t>IVAN_RROT</t>
  </si>
  <si>
    <t>deg/min</t>
  </si>
  <si>
    <t>Rate of rotation</t>
  </si>
  <si>
    <t>360.0</t>
  </si>
  <si>
    <t>IVAN_OPER</t>
  </si>
  <si>
    <t>LBSG_REF</t>
  </si>
  <si>
    <t>Schedule reference</t>
  </si>
  <si>
    <t>LBSG_DATE</t>
  </si>
  <si>
    <t>Date of issue</t>
  </si>
  <si>
    <t>2009-01-31</t>
  </si>
  <si>
    <t>LBSG_FROM</t>
  </si>
  <si>
    <t>Schedule prepared by</t>
  </si>
  <si>
    <t>ACME Consulting</t>
  </si>
  <si>
    <t>LBSG_TO</t>
  </si>
  <si>
    <t xml:space="preserve">Schedule issued to </t>
  </si>
  <si>
    <t>LBSG_DUE</t>
  </si>
  <si>
    <t>Date schedule to be completed and reported</t>
  </si>
  <si>
    <t>2009-04-01</t>
  </si>
  <si>
    <t>LBSG_REM</t>
  </si>
  <si>
    <t>Comments on schedule</t>
  </si>
  <si>
    <t>LBSG_STAT</t>
  </si>
  <si>
    <t>Status of schedule</t>
  </si>
  <si>
    <t xml:space="preserve">Complete </t>
  </si>
  <si>
    <t>Associated file reference (e.g. schedule sheets)</t>
  </si>
  <si>
    <t xml:space="preserve">U </t>
  </si>
  <si>
    <t>Testing schedule reference</t>
  </si>
  <si>
    <t>LBST_TEST</t>
  </si>
  <si>
    <t>Test Name</t>
  </si>
  <si>
    <t>LBST_TTYP</t>
  </si>
  <si>
    <t>Full test method or standard</t>
  </si>
  <si>
    <t>California Bearing Ratio (BS 1377:1990:Pt 4, Section 7)</t>
  </si>
  <si>
    <t>LBST_METH</t>
  </si>
  <si>
    <t>Method and test parameters</t>
  </si>
  <si>
    <t>Point, 34 kPa surcharge.</t>
  </si>
  <si>
    <t>LBST_PREP</t>
  </si>
  <si>
    <t>Preparation requirements</t>
  </si>
  <si>
    <t>BS1377 part 9</t>
  </si>
  <si>
    <t>LBST_DEPN</t>
  </si>
  <si>
    <t>Dependent test options</t>
  </si>
  <si>
    <t>Advise if sample insufficient for testing</t>
  </si>
  <si>
    <t>LBST_STAT</t>
  </si>
  <si>
    <t>Status of laboratory test</t>
  </si>
  <si>
    <t>IN PROGRESS</t>
  </si>
  <si>
    <t>LBST_REM</t>
  </si>
  <si>
    <t>LBST_DUE</t>
  </si>
  <si>
    <t>Test results due date</t>
  </si>
  <si>
    <t>2009-10-05</t>
  </si>
  <si>
    <t>LBST_DETL</t>
  </si>
  <si>
    <t>Details of testing carried out or reasons for no testing possible</t>
  </si>
  <si>
    <t>LBST_DONE</t>
  </si>
  <si>
    <t>Date test completed</t>
  </si>
  <si>
    <t>LBST_QUOT</t>
  </si>
  <si>
    <t>Quote Number</t>
  </si>
  <si>
    <t>Q1</t>
  </si>
  <si>
    <t>LCPF_PBY</t>
  </si>
  <si>
    <t>LCPF_CMPE</t>
  </si>
  <si>
    <t>CMPE</t>
  </si>
  <si>
    <t>LCPF_MC</t>
  </si>
  <si>
    <t>Moisture content at compaction</t>
  </si>
  <si>
    <t>34.0</t>
  </si>
  <si>
    <t>LCPF_LCPF</t>
  </si>
  <si>
    <t>Compaction factor</t>
  </si>
  <si>
    <t>LCPF_REM</t>
  </si>
  <si>
    <t>LCPF_METH</t>
  </si>
  <si>
    <t>RTA t163</t>
  </si>
  <si>
    <t>LCPF_DEV</t>
  </si>
  <si>
    <t>LCPF_TBY</t>
  </si>
  <si>
    <t>LCPF_DATE</t>
  </si>
  <si>
    <t>LCPF_LAB</t>
  </si>
  <si>
    <t>LCPF_CRED</t>
  </si>
  <si>
    <t>LCPR_PBY</t>
  </si>
  <si>
    <t>LCPR_MC</t>
  </si>
  <si>
    <t>13.2</t>
  </si>
  <si>
    <t>LCPR_CMPE</t>
  </si>
  <si>
    <t>LCPR_DDEN</t>
  </si>
  <si>
    <t>Dry density as compacted</t>
  </si>
  <si>
    <t>2.15</t>
  </si>
  <si>
    <t>LCPR_PDCU</t>
  </si>
  <si>
    <t>hr</t>
  </si>
  <si>
    <t>Period of curing</t>
  </si>
  <si>
    <t>LCPR_CNCU</t>
  </si>
  <si>
    <t>Conditions of curing</t>
  </si>
  <si>
    <t>Oven at 107 degC</t>
  </si>
  <si>
    <t>LCPR_SWEL</t>
  </si>
  <si>
    <t>Swell during absorption</t>
  </si>
  <si>
    <t>5.1</t>
  </si>
  <si>
    <t>LCPR_WAPS</t>
  </si>
  <si>
    <t>Water absorption as percentage of mass</t>
  </si>
  <si>
    <t>LCPR_LCPR</t>
  </si>
  <si>
    <t>Capillary rise of water as a percentage of specimen height</t>
  </si>
  <si>
    <t>LCPR_REM</t>
  </si>
  <si>
    <t>LCPR_METH</t>
  </si>
  <si>
    <t>RTA t172</t>
  </si>
  <si>
    <t>LCPR_DEV</t>
  </si>
  <si>
    <t>LCPR_TBY</t>
  </si>
  <si>
    <t>LCPR_DATE</t>
  </si>
  <si>
    <t>LCPR_LAB</t>
  </si>
  <si>
    <t>LCPR_CRED</t>
  </si>
  <si>
    <t>LCSI_PBY</t>
  </si>
  <si>
    <t>LCSI_LCSI</t>
  </si>
  <si>
    <t>Core shrinkage index</t>
  </si>
  <si>
    <t>0.13</t>
  </si>
  <si>
    <t>LCSI_SMC</t>
  </si>
  <si>
    <t>%/pF</t>
  </si>
  <si>
    <t>Soil moisture characteristic, percentage content change per pF change in soil suction</t>
  </si>
  <si>
    <t>41.0</t>
  </si>
  <si>
    <t>LCSI_ISS</t>
  </si>
  <si>
    <t>pF</t>
  </si>
  <si>
    <t>Initial soil suction</t>
  </si>
  <si>
    <t>LCSI_MCF</t>
  </si>
  <si>
    <t>Final moisture content of specimen</t>
  </si>
  <si>
    <t>35.0</t>
  </si>
  <si>
    <t>LCSI_GRAD</t>
  </si>
  <si>
    <t>mm/g</t>
  </si>
  <si>
    <t>Gradient of initial linear part</t>
  </si>
  <si>
    <t>1.13</t>
  </si>
  <si>
    <t>LCSI_SIIC</t>
  </si>
  <si>
    <t>Estimated percentage of significant inert inclusions in the soil specimen</t>
  </si>
  <si>
    <t>LCSI_CCRM</t>
  </si>
  <si>
    <t>Cracking remark</t>
  </si>
  <si>
    <t>Cuts easily into discs</t>
  </si>
  <si>
    <t>LCSI_SMCR</t>
  </si>
  <si>
    <t>Soil moisture characteristic remark</t>
  </si>
  <si>
    <t>LCSI_REM</t>
  </si>
  <si>
    <t>LCSI_METH</t>
  </si>
  <si>
    <t>AS 1289.7.1.3-1998</t>
  </si>
  <si>
    <t>LCSI_DEV</t>
  </si>
  <si>
    <t>LCSI_TBY</t>
  </si>
  <si>
    <t>LCSI_DATE</t>
  </si>
  <si>
    <t>LCSI_LAB</t>
  </si>
  <si>
    <t>LCSI_CRED</t>
  </si>
  <si>
    <t>LCSR_MLOS</t>
  </si>
  <si>
    <t>Mass loss</t>
  </si>
  <si>
    <t>1.20</t>
  </si>
  <si>
    <t>LCSR_SHMV</t>
  </si>
  <si>
    <t>Shrinkage Movement</t>
  </si>
  <si>
    <t>0.65</t>
  </si>
  <si>
    <t>LDEN_TYPE</t>
  </si>
  <si>
    <t>Type of test performed</t>
  </si>
  <si>
    <t>LINEAR</t>
  </si>
  <si>
    <t>LDEN_COND</t>
  </si>
  <si>
    <t>LDEN_SMTY</t>
  </si>
  <si>
    <t>Type of sample</t>
  </si>
  <si>
    <t>BLOCK SAMPLE</t>
  </si>
  <si>
    <t>LDEN_MC</t>
  </si>
  <si>
    <t>LDEN_BDEN</t>
  </si>
  <si>
    <t>Bulk density</t>
  </si>
  <si>
    <t>1.66</t>
  </si>
  <si>
    <t>LDEN_DDEN</t>
  </si>
  <si>
    <t>1.06</t>
  </si>
  <si>
    <t>LDEN_REM</t>
  </si>
  <si>
    <t>LDEN_METH</t>
  </si>
  <si>
    <t>BS1377: Part 2: 1990: Clause 7.2</t>
  </si>
  <si>
    <t>LDEN_LAB</t>
  </si>
  <si>
    <t>LDEN_CRED</t>
  </si>
  <si>
    <t>LDEN_DEV</t>
  </si>
  <si>
    <t>Specimen size if less than 50cm3 and any deviation from the specified procedure</t>
  </si>
  <si>
    <t>37cm3</t>
  </si>
  <si>
    <t>LDEN_DATE</t>
  </si>
  <si>
    <t>LDEN_PBY</t>
  </si>
  <si>
    <t>LDEN_TBY</t>
  </si>
  <si>
    <t>LDIS_PBY</t>
  </si>
  <si>
    <t>LDIS_LDIS</t>
  </si>
  <si>
    <t>Percent dispersion</t>
  </si>
  <si>
    <t>LDIS_REM</t>
  </si>
  <si>
    <t>LDIS_METH</t>
  </si>
  <si>
    <t>AS 1289.3.8.2-1997</t>
  </si>
  <si>
    <t>LDIS_DEV</t>
  </si>
  <si>
    <t>LDIS_TBY</t>
  </si>
  <si>
    <t>LDIS_DATE</t>
  </si>
  <si>
    <t>LDIS_LAB</t>
  </si>
  <si>
    <t>LDIS_CRED</t>
  </si>
  <si>
    <t>F23</t>
  </si>
  <si>
    <t>LDYN_PWAV</t>
  </si>
  <si>
    <t>P-wave velocity</t>
  </si>
  <si>
    <t>3000</t>
  </si>
  <si>
    <t>LDYN_SWAV</t>
  </si>
  <si>
    <t>S-wave velocity</t>
  </si>
  <si>
    <t>1800</t>
  </si>
  <si>
    <t>LDYN_EMOD</t>
  </si>
  <si>
    <t>GPa</t>
  </si>
  <si>
    <t>Dynamic elastic modulus</t>
  </si>
  <si>
    <t>LDYN_SG</t>
  </si>
  <si>
    <t>Shear modulus derived from LDYN_SWAV</t>
  </si>
  <si>
    <t>LDYN_REM</t>
  </si>
  <si>
    <t>LDYN_METH</t>
  </si>
  <si>
    <t xml:space="preserve">ISRM: Suggested method </t>
  </si>
  <si>
    <t>LDYN_LAB</t>
  </si>
  <si>
    <t>LDYN_CRED</t>
  </si>
  <si>
    <t>LDYN_DEV</t>
  </si>
  <si>
    <t>LDYN_DATE</t>
  </si>
  <si>
    <t>LDYN_PBY</t>
  </si>
  <si>
    <t>LDYN_TBY</t>
  </si>
  <si>
    <t>LDYT_TESN</t>
  </si>
  <si>
    <t>LDYT_TIME</t>
  </si>
  <si>
    <t>us</t>
  </si>
  <si>
    <t>51.4</t>
  </si>
  <si>
    <t>LDYT_PWAV</t>
  </si>
  <si>
    <t>P-wave raw data</t>
  </si>
  <si>
    <t>31</t>
  </si>
  <si>
    <t>LDYT_SWAV</t>
  </si>
  <si>
    <t>S-wave raw data</t>
  </si>
  <si>
    <t>LDYT_PAMP</t>
  </si>
  <si>
    <t>P-wave amplitude</t>
  </si>
  <si>
    <t>9.52</t>
  </si>
  <si>
    <t>LDYT_SAMP</t>
  </si>
  <si>
    <t>S-wave amplitude</t>
  </si>
  <si>
    <t>48.64</t>
  </si>
  <si>
    <t>LEMC_PBY</t>
  </si>
  <si>
    <t>LEMC_LEMC</t>
  </si>
  <si>
    <t>Emerson class number</t>
  </si>
  <si>
    <t>Class 1</t>
  </si>
  <si>
    <t>LEMC_WTYP</t>
  </si>
  <si>
    <t>Type of water used</t>
  </si>
  <si>
    <t>Deionised</t>
  </si>
  <si>
    <t>LEMC_TEMP</t>
  </si>
  <si>
    <t>degC</t>
  </si>
  <si>
    <t>Temperature of water used</t>
  </si>
  <si>
    <t>27.5</t>
  </si>
  <si>
    <t>LEMC_METH</t>
  </si>
  <si>
    <t>AS 1289.3.8.1-1997</t>
  </si>
  <si>
    <t>LEMC_DEV</t>
  </si>
  <si>
    <t>LEMC_TBY</t>
  </si>
  <si>
    <t>LEMC_DATE</t>
  </si>
  <si>
    <t>LEMC_LAB</t>
  </si>
  <si>
    <t>LEMC_CRED</t>
  </si>
  <si>
    <t>LFCN_DEV</t>
  </si>
  <si>
    <t>Deviations from the procedure</t>
  </si>
  <si>
    <t>LFCN_CMAS</t>
  </si>
  <si>
    <t>Mass of cone used</t>
  </si>
  <si>
    <t>LFCN_CANG</t>
  </si>
  <si>
    <t>Angle of cone tip</t>
  </si>
  <si>
    <t>LFCN_PENA</t>
  </si>
  <si>
    <t>Average cone penetration</t>
  </si>
  <si>
    <t>4.25</t>
  </si>
  <si>
    <t>LFCN_PEN1</t>
  </si>
  <si>
    <t>Individual penetration point 1 if values differ by more than 0.5mm from the average, for undisturbed tests.</t>
  </si>
  <si>
    <t>4.50</t>
  </si>
  <si>
    <t>LFCN_PEN2</t>
  </si>
  <si>
    <t>Individual penetration point 2 if values differ by more than 0.5mm from the average, for undisturbed tests.</t>
  </si>
  <si>
    <t>LFCN_PEN3</t>
  </si>
  <si>
    <t>Individual penetration point 3 if values differ by more than 0.5mm from the average, for undisturbed tests.</t>
  </si>
  <si>
    <t>5.00</t>
  </si>
  <si>
    <t>LFCN_PEN4</t>
  </si>
  <si>
    <t>Individual penetration point 4 if values differ by more than 0.5mm from the average, for undisturbed tests.</t>
  </si>
  <si>
    <t>4.00</t>
  </si>
  <si>
    <t>LFCN_CONF</t>
  </si>
  <si>
    <t>Non-conforming test (due to penetration range)</t>
  </si>
  <si>
    <t>LFCN_FCPK</t>
  </si>
  <si>
    <t>Estimated undrained fall cone shear strength</t>
  </si>
  <si>
    <t>8.8</t>
  </si>
  <si>
    <t>LFCN_FCRM</t>
  </si>
  <si>
    <t>Estimated undrained fall cone shear strength, remoulded</t>
  </si>
  <si>
    <t>LFCN_WC</t>
  </si>
  <si>
    <t>Water content of specimen</t>
  </si>
  <si>
    <t>16.2</t>
  </si>
  <si>
    <t>LFCN_WCST</t>
  </si>
  <si>
    <t>Water content determined on specimen trimmings or other if applicable.</t>
  </si>
  <si>
    <t>Water content from specimen trimmings</t>
  </si>
  <si>
    <t>LFCN_REM</t>
  </si>
  <si>
    <t>LFCN_METH</t>
  </si>
  <si>
    <t>LFCN_LAB</t>
  </si>
  <si>
    <t>LFCN_CRED</t>
  </si>
  <si>
    <t>LFCN_DATE</t>
  </si>
  <si>
    <t>LFCN_PBY</t>
  </si>
  <si>
    <t>LFCN_TBY</t>
  </si>
  <si>
    <t>LHIF_PBY</t>
  </si>
  <si>
    <t>LHIF_CWD</t>
  </si>
  <si>
    <t>Peak converted wet density</t>
  </si>
  <si>
    <t>LHIF_ACWD</t>
  </si>
  <si>
    <t>Adjusted peak converted wet density</t>
  </si>
  <si>
    <t>LHIF_WV</t>
  </si>
  <si>
    <t>Moisture variation, -ve for dryer, +ve for wetter</t>
  </si>
  <si>
    <t>-5.0</t>
  </si>
  <si>
    <t>LHIF_AWV</t>
  </si>
  <si>
    <t>Adjusted moisture variation, -ve for dryer, +ve for wetter</t>
  </si>
  <si>
    <t>LHIF_LHIF</t>
  </si>
  <si>
    <t>Hilf density ratio</t>
  </si>
  <si>
    <t>LHIF_SZUN</t>
  </si>
  <si>
    <t>Size cut off material too coarse for testing</t>
  </si>
  <si>
    <t>37.5</t>
  </si>
  <si>
    <t>LHIF_UNS</t>
  </si>
  <si>
    <t>Proportion of material too coarse for testing on a wet basis</t>
  </si>
  <si>
    <t>LHIF_REM</t>
  </si>
  <si>
    <t>LHIF_METH</t>
  </si>
  <si>
    <t>AS 1289.5.7.1-1993</t>
  </si>
  <si>
    <t>LHIF_DEV</t>
  </si>
  <si>
    <t>LHIF_TBY</t>
  </si>
  <si>
    <t>LHIF_DATE</t>
  </si>
  <si>
    <t>LHIF_LAB</t>
  </si>
  <si>
    <t>LHIF_CRED</t>
  </si>
  <si>
    <t>Specimen prepared by cone and quartering</t>
  </si>
  <si>
    <t>LLIN_LS</t>
  </si>
  <si>
    <t>Linear shrinkage</t>
  </si>
  <si>
    <t>11</t>
  </si>
  <si>
    <t>LLIN_425</t>
  </si>
  <si>
    <t>Percentage passing 425µm sieve</t>
  </si>
  <si>
    <t>LLIN_PREP</t>
  </si>
  <si>
    <t>Method of preparation</t>
  </si>
  <si>
    <t>Wet sieve</t>
  </si>
  <si>
    <t>LLIN_REM</t>
  </si>
  <si>
    <t>LLIN_METH</t>
  </si>
  <si>
    <t>BS1377: Part 2: 1990: Clause 6.5</t>
  </si>
  <si>
    <t>LLIN_LAB</t>
  </si>
  <si>
    <t>LLIN_CRED</t>
  </si>
  <si>
    <t>LLIN_DEV</t>
  </si>
  <si>
    <t>LLIN_LEN</t>
  </si>
  <si>
    <t>Mould length</t>
  </si>
  <si>
    <t>LLIN_MMC</t>
  </si>
  <si>
    <t>LLIN_DATE</t>
  </si>
  <si>
    <t>LLIN_PBY</t>
  </si>
  <si>
    <t>LLIN_TBY</t>
  </si>
  <si>
    <t>LLPL_LL</t>
  </si>
  <si>
    <t>Liquid limit</t>
  </si>
  <si>
    <t>62</t>
  </si>
  <si>
    <t>0DP to XN</t>
  </si>
  <si>
    <t>LLPL_PL</t>
  </si>
  <si>
    <t>Plastic limit</t>
  </si>
  <si>
    <t>38 or NP</t>
  </si>
  <si>
    <t>LLPL_PI</t>
  </si>
  <si>
    <t>Plasticity Index</t>
  </si>
  <si>
    <t>LLPL_425</t>
  </si>
  <si>
    <t>LLPL_PREP</t>
  </si>
  <si>
    <t>LLPL_STAB</t>
  </si>
  <si>
    <t>LLPL_STYP</t>
  </si>
  <si>
    <t>LLPL_REM</t>
  </si>
  <si>
    <t>1 point liquid limit test</t>
  </si>
  <si>
    <t>LLPL_METH</t>
  </si>
  <si>
    <t>BS1377: Part 2: 1990: Clause 4.4 and 5</t>
  </si>
  <si>
    <t>LLPL_LAB</t>
  </si>
  <si>
    <t>LLPL_CRED</t>
  </si>
  <si>
    <t>LLPL_DEV</t>
  </si>
  <si>
    <t>LLPL_TYPE</t>
  </si>
  <si>
    <t>FALL CONE</t>
  </si>
  <si>
    <t>LLPL_POIN</t>
  </si>
  <si>
    <t>Number of points</t>
  </si>
  <si>
    <t>FOUR</t>
  </si>
  <si>
    <t>LLPL_CONE</t>
  </si>
  <si>
    <t>For fall cone method, type of cone</t>
  </si>
  <si>
    <t>60g/60deg</t>
  </si>
  <si>
    <t>LLPL_1PRE</t>
  </si>
  <si>
    <t>Mean of test readings, if one-point test.</t>
  </si>
  <si>
    <t>19.1</t>
  </si>
  <si>
    <t>LLPL_1PCF</t>
  </si>
  <si>
    <t>Correlation factor if one-point test.</t>
  </si>
  <si>
    <t>1.015</t>
  </si>
  <si>
    <t>LLPL_SIZE</t>
  </si>
  <si>
    <t>Sieve size if other than 0.425mm</t>
  </si>
  <si>
    <t>0.4</t>
  </si>
  <si>
    <t>LLPL_PASS</t>
  </si>
  <si>
    <t>Percentage passing LLPL_SIZE sieve if other than 0.425mm</t>
  </si>
  <si>
    <t>LLPL_WC</t>
  </si>
  <si>
    <t>The water content of the specimen before removal of particles prior to determination liquid or plastic limits, if measured</t>
  </si>
  <si>
    <t>LLPL_DATE</t>
  </si>
  <si>
    <t>LLPL_PBY</t>
  </si>
  <si>
    <t>LLPL_TBY</t>
  </si>
  <si>
    <t>LNMC_MC</t>
  </si>
  <si>
    <t>LNMC_TEMP</t>
  </si>
  <si>
    <t>Temperature sample dried at</t>
  </si>
  <si>
    <t>105</t>
  </si>
  <si>
    <t>LNMC_STAB</t>
  </si>
  <si>
    <t>LNMC_STYP</t>
  </si>
  <si>
    <t>LNMC_ISNT</t>
  </si>
  <si>
    <t>Is test result assumed to be a natural water/moisture content</t>
  </si>
  <si>
    <t>LNMC_COMM</t>
  </si>
  <si>
    <t>Reason water/moisture content is assumed to be other than natural</t>
  </si>
  <si>
    <t>LNMC_REM</t>
  </si>
  <si>
    <t>LNMC_METH</t>
  </si>
  <si>
    <t>BS1377: Part 2: 1990: Clause 3.2</t>
  </si>
  <si>
    <t>LNMC_LAB</t>
  </si>
  <si>
    <t>LNMC_CRED</t>
  </si>
  <si>
    <t>LNMC_DEV</t>
  </si>
  <si>
    <t>LNMC_DATE</t>
  </si>
  <si>
    <t>LNMC_PBY</t>
  </si>
  <si>
    <t>LNMC_TBY</t>
  </si>
  <si>
    <t>Type of activity</t>
  </si>
  <si>
    <t>CP+RC</t>
  </si>
  <si>
    <t>Guidance needed, should not use BH and CPT</t>
  </si>
  <si>
    <t>LOCA_STAT</t>
  </si>
  <si>
    <t>Status of information relating to this position</t>
  </si>
  <si>
    <t>PRELIM</t>
  </si>
  <si>
    <t>LOCA_NATE</t>
  </si>
  <si>
    <t>National Grid Easting of location or start of traverse</t>
  </si>
  <si>
    <t>523145.00</t>
  </si>
  <si>
    <t>LOCA_NATN</t>
  </si>
  <si>
    <t>National Grid Northing of location or start of traverse</t>
  </si>
  <si>
    <t>178456.12</t>
  </si>
  <si>
    <t>LOCA_GREF</t>
  </si>
  <si>
    <t>National grid referencing system used</t>
  </si>
  <si>
    <t xml:space="preserve">OSGB </t>
  </si>
  <si>
    <t>LOCA_GL</t>
  </si>
  <si>
    <t>Ground level relative to datum of location or start of traverse</t>
  </si>
  <si>
    <t>16.23</t>
  </si>
  <si>
    <t>LOCA_REM</t>
  </si>
  <si>
    <t>LOCA_FDEP</t>
  </si>
  <si>
    <t>Final depth</t>
  </si>
  <si>
    <t>32.60</t>
  </si>
  <si>
    <t>LOCA_STAR</t>
  </si>
  <si>
    <t>Date of start of activity</t>
  </si>
  <si>
    <t>1991-03-18</t>
  </si>
  <si>
    <t>LOCA_PURP</t>
  </si>
  <si>
    <t>Purpose of activity at this location</t>
  </si>
  <si>
    <t>Groundwater observation well</t>
  </si>
  <si>
    <t>LOCA_TERM</t>
  </si>
  <si>
    <t>Reason for activity termination</t>
  </si>
  <si>
    <t>Abandoned on engineer's instruction</t>
  </si>
  <si>
    <t>LOCA_ENDD</t>
  </si>
  <si>
    <t>End date of activity</t>
  </si>
  <si>
    <t>1991-03-22</t>
  </si>
  <si>
    <t>LOCA_LETT</t>
  </si>
  <si>
    <t>OSGB letter grid reference</t>
  </si>
  <si>
    <t>TQ231784</t>
  </si>
  <si>
    <t>LOCA_LOCX</t>
  </si>
  <si>
    <t>Local grid x co-ordinate or start of traverse</t>
  </si>
  <si>
    <t>565.23</t>
  </si>
  <si>
    <t>LOCA_LOCY</t>
  </si>
  <si>
    <t>Local grid y co-ordinate or start of traverse</t>
  </si>
  <si>
    <t>421.12</t>
  </si>
  <si>
    <t>LOCA_LOCZ</t>
  </si>
  <si>
    <t>Level or start of traverse to local datum</t>
  </si>
  <si>
    <t>106.63</t>
  </si>
  <si>
    <t>LOCA_LREF</t>
  </si>
  <si>
    <t>Local grid referencing system used</t>
  </si>
  <si>
    <t>London grid 1</t>
  </si>
  <si>
    <t>LOCA_DATM</t>
  </si>
  <si>
    <t>Local datum referencing system used</t>
  </si>
  <si>
    <t>Anytown datum</t>
  </si>
  <si>
    <t>LOCA_ETRV</t>
  </si>
  <si>
    <t>National Grid Easting of end of traverse</t>
  </si>
  <si>
    <t>523195.12</t>
  </si>
  <si>
    <t>LOCA_NTRV</t>
  </si>
  <si>
    <t>National Grid Northing of end of traverse</t>
  </si>
  <si>
    <t>178486.12</t>
  </si>
  <si>
    <t>LOCA_LTRV</t>
  </si>
  <si>
    <t>Ground level relative to datum of end of traverse</t>
  </si>
  <si>
    <t>9.67</t>
  </si>
  <si>
    <t>LOCA_XTRL</t>
  </si>
  <si>
    <t>Local grid easting of end of traverse</t>
  </si>
  <si>
    <t>LOCA_YTRL</t>
  </si>
  <si>
    <t>Local grid northing of end of traverse</t>
  </si>
  <si>
    <t>LOCA_ZTRL</t>
  </si>
  <si>
    <t>Local elevation of end of traverse</t>
  </si>
  <si>
    <t>LOCA_LAT</t>
  </si>
  <si>
    <t>DMS</t>
  </si>
  <si>
    <t>Latitude of location or start of traverse</t>
  </si>
  <si>
    <t>51:28:52.498</t>
  </si>
  <si>
    <t>LOCA_LON</t>
  </si>
  <si>
    <t>Longitude of location or start of traverse</t>
  </si>
  <si>
    <t>34:10:34.23</t>
  </si>
  <si>
    <t>LOCA_ELAT</t>
  </si>
  <si>
    <t>Latitude of end of traverse</t>
  </si>
  <si>
    <t>51:28:52.550</t>
  </si>
  <si>
    <t>LOCA_ELON</t>
  </si>
  <si>
    <t>Longitude of end of traverse</t>
  </si>
  <si>
    <t>LOCA_LLZ</t>
  </si>
  <si>
    <t>Projection Format</t>
  </si>
  <si>
    <t>WGS84</t>
  </si>
  <si>
    <t>LOCA_LOCM</t>
  </si>
  <si>
    <t>Method of location</t>
  </si>
  <si>
    <t>dGPS</t>
  </si>
  <si>
    <t>LOCA_LOCA</t>
  </si>
  <si>
    <t xml:space="preserve">Site location sub division (within project) code or description </t>
  </si>
  <si>
    <t>Sub-station 1</t>
  </si>
  <si>
    <t>LOCA_CLST</t>
  </si>
  <si>
    <t>Investigation phase grouping code or description</t>
  </si>
  <si>
    <t>Phase 2a</t>
  </si>
  <si>
    <t>LOCA_ALID</t>
  </si>
  <si>
    <t>Alignment Identifier</t>
  </si>
  <si>
    <t>Tunnel Alignment P</t>
  </si>
  <si>
    <t>LOCA_OFFS</t>
  </si>
  <si>
    <t>Offset</t>
  </si>
  <si>
    <t>10.35</t>
  </si>
  <si>
    <t>LOCA_CNGE</t>
  </si>
  <si>
    <t>Chainage</t>
  </si>
  <si>
    <t>500+123.23</t>
  </si>
  <si>
    <t>LOCA_TRAN</t>
  </si>
  <si>
    <t>Reference to or details of algorithm used to calculate local grid reference, local ground levels or chainage</t>
  </si>
  <si>
    <t>Coordinate transforms document ref 100-23-A, dated 16 April 2010</t>
  </si>
  <si>
    <t>Associated file reference (e.g. boring or pitting instructions, location photographs)</t>
  </si>
  <si>
    <t>FS2</t>
  </si>
  <si>
    <t>LOCA_NATD</t>
  </si>
  <si>
    <t>National Datum Referencing System used</t>
  </si>
  <si>
    <t>OD Newlyn</t>
  </si>
  <si>
    <t>LOCA_ORID</t>
  </si>
  <si>
    <t>Original Hole ID</t>
  </si>
  <si>
    <t>BH1</t>
  </si>
  <si>
    <t>LOCA_ORJO</t>
  </si>
  <si>
    <t>Original Job Reference</t>
  </si>
  <si>
    <t>ABC1985</t>
  </si>
  <si>
    <t>LOCA_ORCO</t>
  </si>
  <si>
    <t>Originating Company</t>
  </si>
  <si>
    <t>ABC Labs</t>
  </si>
  <si>
    <t>LOCA_CKBY</t>
  </si>
  <si>
    <t>Checked by</t>
  </si>
  <si>
    <t>LOCA_CKDT</t>
  </si>
  <si>
    <t>Checked date</t>
  </si>
  <si>
    <t>LOCA_WREM</t>
  </si>
  <si>
    <t>Water Remark</t>
  </si>
  <si>
    <t>Groundwater not encountered</t>
  </si>
  <si>
    <t>LOCA_DBID</t>
  </si>
  <si>
    <t>National/regional geological database unique ID.</t>
  </si>
  <si>
    <t>BH_365474</t>
  </si>
  <si>
    <t>LOCA_LCMZ</t>
  </si>
  <si>
    <t>Method determining elevation</t>
  </si>
  <si>
    <t>LPDN_PDEN</t>
  </si>
  <si>
    <t>LPDN_TYPE</t>
  </si>
  <si>
    <t xml:space="preserve">Type of test </t>
  </si>
  <si>
    <t>SMALL PYK</t>
  </si>
  <si>
    <t>LPDN_REM</t>
  </si>
  <si>
    <t>Test on material &lt;2mm only</t>
  </si>
  <si>
    <t>LPDN_METH</t>
  </si>
  <si>
    <t>BS1377: Part 2: 1990: Clause 8.3</t>
  </si>
  <si>
    <t>LPDN_LAB</t>
  </si>
  <si>
    <t>LPDN_CRED</t>
  </si>
  <si>
    <t>LPDN_DEV</t>
  </si>
  <si>
    <t>Sample crushed prior to test.</t>
  </si>
  <si>
    <t>LPDN_PVOL</t>
  </si>
  <si>
    <t>Pycnometer volume if used and not 50ml</t>
  </si>
  <si>
    <t>52</t>
  </si>
  <si>
    <t>LPDN_GAS</t>
  </si>
  <si>
    <t>Identity of gas if gas pycnometer used</t>
  </si>
  <si>
    <t>Helium</t>
  </si>
  <si>
    <t>LPDN_DATE</t>
  </si>
  <si>
    <t>LPDN_PBY</t>
  </si>
  <si>
    <t>LPDN_TBY</t>
  </si>
  <si>
    <t>LPEN_PPEN</t>
  </si>
  <si>
    <t>Hand penetrometer undrained shear strength</t>
  </si>
  <si>
    <t>40</t>
  </si>
  <si>
    <t>LPEN_MC</t>
  </si>
  <si>
    <t>Water/moisture content local to test, if measured</t>
  </si>
  <si>
    <t>23.7</t>
  </si>
  <si>
    <t>LPEN_REM</t>
  </si>
  <si>
    <t>Gravel present</t>
  </si>
  <si>
    <t>LPEN_METH</t>
  </si>
  <si>
    <t>Manufacturers instructions</t>
  </si>
  <si>
    <t>LPEN_LAB</t>
  </si>
  <si>
    <t>LPEN_CRED</t>
  </si>
  <si>
    <t>LPEN_DEV</t>
  </si>
  <si>
    <t>LPEN_PP1</t>
  </si>
  <si>
    <t>Hand penetrometer result UCS 1 on sample result</t>
  </si>
  <si>
    <t>&gt;40</t>
  </si>
  <si>
    <t>LPEN_PP2</t>
  </si>
  <si>
    <t>Hand penetrometer result UCS 2 on sample result</t>
  </si>
  <si>
    <t>&lt;500</t>
  </si>
  <si>
    <t>LPEN_DATE</t>
  </si>
  <si>
    <t>LPEN_PBY</t>
  </si>
  <si>
    <t>LPEN_TBY</t>
  </si>
  <si>
    <t>LPHD_PBY</t>
  </si>
  <si>
    <t>LPHD_LPHD</t>
  </si>
  <si>
    <t>Pinhole class</t>
  </si>
  <si>
    <t>D1</t>
  </si>
  <si>
    <t>LPHD_IMC</t>
  </si>
  <si>
    <t>Moisture content of soil test sample before test</t>
  </si>
  <si>
    <t>15. 1</t>
  </si>
  <si>
    <t>LPHD_DDEN</t>
  </si>
  <si>
    <t>Dry density of test sample before testing</t>
  </si>
  <si>
    <t>LPHD_TMMT</t>
  </si>
  <si>
    <t>Time to mature the sample in the soil specimen cylinder</t>
  </si>
  <si>
    <t>3.50</t>
  </si>
  <si>
    <t>LPHD_REM</t>
  </si>
  <si>
    <t>LPHD_METH</t>
  </si>
  <si>
    <t>AS 1289.3.8.3-1997</t>
  </si>
  <si>
    <t>LPHD_DEV</t>
  </si>
  <si>
    <t>LPHD_TBY</t>
  </si>
  <si>
    <t>LPHD_DATE</t>
  </si>
  <si>
    <t>LPHD_LAB</t>
  </si>
  <si>
    <t>LPHD_CRED</t>
  </si>
  <si>
    <t>F34</t>
  </si>
  <si>
    <t>LPXD_TYPE</t>
  </si>
  <si>
    <t>Analysis type</t>
  </si>
  <si>
    <t>XD</t>
  </si>
  <si>
    <t>LPXD_SUM</t>
  </si>
  <si>
    <t>Summary of report</t>
  </si>
  <si>
    <t>LPXD_REM</t>
  </si>
  <si>
    <t>LPXD_DATE</t>
  </si>
  <si>
    <t>LPXD_METH</t>
  </si>
  <si>
    <t>ISRM : Suggested method for determination of indirect tensile strength by the Brazil test</t>
  </si>
  <si>
    <t>Recommend that the example is changed to a relevant test method</t>
  </si>
  <si>
    <t>LPXD_DEV</t>
  </si>
  <si>
    <t>LPXD_LAB</t>
  </si>
  <si>
    <t>LPXD_CRED</t>
  </si>
  <si>
    <t>LPXD_PBY</t>
  </si>
  <si>
    <t>LPXD_TBY</t>
  </si>
  <si>
    <t>LRES_BDEN</t>
  </si>
  <si>
    <t>LRES_DDEN</t>
  </si>
  <si>
    <t>LRES_MC</t>
  </si>
  <si>
    <t>15.2</t>
  </si>
  <si>
    <t>LRES_COND</t>
  </si>
  <si>
    <t>Sample condition including details of remoulding</t>
  </si>
  <si>
    <t>Remoulded</t>
  </si>
  <si>
    <t>LRES_LRES</t>
  </si>
  <si>
    <t>Temperature corrected (20 DegC) resistivity</t>
  </si>
  <si>
    <t>45</t>
  </si>
  <si>
    <t>LRES_CDIA</t>
  </si>
  <si>
    <t>Diameter of container</t>
  </si>
  <si>
    <t>LRES_CCSA</t>
  </si>
  <si>
    <t>mm2</t>
  </si>
  <si>
    <t>Container cross-sectional area</t>
  </si>
  <si>
    <t>25000</t>
  </si>
  <si>
    <t>LRES_CLEN</t>
  </si>
  <si>
    <t>Length of container</t>
  </si>
  <si>
    <t>LRES_TEMP</t>
  </si>
  <si>
    <t>Temperature at which test performed</t>
  </si>
  <si>
    <t>22</t>
  </si>
  <si>
    <t>LRES_ELEC</t>
  </si>
  <si>
    <t>Type of electrodes including material</t>
  </si>
  <si>
    <t>Steel discs</t>
  </si>
  <si>
    <t>LRES_PENT</t>
  </si>
  <si>
    <t>Dimensions of probes, diameter, spacing, penetration into the soil specimen and whether inserted into ends or side</t>
  </si>
  <si>
    <t>15mm diameter probes 100mm penetrating 75mm into test specimen</t>
  </si>
  <si>
    <t>LRES_CSHP</t>
  </si>
  <si>
    <t>Shape of container</t>
  </si>
  <si>
    <t>Cylinder</t>
  </si>
  <si>
    <t>LRES_WAT</t>
  </si>
  <si>
    <t>Volume of water required to saturate the soil</t>
  </si>
  <si>
    <t>750</t>
  </si>
  <si>
    <t>LRES_WRES</t>
  </si>
  <si>
    <t>Water resistivity</t>
  </si>
  <si>
    <t>0.690</t>
  </si>
  <si>
    <t>LRES_PART</t>
  </si>
  <si>
    <t>Approximate percentage of large particles removed prior to test</t>
  </si>
  <si>
    <t>LRES_REM</t>
  </si>
  <si>
    <t>LRES_METH</t>
  </si>
  <si>
    <t>LRES_LAB</t>
  </si>
  <si>
    <t>LRES_CRED</t>
  </si>
  <si>
    <t>LRES_DEV</t>
  </si>
  <si>
    <t>LRES_LDR</t>
  </si>
  <si>
    <t>Lab density ratio, LDR</t>
  </si>
  <si>
    <t>95.0</t>
  </si>
  <si>
    <t>LRES_DI</t>
  </si>
  <si>
    <t>Density index</t>
  </si>
  <si>
    <t>LRES_DATE</t>
  </si>
  <si>
    <t>LRES_PBY</t>
  </si>
  <si>
    <t>LRES_TBY</t>
  </si>
  <si>
    <t>LSEQ_PBY</t>
  </si>
  <si>
    <t>LSEQ_LSEQ</t>
  </si>
  <si>
    <t>Sand equivalent</t>
  </si>
  <si>
    <t>LSEQ_TEMP</t>
  </si>
  <si>
    <t>Temperature</t>
  </si>
  <si>
    <t>27.0</t>
  </si>
  <si>
    <t>LSEQ_REM</t>
  </si>
  <si>
    <t>LSEQ_METH</t>
  </si>
  <si>
    <t>AS 1289.3.7.1-2002</t>
  </si>
  <si>
    <t>LSEQ_DEV</t>
  </si>
  <si>
    <t>LSEQ_TBY</t>
  </si>
  <si>
    <t>LSEQ_DATE</t>
  </si>
  <si>
    <t>LSEQ_LAB</t>
  </si>
  <si>
    <t>LSEQ_CRED</t>
  </si>
  <si>
    <t>FS18</t>
  </si>
  <si>
    <t>LSIN_LSIN</t>
  </si>
  <si>
    <t>Loaded shrinkage index</t>
  </si>
  <si>
    <t>1.21</t>
  </si>
  <si>
    <t>LSIN_SMC</t>
  </si>
  <si>
    <t>LSIN_MCF</t>
  </si>
  <si>
    <t>34.5</t>
  </si>
  <si>
    <t>LSIN_MCFC</t>
  </si>
  <si>
    <t>Final calculated moisture content of specimen</t>
  </si>
  <si>
    <t>LSIN_SIIC</t>
  </si>
  <si>
    <t>1.0</t>
  </si>
  <si>
    <t>LSIN_REM</t>
  </si>
  <si>
    <t>LSIN_METH</t>
  </si>
  <si>
    <t>AS 1289.7.1.2-1998</t>
  </si>
  <si>
    <t>LSIN_DEV</t>
  </si>
  <si>
    <t>LSIN_DATE</t>
  </si>
  <si>
    <t>LSIN_LAB</t>
  </si>
  <si>
    <t>LSIN_CRED</t>
  </si>
  <si>
    <t>F12</t>
  </si>
  <si>
    <t>LSIN_PBY</t>
  </si>
  <si>
    <t>LSIN_TBY</t>
  </si>
  <si>
    <t>LSLT_SLIM</t>
  </si>
  <si>
    <t>Shrinkage limit</t>
  </si>
  <si>
    <t>LSLT_SHRA</t>
  </si>
  <si>
    <t>Shrinkage ratio</t>
  </si>
  <si>
    <t>LSLT_IDEN</t>
  </si>
  <si>
    <t>Initial density</t>
  </si>
  <si>
    <t>LSLT_MCI</t>
  </si>
  <si>
    <t>Initial water/moisture content of test specimen</t>
  </si>
  <si>
    <t>LSLT_425</t>
  </si>
  <si>
    <t>LSLT_REM</t>
  </si>
  <si>
    <t>LSLT_METH</t>
  </si>
  <si>
    <t>ASTM D4943:2018</t>
  </si>
  <si>
    <t>LSLT_LAB</t>
  </si>
  <si>
    <t>LSLT_CRED</t>
  </si>
  <si>
    <t>LSLT_DEV</t>
  </si>
  <si>
    <t>LSLT_DATE</t>
  </si>
  <si>
    <t>LSLT_PBY</t>
  </si>
  <si>
    <t>LSLT_TBY</t>
  </si>
  <si>
    <t>LSSI_PBY</t>
  </si>
  <si>
    <t>LSSI_LSSI</t>
  </si>
  <si>
    <t>%strain/pF</t>
  </si>
  <si>
    <t>Shrink swell index</t>
  </si>
  <si>
    <t>0.45</t>
  </si>
  <si>
    <t>LSSI_MCSH</t>
  </si>
  <si>
    <t>Moisture content of shrinkage specimen</t>
  </si>
  <si>
    <t>LSSI_MCSW</t>
  </si>
  <si>
    <t>Moisture content of swelling specimen</t>
  </si>
  <si>
    <t>38.1</t>
  </si>
  <si>
    <t>LSSI_SIIC</t>
  </si>
  <si>
    <t>LSSI_SCRM</t>
  </si>
  <si>
    <t>Soil crumbling remark</t>
  </si>
  <si>
    <t>Remarks, Crumbling of the sample under test</t>
  </si>
  <si>
    <t>LSSI_CRRM</t>
  </si>
  <si>
    <t>Remarks, Cracking of sample under test</t>
  </si>
  <si>
    <t>LSSI_REM</t>
  </si>
  <si>
    <t>LSSI_METH</t>
  </si>
  <si>
    <t>AS 1289.7.1.1-2003</t>
  </si>
  <si>
    <t>LSSI_DEV</t>
  </si>
  <si>
    <t>LSSI_TBY</t>
  </si>
  <si>
    <t>LSSI_DATE</t>
  </si>
  <si>
    <t>LSSI_LAB</t>
  </si>
  <si>
    <t>LSSI_CRED</t>
  </si>
  <si>
    <t>LSTG_ICL</t>
  </si>
  <si>
    <t>Initial consumption of lime</t>
  </si>
  <si>
    <t>4.4</t>
  </si>
  <si>
    <t>LSTG_PH</t>
  </si>
  <si>
    <t>pH value used for interpretation of LSTG_ICL</t>
  </si>
  <si>
    <t>12.6</t>
  </si>
  <si>
    <t>LSTG_LIME</t>
  </si>
  <si>
    <t>Details of lime used for test</t>
  </si>
  <si>
    <t>Laboratory grade Calcium Hydroxide</t>
  </si>
  <si>
    <t>LSTG_SUIT</t>
  </si>
  <si>
    <t>pH of saturated lime solution (suitability)</t>
  </si>
  <si>
    <t>12.4</t>
  </si>
  <si>
    <t>LSTG_425</t>
  </si>
  <si>
    <t>82</t>
  </si>
  <si>
    <t>LSTG_REM</t>
  </si>
  <si>
    <t>LSTG_METH</t>
  </si>
  <si>
    <t>LSTG_LAB</t>
  </si>
  <si>
    <t>LSTG_CRED</t>
  </si>
  <si>
    <t>FS15</t>
  </si>
  <si>
    <t>LSTG_DEV</t>
  </si>
  <si>
    <t>LSTG_DATE</t>
  </si>
  <si>
    <t>LSTG_PBY</t>
  </si>
  <si>
    <t>LSTG_TBY</t>
  </si>
  <si>
    <t>LSTT_TESN</t>
  </si>
  <si>
    <t>LSTT_LCON</t>
  </si>
  <si>
    <t>Percentage of lime added</t>
  </si>
  <si>
    <t>LSTT_PH</t>
  </si>
  <si>
    <t>pH of lime/soil suspension</t>
  </si>
  <si>
    <t>LSTT_REM</t>
  </si>
  <si>
    <t>LSWL_SWPR</t>
  </si>
  <si>
    <t>Swelling Pressure Index</t>
  </si>
  <si>
    <t>LSWL_SWSI</t>
  </si>
  <si>
    <t>Swelling Strain Index</t>
  </si>
  <si>
    <t>LSWL_MCI</t>
  </si>
  <si>
    <t>Initial water content of test specimen</t>
  </si>
  <si>
    <t>5.6</t>
  </si>
  <si>
    <t>LSWL_SDIA</t>
  </si>
  <si>
    <t>63.2</t>
  </si>
  <si>
    <t>LSWL_THCK</t>
  </si>
  <si>
    <t>Specimen thickness</t>
  </si>
  <si>
    <t>50.1</t>
  </si>
  <si>
    <t>LSWL_BDEN</t>
  </si>
  <si>
    <t xml:space="preserve">Initial bulk density </t>
  </si>
  <si>
    <t>2240</t>
  </si>
  <si>
    <t>LSWL_DDEN</t>
  </si>
  <si>
    <t xml:space="preserve">Initial dry density </t>
  </si>
  <si>
    <t>1870</t>
  </si>
  <si>
    <t>LSWL_REM</t>
  </si>
  <si>
    <t>LSWL_METH</t>
  </si>
  <si>
    <t>ISRM: Suggested method</t>
  </si>
  <si>
    <t>LSWL_LAB</t>
  </si>
  <si>
    <t>LSWL_CRED</t>
  </si>
  <si>
    <t>LSWL_DEV</t>
  </si>
  <si>
    <t>LSWL_DATE</t>
  </si>
  <si>
    <t>LSWL_PBY</t>
  </si>
  <si>
    <t>LSWL_TBY</t>
  </si>
  <si>
    <t>SD Reviewed OK</t>
  </si>
  <si>
    <t>LTCH_DEV</t>
  </si>
  <si>
    <t>LTCH_COND</t>
  </si>
  <si>
    <t>LTCH_BDEN</t>
  </si>
  <si>
    <t>LTCH_DDEN</t>
  </si>
  <si>
    <t>LTCH_MC</t>
  </si>
  <si>
    <t>Water/moisture Content</t>
  </si>
  <si>
    <t>LTCH_TCON</t>
  </si>
  <si>
    <t>W/(K-m)</t>
  </si>
  <si>
    <t>LTCH_TRES</t>
  </si>
  <si>
    <t>(K-m)/W</t>
  </si>
  <si>
    <t>Thermal Resistivity</t>
  </si>
  <si>
    <t>LTCH_TEMP</t>
  </si>
  <si>
    <t>Ambient temperature at which test is performed</t>
  </si>
  <si>
    <t>This should be the same as the initial specimen temperature, but the description doesn't make this clear.</t>
  </si>
  <si>
    <t>SD Reviewed</t>
  </si>
  <si>
    <t>LTCH_PDIA</t>
  </si>
  <si>
    <t>Probe diameter</t>
  </si>
  <si>
    <t>LTCH_PSPA</t>
  </si>
  <si>
    <t>Probe spacing</t>
  </si>
  <si>
    <t>LTCH_PPEN</t>
  </si>
  <si>
    <t>Probe penetration</t>
  </si>
  <si>
    <t>LTCH_PRBE</t>
  </si>
  <si>
    <t>Method of probe insertion</t>
  </si>
  <si>
    <t>Pushed, pre-drilled</t>
  </si>
  <si>
    <t>LTCH_PART</t>
  </si>
  <si>
    <t>Particle grain size removed</t>
  </si>
  <si>
    <t>&gt;2mm</t>
  </si>
  <si>
    <t>LTCH_REM</t>
  </si>
  <si>
    <t>LTCH_METH</t>
  </si>
  <si>
    <t>BS EN ISO 17892-7:2018</t>
  </si>
  <si>
    <t>LTCH_LAB</t>
  </si>
  <si>
    <t>ACME Testing Ltd</t>
  </si>
  <si>
    <t>LTCH_CRED</t>
  </si>
  <si>
    <t>Accrediting body and reference number (where appropriate)</t>
  </si>
  <si>
    <t>Test Status</t>
  </si>
  <si>
    <t>LTCH_PBY</t>
  </si>
  <si>
    <t>LTCH_ITMP</t>
  </si>
  <si>
    <t>Initial test temperature</t>
  </si>
  <si>
    <t>20.1</t>
  </si>
  <si>
    <t>LTCH_DIA</t>
  </si>
  <si>
    <t>LTCH_LEN</t>
  </si>
  <si>
    <t>Specimen length / height</t>
  </si>
  <si>
    <t>LTCH_SDEN</t>
  </si>
  <si>
    <t>Bulk density of specimen at the time of the stage being tested</t>
  </si>
  <si>
    <t>LTCH_TBY</t>
  </si>
  <si>
    <t>Stephen, pls review</t>
  </si>
  <si>
    <t>LTCH_DATE</t>
  </si>
  <si>
    <t>Date of test</t>
  </si>
  <si>
    <t>LTCT_TIME</t>
  </si>
  <si>
    <t>Elapsed time from start of test for thermal conductivity test</t>
  </si>
  <si>
    <t>2.5000</t>
  </si>
  <si>
    <t>LTCT_ELTH</t>
  </si>
  <si>
    <t>Elapsed time from start of heating phase</t>
  </si>
  <si>
    <t>0.8333</t>
  </si>
  <si>
    <t>LTCT_ELTC</t>
  </si>
  <si>
    <t>Elapsed time from start of cooling phase</t>
  </si>
  <si>
    <t>0.1333</t>
  </si>
  <si>
    <t>LTCT_TEMP</t>
  </si>
  <si>
    <t>Temperature at measurement interval</t>
  </si>
  <si>
    <t>24.6</t>
  </si>
  <si>
    <t>LUCT_DEV</t>
  </si>
  <si>
    <t>Deviation from the procedure</t>
  </si>
  <si>
    <t>LUCT_TYPE</t>
  </si>
  <si>
    <t>LUCT_DIA</t>
  </si>
  <si>
    <t>38.25</t>
  </si>
  <si>
    <t>LUCT_SLEN</t>
  </si>
  <si>
    <t>Specimen length</t>
  </si>
  <si>
    <t>76.45</t>
  </si>
  <si>
    <t>LUCT_IWC</t>
  </si>
  <si>
    <t>Specimen initial water content</t>
  </si>
  <si>
    <t>15.7</t>
  </si>
  <si>
    <t>LUCT_BDEN</t>
  </si>
  <si>
    <t>LUCT_DDEN</t>
  </si>
  <si>
    <t>LUCT_RATE</t>
  </si>
  <si>
    <t>%/min</t>
  </si>
  <si>
    <t>Mean rate of compression</t>
  </si>
  <si>
    <t>LUCT_UCS</t>
  </si>
  <si>
    <t>Unconfined compressive strength</t>
  </si>
  <si>
    <t>121</t>
  </si>
  <si>
    <t>LUCT_STRA</t>
  </si>
  <si>
    <t>Strain at failure</t>
  </si>
  <si>
    <t>11.2</t>
  </si>
  <si>
    <t>LUCT_MODE</t>
  </si>
  <si>
    <t>LUCT_REM</t>
  </si>
  <si>
    <t>LUCT_METH</t>
  </si>
  <si>
    <t>LUCT_LAB</t>
  </si>
  <si>
    <t>LUCT_CRED</t>
  </si>
  <si>
    <t>FS7</t>
  </si>
  <si>
    <t>LUCT_DATE</t>
  </si>
  <si>
    <t>LUCT_PBY</t>
  </si>
  <si>
    <t>LUCT_TBY</t>
  </si>
  <si>
    <t>LVAN_VNPK</t>
  </si>
  <si>
    <t>Vane undrained shear strength (peak)</t>
  </si>
  <si>
    <t>LVAN_VNRM</t>
  </si>
  <si>
    <t>Vane undrained shear strength (remoulded)</t>
  </si>
  <si>
    <t>LVAN_MC</t>
  </si>
  <si>
    <t>Water/moisture content local to the test</t>
  </si>
  <si>
    <t>57.9</t>
  </si>
  <si>
    <t>LVAN_SIZE</t>
  </si>
  <si>
    <t>Equivalent diameter of vane</t>
  </si>
  <si>
    <t>12.7</t>
  </si>
  <si>
    <t>LVAN_VLEN</t>
  </si>
  <si>
    <t>Length of vane</t>
  </si>
  <si>
    <t>LVAN_REM</t>
  </si>
  <si>
    <t>Test performed in U100, test on CBR specimen</t>
  </si>
  <si>
    <t>LVAN_METH</t>
  </si>
  <si>
    <t>Test method, including type of vane</t>
  </si>
  <si>
    <t>Pilcon Hand vane BS1377: Part 7: Clause 3 Laboratory vane</t>
  </si>
  <si>
    <t>LVAN_LAB</t>
  </si>
  <si>
    <t>LVAN_CRED</t>
  </si>
  <si>
    <t>LVAN_DEV</t>
  </si>
  <si>
    <t>LVAN_TYPE</t>
  </si>
  <si>
    <t>LV</t>
  </si>
  <si>
    <t>LVAN_VNID</t>
  </si>
  <si>
    <t>LVAN_VTID</t>
  </si>
  <si>
    <t>LVAN_RROT</t>
  </si>
  <si>
    <t>LVAN_DATE</t>
  </si>
  <si>
    <t>LVAN_PBY</t>
  </si>
  <si>
    <t>LVAN_TBY</t>
  </si>
  <si>
    <t>MCVG_200</t>
  </si>
  <si>
    <t>Weight percent of sample retained on 20 mm sieve</t>
  </si>
  <si>
    <t>MCVG_NMC</t>
  </si>
  <si>
    <t>Natural water/moisture content below 20 mm</t>
  </si>
  <si>
    <t>21</t>
  </si>
  <si>
    <t>MCVG_STAB</t>
  </si>
  <si>
    <t>MCVG_STYP</t>
  </si>
  <si>
    <t>MCVG_REM</t>
  </si>
  <si>
    <t>MCVG_METH</t>
  </si>
  <si>
    <t>BS1377 Part 4, cl 5.4, 5.5 or 5.6</t>
  </si>
  <si>
    <t>MCVG_LAB</t>
  </si>
  <si>
    <t>MCVG_CRED</t>
  </si>
  <si>
    <t>MCVG_DEV</t>
  </si>
  <si>
    <t>MCVG_DATE</t>
  </si>
  <si>
    <t>MCVG_PBY</t>
  </si>
  <si>
    <t>MCVG_TBY</t>
  </si>
  <si>
    <t>MCVT_TESN</t>
  </si>
  <si>
    <t>MCVT_MC</t>
  </si>
  <si>
    <t>Water/moisture content for MCVT_TESN</t>
  </si>
  <si>
    <t>17.7</t>
  </si>
  <si>
    <t>MCVT_CURV</t>
  </si>
  <si>
    <t>Method of interpretation of the test curve</t>
  </si>
  <si>
    <t>Steepest straight line</t>
  </si>
  <si>
    <t>MCVT_RELK</t>
  </si>
  <si>
    <t>MCV value for MCVT_TESN</t>
  </si>
  <si>
    <t>12.3</t>
  </si>
  <si>
    <t>MCVT_BDEN</t>
  </si>
  <si>
    <t>After test bulk density for MCVT_TESN</t>
  </si>
  <si>
    <t>2.02</t>
  </si>
  <si>
    <t>MCVT_DIFF</t>
  </si>
  <si>
    <t>Difference between initial (n) and final (3n) blows in rapid assessment test</t>
  </si>
  <si>
    <t>MCVT_RAPD</t>
  </si>
  <si>
    <t>Stronger or weaker than pre-calibrated standard</t>
  </si>
  <si>
    <t>Weaker</t>
  </si>
  <si>
    <t>MCVT_REM</t>
  </si>
  <si>
    <t>MONG_ID</t>
  </si>
  <si>
    <t>Monitoring point reference</t>
  </si>
  <si>
    <t>MONG_DIS</t>
  </si>
  <si>
    <t>Initial distance of monitoring point from LOCA_ID datum</t>
  </si>
  <si>
    <t>Description updated</t>
  </si>
  <si>
    <t>MOND_DTIM</t>
  </si>
  <si>
    <t>Date and time of reading</t>
  </si>
  <si>
    <t>2003-02-20T13:40:00</t>
  </si>
  <si>
    <t>MOND_TYPE</t>
  </si>
  <si>
    <t>Reading type</t>
  </si>
  <si>
    <t>WDEP</t>
  </si>
  <si>
    <t>MOND_REF</t>
  </si>
  <si>
    <t>Reading reference</t>
  </si>
  <si>
    <t>MOND_INST</t>
  </si>
  <si>
    <t>14124-1</t>
  </si>
  <si>
    <t>MOND_RDNG</t>
  </si>
  <si>
    <t>Reading</t>
  </si>
  <si>
    <t>10.34</t>
  </si>
  <si>
    <t>MOND_UNIT</t>
  </si>
  <si>
    <t>Units of reading</t>
  </si>
  <si>
    <t>MOND_METH</t>
  </si>
  <si>
    <t>Measurement method</t>
  </si>
  <si>
    <t>MOND_LIM</t>
  </si>
  <si>
    <t>Instrument/method reading/detection limit</t>
  </si>
  <si>
    <t>MOND_ULIM</t>
  </si>
  <si>
    <t>Instrument/method upper reading/detection (when appropriate)</t>
  </si>
  <si>
    <t>MOND_NAME</t>
  </si>
  <si>
    <t>Client preferred name of measurement</t>
  </si>
  <si>
    <t>MOND_CRED</t>
  </si>
  <si>
    <t>MOND_CONT</t>
  </si>
  <si>
    <t>ACME Monitoring</t>
  </si>
  <si>
    <t>MOND_REM</t>
  </si>
  <si>
    <t>Comments on reading</t>
  </si>
  <si>
    <t>Associated file reference (e.g. monitoring field sheets, instrument logging file)</t>
  </si>
  <si>
    <t>FS28</t>
  </si>
  <si>
    <t>MOND_TBY</t>
  </si>
  <si>
    <t>Taken by</t>
  </si>
  <si>
    <t>Reading status</t>
  </si>
  <si>
    <t>Initial distance of monitoring point from LOCA_ID</t>
  </si>
  <si>
    <t>PIPE_REF</t>
  </si>
  <si>
    <t>Pipe reference</t>
  </si>
  <si>
    <t>Pipe1</t>
  </si>
  <si>
    <t>MONG_DATE</t>
  </si>
  <si>
    <t>Installation date</t>
  </si>
  <si>
    <t>2003-01-01</t>
  </si>
  <si>
    <t>MONG_TYPE</t>
  </si>
  <si>
    <t xml:space="preserve">TS </t>
  </si>
  <si>
    <t>MONG_DETL</t>
  </si>
  <si>
    <t>Total Station</t>
  </si>
  <si>
    <t>MONG_TRZ</t>
  </si>
  <si>
    <t>Distance to start of response zone from LOCA_ID datum</t>
  </si>
  <si>
    <t>5.50</t>
  </si>
  <si>
    <t>MONG_BRZ</t>
  </si>
  <si>
    <t>Distance to end of response zone from LOCA_ID datum</t>
  </si>
  <si>
    <t>7.50</t>
  </si>
  <si>
    <t>MONG_BRGA</t>
  </si>
  <si>
    <t>Bearing of monitoring axis A (compass bearing)</t>
  </si>
  <si>
    <t>MONG_BRGB</t>
  </si>
  <si>
    <t>Bearing of monitoring axis B (compass bearing)</t>
  </si>
  <si>
    <t>180</t>
  </si>
  <si>
    <t>MONG_BRGC</t>
  </si>
  <si>
    <t>Bearing of monitoring axis C (compass bearing)</t>
  </si>
  <si>
    <t>270</t>
  </si>
  <si>
    <t>MONG_INCA</t>
  </si>
  <si>
    <t>Inclination of instrument axis A (measured positively down from horizontal)</t>
  </si>
  <si>
    <t>MONG_INCB</t>
  </si>
  <si>
    <t>Inclination of instrument axis B (measured positively down from horizontal)</t>
  </si>
  <si>
    <t>MONG_INCC</t>
  </si>
  <si>
    <t>Inclination of instrument axis C (measured positively down from horizontal)</t>
  </si>
  <si>
    <t>MONG_RSCA</t>
  </si>
  <si>
    <t>Reading sign convention in direction A</t>
  </si>
  <si>
    <t>Displacement to East +ve</t>
  </si>
  <si>
    <t>MONG_RSCB</t>
  </si>
  <si>
    <t>Reading sign convention in direction B</t>
  </si>
  <si>
    <t>Displacement to South +ve</t>
  </si>
  <si>
    <t>MONG_RSCC</t>
  </si>
  <si>
    <t>Reading sign convention in direction C</t>
  </si>
  <si>
    <t>Displacement up +ve</t>
  </si>
  <si>
    <t>MONG_REM</t>
  </si>
  <si>
    <t>Behind wall</t>
  </si>
  <si>
    <t>MONG_CONT</t>
  </si>
  <si>
    <t>Contractor who installed monitoring instrument</t>
  </si>
  <si>
    <t>ACME Instruments Ltd</t>
  </si>
  <si>
    <t>FS27</t>
  </si>
  <si>
    <t>PENR_TOP</t>
  </si>
  <si>
    <t>PENR_BASE</t>
  </si>
  <si>
    <t>15.00</t>
  </si>
  <si>
    <t>PENR_PENN</t>
  </si>
  <si>
    <t>Minimum penetration resistance</t>
  </si>
  <si>
    <t>VE</t>
  </si>
  <si>
    <t>PENR_PENR</t>
  </si>
  <si>
    <t>PENR_PENX</t>
  </si>
  <si>
    <t>Maximum penetration resistance</t>
  </si>
  <si>
    <t>H</t>
  </si>
  <si>
    <t>PENR_CONF</t>
  </si>
  <si>
    <t>Confidence (line type)</t>
  </si>
  <si>
    <t>PENR_REM</t>
  </si>
  <si>
    <t>PIPE_TOP</t>
  </si>
  <si>
    <t>Top of construction zone</t>
  </si>
  <si>
    <t>PIPE_BASE</t>
  </si>
  <si>
    <t>Base of construction zone</t>
  </si>
  <si>
    <t>PIPE_DIAM</t>
  </si>
  <si>
    <t>Diameter of pipe</t>
  </si>
  <si>
    <t>PIPE_TYPE</t>
  </si>
  <si>
    <t>Type of pipe</t>
  </si>
  <si>
    <t>SLOTTED</t>
  </si>
  <si>
    <t>PIPE_CONS</t>
  </si>
  <si>
    <t>Details of pipe construction</t>
  </si>
  <si>
    <t>PIPE_REM</t>
  </si>
  <si>
    <t>FS32</t>
  </si>
  <si>
    <t>PLTG_DPTH</t>
  </si>
  <si>
    <t>Test depth</t>
  </si>
  <si>
    <t>1.23</t>
  </si>
  <si>
    <t>PLTG_TESN</t>
  </si>
  <si>
    <t>PLTG_CYC</t>
  </si>
  <si>
    <t>Load cycle</t>
  </si>
  <si>
    <t>PLTG_PDIA</t>
  </si>
  <si>
    <t>Plate diameter</t>
  </si>
  <si>
    <t>PLTG_SEAT</t>
  </si>
  <si>
    <t>Seating load including apparatus mass</t>
  </si>
  <si>
    <t>PLTG_FA0</t>
  </si>
  <si>
    <t>Factor a0</t>
  </si>
  <si>
    <t>PLTG_FA1</t>
  </si>
  <si>
    <t>Factor a1</t>
  </si>
  <si>
    <t>12.65</t>
  </si>
  <si>
    <t>PLTG_FA2</t>
  </si>
  <si>
    <t>Factor a2</t>
  </si>
  <si>
    <t>-7.58</t>
  </si>
  <si>
    <t>PLTG_SMOD</t>
  </si>
  <si>
    <t>Strain modulus</t>
  </si>
  <si>
    <t>15.8</t>
  </si>
  <si>
    <t>PLTG_EV2</t>
  </si>
  <si>
    <t>Elastic modulus for second loading cycle</t>
  </si>
  <si>
    <t>83.0</t>
  </si>
  <si>
    <t>PLTG_MOSR</t>
  </si>
  <si>
    <t>MPa/m</t>
  </si>
  <si>
    <t>Modulus of subgrade reaction</t>
  </si>
  <si>
    <t>60.8</t>
  </si>
  <si>
    <t>PLTG_EMOD</t>
  </si>
  <si>
    <t>Elastic modulus</t>
  </si>
  <si>
    <t>21.7</t>
  </si>
  <si>
    <t>PLTG_DATE</t>
  </si>
  <si>
    <t>2008-07-23</t>
  </si>
  <si>
    <t>PLTG_STAB</t>
  </si>
  <si>
    <t>PLTG_STYP</t>
  </si>
  <si>
    <t>PLTG_REM</t>
  </si>
  <si>
    <t>PLTG_ENV</t>
  </si>
  <si>
    <t>PLTG_METH</t>
  </si>
  <si>
    <t>DIN18134 Strain Modulus</t>
  </si>
  <si>
    <t>PLTG_CONT</t>
  </si>
  <si>
    <t>PLTG_CRED</t>
  </si>
  <si>
    <t>PLTG_OPER</t>
  </si>
  <si>
    <t>PLTT_STG</t>
  </si>
  <si>
    <t>Load stage</t>
  </si>
  <si>
    <t>PLTT_TIME</t>
  </si>
  <si>
    <t>Stage elapsed time</t>
  </si>
  <si>
    <t>PLTT_LOAD</t>
  </si>
  <si>
    <t>Applied load</t>
  </si>
  <si>
    <t>PLTT_SET1</t>
  </si>
  <si>
    <t>Settlement Gauge 1</t>
  </si>
  <si>
    <t>0.86</t>
  </si>
  <si>
    <t>PLTT_SET2</t>
  </si>
  <si>
    <t>Settlement Gauge 2</t>
  </si>
  <si>
    <t>0.74</t>
  </si>
  <si>
    <t>PLTT_SET3</t>
  </si>
  <si>
    <t>Settlement Gauge 3</t>
  </si>
  <si>
    <t>0.91</t>
  </si>
  <si>
    <t>PLTT_SET4</t>
  </si>
  <si>
    <t>Settlement Gauge 4</t>
  </si>
  <si>
    <t>PLTT_REM</t>
  </si>
  <si>
    <t>PMTG_DPTH</t>
  </si>
  <si>
    <t>2.70</t>
  </si>
  <si>
    <t>PMTG_TESN</t>
  </si>
  <si>
    <t xml:space="preserve">1 </t>
  </si>
  <si>
    <t>PMTD_SEQ</t>
  </si>
  <si>
    <t>Sequence number</t>
  </si>
  <si>
    <t>PMTD_TPC</t>
  </si>
  <si>
    <t>Total pressure</t>
  </si>
  <si>
    <t>54.4</t>
  </si>
  <si>
    <t>PMTD_PPA</t>
  </si>
  <si>
    <t>Pore pressure cell A</t>
  </si>
  <si>
    <t>2.9</t>
  </si>
  <si>
    <t>PMTD_PPB</t>
  </si>
  <si>
    <t>Pore pressure cell B</t>
  </si>
  <si>
    <t>PMTD_VOL</t>
  </si>
  <si>
    <t>cm3</t>
  </si>
  <si>
    <t>Volume change in test cell</t>
  </si>
  <si>
    <t>PMTD_REM</t>
  </si>
  <si>
    <t>PMTD_AX1</t>
  </si>
  <si>
    <t>Axis 1 displacement</t>
  </si>
  <si>
    <t>1.003</t>
  </si>
  <si>
    <t>PMTD_AX2</t>
  </si>
  <si>
    <t>Axis 2 displacement</t>
  </si>
  <si>
    <t>1.004</t>
  </si>
  <si>
    <t>PMTD_AX3</t>
  </si>
  <si>
    <t>Axis 3 displacement</t>
  </si>
  <si>
    <t>1.005</t>
  </si>
  <si>
    <t>PMTD_SA1</t>
  </si>
  <si>
    <t>Arm 1 displacement</t>
  </si>
  <si>
    <t>2.001</t>
  </si>
  <si>
    <t>PMTD_SA2</t>
  </si>
  <si>
    <t>Arm 2 displacement</t>
  </si>
  <si>
    <t>2.002</t>
  </si>
  <si>
    <t>PMTD_SA3</t>
  </si>
  <si>
    <t>Arm 3 displacement</t>
  </si>
  <si>
    <t>2.003</t>
  </si>
  <si>
    <t>PMTD_SA4</t>
  </si>
  <si>
    <t>Arm 4 displacement</t>
  </si>
  <si>
    <t>2.004</t>
  </si>
  <si>
    <t>PMTD_SA5</t>
  </si>
  <si>
    <t>Arm 5 displacement</t>
  </si>
  <si>
    <t>2.005</t>
  </si>
  <si>
    <t>PMTD_SA6</t>
  </si>
  <si>
    <t>Arm 6 displacement</t>
  </si>
  <si>
    <t>2.006</t>
  </si>
  <si>
    <t>PMTD_SAME</t>
  </si>
  <si>
    <t>Mean arm displacement</t>
  </si>
  <si>
    <t>PMTG_DATE</t>
  </si>
  <si>
    <t>1993-12-23</t>
  </si>
  <si>
    <t>PMTG_WAT</t>
  </si>
  <si>
    <t xml:space="preserve">Measured or assumed ground water  level </t>
  </si>
  <si>
    <t>1.53</t>
  </si>
  <si>
    <t>PMTG_CONT</t>
  </si>
  <si>
    <t>An Contractor Ltd</t>
  </si>
  <si>
    <t>PMTG_CREW</t>
  </si>
  <si>
    <t>Operators details</t>
  </si>
  <si>
    <t>ANO/TBA</t>
  </si>
  <si>
    <t>PMTG_REF</t>
  </si>
  <si>
    <t xml:space="preserve">Instrument reference / serial number </t>
  </si>
  <si>
    <t>PMT123456</t>
  </si>
  <si>
    <t>PMTG_TYPE</t>
  </si>
  <si>
    <t>Pressuremeter type</t>
  </si>
  <si>
    <t xml:space="preserve">SBP </t>
  </si>
  <si>
    <t>PMTG_DIAM</t>
  </si>
  <si>
    <t>Uninflated diameter of pressuremeter</t>
  </si>
  <si>
    <t>82.90</t>
  </si>
  <si>
    <t>PMTG_HO</t>
  </si>
  <si>
    <t>Estimated in situ horizontal stress</t>
  </si>
  <si>
    <t>700</t>
  </si>
  <si>
    <t>PMTG_GI</t>
  </si>
  <si>
    <t>Initial shear modulus</t>
  </si>
  <si>
    <t>PMTG_CU</t>
  </si>
  <si>
    <t>Undrained shear strength</t>
  </si>
  <si>
    <t>420</t>
  </si>
  <si>
    <t>PMTG_PL</t>
  </si>
  <si>
    <t>Limit pressure</t>
  </si>
  <si>
    <t>3400</t>
  </si>
  <si>
    <t>PMTG_AF</t>
  </si>
  <si>
    <t>Angle of friction</t>
  </si>
  <si>
    <t>39.0</t>
  </si>
  <si>
    <t>PMTG_AD</t>
  </si>
  <si>
    <t>Angle of dilation</t>
  </si>
  <si>
    <t>PMTG_AFCV</t>
  </si>
  <si>
    <t>Angle of friction at constant volume (*cv) used</t>
  </si>
  <si>
    <t>PMTG_METH</t>
  </si>
  <si>
    <t>Method(s) used to determine derived soil parameters (including those in PMTL).</t>
  </si>
  <si>
    <t>PMTG_CRED</t>
  </si>
  <si>
    <t>PMTG_ENV</t>
  </si>
  <si>
    <t>Rain, standing water close to test area</t>
  </si>
  <si>
    <t>PMTG_REM</t>
  </si>
  <si>
    <t>6 arms used in determination of average</t>
  </si>
  <si>
    <t>PMTG_NUAR</t>
  </si>
  <si>
    <t>Number of arms</t>
  </si>
  <si>
    <t>PMTG_ORNT</t>
  </si>
  <si>
    <t>Bearing of arm 1 (clockwise degrees from North)</t>
  </si>
  <si>
    <t>015</t>
  </si>
  <si>
    <t>PMTG_AXIS</t>
  </si>
  <si>
    <t>Arm combination used for analysis</t>
  </si>
  <si>
    <t>Average arms</t>
  </si>
  <si>
    <t>PMTG_OPER</t>
  </si>
  <si>
    <t>PMTL_LNO</t>
  </si>
  <si>
    <t>Unload/reload loop number</t>
  </si>
  <si>
    <t>PMTL_GAA</t>
  </si>
  <si>
    <t>Unload/reload shear modulus, average</t>
  </si>
  <si>
    <t>139</t>
  </si>
  <si>
    <t>PMTL_SINC</t>
  </si>
  <si>
    <t>Mean strain</t>
  </si>
  <si>
    <t>3.48</t>
  </si>
  <si>
    <t>PMTL_PINC</t>
  </si>
  <si>
    <t>Mean pressure</t>
  </si>
  <si>
    <t>1586</t>
  </si>
  <si>
    <t>PMTL_STRA</t>
  </si>
  <si>
    <t>Strain range or amplitude</t>
  </si>
  <si>
    <t>0.105</t>
  </si>
  <si>
    <t>PMTL_PRSA</t>
  </si>
  <si>
    <t>Pressure range or amplitude</t>
  </si>
  <si>
    <t>284</t>
  </si>
  <si>
    <t>PMTL_NLSA</t>
  </si>
  <si>
    <t>Shear stress coefficient (from Bolton and Whittle, 1999)</t>
  </si>
  <si>
    <t>2.921</t>
  </si>
  <si>
    <t>PMTL_NLSB</t>
  </si>
  <si>
    <t>Linearity exponent (from Bolton and Whittle, 1999)</t>
  </si>
  <si>
    <t>0.538</t>
  </si>
  <si>
    <t>PMTL_REM</t>
  </si>
  <si>
    <t>PMTL_AXIS</t>
  </si>
  <si>
    <t>Odd arms</t>
  </si>
  <si>
    <t>PREM_DTIM</t>
  </si>
  <si>
    <t>Date and time of remark or start of event</t>
  </si>
  <si>
    <t>2001-05-16T12:00</t>
  </si>
  <si>
    <t>PREM_COMP</t>
  </si>
  <si>
    <t>Component or sub-activity</t>
  </si>
  <si>
    <t>Slab G12</t>
  </si>
  <si>
    <t>PREM_REM</t>
  </si>
  <si>
    <t>Time related remark</t>
  </si>
  <si>
    <t>Completion of concrete pour</t>
  </si>
  <si>
    <t>PREM_DURN</t>
  </si>
  <si>
    <t>Duration of event or activity</t>
  </si>
  <si>
    <t>01:25:00</t>
  </si>
  <si>
    <t>PREM_ETIM</t>
  </si>
  <si>
    <t>Date and time of end of event</t>
  </si>
  <si>
    <t>2001-05-16T16:00</t>
  </si>
  <si>
    <t>Associated file reference (e.g. site journal records)</t>
  </si>
  <si>
    <t>PROJ_ID</t>
  </si>
  <si>
    <t>Project identifier</t>
  </si>
  <si>
    <t>PROJ_NAME</t>
  </si>
  <si>
    <t>Project title</t>
  </si>
  <si>
    <t>ACME Gas Works Redevelopment</t>
  </si>
  <si>
    <t>PROJ_LOC</t>
  </si>
  <si>
    <t>Location of site</t>
  </si>
  <si>
    <t>High Street, Anytown</t>
  </si>
  <si>
    <t>PROJ_CLNT</t>
  </si>
  <si>
    <t>Client name</t>
  </si>
  <si>
    <t>ACME Enterprises</t>
  </si>
  <si>
    <t>PROJ_CONT</t>
  </si>
  <si>
    <t>Contractors name</t>
  </si>
  <si>
    <t>PROJ_ENG</t>
  </si>
  <si>
    <t>Project Engineer</t>
  </si>
  <si>
    <t>PROJ_MEMO</t>
  </si>
  <si>
    <t>General project comments</t>
  </si>
  <si>
    <t>Associated file reference (e.g. project specification, site location drawings)</t>
  </si>
  <si>
    <t>PTIM_DTIM</t>
  </si>
  <si>
    <t>Date and time of progress reading</t>
  </si>
  <si>
    <t xml:space="preserve">1991-03-01T14:35 </t>
  </si>
  <si>
    <t>PTIM_DPTH</t>
  </si>
  <si>
    <t>Hole depth</t>
  </si>
  <si>
    <t>22.13</t>
  </si>
  <si>
    <t>PTIM_CAS</t>
  </si>
  <si>
    <t>Depth of casing</t>
  </si>
  <si>
    <t>20.50</t>
  </si>
  <si>
    <t>PTIM_WAT</t>
  </si>
  <si>
    <t>16.56 or Dry</t>
  </si>
  <si>
    <t>PTIM_REM</t>
  </si>
  <si>
    <t>Stopped drilling on client's instruction</t>
  </si>
  <si>
    <t>PTST_TESN</t>
  </si>
  <si>
    <t>PTST_COND</t>
  </si>
  <si>
    <t>PTST_SZUN</t>
  </si>
  <si>
    <t>Size cut off of material too coarse for testing</t>
  </si>
  <si>
    <t>PTST_UNS</t>
  </si>
  <si>
    <t>Proportion of material removed above PTST</t>
  </si>
  <si>
    <t>36</t>
  </si>
  <si>
    <t>PTST_DIAM</t>
  </si>
  <si>
    <t>102.52</t>
  </si>
  <si>
    <t>PTST_LEN</t>
  </si>
  <si>
    <t>200.22</t>
  </si>
  <si>
    <t>PTST_MC</t>
  </si>
  <si>
    <t>PTST_BDEN</t>
  </si>
  <si>
    <t>Initial bulk density of test specimen</t>
  </si>
  <si>
    <t>2.24</t>
  </si>
  <si>
    <t>PTST_DDEN</t>
  </si>
  <si>
    <t>1.87</t>
  </si>
  <si>
    <t>PTST_IDIA</t>
  </si>
  <si>
    <t>Diameter of drain for radial permeability in hydraulic cell</t>
  </si>
  <si>
    <t>3.75</t>
  </si>
  <si>
    <t>PTST_DMET</t>
  </si>
  <si>
    <t>Method of forming central drain</t>
  </si>
  <si>
    <t>Bored using mandrel and filled with saturated sand</t>
  </si>
  <si>
    <t>PTST_VOID</t>
  </si>
  <si>
    <t xml:space="preserve">Initial voids ratio </t>
  </si>
  <si>
    <t>0.375</t>
  </si>
  <si>
    <t>PTST_K</t>
  </si>
  <si>
    <t>Coefficient of permeability</t>
  </si>
  <si>
    <t>4.1E-6</t>
  </si>
  <si>
    <t>PTST_TSTR</t>
  </si>
  <si>
    <t>Mean effective stress at which permeability measured (when measured in triaxial or hydraulic cell).</t>
  </si>
  <si>
    <t>112</t>
  </si>
  <si>
    <t>PTST_HYGR</t>
  </si>
  <si>
    <t>Hydraulic gradient at which permeability measured (for constant head test).</t>
  </si>
  <si>
    <t>PTST_ISAT</t>
  </si>
  <si>
    <t>72</t>
  </si>
  <si>
    <t>PTST_SAT</t>
  </si>
  <si>
    <t>Details of saturation, where appropriate</t>
  </si>
  <si>
    <t>Back pressure, Bf = 0.96</t>
  </si>
  <si>
    <t>PTST_CONS</t>
  </si>
  <si>
    <t>Details of consolidation, where appropriate</t>
  </si>
  <si>
    <t>Drainage to top with pwp at base</t>
  </si>
  <si>
    <t>PTST_PDEN</t>
  </si>
  <si>
    <t>PTST_TYPE</t>
  </si>
  <si>
    <t>Type of permeability measurement</t>
  </si>
  <si>
    <t>Falling head</t>
  </si>
  <si>
    <t>PTST_CELL</t>
  </si>
  <si>
    <t>Type of permeameter</t>
  </si>
  <si>
    <t>TRIAXIAL CELL</t>
  </si>
  <si>
    <t>PTST_REM</t>
  </si>
  <si>
    <t>PTST_METH</t>
  </si>
  <si>
    <t>BS1377 Part 5</t>
  </si>
  <si>
    <t>PTST_LAB</t>
  </si>
  <si>
    <t>PTST_CRED</t>
  </si>
  <si>
    <t>PTST_DEV</t>
  </si>
  <si>
    <t>PTST_WCIS</t>
  </si>
  <si>
    <t>Initial water content source</t>
  </si>
  <si>
    <t>PTST_WCF</t>
  </si>
  <si>
    <t>Final water content of test specimen</t>
  </si>
  <si>
    <t>20.2</t>
  </si>
  <si>
    <t>PTST_FSAT</t>
  </si>
  <si>
    <t>Final degree of saturation, if determined</t>
  </si>
  <si>
    <t>PTST_TEMP</t>
  </si>
  <si>
    <t>Average laboratory temperature at which the test was performed</t>
  </si>
  <si>
    <t>PTST_SOUR</t>
  </si>
  <si>
    <t>Source/type of permeant</t>
  </si>
  <si>
    <t>Tap water</t>
  </si>
  <si>
    <t>New 4.1, Edited  description 4. AU 1.0</t>
  </si>
  <si>
    <t>4.1, Edited 4. AU 1.0</t>
  </si>
  <si>
    <t>PTST_BACK</t>
  </si>
  <si>
    <t>Back pressure</t>
  </si>
  <si>
    <t>PTST_BVAL</t>
  </si>
  <si>
    <t>B-value, if used</t>
  </si>
  <si>
    <t>0.98</t>
  </si>
  <si>
    <t>PTST_LOSS</t>
  </si>
  <si>
    <t>Equipment head loss corrections applied to the measurements, if any, and the associated flow rates</t>
  </si>
  <si>
    <t>PTST_LMR</t>
  </si>
  <si>
    <t>Lab moisture ratio, LMR</t>
  </si>
  <si>
    <t>PTST_LDR</t>
  </si>
  <si>
    <t>PTST_TCMP</t>
  </si>
  <si>
    <t>Test method compaction</t>
  </si>
  <si>
    <t>Method</t>
  </si>
  <si>
    <t>PTST_SURM</t>
  </si>
  <si>
    <t>Surcharge mass applied to specimen</t>
  </si>
  <si>
    <t>PTST_DATE</t>
  </si>
  <si>
    <t>PTST_PBY</t>
  </si>
  <si>
    <t>PTST_TBY</t>
  </si>
  <si>
    <t>PUMG_TEST</t>
  </si>
  <si>
    <t>1991-03-16#1</t>
  </si>
  <si>
    <t>PUMG_CONT</t>
  </si>
  <si>
    <t>Contractor</t>
  </si>
  <si>
    <t>PUMP Ltd</t>
  </si>
  <si>
    <t>PUMG_METH</t>
  </si>
  <si>
    <t>Method of testing</t>
  </si>
  <si>
    <t>BS 6316</t>
  </si>
  <si>
    <t>PUMG_CRED</t>
  </si>
  <si>
    <t>PUMG_ENV</t>
  </si>
  <si>
    <t>PUMG_REM</t>
  </si>
  <si>
    <t>Double packer</t>
  </si>
  <si>
    <t>PUMG_OPER</t>
  </si>
  <si>
    <t>PUMT_DTIM</t>
  </si>
  <si>
    <t>1991-03-16T13:25</t>
  </si>
  <si>
    <t>PUMT_DPTH</t>
  </si>
  <si>
    <t>Depth to water below ground</t>
  </si>
  <si>
    <t>PUMT_QUAT</t>
  </si>
  <si>
    <t>Pumping rate from hole</t>
  </si>
  <si>
    <t>0.8</t>
  </si>
  <si>
    <t>PUMT_REM</t>
  </si>
  <si>
    <t>FS29</t>
  </si>
  <si>
    <t>upto here</t>
  </si>
  <si>
    <t>C</t>
  </si>
  <si>
    <t>Weak brown fine grained SANDSTONE</t>
  </si>
  <si>
    <t>RCAG_DEV</t>
  </si>
  <si>
    <t>RCAG_DATE</t>
  </si>
  <si>
    <t>2020-01-06</t>
  </si>
  <si>
    <t>RCAG_COND</t>
  </si>
  <si>
    <t>Condition of specimen as tested (saturated, as received, air dried, oven dried, etc)</t>
  </si>
  <si>
    <t>Air dried</t>
  </si>
  <si>
    <t>RCAG_GSIZ</t>
  </si>
  <si>
    <t>Maximum grain size</t>
  </si>
  <si>
    <t>0.06</t>
  </si>
  <si>
    <t>RCAG_ANIS</t>
  </si>
  <si>
    <t>Planes of weakness or anisotropy present (bedding, schistosity, etc)</t>
  </si>
  <si>
    <t>Thinly laminated</t>
  </si>
  <si>
    <t>RCAG_MACH</t>
  </si>
  <si>
    <t xml:space="preserve">Type of apparatus </t>
  </si>
  <si>
    <t>Type 1 ACME Model 12345</t>
  </si>
  <si>
    <t>RCAG_MMTD</t>
  </si>
  <si>
    <t>Measurement method (side view, top view, optical, digital)</t>
  </si>
  <si>
    <t>Side view, optical</t>
  </si>
  <si>
    <t>RCAG_CAIM</t>
  </si>
  <si>
    <t>CAI mean value</t>
  </si>
  <si>
    <t>RCAG_CAIS</t>
  </si>
  <si>
    <t>CAI standard deviation</t>
  </si>
  <si>
    <t>0.11</t>
  </si>
  <si>
    <t>RCAG_ABCL</t>
  </si>
  <si>
    <t>Abrasiveness classification</t>
  </si>
  <si>
    <t>RCAG_REM</t>
  </si>
  <si>
    <t>45° relative to axis, Tests carried out at prevailing surface unless annotated otherwise.</t>
  </si>
  <si>
    <t>RCAG_METH</t>
  </si>
  <si>
    <t>ISRM: Suggested Method for  Determining the Abrasivity of Rock by the CERCHAR Abrasivity Test</t>
  </si>
  <si>
    <t>RCAG_LAB</t>
  </si>
  <si>
    <t>RCAG_CRED</t>
  </si>
  <si>
    <t>RCAG_PBY</t>
  </si>
  <si>
    <t>RCAG_TBY</t>
  </si>
  <si>
    <t>RCAG_STYH</t>
  </si>
  <si>
    <t>Rockwell hardness HRC of stylus</t>
  </si>
  <si>
    <t>RCAT_TESN</t>
  </si>
  <si>
    <t>Measurement number</t>
  </si>
  <si>
    <t>RCAT_CUT</t>
  </si>
  <si>
    <t>Surface condition (rough, saw-cut)</t>
  </si>
  <si>
    <t>Fresh saw-cut</t>
  </si>
  <si>
    <t>RCAT_SDIR</t>
  </si>
  <si>
    <t>Direction of scratching with respect to planes of weakness or anisotropy</t>
  </si>
  <si>
    <t>Normal</t>
  </si>
  <si>
    <t>RCAT_STYH</t>
  </si>
  <si>
    <t>RCAT_STYC</t>
  </si>
  <si>
    <t>Stylus condition (new or re-sharpened)</t>
  </si>
  <si>
    <t>Re-sharpened</t>
  </si>
  <si>
    <t>RCAT_CAI</t>
  </si>
  <si>
    <t>As measured CAI value</t>
  </si>
  <si>
    <t>2.4</t>
  </si>
  <si>
    <t>RCAT_CAIS</t>
  </si>
  <si>
    <t>Equivalent CAI value at standard stylus hardness HRC 55</t>
  </si>
  <si>
    <t>3.1</t>
  </si>
  <si>
    <t>RCAT_REM</t>
  </si>
  <si>
    <t>CHER23</t>
  </si>
  <si>
    <t>RCCV_TESN</t>
  </si>
  <si>
    <t>White chalk</t>
  </si>
  <si>
    <t>RCCV_MC</t>
  </si>
  <si>
    <t>Water content of specimen tested</t>
  </si>
  <si>
    <t>RCCV_CCV</t>
  </si>
  <si>
    <t>Chalk crushing value</t>
  </si>
  <si>
    <t>RCCV_100</t>
  </si>
  <si>
    <t>Percentage larger than 10mm in original sample</t>
  </si>
  <si>
    <t>85</t>
  </si>
  <si>
    <t>RCCV_REM</t>
  </si>
  <si>
    <t>RCCV_METH</t>
  </si>
  <si>
    <t>BS 1377 Part 4 Cl 6</t>
  </si>
  <si>
    <t>RCCV_LAB</t>
  </si>
  <si>
    <t>RCCV_CRED</t>
  </si>
  <si>
    <t>RCCV_DEV</t>
  </si>
  <si>
    <t>RCCV_DATE</t>
  </si>
  <si>
    <t>Even though we will never use this table</t>
  </si>
  <si>
    <t>RCCV_PBY</t>
  </si>
  <si>
    <t>RCCV_TBY</t>
  </si>
  <si>
    <t>RCKA_TOP</t>
  </si>
  <si>
    <t>Top</t>
  </si>
  <si>
    <t>RCKA_BASE</t>
  </si>
  <si>
    <t>2.56</t>
  </si>
  <si>
    <t>RCKA_ALTN</t>
  </si>
  <si>
    <t>Rock Alteration minimum, if you have one value use this</t>
  </si>
  <si>
    <t>HA</t>
  </si>
  <si>
    <t>RCKA_ALT</t>
  </si>
  <si>
    <t>RCKA_CONJ</t>
  </si>
  <si>
    <t>Conjunction</t>
  </si>
  <si>
    <t>RCKA_ALTX</t>
  </si>
  <si>
    <t>Rock Alteration maximum, if different from minimum</t>
  </si>
  <si>
    <t>SA</t>
  </si>
  <si>
    <t>RCKS_TOP</t>
  </si>
  <si>
    <t>RCKS_BASE</t>
  </si>
  <si>
    <t>RCKS_STRN</t>
  </si>
  <si>
    <t>Rock strength minimum, if you have one value use this</t>
  </si>
  <si>
    <t>L</t>
  </si>
  <si>
    <t>RCKS_STR</t>
  </si>
  <si>
    <t>RCKS_CONJ</t>
  </si>
  <si>
    <t>RCKS_STRX</t>
  </si>
  <si>
    <t>Rock strength maximum, if different from minimum</t>
  </si>
  <si>
    <t>M</t>
  </si>
  <si>
    <t>RDEN_MC</t>
  </si>
  <si>
    <t>RDEN_SMC</t>
  </si>
  <si>
    <t>Saturated water content</t>
  </si>
  <si>
    <t>RDEN_BDEN</t>
  </si>
  <si>
    <t>2260</t>
  </si>
  <si>
    <t>RDEN_DDEN</t>
  </si>
  <si>
    <t>2210</t>
  </si>
  <si>
    <t>RDEN_PORO</t>
  </si>
  <si>
    <t>Porosity</t>
  </si>
  <si>
    <t>17.3</t>
  </si>
  <si>
    <t>RDEN_PDEN</t>
  </si>
  <si>
    <t>Apparent particle density</t>
  </si>
  <si>
    <t>2750</t>
  </si>
  <si>
    <t>RDEN_TEMP</t>
  </si>
  <si>
    <t>RDEN_REM</t>
  </si>
  <si>
    <t>Average of three reported</t>
  </si>
  <si>
    <t>RDEN_METH</t>
  </si>
  <si>
    <t>ISRM: Suggested method for determining porosity/density using saturation and calliper technique.</t>
  </si>
  <si>
    <t>RDEN_LAB</t>
  </si>
  <si>
    <t>RDEN_CRED</t>
  </si>
  <si>
    <t>RDEN_IDEN</t>
  </si>
  <si>
    <t>Intact dry density</t>
  </si>
  <si>
    <t>1.78</t>
  </si>
  <si>
    <t>RDEN_DEV</t>
  </si>
  <si>
    <t>RDEN_DATE</t>
  </si>
  <si>
    <t>RDEN_PBY</t>
  </si>
  <si>
    <t>RDEN_TBY</t>
  </si>
  <si>
    <t>RDGD_PBY</t>
  </si>
  <si>
    <t>RDGD_VGWN</t>
  </si>
  <si>
    <t>Goodrich Wear Number - Value</t>
  </si>
  <si>
    <t>10.6</t>
  </si>
  <si>
    <t>RDGD_VGDN</t>
  </si>
  <si>
    <t>Goodrich Drillabilty Number - Value</t>
  </si>
  <si>
    <t>343</t>
  </si>
  <si>
    <t>RDGD_VDWN</t>
  </si>
  <si>
    <t>Goodrich Drillabilty / Wear Number - Value</t>
  </si>
  <si>
    <t>32.3</t>
  </si>
  <si>
    <t>RDGD_CGW</t>
  </si>
  <si>
    <t>Classification - Goodrich Wear</t>
  </si>
  <si>
    <t>Medium</t>
  </si>
  <si>
    <t>RDGD_CGDR</t>
  </si>
  <si>
    <t>Classification - Goodrich Drillability</t>
  </si>
  <si>
    <t>High</t>
  </si>
  <si>
    <t>RDGD_CDWN</t>
  </si>
  <si>
    <t>Classification - Goodrich Drillabilty / Number</t>
  </si>
  <si>
    <t>RDGD_UGWN</t>
  </si>
  <si>
    <t>Uncertainty - Goodrich Wear Number</t>
  </si>
  <si>
    <t>0.3</t>
  </si>
  <si>
    <t>RDGD_UGDN</t>
  </si>
  <si>
    <t>Uncertainty - Goodrich Drillability Number</t>
  </si>
  <si>
    <t>RDGD_UDWN</t>
  </si>
  <si>
    <t>Uncertainty - Goodrich Drillability / Wear Number</t>
  </si>
  <si>
    <t>1.3</t>
  </si>
  <si>
    <t>RDGD_RGWN</t>
  </si>
  <si>
    <t>Goodrich Wear Number - Reported</t>
  </si>
  <si>
    <t>10.6±0.3</t>
  </si>
  <si>
    <t>RDGD_RGDN</t>
  </si>
  <si>
    <t>Goodrich Drillabilty Number - Reported</t>
  </si>
  <si>
    <t>343±7</t>
  </si>
  <si>
    <t>RDGD_RDWN</t>
  </si>
  <si>
    <t>Goodrich Drillabilty / Wear Number - Reported</t>
  </si>
  <si>
    <t>32.3±1.3</t>
  </si>
  <si>
    <t>RDGD_REM</t>
  </si>
  <si>
    <t>Specimen crumbled at test sites</t>
  </si>
  <si>
    <t>RDGD_METH</t>
  </si>
  <si>
    <t>In-house method</t>
  </si>
  <si>
    <t>RDGD_DEV</t>
  </si>
  <si>
    <t>RDGD_TBY</t>
  </si>
  <si>
    <t>RDGD_DATE</t>
  </si>
  <si>
    <t>RDGD_LAB</t>
  </si>
  <si>
    <t>RDGD_CRED</t>
  </si>
  <si>
    <t>RDSJ_PBY</t>
  </si>
  <si>
    <t>RDSJ_SJC</t>
  </si>
  <si>
    <t>Classification - Sievers J</t>
  </si>
  <si>
    <t>RDSJ_SJU</t>
  </si>
  <si>
    <t>Uncertainity - Sievers J</t>
  </si>
  <si>
    <t>RDSJ_SJV</t>
  </si>
  <si>
    <t>Sievers J - Value</t>
  </si>
  <si>
    <t>RDSJ_SWN</t>
  </si>
  <si>
    <t>Siever's Wear Number - Value</t>
  </si>
  <si>
    <t>9.7</t>
  </si>
  <si>
    <t>RDSJ_VOWN</t>
  </si>
  <si>
    <t>Siever's J Value / Siever's Wear Number</t>
  </si>
  <si>
    <t>RDSJ_REM</t>
  </si>
  <si>
    <t>Shaking of bit due to alternating mineral composition</t>
  </si>
  <si>
    <t>RDSJ_METH</t>
  </si>
  <si>
    <t>RDSJ_DEV</t>
  </si>
  <si>
    <t>RDSJ_TBY</t>
  </si>
  <si>
    <t>RDSJ_DATE</t>
  </si>
  <si>
    <t>RDSJ_LAB</t>
  </si>
  <si>
    <t>RDSJ_CRED</t>
  </si>
  <si>
    <t>RELD_DMAX</t>
  </si>
  <si>
    <t>RELD_375</t>
  </si>
  <si>
    <t>Weight percent of sample retained on 37.5mm sieve</t>
  </si>
  <si>
    <t>RELD_063</t>
  </si>
  <si>
    <t>Weight percent of sample retained on 6.3mm sieve</t>
  </si>
  <si>
    <t>RELD_020</t>
  </si>
  <si>
    <t>Weight percent of sample retained on 2mm sieve</t>
  </si>
  <si>
    <t>RELD_DMIN</t>
  </si>
  <si>
    <t>Minimum dry density</t>
  </si>
  <si>
    <t>1.65</t>
  </si>
  <si>
    <t>RELD_REM</t>
  </si>
  <si>
    <t>Material &gt;37.5 replaced with smaller material</t>
  </si>
  <si>
    <t>RELD_METH</t>
  </si>
  <si>
    <t>BS1377 part 4: 4.2 and 4.4</t>
  </si>
  <si>
    <t>RELD_LAB</t>
  </si>
  <si>
    <t>RELD_CRED</t>
  </si>
  <si>
    <t>RELD_DEV</t>
  </si>
  <si>
    <t>RELD_VOLM</t>
  </si>
  <si>
    <t>Volume of mould</t>
  </si>
  <si>
    <t>2803.0</t>
  </si>
  <si>
    <t>RELD_DATE</t>
  </si>
  <si>
    <t>RELD_PBY</t>
  </si>
  <si>
    <t>RELD_TBY</t>
  </si>
  <si>
    <t>BH01</t>
  </si>
  <si>
    <t>10.12</t>
  </si>
  <si>
    <t>10WaxA</t>
  </si>
  <si>
    <t>12345</t>
  </si>
  <si>
    <t>DSS01</t>
  </si>
  <si>
    <t>RESC_TESN</t>
  </si>
  <si>
    <t>RESC_SDIA</t>
  </si>
  <si>
    <t>22.15</t>
  </si>
  <si>
    <t>RESC_HIGH</t>
  </si>
  <si>
    <t>25.15</t>
  </si>
  <si>
    <t>RESC_CTYP</t>
  </si>
  <si>
    <t>RESC_ELAP</t>
  </si>
  <si>
    <t>Duration of stage</t>
  </si>
  <si>
    <t>09:15:30</t>
  </si>
  <si>
    <t>RESC_CHGT</t>
  </si>
  <si>
    <t>Specimen height at end of test/stage</t>
  </si>
  <si>
    <t>21.32</t>
  </si>
  <si>
    <t>RESC_CDIA</t>
  </si>
  <si>
    <t>Specimen diameter at end of test/stage</t>
  </si>
  <si>
    <t>21.98</t>
  </si>
  <si>
    <t>RESC_CMC</t>
  </si>
  <si>
    <t>Water content at end of test/stage</t>
  </si>
  <si>
    <t>RESC_CDDN</t>
  </si>
  <si>
    <t>Dry density at end of test/stage</t>
  </si>
  <si>
    <t>1.61</t>
  </si>
  <si>
    <t>RESC_CRD</t>
  </si>
  <si>
    <t>Relative density at end of test/stage</t>
  </si>
  <si>
    <t>RESC_INCE</t>
  </si>
  <si>
    <t>Voids ratio at end of test/stage</t>
  </si>
  <si>
    <t>RESC_EASC</t>
  </si>
  <si>
    <t>Effective axial stress during consolidation at end of test/stage</t>
  </si>
  <si>
    <t>200.5</t>
  </si>
  <si>
    <t>RESC_ERSC</t>
  </si>
  <si>
    <t>Effective radial stress during consolidation at end of test/stage</t>
  </si>
  <si>
    <t>100.4</t>
  </si>
  <si>
    <t>RESC_DEVS</t>
  </si>
  <si>
    <t>Deviatoric stress at end of test/stage</t>
  </si>
  <si>
    <t>RESC_SHRS</t>
  </si>
  <si>
    <t>Shear stress at end of test/stage</t>
  </si>
  <si>
    <t>25.3</t>
  </si>
  <si>
    <t>RESC_MNES</t>
  </si>
  <si>
    <t>Mean effective stress at end of test/stage</t>
  </si>
  <si>
    <t>16.5</t>
  </si>
  <si>
    <t>RESC_AXSN</t>
  </si>
  <si>
    <t>Axial strain at end of test/stage</t>
  </si>
  <si>
    <t>1.456</t>
  </si>
  <si>
    <t>RESC_VLSN</t>
  </si>
  <si>
    <t>Volumetric strain from measured volume change at end of test/stage</t>
  </si>
  <si>
    <t>1.812</t>
  </si>
  <si>
    <t>RESC_RDSN</t>
  </si>
  <si>
    <t>Radial strain from measured volume change</t>
  </si>
  <si>
    <t>0.184</t>
  </si>
  <si>
    <t>RESC_BESE</t>
  </si>
  <si>
    <t>RESC_BEAX</t>
  </si>
  <si>
    <t>Shv</t>
  </si>
  <si>
    <t>RESC_DBTE</t>
  </si>
  <si>
    <t>196.16</t>
  </si>
  <si>
    <t>RESC_MAT</t>
  </si>
  <si>
    <t>0.4941</t>
  </si>
  <si>
    <t>RESC_MATM</t>
  </si>
  <si>
    <t>RESC_SWV</t>
  </si>
  <si>
    <t>RESC_SMGM</t>
  </si>
  <si>
    <t>Shear modulus Gmax from bender elements</t>
  </si>
  <si>
    <t>RESC_REM</t>
  </si>
  <si>
    <t>RESD_TESN</t>
  </si>
  <si>
    <t>RESD_MNUM</t>
  </si>
  <si>
    <t>Measurement Number</t>
  </si>
  <si>
    <t>RESD_CNDS</t>
  </si>
  <si>
    <t>Test Conditions</t>
  </si>
  <si>
    <t>RESD_SDIA</t>
  </si>
  <si>
    <t>Specimen Diameter</t>
  </si>
  <si>
    <t>RESD_HIGH</t>
  </si>
  <si>
    <t>Specimen Height</t>
  </si>
  <si>
    <t>44.32</t>
  </si>
  <si>
    <t>RESD_CELL</t>
  </si>
  <si>
    <t>Cell Pressure</t>
  </si>
  <si>
    <t>RESD_BP</t>
  </si>
  <si>
    <t>779.4</t>
  </si>
  <si>
    <t>RESD_AXL</t>
  </si>
  <si>
    <t>Axial Stress</t>
  </si>
  <si>
    <t>523.2</t>
  </si>
  <si>
    <t>RESD_BPWP</t>
  </si>
  <si>
    <t>Base Pore Water Pressure</t>
  </si>
  <si>
    <t>692.3</t>
  </si>
  <si>
    <t>RESD_MPWP</t>
  </si>
  <si>
    <t>Mid-height Pore Water Pressure</t>
  </si>
  <si>
    <t>692.2</t>
  </si>
  <si>
    <t>RESD_PPR</t>
  </si>
  <si>
    <t>Pore Pressure Ratio</t>
  </si>
  <si>
    <t>0.07</t>
  </si>
  <si>
    <t>RESD_PWPM</t>
  </si>
  <si>
    <t>Maximum Excess Pore Water Pressure</t>
  </si>
  <si>
    <t>RESD_EAS</t>
  </si>
  <si>
    <t>External Axial Strain</t>
  </si>
  <si>
    <t>RESD_VOL</t>
  </si>
  <si>
    <t>Volumetric Strain</t>
  </si>
  <si>
    <t>RESD_DEV</t>
  </si>
  <si>
    <t>Principal Stress Difference</t>
  </si>
  <si>
    <t>150.2</t>
  </si>
  <si>
    <t>RESD_MEES</t>
  </si>
  <si>
    <t>Mean Effective Stress</t>
  </si>
  <si>
    <t>510.3</t>
  </si>
  <si>
    <t>RESD_MIPS</t>
  </si>
  <si>
    <t>Minor Principal Stress (sigma 3)</t>
  </si>
  <si>
    <t>560.4</t>
  </si>
  <si>
    <t>RESD_MAPS</t>
  </si>
  <si>
    <t>Major Principal Stress (sigma 1)</t>
  </si>
  <si>
    <t>720.5</t>
  </si>
  <si>
    <t>RESD_AVSS</t>
  </si>
  <si>
    <t>Average Shear Strain</t>
  </si>
  <si>
    <t>5.234</t>
  </si>
  <si>
    <t>RESD_SM</t>
  </si>
  <si>
    <t>Shear Modulus</t>
  </si>
  <si>
    <t>56.23</t>
  </si>
  <si>
    <t>RESD_DMP</t>
  </si>
  <si>
    <t>Damping</t>
  </si>
  <si>
    <t>10.56</t>
  </si>
  <si>
    <t>RESD_REM</t>
  </si>
  <si>
    <t>RESG_COND</t>
  </si>
  <si>
    <t>RESG_CONS</t>
  </si>
  <si>
    <t>Specific condition statements</t>
  </si>
  <si>
    <t>At natural moisture content</t>
  </si>
  <si>
    <t>RESG_DRAG</t>
  </si>
  <si>
    <t>Type of Drainage</t>
  </si>
  <si>
    <t>One end only</t>
  </si>
  <si>
    <t>RESG_ORNT</t>
  </si>
  <si>
    <t>Orientation of Specimen</t>
  </si>
  <si>
    <t>Vertical</t>
  </si>
  <si>
    <t>requires more PA items</t>
  </si>
  <si>
    <t>RESG_SDIA</t>
  </si>
  <si>
    <t>RESG_HIGT</t>
  </si>
  <si>
    <t>Initial specimen Height</t>
  </si>
  <si>
    <t>RESG_MCI</t>
  </si>
  <si>
    <t>Initial Water/moisture Content</t>
  </si>
  <si>
    <t>RESG_MCF</t>
  </si>
  <si>
    <t>Final Water/moisture Content</t>
  </si>
  <si>
    <t>RESG_BDEN</t>
  </si>
  <si>
    <t>Initial Bulk Density</t>
  </si>
  <si>
    <t>RESG_DDEN</t>
  </si>
  <si>
    <t>Initial Dry Density</t>
  </si>
  <si>
    <t>RESG_MIDD</t>
  </si>
  <si>
    <t>Minimum dry density for sand</t>
  </si>
  <si>
    <t>RESG_MADD</t>
  </si>
  <si>
    <t>Maximum dry density for sand</t>
  </si>
  <si>
    <t>RESG_IRDI</t>
  </si>
  <si>
    <t>Initial relative density index</t>
  </si>
  <si>
    <t>RESG_IVR</t>
  </si>
  <si>
    <t>Initial void ratio</t>
  </si>
  <si>
    <t>RESG_ISAT</t>
  </si>
  <si>
    <t>RESG_PDEN</t>
  </si>
  <si>
    <t>RESG_DAMP</t>
  </si>
  <si>
    <t>Damping measurement method</t>
  </si>
  <si>
    <t>Steady  state/ free vibration</t>
  </si>
  <si>
    <t>RESG_DEV</t>
  </si>
  <si>
    <t>RESG_REM</t>
  </si>
  <si>
    <t>RESG_METH</t>
  </si>
  <si>
    <t>Test method  </t>
  </si>
  <si>
    <t>ASTM D4015-07</t>
  </si>
  <si>
    <t>RESG_LAB</t>
  </si>
  <si>
    <t>RESG_CRED</t>
  </si>
  <si>
    <t>Accrediting body and reference number ({when appropriate)</t>
  </si>
  <si>
    <t>Draft</t>
  </si>
  <si>
    <t>RESG_DATE</t>
  </si>
  <si>
    <t>RESG_PBY</t>
  </si>
  <si>
    <t>RESG_TBY</t>
  </si>
  <si>
    <t>RESP_CTYP</t>
  </si>
  <si>
    <t>Type of Consolidation</t>
  </si>
  <si>
    <t>Isotropic</t>
  </si>
  <si>
    <t>RESP_CSTG</t>
  </si>
  <si>
    <t>Consolidation Stage</t>
  </si>
  <si>
    <t>RESP_CELL</t>
  </si>
  <si>
    <t>Isotropic/Anisotropic Consolidation Cell Pressure</t>
  </si>
  <si>
    <t>RESP_BACK</t>
  </si>
  <si>
    <t>Isotropic/Anisotropic Consolidation Back Pressure</t>
  </si>
  <si>
    <t>RESP_ERSC</t>
  </si>
  <si>
    <t>Effective Radial Stress During Consolidation</t>
  </si>
  <si>
    <t>RESP_EASC</t>
  </si>
  <si>
    <t>Effective Axial Stress During Consolidation</t>
  </si>
  <si>
    <t>RESP_DEV</t>
  </si>
  <si>
    <t>Deviator Stress at End of Isotropic/Anisotropic Consolidation</t>
  </si>
  <si>
    <t>RESP_VOLS</t>
  </si>
  <si>
    <t>Change to Volumetric Strain During Isotropic/Anisotropic Consolidation</t>
  </si>
  <si>
    <t>RESP_STRN</t>
  </si>
  <si>
    <t>Axial Strain After Isotropic/Anisotropic Consolidation</t>
  </si>
  <si>
    <t>RESP_SMOD</t>
  </si>
  <si>
    <t>Shear Modulus G0</t>
  </si>
  <si>
    <t>RESP_SSTR</t>
  </si>
  <si>
    <t>RESP_DAMP</t>
  </si>
  <si>
    <t>Damping Ratio</t>
  </si>
  <si>
    <t>RESP_SMRA</t>
  </si>
  <si>
    <t>Normalised Shear Modulus by Maximum Shear Modulus</t>
  </si>
  <si>
    <t>RESP_SR</t>
  </si>
  <si>
    <t>Slippage Ratio</t>
  </si>
  <si>
    <t>RESP_REM</t>
  </si>
  <si>
    <t>RESS_TESN</t>
  </si>
  <si>
    <t>RESS_INC</t>
  </si>
  <si>
    <t>Pressure increment</t>
  </si>
  <si>
    <t>RESS_DIFF</t>
  </si>
  <si>
    <t>Differential pressure used</t>
  </si>
  <si>
    <t>RESS_CELL</t>
  </si>
  <si>
    <t>RESS_BPWP</t>
  </si>
  <si>
    <t>Final base porewater pressure</t>
  </si>
  <si>
    <t>RESS_STRN</t>
  </si>
  <si>
    <t>Final axial strain</t>
  </si>
  <si>
    <t>RESS_MCF</t>
  </si>
  <si>
    <t>Final water content</t>
  </si>
  <si>
    <t>RESS_BDEN</t>
  </si>
  <si>
    <t>RESS_DDEN</t>
  </si>
  <si>
    <t>Final dry density</t>
  </si>
  <si>
    <t>RESS_FVR</t>
  </si>
  <si>
    <t>RESS_FSAT</t>
  </si>
  <si>
    <t>Final degree of saturation</t>
  </si>
  <si>
    <t>RESS_B</t>
  </si>
  <si>
    <t>Final B value</t>
  </si>
  <si>
    <t>RESS_REM</t>
  </si>
  <si>
    <t>RPLT_PLS</t>
  </si>
  <si>
    <t>2SF from 2DP</t>
  </si>
  <si>
    <t>RPLT_PLSI</t>
  </si>
  <si>
    <t>RPLT_PLTF</t>
  </si>
  <si>
    <t>RPLT_MC</t>
  </si>
  <si>
    <t>Water content of point load test specimen</t>
  </si>
  <si>
    <t>RPLT_REM</t>
  </si>
  <si>
    <t>RPLT_METH</t>
  </si>
  <si>
    <t>RPLT_LAB</t>
  </si>
  <si>
    <t>RPLT_CRED</t>
  </si>
  <si>
    <t>RPLT_DEV</t>
  </si>
  <si>
    <t>RPLT_MCOD</t>
  </si>
  <si>
    <t>RPLT_DATE</t>
  </si>
  <si>
    <t>RPLT_PBY</t>
  </si>
  <si>
    <t>RPLT_TBY</t>
  </si>
  <si>
    <t>RPLT_COR</t>
  </si>
  <si>
    <t>RSCH_SCHV</t>
  </si>
  <si>
    <t>Schmidt hardness value</t>
  </si>
  <si>
    <t>RSCH_AXIS</t>
  </si>
  <si>
    <t>Orientation of the hammer axis in the test from horizontal (positive numbers downwards and negative numbers upward)</t>
  </si>
  <si>
    <t>RSCH_CLAM</t>
  </si>
  <si>
    <t>Method of clamping specimen</t>
  </si>
  <si>
    <t>V-block</t>
  </si>
  <si>
    <t>RSCH_REM</t>
  </si>
  <si>
    <t>RSCH_METH</t>
  </si>
  <si>
    <t>ISRM: Suggested method for determination of Schmidt rebound hardness</t>
  </si>
  <si>
    <t>RSCH_LAB</t>
  </si>
  <si>
    <t>RSCH_CRED</t>
  </si>
  <si>
    <t>RSCH_DEV</t>
  </si>
  <si>
    <t>RSCH_STYP</t>
  </si>
  <si>
    <t>Specimen type</t>
  </si>
  <si>
    <t>RSCH_EXCV</t>
  </si>
  <si>
    <t>Method of excavation or block production</t>
  </si>
  <si>
    <t>BORING</t>
  </si>
  <si>
    <t>RSCH_DIAM</t>
  </si>
  <si>
    <t xml:space="preserve">Specimen diameter </t>
  </si>
  <si>
    <t>86.7</t>
  </si>
  <si>
    <t>RSCH_LEN</t>
  </si>
  <si>
    <t>235.3</t>
  </si>
  <si>
    <t>RSCH_WC</t>
  </si>
  <si>
    <t>Water content of specimen, if measured</t>
  </si>
  <si>
    <t>RSCH_WCTX</t>
  </si>
  <si>
    <t>Description of water content if not measured</t>
  </si>
  <si>
    <t>DRY</t>
  </si>
  <si>
    <t>RSCH_HTYP</t>
  </si>
  <si>
    <t>Hammer type</t>
  </si>
  <si>
    <t>L-TYPE</t>
  </si>
  <si>
    <t>RSCH_ORN</t>
  </si>
  <si>
    <t>Orientation of hammer axis with reference to intact rock anisotropy features (e.g. lamination, foliation, schistosity, lineation)</t>
  </si>
  <si>
    <t>Perpendicular to lamination</t>
  </si>
  <si>
    <t>RSCH_MEAN</t>
  </si>
  <si>
    <t>Schmidt hardness mean (normalized to horizontal impact direction)</t>
  </si>
  <si>
    <t>RSCH_MED</t>
  </si>
  <si>
    <t>Schmidt hardness median (normalized to horizontal impact direction)</t>
  </si>
  <si>
    <t>RSCH_MODE</t>
  </si>
  <si>
    <t>Schmidt hardness mode (normalized to horizontal impact direction)</t>
  </si>
  <si>
    <t>RSCH_RANG</t>
  </si>
  <si>
    <t>Schmidt hardness range (normalized to horizontal impact direction)</t>
  </si>
  <si>
    <t>RSCH_NUM</t>
  </si>
  <si>
    <t>Number of determinations if less than 20 and reason</t>
  </si>
  <si>
    <t xml:space="preserve">12 determinations – 10 consecutive readings differing by less than 4. </t>
  </si>
  <si>
    <t>RSCH_DATE</t>
  </si>
  <si>
    <t>RSCH_PBY</t>
  </si>
  <si>
    <t>RSCH_TBY</t>
  </si>
  <si>
    <t>RSHR_SHOR</t>
  </si>
  <si>
    <t>Average Shore hardness value</t>
  </si>
  <si>
    <t>29.7</t>
  </si>
  <si>
    <t>RSHR_AXIS</t>
  </si>
  <si>
    <t>Orientation of the test surface relative to bedding</t>
  </si>
  <si>
    <t>RSHR_NUM</t>
  </si>
  <si>
    <t>Number of tests conducted</t>
  </si>
  <si>
    <t>RSHR_REM</t>
  </si>
  <si>
    <t>RSHR_METH</t>
  </si>
  <si>
    <t>ISRM: Suggested method for determination of Shore Scleroscope hardness</t>
  </si>
  <si>
    <t>RSHR_LAB</t>
  </si>
  <si>
    <t>RSHR_CRED</t>
  </si>
  <si>
    <t>RSHR_DEV</t>
  </si>
  <si>
    <t>RSHR_DATE</t>
  </si>
  <si>
    <t>RSHR_PBY</t>
  </si>
  <si>
    <t>RSHR_TBY</t>
  </si>
  <si>
    <t>RTBM_PBY</t>
  </si>
  <si>
    <t>RTBM_BWIC</t>
  </si>
  <si>
    <t>Bit Wear Index - Classification</t>
  </si>
  <si>
    <t>Very High</t>
  </si>
  <si>
    <t>RTBM_BWIV</t>
  </si>
  <si>
    <t>Bit Wear Index - Value</t>
  </si>
  <si>
    <t>46</t>
  </si>
  <si>
    <t>RTBM_CLIC</t>
  </si>
  <si>
    <t>Cutter Life Index - Classification</t>
  </si>
  <si>
    <t>RTBM_CLIV</t>
  </si>
  <si>
    <t>Cutter Life Index - Value (CLI)</t>
  </si>
  <si>
    <t>40.7</t>
  </si>
  <si>
    <t>RTBM_DRIC</t>
  </si>
  <si>
    <t>Drilling Rate Index - Classification</t>
  </si>
  <si>
    <t>Extremely High</t>
  </si>
  <si>
    <t>RTBM_DRIV</t>
  </si>
  <si>
    <t>Drilling Rate Index - Value (DRI)</t>
  </si>
  <si>
    <t>101.1</t>
  </si>
  <si>
    <t>RTBM_HBRN</t>
  </si>
  <si>
    <t>Rock Hardness - Brinell</t>
  </si>
  <si>
    <t>RTBM_HMOH</t>
  </si>
  <si>
    <t>Rock Hardness - Mohs</t>
  </si>
  <si>
    <t>4</t>
  </si>
  <si>
    <t>RTBM_HRWA</t>
  </si>
  <si>
    <t>Rock Hardness - Rockwell A</t>
  </si>
  <si>
    <t>RTBM_HRWB</t>
  </si>
  <si>
    <t>Rock Hardness - Rockwell B</t>
  </si>
  <si>
    <t>RTBM_HRWC</t>
  </si>
  <si>
    <t>Rock Hardness - Rockwell C</t>
  </si>
  <si>
    <t>55</t>
  </si>
  <si>
    <t>RTBM_HSHR</t>
  </si>
  <si>
    <t>Rock Hardness - Shore</t>
  </si>
  <si>
    <t>RTBM_HSKL</t>
  </si>
  <si>
    <t>Rock Hardness - Sklerograph</t>
  </si>
  <si>
    <t>RTBM_HVCK</t>
  </si>
  <si>
    <t>Rock Hardness - Vickers</t>
  </si>
  <si>
    <t>RTBM_RIHN</t>
  </si>
  <si>
    <t>Rock Impact Hardness Number</t>
  </si>
  <si>
    <t>RTBM_RTIC</t>
  </si>
  <si>
    <t>Rock Toughness Index - Classification</t>
  </si>
  <si>
    <t>RTBM_RTIV</t>
  </si>
  <si>
    <t>Rock Toughness Index - Value</t>
  </si>
  <si>
    <t>3.18</t>
  </si>
  <si>
    <t>RTBM_SEDI</t>
  </si>
  <si>
    <t>Approximate Specific Energy of Drilling (derived from Rock Impact Hardness Test)</t>
  </si>
  <si>
    <t>917</t>
  </si>
  <si>
    <t>RTBM_SEDU</t>
  </si>
  <si>
    <t>kJ/m3</t>
  </si>
  <si>
    <t>Specific Energy of Destruction
(derived from UCS test)</t>
  </si>
  <si>
    <t>127</t>
  </si>
  <si>
    <t>RTBM_SEFU</t>
  </si>
  <si>
    <t>Specific Eneergy at Failure
(derived from UCS test)</t>
  </si>
  <si>
    <t>83</t>
  </si>
  <si>
    <t>RTBM_TBRC</t>
  </si>
  <si>
    <t>Modified Taber Abrader Classification</t>
  </si>
  <si>
    <t>RTBM_TBRV</t>
  </si>
  <si>
    <t>Modified Taber Abrader Value</t>
  </si>
  <si>
    <t>RTBM_REM</t>
  </si>
  <si>
    <t>RTBM_METH</t>
  </si>
  <si>
    <t>RTBM_DEV</t>
  </si>
  <si>
    <t>RTBM_TBY</t>
  </si>
  <si>
    <t>RTBM_DATE</t>
  </si>
  <si>
    <t>RTBM_CRED</t>
  </si>
  <si>
    <t>RTEN_SDIA</t>
  </si>
  <si>
    <t>54.1</t>
  </si>
  <si>
    <t>RTEN_LEN</t>
  </si>
  <si>
    <t>27.2</t>
  </si>
  <si>
    <t>RTEN_MC</t>
  </si>
  <si>
    <t>Water content of test specimen</t>
  </si>
  <si>
    <t>3.7</t>
  </si>
  <si>
    <t>RTEN_COND</t>
  </si>
  <si>
    <t>Condition of specimen as tested</t>
  </si>
  <si>
    <t>Natural, saturated, dried at 105 DegC</t>
  </si>
  <si>
    <t>RTEN_DURN</t>
  </si>
  <si>
    <t>mm:ss</t>
  </si>
  <si>
    <t>00:25</t>
  </si>
  <si>
    <t>RTEN_STRA</t>
  </si>
  <si>
    <t>N/s</t>
  </si>
  <si>
    <t>Stress rate</t>
  </si>
  <si>
    <t>RTEN_TENS</t>
  </si>
  <si>
    <t>Tensile strength</t>
  </si>
  <si>
    <t>RTEN_MODE</t>
  </si>
  <si>
    <t>Shear</t>
  </si>
  <si>
    <t>RTEN_MACH</t>
  </si>
  <si>
    <t>Testing machine</t>
  </si>
  <si>
    <t>Denison 7225</t>
  </si>
  <si>
    <t>RTEN_REM</t>
  </si>
  <si>
    <t>Thin card used between platens and test specimen</t>
  </si>
  <si>
    <t>RTEN_METH</t>
  </si>
  <si>
    <t>ISRM: Suggested method for determination of indirect tensile strength by the Brazil test</t>
  </si>
  <si>
    <t>RTEN_LAB</t>
  </si>
  <si>
    <t>RTEN_CRED</t>
  </si>
  <si>
    <t>RTEN_DEV</t>
  </si>
  <si>
    <t>RTEN_DATE</t>
  </si>
  <si>
    <t>RTEN_PBY</t>
  </si>
  <si>
    <t>RTEN_TBY</t>
  </si>
  <si>
    <t>RUCS_SDIA</t>
  </si>
  <si>
    <t>RUCS_LEN</t>
  </si>
  <si>
    <t>RUCS_MC</t>
  </si>
  <si>
    <t>RUCS_COND</t>
  </si>
  <si>
    <t>RUCS_DURN</t>
  </si>
  <si>
    <t>06:54</t>
  </si>
  <si>
    <t>RUCS_STRA</t>
  </si>
  <si>
    <t>MPa/s</t>
  </si>
  <si>
    <t>RUCS_UCS</t>
  </si>
  <si>
    <t>Uniaxial compressive strength</t>
  </si>
  <si>
    <t>16.8</t>
  </si>
  <si>
    <t>RUCS_MODE</t>
  </si>
  <si>
    <t>RUCS_MACH</t>
  </si>
  <si>
    <t>Type of testing machine</t>
  </si>
  <si>
    <t>RUCS_REM</t>
  </si>
  <si>
    <t>Specimen tested outside required 2.5-3.0 diameter to length ratio</t>
  </si>
  <si>
    <t>RUCS_METH</t>
  </si>
  <si>
    <t>ISRM: Suggested method for determination of Uniaxial Compressive Strength</t>
  </si>
  <si>
    <t>RUCS_LAB</t>
  </si>
  <si>
    <t>RUCS_CRED</t>
  </si>
  <si>
    <t>RUCS_DEV</t>
  </si>
  <si>
    <t>RUCS_ESEC</t>
  </si>
  <si>
    <t>Young's modulus, secant</t>
  </si>
  <si>
    <t>221</t>
  </si>
  <si>
    <t>RUCS_ETAN</t>
  </si>
  <si>
    <t>Young's modulus, tangent</t>
  </si>
  <si>
    <t>213</t>
  </si>
  <si>
    <t>RUCS_EAVG</t>
  </si>
  <si>
    <t>Young's modulus, average (mean)</t>
  </si>
  <si>
    <t>196</t>
  </si>
  <si>
    <t>RUCS_SSEC</t>
  </si>
  <si>
    <t>Stress level at which secant Young's modulus has been measured</t>
  </si>
  <si>
    <t>50% UCS</t>
  </si>
  <si>
    <t>RUCS_STAN</t>
  </si>
  <si>
    <t>Stress level at which tangent Young's modulus has been measured</t>
  </si>
  <si>
    <t>RUCS_SAVG</t>
  </si>
  <si>
    <t>Stress level at which average (mean) Young's modulus has been measured</t>
  </si>
  <si>
    <t>0-50% UCS</t>
  </si>
  <si>
    <t>RUCS_MUS</t>
  </si>
  <si>
    <t>Poisson's ratio, secant</t>
  </si>
  <si>
    <t>0.310</t>
  </si>
  <si>
    <t>RUCS_MUT</t>
  </si>
  <si>
    <t>Poisson's ratio, tangent</t>
  </si>
  <si>
    <t>0.330</t>
  </si>
  <si>
    <t>RUCS_MUAV</t>
  </si>
  <si>
    <t>Poisson's ratio, average (mean)</t>
  </si>
  <si>
    <t>0.320</t>
  </si>
  <si>
    <t>RUCS_DATE</t>
  </si>
  <si>
    <t>RUCS_PBY</t>
  </si>
  <si>
    <t>RUCS_TBY</t>
  </si>
  <si>
    <t>RWCO_MC</t>
  </si>
  <si>
    <t>Water content</t>
  </si>
  <si>
    <t>2.2</t>
  </si>
  <si>
    <t>RWCO_TEMP</t>
  </si>
  <si>
    <t>RWCO_REM</t>
  </si>
  <si>
    <t>RWCO_METH</t>
  </si>
  <si>
    <t>ISRM: Suggested method for determining water content</t>
  </si>
  <si>
    <t>RWCO_LAB</t>
  </si>
  <si>
    <t>RWCO_CRED</t>
  </si>
  <si>
    <t>RWCO_DEV</t>
  </si>
  <si>
    <t>RWCO_DATE</t>
  </si>
  <si>
    <t>RWCO_PBY</t>
  </si>
  <si>
    <t>RWCO_TBY</t>
  </si>
  <si>
    <t>SAMP_BASE</t>
  </si>
  <si>
    <t>Depth to base of sample</t>
  </si>
  <si>
    <t>25.00</t>
  </si>
  <si>
    <t>SAMP_DTIM</t>
  </si>
  <si>
    <t>Date and time sample taken</t>
  </si>
  <si>
    <t>1991-03-26T09:28</t>
  </si>
  <si>
    <t>SAMP_UBLO</t>
  </si>
  <si>
    <t>Number of blows required to drive sampler</t>
  </si>
  <si>
    <t>SAMP_CONT</t>
  </si>
  <si>
    <t>Sample container</t>
  </si>
  <si>
    <t>Metal UT100 tube</t>
  </si>
  <si>
    <t>SAMP_PREP</t>
  </si>
  <si>
    <t>Details of sample preparation at time of sampling</t>
  </si>
  <si>
    <t>Preservative added</t>
  </si>
  <si>
    <t>SAMP_SDIA</t>
  </si>
  <si>
    <t>Sample diameter</t>
  </si>
  <si>
    <t>SAMP_WDEP</t>
  </si>
  <si>
    <t>Depth to water below ground surface at time of sampling</t>
  </si>
  <si>
    <t>SAMP_RECV</t>
  </si>
  <si>
    <t>Percentage of sample recovered</t>
  </si>
  <si>
    <t>SAMP_TECH</t>
  </si>
  <si>
    <t>Sampling technique/method</t>
  </si>
  <si>
    <t>Purged</t>
  </si>
  <si>
    <t>SAMP_MATX</t>
  </si>
  <si>
    <t>Sample matrix</t>
  </si>
  <si>
    <t>Surface water</t>
  </si>
  <si>
    <t>SAMP_TYPC</t>
  </si>
  <si>
    <t>Sample QA type (Normal, blank or spike)</t>
  </si>
  <si>
    <t>SAMP_WHO</t>
  </si>
  <si>
    <t>Samplers initials or name</t>
  </si>
  <si>
    <t>MS</t>
  </si>
  <si>
    <t>SAMP_WHY</t>
  </si>
  <si>
    <t>Reason for sampling</t>
  </si>
  <si>
    <t>Routine monitoring sample</t>
  </si>
  <si>
    <t>SAMP_REM</t>
  </si>
  <si>
    <t>Sample remarks</t>
  </si>
  <si>
    <t>SAMP_DESC</t>
  </si>
  <si>
    <t>Sample/specimen description</t>
  </si>
  <si>
    <t>Grey silty CLAY</t>
  </si>
  <si>
    <t>SAMP_DESD</t>
  </si>
  <si>
    <t>Date sample described</t>
  </si>
  <si>
    <t>2008-11-03</t>
  </si>
  <si>
    <t>SAMP_LOG</t>
  </si>
  <si>
    <t>Person responsible for sample/specimen description</t>
  </si>
  <si>
    <t>AN Other</t>
  </si>
  <si>
    <t>SAMP_COND</t>
  </si>
  <si>
    <t>Condition and representativeness of sample</t>
  </si>
  <si>
    <t>Sample softened, or fractured by drilling</t>
  </si>
  <si>
    <t>SAMP_CLSS</t>
  </si>
  <si>
    <t>Sample classification as required by EN ISO 14688-1</t>
  </si>
  <si>
    <t>SAMP_BAR</t>
  </si>
  <si>
    <t>Barometric pressure at time of sampling</t>
  </si>
  <si>
    <t>SAMP_TEMP</t>
  </si>
  <si>
    <t>Sample temperature at time of sampling</t>
  </si>
  <si>
    <t>SAMP_PRES</t>
  </si>
  <si>
    <t>Gas pressure (above barometric)</t>
  </si>
  <si>
    <t>SAMP_FLOW</t>
  </si>
  <si>
    <t>Gas flow rate</t>
  </si>
  <si>
    <t>SAMP_ETIM</t>
  </si>
  <si>
    <t>Date and time sampling completed</t>
  </si>
  <si>
    <t>1991-05-01T10:03</t>
  </si>
  <si>
    <t>SAMP_DURN</t>
  </si>
  <si>
    <t>Sampling duration</t>
  </si>
  <si>
    <t>30:15:00</t>
  </si>
  <si>
    <t>SAMP_CAPT</t>
  </si>
  <si>
    <t>Caption used to describe sample</t>
  </si>
  <si>
    <t>BH1,1.00m,B+BH2,1.00m,B</t>
  </si>
  <si>
    <t>SAMP_LINK</t>
  </si>
  <si>
    <t>RL</t>
  </si>
  <si>
    <t>Sample record link</t>
  </si>
  <si>
    <t>MONG|BH1|Pipe1</t>
  </si>
  <si>
    <t>Associated file reference (e.g. sampling field sheets, sample description records)</t>
  </si>
  <si>
    <t>SAMP_RECL</t>
  </si>
  <si>
    <t>Length of sample recovered</t>
  </si>
  <si>
    <t>205</t>
  </si>
  <si>
    <t>SCPG_TESN</t>
  </si>
  <si>
    <t>Test reference or push number</t>
  </si>
  <si>
    <t>SCDG_DPTH</t>
  </si>
  <si>
    <t>5.201</t>
  </si>
  <si>
    <t>3DP fro 2DP</t>
  </si>
  <si>
    <t>SCDG_PWPI</t>
  </si>
  <si>
    <t>Measured or assumed initial pore water pressure</t>
  </si>
  <si>
    <t>0.400</t>
  </si>
  <si>
    <t>SCDG_PWPE</t>
  </si>
  <si>
    <t>Measured or assumed equilibrium pore water pressure</t>
  </si>
  <si>
    <t>0.035</t>
  </si>
  <si>
    <t>SCDG_DDIS</t>
  </si>
  <si>
    <t>Degree of dissipation for analysis</t>
  </si>
  <si>
    <t>SCDG_T</t>
  </si>
  <si>
    <t>Time to achieve degree of dissipation stated in SCDG_DDIS</t>
  </si>
  <si>
    <t>258.5</t>
  </si>
  <si>
    <t>SCDG_CV</t>
  </si>
  <si>
    <t>Coefficient of consolidation (vertical)</t>
  </si>
  <si>
    <t>1.33E1</t>
  </si>
  <si>
    <t>2SCI from 1DP</t>
  </si>
  <si>
    <t>SCDG_CVMT</t>
  </si>
  <si>
    <t>Method(s) used to determine vertical coefficient of consolidation</t>
  </si>
  <si>
    <t>C_h x 5</t>
  </si>
  <si>
    <t>SCDG_CH</t>
  </si>
  <si>
    <t>Coefficient of consolidation (horizontal)</t>
  </si>
  <si>
    <t>8.64E-6</t>
  </si>
  <si>
    <t>SCDG_CHMT</t>
  </si>
  <si>
    <t>Method(s) used to determine horizontal coefficient of consolidation</t>
  </si>
  <si>
    <t xml:space="preserve">Houlsby and Teh </t>
  </si>
  <si>
    <t>SCDG_REM</t>
  </si>
  <si>
    <t>FS19</t>
  </si>
  <si>
    <t>SCDG_DATE</t>
  </si>
  <si>
    <t>2009-10-01T10:15</t>
  </si>
  <si>
    <t>SCDG_OPER</t>
  </si>
  <si>
    <t>SCDG_ABY</t>
  </si>
  <si>
    <t>Name of analyser/processor</t>
  </si>
  <si>
    <t>SCDT_SECS</t>
  </si>
  <si>
    <t>Seconds elapsed since start of test</t>
  </si>
  <si>
    <t>50.5</t>
  </si>
  <si>
    <t>SCDT_RES</t>
  </si>
  <si>
    <t>Cone resistance</t>
  </si>
  <si>
    <t>SCDT_PWP1</t>
  </si>
  <si>
    <t>Face porewater pressure (u1)</t>
  </si>
  <si>
    <t>0.0814</t>
  </si>
  <si>
    <t>SCDT_PWP2</t>
  </si>
  <si>
    <t>Shoulder porewater pressure (u2)</t>
  </si>
  <si>
    <t>SCDT_PWP3</t>
  </si>
  <si>
    <t>Top of sleeve porewater pressure (u3)</t>
  </si>
  <si>
    <t>SCDT_REM</t>
  </si>
  <si>
    <t>Comments</t>
  </si>
  <si>
    <t>SCPG_TYPE</t>
  </si>
  <si>
    <t>Cone test type</t>
  </si>
  <si>
    <t>PC</t>
  </si>
  <si>
    <t>SCPG_REF</t>
  </si>
  <si>
    <t>Cone reference</t>
  </si>
  <si>
    <t>S15.CFIP.A27</t>
  </si>
  <si>
    <t>SCPG_CSA</t>
  </si>
  <si>
    <t>cm2</t>
  </si>
  <si>
    <t>Surface area of cone tip</t>
  </si>
  <si>
    <t>SCPG_RATE</t>
  </si>
  <si>
    <t>mm/s</t>
  </si>
  <si>
    <t>Nominal rate of penetration of the cone</t>
  </si>
  <si>
    <t xml:space="preserve">20 </t>
  </si>
  <si>
    <t>SCPG_FILT</t>
  </si>
  <si>
    <t>Type of filter material used</t>
  </si>
  <si>
    <t>HDPE</t>
  </si>
  <si>
    <t>SCPG_FRIC</t>
  </si>
  <si>
    <t>Friction reducer used</t>
  </si>
  <si>
    <t>SCPG_WAT</t>
  </si>
  <si>
    <t>Groundwater level at time of test</t>
  </si>
  <si>
    <t>SCPG_WATA</t>
  </si>
  <si>
    <t>Origin of water level in SCPG_WAT</t>
  </si>
  <si>
    <t>Assumed from measurements in nearby boreholes</t>
  </si>
  <si>
    <t>SCPG_REM</t>
  </si>
  <si>
    <t>Comments on testing and basis of any interpreted parameters included in SCPT and SCPP</t>
  </si>
  <si>
    <t>SCPG_ENV</t>
  </si>
  <si>
    <t>Sunny</t>
  </si>
  <si>
    <t>SCPG_CONT</t>
  </si>
  <si>
    <t>A Contractor Ltd</t>
  </si>
  <si>
    <t>SCPG_METH</t>
  </si>
  <si>
    <t>NEN 5140</t>
  </si>
  <si>
    <t>SCPG_CRED</t>
  </si>
  <si>
    <t>NATA</t>
  </si>
  <si>
    <t>SCPG_CAR</t>
  </si>
  <si>
    <t>Cone area ratio used to calculate qt</t>
  </si>
  <si>
    <t>0.810</t>
  </si>
  <si>
    <t>SCPG_SLAR</t>
  </si>
  <si>
    <t>Sleeve area ratio used to calculate ft</t>
  </si>
  <si>
    <t>1.001</t>
  </si>
  <si>
    <t>Associated file reference (e.g. cone calibration records)</t>
  </si>
  <si>
    <t>SCPG_DATE</t>
  </si>
  <si>
    <t>Date time at beginning of test</t>
  </si>
  <si>
    <t>SCPG_RIG</t>
  </si>
  <si>
    <t>Mass and geometry of rig</t>
  </si>
  <si>
    <t>40t truck</t>
  </si>
  <si>
    <t>SCPG_ORNT</t>
  </si>
  <si>
    <t>Orientation of inclination 1 from North</t>
  </si>
  <si>
    <t>012</t>
  </si>
  <si>
    <t>SCPG_PED</t>
  </si>
  <si>
    <t>Pre-drilled depth</t>
  </si>
  <si>
    <t>SCPG_TERM</t>
  </si>
  <si>
    <t>Termination reason</t>
  </si>
  <si>
    <t>Rods Buckling</t>
  </si>
  <si>
    <t>SCPG_RLOC</t>
  </si>
  <si>
    <t>The location where the reference reading of the test was performed</t>
  </si>
  <si>
    <t>SB</t>
  </si>
  <si>
    <t>SCPG_OWAT</t>
  </si>
  <si>
    <t>Water depth for offshore activities; required for all over water testing, and used by calculation of Total Stress when Zero Location = 'S'</t>
  </si>
  <si>
    <t>200.25</t>
  </si>
  <si>
    <t>SCPG_CRDT</t>
  </si>
  <si>
    <t>Date of last calibration</t>
  </si>
  <si>
    <t>SCPG_MILE</t>
  </si>
  <si>
    <t>km</t>
  </si>
  <si>
    <t>Mileage of cone since last calibration</t>
  </si>
  <si>
    <t>1225.111</t>
  </si>
  <si>
    <t>SCPG_CPC</t>
  </si>
  <si>
    <t>Nominal Cone maximum tip pressure capacity (assumed zero load on sleeve for subtraction cones)</t>
  </si>
  <si>
    <t>100.0</t>
  </si>
  <si>
    <t>SCPG_CFOS</t>
  </si>
  <si>
    <t>Cone mid-face to friction sleeve centre offset</t>
  </si>
  <si>
    <t>SCPG_REMS</t>
  </si>
  <si>
    <t>S-wave equipment and interpretation. Include: intervals, interpreter, standard</t>
  </si>
  <si>
    <t>1m interval, John Smith interpereter</t>
  </si>
  <si>
    <t>SCPG_REMP</t>
  </si>
  <si>
    <t>P-wave equipment and interpretation. Include: intervals, interpreter, standard</t>
  </si>
  <si>
    <t>SCPG_APCL</t>
  </si>
  <si>
    <t>Test application class or category described in the standard</t>
  </si>
  <si>
    <t>SCPG_OPER</t>
  </si>
  <si>
    <t>SCPG_ABY</t>
  </si>
  <si>
    <t>SCPP_TOP</t>
  </si>
  <si>
    <t>Depth to top of layer</t>
  </si>
  <si>
    <t>SCPP_BASE</t>
  </si>
  <si>
    <t>Depth to base of layer</t>
  </si>
  <si>
    <t>5.30</t>
  </si>
  <si>
    <t>SCPP_REF</t>
  </si>
  <si>
    <t>ACME CPT Testing Ltd</t>
  </si>
  <si>
    <t>SCPP_REM</t>
  </si>
  <si>
    <t>SCPP_CSBT</t>
  </si>
  <si>
    <t>Interpreted Soil Type</t>
  </si>
  <si>
    <t>3 - Clays</t>
  </si>
  <si>
    <t>SCPP_CSU</t>
  </si>
  <si>
    <t>Undrained Shear Strength (Su); fine soils only</t>
  </si>
  <si>
    <t>105.1</t>
  </si>
  <si>
    <t>SCPP_CRD</t>
  </si>
  <si>
    <t>Relative density (Dr); coarse soils only</t>
  </si>
  <si>
    <t>SCPP_CPHI</t>
  </si>
  <si>
    <t>Internal Friction Angle; coarse soils only</t>
  </si>
  <si>
    <t>42.7</t>
  </si>
  <si>
    <t>SCPP_CIC</t>
  </si>
  <si>
    <t>Soil Behaviour Type Index (Ic)</t>
  </si>
  <si>
    <t>1.5</t>
  </si>
  <si>
    <t>SCPP_CSPT</t>
  </si>
  <si>
    <t>Equivalent SPT N60 value</t>
  </si>
  <si>
    <t>SCPT_DPTH</t>
  </si>
  <si>
    <t>Depth of result</t>
  </si>
  <si>
    <t>7.125</t>
  </si>
  <si>
    <t>SCPT_RES</t>
  </si>
  <si>
    <t>Cone resistance (qc)</t>
  </si>
  <si>
    <t>18.065</t>
  </si>
  <si>
    <t>SCPT_FRES</t>
  </si>
  <si>
    <t>Local unit side friction resistance (fs)</t>
  </si>
  <si>
    <t>0.0968</t>
  </si>
  <si>
    <t>SCPT_PWP1</t>
  </si>
  <si>
    <t>0.0118</t>
  </si>
  <si>
    <t>SCPT_PWP2</t>
  </si>
  <si>
    <t>SCPT_PWP3</t>
  </si>
  <si>
    <t>SCPT_CON</t>
  </si>
  <si>
    <t>uS/cm</t>
  </si>
  <si>
    <t>Conductivity</t>
  </si>
  <si>
    <t>1.1111</t>
  </si>
  <si>
    <t>SCPT_TEMP</t>
  </si>
  <si>
    <t>8.4000</t>
  </si>
  <si>
    <t>SCPT_PH</t>
  </si>
  <si>
    <t>pH reading</t>
  </si>
  <si>
    <t>6.9000</t>
  </si>
  <si>
    <t>SCPT_SLP1</t>
  </si>
  <si>
    <t>Slope indicator no. 1</t>
  </si>
  <si>
    <t>1.7136</t>
  </si>
  <si>
    <t>SCPT_SLP2</t>
  </si>
  <si>
    <t>Slope indicator no. 2</t>
  </si>
  <si>
    <t>SCPT_REDX</t>
  </si>
  <si>
    <t>Redox potential reading</t>
  </si>
  <si>
    <t>SCPT_MAGT</t>
  </si>
  <si>
    <t>nT</t>
  </si>
  <si>
    <t>Magnetic flux - Total (calculated)</t>
  </si>
  <si>
    <t>Unit to nT</t>
  </si>
  <si>
    <t>SCPT_MAGX</t>
  </si>
  <si>
    <t>Magnetic flux - X</t>
  </si>
  <si>
    <t>SCPT_MAGY</t>
  </si>
  <si>
    <t>Magnetic flux - Y</t>
  </si>
  <si>
    <t>SCPT_MAGZ</t>
  </si>
  <si>
    <t>Magnetic flux - Z</t>
  </si>
  <si>
    <t>SCPT_SMP</t>
  </si>
  <si>
    <t>Soil moisture</t>
  </si>
  <si>
    <t>SCPT_NGAM</t>
  </si>
  <si>
    <t>counts/s</t>
  </si>
  <si>
    <t>Natural gamma radiation</t>
  </si>
  <si>
    <t>SCPT_REM</t>
  </si>
  <si>
    <t>SCPT_FRR</t>
  </si>
  <si>
    <t>Friction ratio (Rf)</t>
  </si>
  <si>
    <t>0.54</t>
  </si>
  <si>
    <t>SCPT_QT</t>
  </si>
  <si>
    <t>Corrected cone resistance (qt) piezocone only</t>
  </si>
  <si>
    <t>18.0668</t>
  </si>
  <si>
    <t>SCPT_FT</t>
  </si>
  <si>
    <t>Corrected sleeve resistance (ft) piezocone only</t>
  </si>
  <si>
    <t>0.1235</t>
  </si>
  <si>
    <t>SCPT_QE</t>
  </si>
  <si>
    <t>Effective cone resistance (qe) piezocone only</t>
  </si>
  <si>
    <t>18.0532</t>
  </si>
  <si>
    <t>SCPT_BDEN</t>
  </si>
  <si>
    <t>Bulk density of material (measured or assumed)</t>
  </si>
  <si>
    <t>SCPT_CPO</t>
  </si>
  <si>
    <t>Total vertical stress (based on SCPT_BDEN)</t>
  </si>
  <si>
    <t>210.46</t>
  </si>
  <si>
    <t>SCPT_CPOD</t>
  </si>
  <si>
    <t>Effective vertical stress (calculated from SCPT_CPO and SCPT_ISPP or SCPG_WAT)</t>
  </si>
  <si>
    <t>107.56</t>
  </si>
  <si>
    <t>SCPT_QNET</t>
  </si>
  <si>
    <t>Net cone resistance (qn)</t>
  </si>
  <si>
    <t>17.8563</t>
  </si>
  <si>
    <t>SCPT_FRRC</t>
  </si>
  <si>
    <t>Corrected friction ratio (Rf') piezocone only</t>
  </si>
  <si>
    <t>2.76</t>
  </si>
  <si>
    <t>SCPT_EXPP</t>
  </si>
  <si>
    <t>Excess pore pressure (u-uo) piezocone only</t>
  </si>
  <si>
    <t>-0.0911</t>
  </si>
  <si>
    <t>SCPT_BQ</t>
  </si>
  <si>
    <t>Pore pressure ratio (Bq) piezocone only</t>
  </si>
  <si>
    <t>-0.0051</t>
  </si>
  <si>
    <t>SCPT_ISPP</t>
  </si>
  <si>
    <t>In situ pore pressure (uo) (measured or assumed where not simple hydrostatic based on SCPG_WAT)</t>
  </si>
  <si>
    <t>0.2000</t>
  </si>
  <si>
    <t>SCPT_NQT</t>
  </si>
  <si>
    <t>Normalised cone resistance (Qt)</t>
  </si>
  <si>
    <t>166.0125</t>
  </si>
  <si>
    <t>SCPT_NFR</t>
  </si>
  <si>
    <t>Normalised friction ratio (Fr)</t>
  </si>
  <si>
    <t>0.5423</t>
  </si>
  <si>
    <t>Associated file reference (e.g. raw field data)</t>
  </si>
  <si>
    <t>SCPT_TIME</t>
  </si>
  <si>
    <t>Time elapsed since start of test</t>
  </si>
  <si>
    <t>SCPT_FFD1</t>
  </si>
  <si>
    <t>Fluorescence intensity 1</t>
  </si>
  <si>
    <t>96.3</t>
  </si>
  <si>
    <t>SCPT_FFD2</t>
  </si>
  <si>
    <t>Fluorescence intensity 2</t>
  </si>
  <si>
    <t>SCPT_PID</t>
  </si>
  <si>
    <t>µV</t>
  </si>
  <si>
    <t>Photo ionization detector reading</t>
  </si>
  <si>
    <t>3650.0</t>
  </si>
  <si>
    <t>SCPT_FID</t>
  </si>
  <si>
    <t>Flame ionization detector reading</t>
  </si>
  <si>
    <t>151260.0</t>
  </si>
  <si>
    <t>SCPT_SWV</t>
  </si>
  <si>
    <t>Interpreted S-wave velocity, v_s</t>
  </si>
  <si>
    <t>SCPT_PWV</t>
  </si>
  <si>
    <t>Interpreted P-wave velocity, v_p</t>
  </si>
  <si>
    <t>SCPT_MAGG</t>
  </si>
  <si>
    <t>Magnetic flux - Gradient (calculated)</t>
  </si>
  <si>
    <t>35.46</t>
  </si>
  <si>
    <t>SCPZ_PARM</t>
  </si>
  <si>
    <t>Measured Parameter</t>
  </si>
  <si>
    <t>SCPZ_ZB</t>
  </si>
  <si>
    <t>Zero before at surface/deck</t>
  </si>
  <si>
    <t>4567</t>
  </si>
  <si>
    <t>SCPZ_ZE</t>
  </si>
  <si>
    <t>Zero before at reference level (where SCPG_RLOC is BB or SB)</t>
  </si>
  <si>
    <t>5123</t>
  </si>
  <si>
    <t>SCPZ_ZF</t>
  </si>
  <si>
    <t>Zero after at reference level (where SCPG_RLOC is BB or SB)</t>
  </si>
  <si>
    <t>SCPZ_ZA</t>
  </si>
  <si>
    <t>Zero after at surface/deck</t>
  </si>
  <si>
    <t>SCPZ_ZD</t>
  </si>
  <si>
    <t>Zero drift</t>
  </si>
  <si>
    <t>0.0111</t>
  </si>
  <si>
    <t>SCPZ_ZS</t>
  </si>
  <si>
    <t>Zero output stability</t>
  </si>
  <si>
    <t>0.0060</t>
  </si>
  <si>
    <t>SCPZ_EGUT</t>
  </si>
  <si>
    <t>Engineering unit for SCPG_ZD and SCPG_ZS</t>
  </si>
  <si>
    <t>SCPZ_REM</t>
  </si>
  <si>
    <t>SHBG_TYPE</t>
  </si>
  <si>
    <t>SMALL SBOX</t>
  </si>
  <si>
    <t>SHBG_COND</t>
  </si>
  <si>
    <t>SHBG_CONS</t>
  </si>
  <si>
    <t>Recompacted to specified density</t>
  </si>
  <si>
    <t>SHBG_PCOH</t>
  </si>
  <si>
    <t>Peak cohesion intercept</t>
  </si>
  <si>
    <t>SHBG_PHI</t>
  </si>
  <si>
    <t>Peak angle of friction</t>
  </si>
  <si>
    <t>26.5</t>
  </si>
  <si>
    <t>SHBG_RCOH</t>
  </si>
  <si>
    <t>Residual cohesion intercept</t>
  </si>
  <si>
    <t>SHBG_RPHI</t>
  </si>
  <si>
    <t>Residual angle of friction</t>
  </si>
  <si>
    <t>13.0</t>
  </si>
  <si>
    <t>SHBG_ENCA</t>
  </si>
  <si>
    <t>Method of encapsulation of specimens tested</t>
  </si>
  <si>
    <t>Resin</t>
  </si>
  <si>
    <t>SHBG_REM</t>
  </si>
  <si>
    <t>c' and phi' derived by linear regression, c' assumed zero etc</t>
  </si>
  <si>
    <t>SHBG_METH</t>
  </si>
  <si>
    <t>BS1377 Part 7</t>
  </si>
  <si>
    <t>SHBG_LAB</t>
  </si>
  <si>
    <t>SHBG_CRED</t>
  </si>
  <si>
    <t>SHBG_DEV</t>
  </si>
  <si>
    <t>SHBG_DATE</t>
  </si>
  <si>
    <t>SHBG_PBY</t>
  </si>
  <si>
    <t>SHBG_TBY</t>
  </si>
  <si>
    <t>SHBT_TESN</t>
  </si>
  <si>
    <t>Shear box stage number</t>
  </si>
  <si>
    <t>SHBS_NMIN</t>
  </si>
  <si>
    <t>12.0</t>
  </si>
  <si>
    <t>SHBS_SHST</t>
  </si>
  <si>
    <t>SHBS_HDIS</t>
  </si>
  <si>
    <t>Horizontal displacement</t>
  </si>
  <si>
    <t>SHBS_VDIS</t>
  </si>
  <si>
    <t>Vertical displacement</t>
  </si>
  <si>
    <t>Shear box stage/specimen reference</t>
  </si>
  <si>
    <t>SHBT_BDEN</t>
  </si>
  <si>
    <t>SHBT_DDEN</t>
  </si>
  <si>
    <t>1.63</t>
  </si>
  <si>
    <t>SHBT_NORM</t>
  </si>
  <si>
    <t>Normal stress applied</t>
  </si>
  <si>
    <t>SHBT_DISP</t>
  </si>
  <si>
    <t>mm/min</t>
  </si>
  <si>
    <t>Displacement rate for peak stress stage</t>
  </si>
  <si>
    <t>0.024</t>
  </si>
  <si>
    <t>SHBT_DISR</t>
  </si>
  <si>
    <t>Displacement rate for residual stress stage</t>
  </si>
  <si>
    <t>SHBT_REVS</t>
  </si>
  <si>
    <t>Number of traverses if residual test</t>
  </si>
  <si>
    <t>SHBT_PEAK</t>
  </si>
  <si>
    <t>Peak shear stress</t>
  </si>
  <si>
    <t>65.5</t>
  </si>
  <si>
    <t>SHBT_RES</t>
  </si>
  <si>
    <t>Residual shear stress</t>
  </si>
  <si>
    <t>47.2</t>
  </si>
  <si>
    <t>SHBT_PDIS</t>
  </si>
  <si>
    <t>Horizontal displacement at peak shear stress</t>
  </si>
  <si>
    <t>SHBT_RDIS</t>
  </si>
  <si>
    <t>Horizontal displacement at residual shear stress</t>
  </si>
  <si>
    <t>12.41</t>
  </si>
  <si>
    <t>SHBT_PDIN</t>
  </si>
  <si>
    <t>Vertical displacement at peak shear stress</t>
  </si>
  <si>
    <t>1.24</t>
  </si>
  <si>
    <t>SHBT_RDIN</t>
  </si>
  <si>
    <t>Vertical displacement at residual shear stress</t>
  </si>
  <si>
    <t>-4.23</t>
  </si>
  <si>
    <t>SHBT_PDEN</t>
  </si>
  <si>
    <t>SHBT_IVR</t>
  </si>
  <si>
    <t>0.526</t>
  </si>
  <si>
    <t>SHBT_MCI</t>
  </si>
  <si>
    <t>SHBT_MCF</t>
  </si>
  <si>
    <t>18</t>
  </si>
  <si>
    <t>SHBT_DIA1</t>
  </si>
  <si>
    <t>Specimen diameter in direction of shear (rock joints)</t>
  </si>
  <si>
    <t>85.21</t>
  </si>
  <si>
    <t>SHBT_DIA2</t>
  </si>
  <si>
    <t>Specimen diameter perpendicular to shear (rock joints)</t>
  </si>
  <si>
    <t>89.34</t>
  </si>
  <si>
    <t>SHBT_HGT</t>
  </si>
  <si>
    <t>80.02</t>
  </si>
  <si>
    <t>SHBT_CRIT</t>
  </si>
  <si>
    <t>Failure/residual strength criterion used</t>
  </si>
  <si>
    <t>Stress ratio</t>
  </si>
  <si>
    <t>SHBT_REM</t>
  </si>
  <si>
    <t>Reached end of travel</t>
  </si>
  <si>
    <t>SHBT_PVST</t>
  </si>
  <si>
    <t>Normal (vertical) stress at peak shear stress</t>
  </si>
  <si>
    <t>SHBT_RVST</t>
  </si>
  <si>
    <t>Normal (vertical) stress at residual shear stress</t>
  </si>
  <si>
    <t>125</t>
  </si>
  <si>
    <t>SHBT_DISA</t>
  </si>
  <si>
    <t>Angular rate for residual stress stage</t>
  </si>
  <si>
    <t>0.021</t>
  </si>
  <si>
    <t>SHBT_ADIS</t>
  </si>
  <si>
    <t>Cumulative angular displacement at residual shear stress</t>
  </si>
  <si>
    <t>SOLC_TOP</t>
  </si>
  <si>
    <t>SOLC_BASE</t>
  </si>
  <si>
    <t>SOLC_CONN</t>
  </si>
  <si>
    <t>Consistency minimum, if you have one value use this</t>
  </si>
  <si>
    <t>VS</t>
  </si>
  <si>
    <t>SOLC_CON</t>
  </si>
  <si>
    <t>SOLC_CONJ</t>
  </si>
  <si>
    <t>SOLC_CONX</t>
  </si>
  <si>
    <t>Consistency maximum, if different from minimum</t>
  </si>
  <si>
    <t>S</t>
  </si>
  <si>
    <t>SOLC_CONF</t>
  </si>
  <si>
    <t>SOLM_TOP</t>
  </si>
  <si>
    <t>SOLM_BASE</t>
  </si>
  <si>
    <t>SOLM_MCN</t>
  </si>
  <si>
    <t>Moisture condition minimum, if you have one value use this</t>
  </si>
  <si>
    <t>SOLM_MC</t>
  </si>
  <si>
    <t>SOLM_CONJ</t>
  </si>
  <si>
    <t>becoming</t>
  </si>
  <si>
    <t>SOLM_MCX</t>
  </si>
  <si>
    <t>Moisture condition maximum, if different from minimum</t>
  </si>
  <si>
    <t>SOLM_CONF</t>
  </si>
  <si>
    <t>STND_REF</t>
  </si>
  <si>
    <t>Reference of standard</t>
  </si>
  <si>
    <t>BS EN ISO 14688-1:2018</t>
  </si>
  <si>
    <t>STND_TTLE</t>
  </si>
  <si>
    <t>Document Title</t>
  </si>
  <si>
    <t>Geotechnical investigation and testing - Identification and classification of soil - Part 1: Identification and description</t>
  </si>
  <si>
    <t>STND_SCPE</t>
  </si>
  <si>
    <t>Scope of data collected to this standard</t>
  </si>
  <si>
    <t>Soil descriptions; field logging and laboratory test specimens</t>
  </si>
  <si>
    <t>STND_REM</t>
  </si>
  <si>
    <t>Associated file reference (e.g. contract specific specifications)</t>
  </si>
  <si>
    <t>SUCR_SUCT</t>
  </si>
  <si>
    <t>Suction</t>
  </si>
  <si>
    <t>SUCR_MCD</t>
  </si>
  <si>
    <t>Moisture content desorption</t>
  </si>
  <si>
    <t>12.5</t>
  </si>
  <si>
    <t>SUCR_MCA</t>
  </si>
  <si>
    <t>Moisture content absorption</t>
  </si>
  <si>
    <t>SUCR_MCAV</t>
  </si>
  <si>
    <t>Moisture content average</t>
  </si>
  <si>
    <t>SUCR_REM</t>
  </si>
  <si>
    <t>SUCT_DIAM</t>
  </si>
  <si>
    <t>SUCT_LEN</t>
  </si>
  <si>
    <t>99.65</t>
  </si>
  <si>
    <t>SUCT_COND</t>
  </si>
  <si>
    <t>SUCT_BDEN</t>
  </si>
  <si>
    <t>SUCT_DDEN</t>
  </si>
  <si>
    <t>SUCT_MC</t>
  </si>
  <si>
    <t>SUCT_VAL</t>
  </si>
  <si>
    <t>Suction value</t>
  </si>
  <si>
    <t>SUCT_REM</t>
  </si>
  <si>
    <t>SUCT_METH</t>
  </si>
  <si>
    <t>BRE IP4/93, suction probe in triaxial</t>
  </si>
  <si>
    <t>SUCT_LAB</t>
  </si>
  <si>
    <t>SUCT_CRED</t>
  </si>
  <si>
    <t>FS98</t>
  </si>
  <si>
    <t>SUCT_DEV</t>
  </si>
  <si>
    <t>SUCT_VALF</t>
  </si>
  <si>
    <t>SUCT_TEMP</t>
  </si>
  <si>
    <t>17.5</t>
  </si>
  <si>
    <t>SUCT_HUMD</t>
  </si>
  <si>
    <t>Humidity</t>
  </si>
  <si>
    <t>89.2</t>
  </si>
  <si>
    <t>SUCT_DATE</t>
  </si>
  <si>
    <t>SUCT_PBY</t>
  </si>
  <si>
    <t>SUCT_TBY</t>
  </si>
  <si>
    <t>TNPC_TESN</t>
  </si>
  <si>
    <t>TNPC_DRY</t>
  </si>
  <si>
    <t>10% fines values on dry aggregate</t>
  </si>
  <si>
    <t>TNPC_WET</t>
  </si>
  <si>
    <t>10% fines values on wet aggregate</t>
  </si>
  <si>
    <t>TNPC_REM</t>
  </si>
  <si>
    <t>TNPC_METH</t>
  </si>
  <si>
    <t>TNPC_LAB</t>
  </si>
  <si>
    <t>TNPC_CRED</t>
  </si>
  <si>
    <t>TNPC_DEV</t>
  </si>
  <si>
    <t>TNPC_DATE</t>
  </si>
  <si>
    <t>TNPC_PBY</t>
  </si>
  <si>
    <t>TNPC_TBY</t>
  </si>
  <si>
    <t>TRAN_ISNO</t>
  </si>
  <si>
    <t>Issue sequence reference</t>
  </si>
  <si>
    <t>TRAN_DATE</t>
  </si>
  <si>
    <t>Date of production of data file</t>
  </si>
  <si>
    <t>TRAN_PROD</t>
  </si>
  <si>
    <t>Data file producer</t>
  </si>
  <si>
    <t>TRAN_STAT</t>
  </si>
  <si>
    <t>Status of data within submission</t>
  </si>
  <si>
    <t>TRAN_DESC</t>
  </si>
  <si>
    <t>Description of data transferred</t>
  </si>
  <si>
    <t>Draft logs only</t>
  </si>
  <si>
    <t>TRAN_AGS</t>
  </si>
  <si>
    <t>AGS Edition Reference</t>
  </si>
  <si>
    <t>4.0</t>
  </si>
  <si>
    <t>TRAN_RECV</t>
  </si>
  <si>
    <t>Data file recipient</t>
  </si>
  <si>
    <t>TRAN_DLIM</t>
  </si>
  <si>
    <t>Record Link data type Delimiter</t>
  </si>
  <si>
    <t>|</t>
  </si>
  <si>
    <t>TRAN_RCON</t>
  </si>
  <si>
    <t>Concatenator</t>
  </si>
  <si>
    <t>+</t>
  </si>
  <si>
    <t>TRAN_REM</t>
  </si>
  <si>
    <t>Associated file reference (e.g. data file QA check records)</t>
  </si>
  <si>
    <t>TREG_TYPE</t>
  </si>
  <si>
    <t xml:space="preserve">CU </t>
  </si>
  <si>
    <t>TREG_COND</t>
  </si>
  <si>
    <t>TREG_COH</t>
  </si>
  <si>
    <t>Cohesion intercept associated with TREG_PHI</t>
  </si>
  <si>
    <t>TREG_PHI</t>
  </si>
  <si>
    <t xml:space="preserve">Angle of friction for effective shear strength triaxial test </t>
  </si>
  <si>
    <t>32.0</t>
  </si>
  <si>
    <t>TREG_FCR</t>
  </si>
  <si>
    <t>Failure criterion</t>
  </si>
  <si>
    <t>Maximum deviator stress</t>
  </si>
  <si>
    <t>TREG_REM</t>
  </si>
  <si>
    <t>Peak stress ratio, side drains fitted</t>
  </si>
  <si>
    <t>TREG_METH</t>
  </si>
  <si>
    <t>BS1377 pt 8</t>
  </si>
  <si>
    <t>TREG_LAB</t>
  </si>
  <si>
    <t>TREG_CRED</t>
  </si>
  <si>
    <t>TREG_DEV</t>
  </si>
  <si>
    <t>Any deviation from the procedure or specified test conditions</t>
  </si>
  <si>
    <t>TREG_E50</t>
  </si>
  <si>
    <t>Secant modulus at 50% peak strength</t>
  </si>
  <si>
    <t>45.25</t>
  </si>
  <si>
    <t>TREG_DATE</t>
  </si>
  <si>
    <t>TREG_PBY</t>
  </si>
  <si>
    <t>TREG_TBY</t>
  </si>
  <si>
    <t>TREM_DTIM</t>
  </si>
  <si>
    <t>TREM_COMP</t>
  </si>
  <si>
    <t>TREM_REM</t>
  </si>
  <si>
    <t>TREM_DURN</t>
  </si>
  <si>
    <t>TREM_ETIM</t>
  </si>
  <si>
    <t>2001-05-16T12:30</t>
  </si>
  <si>
    <t>TREM_BY</t>
  </si>
  <si>
    <t>The definitive person responsible for making the remark</t>
  </si>
  <si>
    <t>TRET_TESN</t>
  </si>
  <si>
    <t>Triaxial test/stage number</t>
  </si>
  <si>
    <t>TRET_SDIA</t>
  </si>
  <si>
    <t>TRET_LEN</t>
  </si>
  <si>
    <t>76.50</t>
  </si>
  <si>
    <t>TRET_IMC</t>
  </si>
  <si>
    <t>Specimen initial water/moisture content</t>
  </si>
  <si>
    <t>15.5</t>
  </si>
  <si>
    <t>TRET_FMC</t>
  </si>
  <si>
    <t>Specimen final water/moisture content</t>
  </si>
  <si>
    <t>14.9</t>
  </si>
  <si>
    <t>TRET_BDEN</t>
  </si>
  <si>
    <t>TRET_DDEN</t>
  </si>
  <si>
    <t>TRET_SAT</t>
  </si>
  <si>
    <t>Back pressure, cell pressure, none</t>
  </si>
  <si>
    <t>TRET_CONS</t>
  </si>
  <si>
    <t>Details of consolidation stage</t>
  </si>
  <si>
    <t>Drainage to both ends with radial boundary</t>
  </si>
  <si>
    <t>TRET_CONP</t>
  </si>
  <si>
    <t>Effective stress at end of consolidation/ start of shear stage</t>
  </si>
  <si>
    <t>TRET_CELL</t>
  </si>
  <si>
    <t>Total cell pressure during shearing stage</t>
  </si>
  <si>
    <t>TRET_PWPI</t>
  </si>
  <si>
    <t>Porewater pressure at start of shear stage</t>
  </si>
  <si>
    <t>TRET_STRR</t>
  </si>
  <si>
    <t>%/hr</t>
  </si>
  <si>
    <t>Rate of axial strain during shear</t>
  </si>
  <si>
    <t>TRET_STRN</t>
  </si>
  <si>
    <t>TRET_DEVF</t>
  </si>
  <si>
    <t>Deviator stress at failure</t>
  </si>
  <si>
    <t>360</t>
  </si>
  <si>
    <t>TRET_PWPF</t>
  </si>
  <si>
    <t xml:space="preserve">60 </t>
  </si>
  <si>
    <t>TRET_STV</t>
  </si>
  <si>
    <t>Volumetric strain at failure (drained only)</t>
  </si>
  <si>
    <t>TRET_MODE</t>
  </si>
  <si>
    <t>TRET_REM</t>
  </si>
  <si>
    <t>TRET_BACK</t>
  </si>
  <si>
    <t>Final back pressure applied prior to shearing</t>
  </si>
  <si>
    <t>TRET_VERT</t>
  </si>
  <si>
    <t>Vertical strain at end of consolidation</t>
  </si>
  <si>
    <t>TRET_VOLM</t>
  </si>
  <si>
    <t>Volumetric strain at end of consolidation</t>
  </si>
  <si>
    <t>TRET_RATE</t>
  </si>
  <si>
    <t>Rate of volumetric strain immediately prior to shearing</t>
  </si>
  <si>
    <t>TRET_BVAL</t>
  </si>
  <si>
    <t>Final B-value prior to shearing</t>
  </si>
  <si>
    <t>TRET_DRN</t>
  </si>
  <si>
    <t>Type of drainage conditions during shear</t>
  </si>
  <si>
    <t>Radial</t>
  </si>
  <si>
    <t>TRET_MEMB</t>
  </si>
  <si>
    <t>Membrane corrections applied at failure</t>
  </si>
  <si>
    <t>TRET_FILC</t>
  </si>
  <si>
    <t>Filter paper corrections applied at failure</t>
  </si>
  <si>
    <t>TRET_IVR</t>
  </si>
  <si>
    <t>TRET_SATR</t>
  </si>
  <si>
    <t>Saturation percentage</t>
  </si>
  <si>
    <t>TRET_CVP</t>
  </si>
  <si>
    <t>Effective vertical pressure at end of consolidation</t>
  </si>
  <si>
    <t>TRET_CRP</t>
  </si>
  <si>
    <t>Effective radial pressure at end of consolidation</t>
  </si>
  <si>
    <t>TRET_MEAN</t>
  </si>
  <si>
    <t>Peak mean effective stress during shear</t>
  </si>
  <si>
    <t>TRET_CU</t>
  </si>
  <si>
    <t>Undrained shear strength at failure</t>
  </si>
  <si>
    <t>TRET_EP50</t>
  </si>
  <si>
    <t>Strain at 50 % peak deviator stress</t>
  </si>
  <si>
    <t>TRET_E50</t>
  </si>
  <si>
    <t>Secant modulus at 50 % peak deviator stress</t>
  </si>
  <si>
    <t>TRET_EXPP</t>
  </si>
  <si>
    <t>Excess pore pressure</t>
  </si>
  <si>
    <t>867</t>
  </si>
  <si>
    <t>TRET_MAST</t>
  </si>
  <si>
    <t>Major Principal Stress</t>
  </si>
  <si>
    <t>456</t>
  </si>
  <si>
    <t>TRET_MIST</t>
  </si>
  <si>
    <t>Minor Principal Stress</t>
  </si>
  <si>
    <t>123</t>
  </si>
  <si>
    <t>Sample Depth</t>
  </si>
  <si>
    <t>Sample Reference</t>
  </si>
  <si>
    <t>Sample Type</t>
  </si>
  <si>
    <t>Specimen Reference</t>
  </si>
  <si>
    <t>Specimen Depth</t>
  </si>
  <si>
    <t>TREV_SEQ</t>
  </si>
  <si>
    <t>Sequence</t>
  </si>
  <si>
    <t>TREV_ELAP</t>
  </si>
  <si>
    <t>5600</t>
  </si>
  <si>
    <t>TREV_CYC</t>
  </si>
  <si>
    <t>TREV_DEV</t>
  </si>
  <si>
    <t>Deviator Stress</t>
  </si>
  <si>
    <t>TREV_U</t>
  </si>
  <si>
    <t>Pore Pressure</t>
  </si>
  <si>
    <t>TREV_CELL</t>
  </si>
  <si>
    <t>TREV_VOLS</t>
  </si>
  <si>
    <t>2.44</t>
  </si>
  <si>
    <t>TREV_VSTR</t>
  </si>
  <si>
    <t>Vertical Strain</t>
  </si>
  <si>
    <t>5.21</t>
  </si>
  <si>
    <t>TREV_EXU</t>
  </si>
  <si>
    <t>Excess Pore Pressure</t>
  </si>
  <si>
    <t>25.5</t>
  </si>
  <si>
    <t>TREV_T</t>
  </si>
  <si>
    <t>Shear strength (Sig1 - Sig3)/2</t>
  </si>
  <si>
    <t>TREV_S</t>
  </si>
  <si>
    <t>Mean effective stress (Sig'1 + Sig'3)/2</t>
  </si>
  <si>
    <t>41</t>
  </si>
  <si>
    <t>TREV_Q</t>
  </si>
  <si>
    <t>Principal stress difference (Sig'1 - Sig'3)</t>
  </si>
  <si>
    <t>840</t>
  </si>
  <si>
    <t>TREV_P</t>
  </si>
  <si>
    <t>Octahedral shear stress (Sig'1 + 2*K0*Sig'3 )/3</t>
  </si>
  <si>
    <t>595</t>
  </si>
  <si>
    <t>TREV_REM</t>
  </si>
  <si>
    <t>TRIG_TYPE</t>
  </si>
  <si>
    <t xml:space="preserve">UU </t>
  </si>
  <si>
    <t>TRIG_COND</t>
  </si>
  <si>
    <t>TRIG_REM</t>
  </si>
  <si>
    <t>TRIG_METH</t>
  </si>
  <si>
    <t>BS EN ISO 17892-8</t>
  </si>
  <si>
    <t>TRIG_LAB</t>
  </si>
  <si>
    <t>TRIG_CRED</t>
  </si>
  <si>
    <t>TRIG_DEV</t>
  </si>
  <si>
    <t>TRIG_DATE</t>
  </si>
  <si>
    <t>TRIG_PBY</t>
  </si>
  <si>
    <t>TRIG_TBY</t>
  </si>
  <si>
    <t>24.75</t>
  </si>
  <si>
    <t>TRIT_TESN</t>
  </si>
  <si>
    <t>Triaxial test/stage reference</t>
  </si>
  <si>
    <t>TRIT_SDIA</t>
  </si>
  <si>
    <t>TRIT_SLEN</t>
  </si>
  <si>
    <t>TRIT_IMC</t>
  </si>
  <si>
    <t>TRIT_FMC</t>
  </si>
  <si>
    <t>TRIT_CELL</t>
  </si>
  <si>
    <t>Total cell pressure</t>
  </si>
  <si>
    <t>TRIT_DEVF</t>
  </si>
  <si>
    <t>Corrected deviator stress at failure</t>
  </si>
  <si>
    <t>TRIT_BDEN</t>
  </si>
  <si>
    <t>TRIT_DDEN</t>
  </si>
  <si>
    <t>TRIT_STRN</t>
  </si>
  <si>
    <t>TRIT_CU</t>
  </si>
  <si>
    <t>Undrained Shear Strength at failure</t>
  </si>
  <si>
    <t>TRIT_MODE</t>
  </si>
  <si>
    <t>TRIT_REM</t>
  </si>
  <si>
    <t>TRIT_FZWC </t>
  </si>
  <si>
    <t>% </t>
  </si>
  <si>
    <t>X </t>
  </si>
  <si>
    <t>Failure zone water content, if measured </t>
  </si>
  <si>
    <t>14.7 </t>
  </si>
  <si>
    <t>TRIT_RATE </t>
  </si>
  <si>
    <t>%/min </t>
  </si>
  <si>
    <t>2SF </t>
  </si>
  <si>
    <t>Mean rate of shear </t>
  </si>
  <si>
    <t>1.5 </t>
  </si>
  <si>
    <t>TRIV_SEQ</t>
  </si>
  <si>
    <t>TRIV_TIME</t>
  </si>
  <si>
    <t>TRIV_DEV</t>
  </si>
  <si>
    <t>TRIV_ASTR</t>
  </si>
  <si>
    <t>Strain</t>
  </si>
  <si>
    <t>TRIV_REM</t>
  </si>
  <si>
    <t>TYPE_TYPE</t>
  </si>
  <si>
    <t>Data type code</t>
  </si>
  <si>
    <t>TYPE_DESC</t>
  </si>
  <si>
    <t>Numeric, zero decimal places</t>
  </si>
  <si>
    <t>UNIT_UNIT</t>
  </si>
  <si>
    <t>Unit</t>
  </si>
  <si>
    <t>Ohm m</t>
  </si>
  <si>
    <t>UNIT_DESC</t>
  </si>
  <si>
    <t>Ohm metres</t>
  </si>
  <si>
    <t>UNIT_REM</t>
  </si>
  <si>
    <t>WADD_TOP</t>
  </si>
  <si>
    <t>10.50</t>
  </si>
  <si>
    <t>WADD_BASE</t>
  </si>
  <si>
    <t>WADD_VOLM</t>
  </si>
  <si>
    <t>l</t>
  </si>
  <si>
    <t>Amount of water added</t>
  </si>
  <si>
    <t>WADD_METH</t>
  </si>
  <si>
    <t>Boring/drilling method associated with addition of water (HDPH_TYPE abbreviation)</t>
  </si>
  <si>
    <t>CP</t>
  </si>
  <si>
    <t>WADD_REM</t>
  </si>
  <si>
    <t>Remarks related to addition of water requirements, method</t>
  </si>
  <si>
    <t>Associated file reference (e.g. drilling journal)</t>
  </si>
  <si>
    <t>WETH_TOP</t>
  </si>
  <si>
    <t>Depth to top of weathering subdivision</t>
  </si>
  <si>
    <t>WETH_BASE</t>
  </si>
  <si>
    <t>Depth to base of weathering subdivision</t>
  </si>
  <si>
    <t>3.95</t>
  </si>
  <si>
    <t>WETH_SCH</t>
  </si>
  <si>
    <t>Weathering scheme</t>
  </si>
  <si>
    <t>BS 5930</t>
  </si>
  <si>
    <t>WETH_SYS</t>
  </si>
  <si>
    <t>Material or mass weathering system</t>
  </si>
  <si>
    <t>MASS CLASS</t>
  </si>
  <si>
    <t>WETH_WETH</t>
  </si>
  <si>
    <t>Minimum material weathering grade, if you have one value use this; Weathering classifier for WETH_SCH and WETH_SYS</t>
  </si>
  <si>
    <t>SW</t>
  </si>
  <si>
    <t>WETH_GRD</t>
  </si>
  <si>
    <t>WETH_REM</t>
  </si>
  <si>
    <t>Associated file reference (e.g. logging sheets)</t>
  </si>
  <si>
    <t>WETH_CONJ</t>
  </si>
  <si>
    <t>WETH_GRDX</t>
  </si>
  <si>
    <t>Maximum material weathering grade, if different from minimum</t>
  </si>
  <si>
    <t>FR</t>
  </si>
  <si>
    <t>WGPG_ID</t>
  </si>
  <si>
    <t>BH01-Pass01</t>
  </si>
  <si>
    <t>WGPG_TOOL</t>
  </si>
  <si>
    <t>Tool used</t>
  </si>
  <si>
    <t>TGRA</t>
  </si>
  <si>
    <t>WGPG_DATE</t>
  </si>
  <si>
    <t>1999-07-02</t>
  </si>
  <si>
    <t>WGPG_STRT</t>
  </si>
  <si>
    <t>Test start depth</t>
  </si>
  <si>
    <t>14.10</t>
  </si>
  <si>
    <t>WGPG_STOP</t>
  </si>
  <si>
    <t>Test stop depth</t>
  </si>
  <si>
    <t>24.56</t>
  </si>
  <si>
    <t>WGPG_BHD</t>
  </si>
  <si>
    <t>Depth of borehole</t>
  </si>
  <si>
    <t>25.85</t>
  </si>
  <si>
    <t>WGPG_WAT</t>
  </si>
  <si>
    <t>Depth of water in borehole</t>
  </si>
  <si>
    <t>4.36</t>
  </si>
  <si>
    <t>WGPG_DETL</t>
  </si>
  <si>
    <t>WGPG_LIM</t>
  </si>
  <si>
    <t>WGPG_ULIM</t>
  </si>
  <si>
    <t>Instrument/method upper reading detection (when appropriate)</t>
  </si>
  <si>
    <t>WGPG_CDIA</t>
  </si>
  <si>
    <t>Casing internal diameter as reported by drillers</t>
  </si>
  <si>
    <t xml:space="preserve">From 0 to 10m : 200mm - From 0 to 30m: 90mm </t>
  </si>
  <si>
    <t>WGPG_REM</t>
  </si>
  <si>
    <t>WGPG_ENV</t>
  </si>
  <si>
    <t>WGPG_METH</t>
  </si>
  <si>
    <t>WGPG_CONT</t>
  </si>
  <si>
    <t>Contractor who undertook testing</t>
  </si>
  <si>
    <t>WGPG_CRED</t>
  </si>
  <si>
    <t>Accrediting body and reference number (Where appropriate)</t>
  </si>
  <si>
    <t>WGPG_STAT</t>
  </si>
  <si>
    <t>FS01</t>
  </si>
  <si>
    <t>WGPG_OPER</t>
  </si>
  <si>
    <t>OBI</t>
  </si>
  <si>
    <t>WGPT_PARA</t>
  </si>
  <si>
    <t>Parameter recorded by tool WGPG_TOOL</t>
  </si>
  <si>
    <t>OBI_EAST</t>
  </si>
  <si>
    <t>WGPT_UNIT</t>
  </si>
  <si>
    <t>WGPT_DPTH</t>
  </si>
  <si>
    <t>Depth of reading</t>
  </si>
  <si>
    <t>10.45</t>
  </si>
  <si>
    <t>WGPT_RDNG</t>
  </si>
  <si>
    <t>WGPT_CAS</t>
  </si>
  <si>
    <t>Borehole casing details at depth of reading</t>
  </si>
  <si>
    <t>OH</t>
  </si>
  <si>
    <t>WGPT_REM</t>
  </si>
  <si>
    <t>WINS_TESN</t>
  </si>
  <si>
    <t>Sampler run reference</t>
  </si>
  <si>
    <t>WINS_TOP</t>
  </si>
  <si>
    <t>Top of sampling run</t>
  </si>
  <si>
    <t>17.20</t>
  </si>
  <si>
    <t>WINS_BASE</t>
  </si>
  <si>
    <t>Base of sampling run</t>
  </si>
  <si>
    <t>WINS_DIAM</t>
  </si>
  <si>
    <t>Internal diameter of sampler</t>
  </si>
  <si>
    <t>97</t>
  </si>
  <si>
    <t>WINS_DURN</t>
  </si>
  <si>
    <t>Duration of sampling run</t>
  </si>
  <si>
    <t>00:30:00</t>
  </si>
  <si>
    <t>WINS_REC</t>
  </si>
  <si>
    <t>Sample recovery</t>
  </si>
  <si>
    <t>WINS_REM</t>
  </si>
  <si>
    <t>Remarks about sampling run</t>
  </si>
  <si>
    <t>Associated file reference (e.g. field records)</t>
  </si>
  <si>
    <t>WSTG_DPTH</t>
  </si>
  <si>
    <t>Depth to water strike</t>
  </si>
  <si>
    <t>WSTD_NMIN</t>
  </si>
  <si>
    <t>Minutes after strike</t>
  </si>
  <si>
    <t>WSTD_POST</t>
  </si>
  <si>
    <t>Depth to water after WSTD_NMIN minutes</t>
  </si>
  <si>
    <t>10.23</t>
  </si>
  <si>
    <t>WSTD_REM</t>
  </si>
  <si>
    <t>WSTG_DTIM</t>
  </si>
  <si>
    <t>Date and time of water strike</t>
  </si>
  <si>
    <t>WSTG_SEAL</t>
  </si>
  <si>
    <t>Depth at which water strike sealed by casing</t>
  </si>
  <si>
    <t>19.10</t>
  </si>
  <si>
    <t>WSTG_CAS</t>
  </si>
  <si>
    <t>Casing depth at time of water strike</t>
  </si>
  <si>
    <t>15.70</t>
  </si>
  <si>
    <t>WSTG_REM</t>
  </si>
  <si>
    <t>Steady flow of water into hole</t>
  </si>
  <si>
    <t>Code</t>
  </si>
  <si>
    <t>List</t>
  </si>
  <si>
    <t>Date</t>
  </si>
  <si>
    <t>Version</t>
  </si>
  <si>
    <t>Heading Name</t>
  </si>
  <si>
    <t>Concat</t>
  </si>
  <si>
    <t>Dry test</t>
  </si>
  <si>
    <t>Approved</t>
  </si>
  <si>
    <t>4.0,4.1</t>
  </si>
  <si>
    <t>Wet test</t>
  </si>
  <si>
    <t>Sand backfill</t>
  </si>
  <si>
    <t>Gravel backfill</t>
  </si>
  <si>
    <t>Bentonite</t>
  </si>
  <si>
    <t>Grout</t>
  </si>
  <si>
    <t>Concrete</t>
  </si>
  <si>
    <t>Asphalt</t>
  </si>
  <si>
    <t>Ballast</t>
  </si>
  <si>
    <t>Upstanding cover</t>
  </si>
  <si>
    <t>Flush cover</t>
  </si>
  <si>
    <t>Paving slab</t>
  </si>
  <si>
    <t>Timber</t>
  </si>
  <si>
    <t>Mortar</t>
  </si>
  <si>
    <t>Void</t>
  </si>
  <si>
    <t>REMOULDED</t>
  </si>
  <si>
    <t>Undisturbed</t>
  </si>
  <si>
    <t>AW</t>
  </si>
  <si>
    <t>AW Casing</t>
  </si>
  <si>
    <t>BW</t>
  </si>
  <si>
    <t>BW Casing</t>
  </si>
  <si>
    <t>HQ</t>
  </si>
  <si>
    <t>HQ Casing</t>
  </si>
  <si>
    <t>HW Casing</t>
  </si>
  <si>
    <t>NW</t>
  </si>
  <si>
    <t>NW Casing</t>
  </si>
  <si>
    <t>PVC</t>
  </si>
  <si>
    <t>PVC Casing</t>
  </si>
  <si>
    <t>PVC150</t>
  </si>
  <si>
    <t>150 mm PVC</t>
  </si>
  <si>
    <t>PW</t>
  </si>
  <si>
    <t>PW Casing</t>
  </si>
  <si>
    <t>Modified</t>
  </si>
  <si>
    <t>Modified Effort</t>
  </si>
  <si>
    <t>Reduced</t>
  </si>
  <si>
    <t>Reduced Effort</t>
  </si>
  <si>
    <t>Standard Effort</t>
  </si>
  <si>
    <t>1 LITRE</t>
  </si>
  <si>
    <t>1 Litre mould type</t>
  </si>
  <si>
    <t>CBR</t>
  </si>
  <si>
    <t>CBR Mould type</t>
  </si>
  <si>
    <t>Mould A</t>
  </si>
  <si>
    <t>Mould B</t>
  </si>
  <si>
    <t>2.5KG</t>
  </si>
  <si>
    <t>2.5kg</t>
  </si>
  <si>
    <t>4.5KG</t>
  </si>
  <si>
    <t>4.5kg Heavy compaction</t>
  </si>
  <si>
    <t>VIBRO</t>
  </si>
  <si>
    <t>Vibro compaction</t>
  </si>
  <si>
    <t>Solid - well defined boundary</t>
  </si>
  <si>
    <t>Dash - grading boundary</t>
  </si>
  <si>
    <t>Dot - poorly defined boundary</t>
  </si>
  <si>
    <t>EXPANDABILITY</t>
  </si>
  <si>
    <t>Expandability</t>
  </si>
  <si>
    <t>HYDRAULIC CELL</t>
  </si>
  <si>
    <t>Hydraulic cell</t>
  </si>
  <si>
    <t>Oedometer</t>
  </si>
  <si>
    <t>SETTLESAT</t>
  </si>
  <si>
    <t>Settlement on saturation</t>
  </si>
  <si>
    <t>New code agreed</t>
  </si>
  <si>
    <t>,</t>
  </si>
  <si>
    <t>/</t>
  </si>
  <si>
    <t>or</t>
  </si>
  <si>
    <t>hh</t>
  </si>
  <si>
    <t>horizontally propagating, horizontally orientated</t>
  </si>
  <si>
    <t>horizontally propagating, vertically orientated</t>
  </si>
  <si>
    <t>Sv</t>
  </si>
  <si>
    <t>Axial shear-wave propagation</t>
  </si>
  <si>
    <t>vh</t>
  </si>
  <si>
    <t>vertically propagating, horizontally orientated</t>
  </si>
  <si>
    <t>K0</t>
  </si>
  <si>
    <t>STRESS</t>
  </si>
  <si>
    <t>Stress path</t>
  </si>
  <si>
    <t>Drained</t>
  </si>
  <si>
    <t>UNDRAINED</t>
  </si>
  <si>
    <t>Undrained</t>
  </si>
  <si>
    <t>CADC</t>
  </si>
  <si>
    <t>Consolidated Anisotropically Drained Cyclic Test</t>
  </si>
  <si>
    <t>CAUC</t>
  </si>
  <si>
    <t>Consolidated Anisotropically Undrained Cyclic Test</t>
  </si>
  <si>
    <t>CIDC</t>
  </si>
  <si>
    <t>Consolidated Isotropically Drained Cyclic Test</t>
  </si>
  <si>
    <t>CIUC</t>
  </si>
  <si>
    <t>Consolidated Isotropically Undrained Cyclic Test</t>
  </si>
  <si>
    <t>9 kg dynamic cone penetrometer</t>
  </si>
  <si>
    <t>PSP</t>
  </si>
  <si>
    <t>Perth sand penetrometer</t>
  </si>
  <si>
    <t>Value; required number of decimal places, 0</t>
  </si>
  <si>
    <t>0SCI</t>
  </si>
  <si>
    <t>Scientific Notation; required number of decimal places, 0</t>
  </si>
  <si>
    <t>Value; required number of decimal places, 1</t>
  </si>
  <si>
    <t>Scientific Notation; required number of decimal places, 1</t>
  </si>
  <si>
    <t>Value; required number of significant figures, 1</t>
  </si>
  <si>
    <t>Value; required number of decimal places, 2</t>
  </si>
  <si>
    <t>Scientific Notation; required number of decimal places, 2</t>
  </si>
  <si>
    <t>Value; required number of significant figures, 2</t>
  </si>
  <si>
    <t>Value; required number of decimal places, 3</t>
  </si>
  <si>
    <t>3SCI</t>
  </si>
  <si>
    <t>Scientific Notation; required number of decimal places, 3</t>
  </si>
  <si>
    <t>Value; required number of significant figures, 3</t>
  </si>
  <si>
    <t>Value; required number of decimal places, 4</t>
  </si>
  <si>
    <t>4SCI</t>
  </si>
  <si>
    <t>Scientific Notation; required number of decimal places, 4</t>
  </si>
  <si>
    <t>4SF</t>
  </si>
  <si>
    <t>Value; required number of significant figures, 4</t>
  </si>
  <si>
    <t>Degrees:Minutes:Seconds</t>
  </si>
  <si>
    <t>Date time in international format</t>
  </si>
  <si>
    <t>Unique Identifier</t>
  </si>
  <si>
    <t>MC</t>
  </si>
  <si>
    <t>British Standard BS1377 : Part 2 reported moisture content</t>
  </si>
  <si>
    <t>Text listed in ABBR Group</t>
  </si>
  <si>
    <t>Text listed in TYPE Group</t>
  </si>
  <si>
    <t>Text listed in UNIT Group</t>
  </si>
  <si>
    <t>Record link</t>
  </si>
  <si>
    <t>Value with variable format</t>
  </si>
  <si>
    <t>Text</t>
  </si>
  <si>
    <t>Text / numeric</t>
  </si>
  <si>
    <t>Y or N or NULL</t>
  </si>
  <si>
    <t>KEY</t>
  </si>
  <si>
    <t>Key field</t>
  </si>
  <si>
    <t>Other field</t>
  </si>
  <si>
    <t>REQUIRED</t>
  </si>
  <si>
    <t>Required field</t>
  </si>
  <si>
    <t>GROUP</t>
  </si>
  <si>
    <t>Flag to indicate definition is a GROUP</t>
  </si>
  <si>
    <t>Flag to indicate definition is a HEADING</t>
  </si>
  <si>
    <t>CN</t>
  </si>
  <si>
    <t>Clean</t>
  </si>
  <si>
    <t>CT</t>
  </si>
  <si>
    <t>Coating (&lt;=1 mm)</t>
  </si>
  <si>
    <t>SN</t>
  </si>
  <si>
    <t>Stained</t>
  </si>
  <si>
    <t>Veneer</t>
  </si>
  <si>
    <t>CA</t>
  </si>
  <si>
    <t>Calcite (Calcium Carbonate)</t>
  </si>
  <si>
    <t>OP</t>
  </si>
  <si>
    <t>open/voided</t>
  </si>
  <si>
    <t>QZ</t>
  </si>
  <si>
    <t>Quartz</t>
  </si>
  <si>
    <t>SC</t>
  </si>
  <si>
    <t>Clayey SAND</t>
  </si>
  <si>
    <t>Silty SAND</t>
  </si>
  <si>
    <t>SAND or Gravelly SAND</t>
  </si>
  <si>
    <t>CU</t>
  </si>
  <si>
    <t>curved</t>
  </si>
  <si>
    <t>irregular</t>
  </si>
  <si>
    <t>PR</t>
  </si>
  <si>
    <t>planar</t>
  </si>
  <si>
    <t>ST</t>
  </si>
  <si>
    <t>stepped</t>
  </si>
  <si>
    <t>UN</t>
  </si>
  <si>
    <t>undulating</t>
  </si>
  <si>
    <t>PO</t>
  </si>
  <si>
    <t>polished</t>
  </si>
  <si>
    <t>RF</t>
  </si>
  <si>
    <t>rough</t>
  </si>
  <si>
    <t>SL</t>
  </si>
  <si>
    <t>slickensided</t>
  </si>
  <si>
    <t>smooth</t>
  </si>
  <si>
    <t>VR</t>
  </si>
  <si>
    <t>very rough</t>
  </si>
  <si>
    <t>Terminates against another discontinuity</t>
  </si>
  <si>
    <t>Terminates within rock</t>
  </si>
  <si>
    <t>Extends beyond exposure</t>
  </si>
  <si>
    <t>CS</t>
  </si>
  <si>
    <t>crushed seam</t>
  </si>
  <si>
    <t>DB</t>
  </si>
  <si>
    <t>drilling break</t>
  </si>
  <si>
    <t>DL</t>
  </si>
  <si>
    <t>drill lift</t>
  </si>
  <si>
    <t>EW</t>
  </si>
  <si>
    <t>extremely weathered seam</t>
  </si>
  <si>
    <t>HB</t>
  </si>
  <si>
    <t>handling break</t>
  </si>
  <si>
    <t>IS</t>
  </si>
  <si>
    <t>infilled seam</t>
  </si>
  <si>
    <t>J</t>
  </si>
  <si>
    <t>joint</t>
  </si>
  <si>
    <t>MB</t>
  </si>
  <si>
    <t>mechanical break</t>
  </si>
  <si>
    <t>P</t>
  </si>
  <si>
    <t>parting</t>
  </si>
  <si>
    <t>sheared surface</t>
  </si>
  <si>
    <t>SS</t>
  </si>
  <si>
    <t>shear seam</t>
  </si>
  <si>
    <t>SZ</t>
  </si>
  <si>
    <t>shear zone</t>
  </si>
  <si>
    <t>Assumed</t>
  </si>
  <si>
    <t xml:space="preserve">Empirical </t>
  </si>
  <si>
    <t>DPH</t>
  </si>
  <si>
    <t>Heavy dynamic probe (50kg hammer mass/500mm drop)</t>
  </si>
  <si>
    <t>DPL</t>
  </si>
  <si>
    <t>Light dynamic probe (10kg hammer mass/500mm drop)</t>
  </si>
  <si>
    <t>DPM</t>
  </si>
  <si>
    <t>Medium dynamic probe (30kg hammer mass/500mm drop)</t>
  </si>
  <si>
    <t>DPSH-A</t>
  </si>
  <si>
    <t>Superheavy dynamic probe (63.5kg hammer mass/500mm drop)</t>
  </si>
  <si>
    <t>DPSH-B</t>
  </si>
  <si>
    <t>Superheavy (63.5kg hammer mass/750mm drop)</t>
  </si>
  <si>
    <t>AIR</t>
  </si>
  <si>
    <t>Dry</t>
  </si>
  <si>
    <t>FIELD</t>
  </si>
  <si>
    <t>Field</t>
  </si>
  <si>
    <t>LAB</t>
  </si>
  <si>
    <t>Laboratory</t>
  </si>
  <si>
    <t>GAS</t>
  </si>
  <si>
    <t>Gas</t>
  </si>
  <si>
    <t>Liquid</t>
  </si>
  <si>
    <t>PRODUCT</t>
  </si>
  <si>
    <t>Product</t>
  </si>
  <si>
    <t>SOLID</t>
  </si>
  <si>
    <t>Solid</t>
  </si>
  <si>
    <t>Tentatively identified compound</t>
  </si>
  <si>
    <t>TRG</t>
  </si>
  <si>
    <t>Target</t>
  </si>
  <si>
    <t>REANALYSIS</t>
  </si>
  <si>
    <t>Reanalysis</t>
  </si>
  <si>
    <t>CEN_10_1</t>
  </si>
  <si>
    <t>CEN 10-1</t>
  </si>
  <si>
    <t>CEN 2-1</t>
  </si>
  <si>
    <t>NRA</t>
  </si>
  <si>
    <t>No Reason at All??</t>
  </si>
  <si>
    <t>CD</t>
  </si>
  <si>
    <t>Consolidated Drained</t>
  </si>
  <si>
    <t>CDM</t>
  </si>
  <si>
    <t>Consolidated Drained Multistage</t>
  </si>
  <si>
    <t>Consolidated Undrained</t>
  </si>
  <si>
    <t>CUM</t>
  </si>
  <si>
    <t>Consolidated Undrained Multistage</t>
  </si>
  <si>
    <t>Standpipe piezometer</t>
  </si>
  <si>
    <t>Constant Head</t>
  </si>
  <si>
    <t>Falling</t>
  </si>
  <si>
    <t>Falling Head</t>
  </si>
  <si>
    <t>???</t>
  </si>
  <si>
    <t>CAL</t>
  </si>
  <si>
    <t>Calibration data</t>
  </si>
  <si>
    <t>CR</t>
  </si>
  <si>
    <t>Construction record</t>
  </si>
  <si>
    <t>DRAW</t>
  </si>
  <si>
    <t>Drawing</t>
  </si>
  <si>
    <t>GEN</t>
  </si>
  <si>
    <t>General</t>
  </si>
  <si>
    <t>Method statement</t>
  </si>
  <si>
    <t>PH</t>
  </si>
  <si>
    <t>Photograph</t>
  </si>
  <si>
    <t>RAW</t>
  </si>
  <si>
    <t>Raw data</t>
  </si>
  <si>
    <t>REP</t>
  </si>
  <si>
    <t>Report</t>
  </si>
  <si>
    <t>TECH</t>
  </si>
  <si>
    <t>Technical paper</t>
  </si>
  <si>
    <t>VI</t>
  </si>
  <si>
    <t>Video clip</t>
  </si>
  <si>
    <t>BMP</t>
  </si>
  <si>
    <t>Bitmap image file</t>
  </si>
  <si>
    <t>Joint Photographic Experts Group graphics/image file</t>
  </si>
  <si>
    <t>PDF</t>
  </si>
  <si>
    <t>Portable Document Format</t>
  </si>
  <si>
    <t>Air</t>
  </si>
  <si>
    <t>FLSH_TYPE|Air</t>
  </si>
  <si>
    <t>FLSH_TYPE|Bentonite</t>
  </si>
  <si>
    <t>Lubricant</t>
  </si>
  <si>
    <t>FLSH_TYPE|Lubricant</t>
  </si>
  <si>
    <t>Polymer</t>
  </si>
  <si>
    <t>FLSH_TYPE|Polymer</t>
  </si>
  <si>
    <t>Recompacted</t>
  </si>
  <si>
    <t>ACO2</t>
  </si>
  <si>
    <t>Aggressive carbon dioxide (as mg/l)</t>
  </si>
  <si>
    <t>Acid-soluble sulphate (as % SO4)</t>
  </si>
  <si>
    <t>AS_SO3</t>
  </si>
  <si>
    <t>Acid-soluble sulphate (as % SO3)</t>
  </si>
  <si>
    <t>CACO3</t>
  </si>
  <si>
    <t>Chalk content (as %CaCO3)</t>
  </si>
  <si>
    <t>CL</t>
  </si>
  <si>
    <t>Chloride (as mg/l)</t>
  </si>
  <si>
    <t>CO2</t>
  </si>
  <si>
    <t>Carbonate content (as %CO2)</t>
  </si>
  <si>
    <t>GWS</t>
  </si>
  <si>
    <t>Groundwater sulfate</t>
  </si>
  <si>
    <t>LOI</t>
  </si>
  <si>
    <t>Loss on ignition (as %)</t>
  </si>
  <si>
    <t>MSC</t>
  </si>
  <si>
    <t>Monosulfide sulfur content</t>
  </si>
  <si>
    <t>NH4</t>
  </si>
  <si>
    <t>Ammonium ion (as mg/l)</t>
  </si>
  <si>
    <t>NO3</t>
  </si>
  <si>
    <t>Nitrate (as mg/l)</t>
  </si>
  <si>
    <t>OGM</t>
  </si>
  <si>
    <t>Organic matter content (as %)</t>
  </si>
  <si>
    <t>OS</t>
  </si>
  <si>
    <t>Oxidisable Sulphide</t>
  </si>
  <si>
    <t>Acidity/alkalinity (pH to nearest 0.1)</t>
  </si>
  <si>
    <t>REDOX</t>
  </si>
  <si>
    <t>Redox potential (in mV)</t>
  </si>
  <si>
    <t>SO3</t>
  </si>
  <si>
    <t>Sulphate as SO3</t>
  </si>
  <si>
    <t>SO4</t>
  </si>
  <si>
    <t>Sulphate as SO4</t>
  </si>
  <si>
    <t>TDS</t>
  </si>
  <si>
    <t>Total dissolved solids (in mg/l to 2SF)</t>
  </si>
  <si>
    <t>Total inorganic carbon</t>
  </si>
  <si>
    <t>TOC</t>
  </si>
  <si>
    <t>Total organic carbon</t>
  </si>
  <si>
    <t>TPS</t>
  </si>
  <si>
    <t>Total potential sulfate</t>
  </si>
  <si>
    <t>TRS</t>
  </si>
  <si>
    <t>Total reduced sulfur</t>
  </si>
  <si>
    <t>TS</t>
  </si>
  <si>
    <t>Total sulphur (as %S)</t>
  </si>
  <si>
    <t>WCL</t>
  </si>
  <si>
    <t>Water soluble chloride (as mg/l)</t>
  </si>
  <si>
    <t>WMG</t>
  </si>
  <si>
    <t>Water/soil extract Magnesium (as m/g)</t>
  </si>
  <si>
    <t>WS</t>
  </si>
  <si>
    <t>Water-soluble sulphate (as mg/l SO4)</t>
  </si>
  <si>
    <t>WS_SO3</t>
  </si>
  <si>
    <t>Water-soluble sulphate (as g/l SO3)</t>
  </si>
  <si>
    <t>Solid (2:1 Soil/Water extract)</t>
  </si>
  <si>
    <t>SOLID_ACID EXTRACT</t>
  </si>
  <si>
    <t>Solid (Acid extract)</t>
  </si>
  <si>
    <t>SOLID_TOTAL</t>
  </si>
  <si>
    <t>Solid (Total)</t>
  </si>
  <si>
    <t>WATER</t>
  </si>
  <si>
    <t>.</t>
  </si>
  <si>
    <t>beds</t>
  </si>
  <si>
    <t>black</t>
  </si>
  <si>
    <t>blue</t>
  </si>
  <si>
    <t>brown</t>
  </si>
  <si>
    <t>cream</t>
  </si>
  <si>
    <t>dark</t>
  </si>
  <si>
    <t>green</t>
  </si>
  <si>
    <t>in</t>
  </si>
  <si>
    <t>mottled</t>
  </si>
  <si>
    <t>of</t>
  </si>
  <si>
    <t>off</t>
  </si>
  <si>
    <t>olive</t>
  </si>
  <si>
    <t>orange</t>
  </si>
  <si>
    <t>pale</t>
  </si>
  <si>
    <t>patches</t>
  </si>
  <si>
    <t>pink</t>
  </si>
  <si>
    <t>places</t>
  </si>
  <si>
    <t>purple</t>
  </si>
  <si>
    <t>red</t>
  </si>
  <si>
    <t>some</t>
  </si>
  <si>
    <t>very</t>
  </si>
  <si>
    <t>white</t>
  </si>
  <si>
    <t>yellow</t>
  </si>
  <si>
    <t>zones</t>
  </si>
  <si>
    <t>TOPSOIL</t>
  </si>
  <si>
    <t>MADE GROUND</t>
  </si>
  <si>
    <t>Bituminous Material</t>
  </si>
  <si>
    <t>CONCRETE</t>
  </si>
  <si>
    <t>Wood</t>
  </si>
  <si>
    <t>Silty CLAY</t>
  </si>
  <si>
    <t>Sandy CLAY</t>
  </si>
  <si>
    <t>Gravelly CLAY</t>
  </si>
  <si>
    <t>Cobbly CLAY</t>
  </si>
  <si>
    <t>Bouldery CLAY</t>
  </si>
  <si>
    <t>Silty sandy CLAY</t>
  </si>
  <si>
    <t>Silty gravelly CLAY</t>
  </si>
  <si>
    <t>Silty cobbly CLAY</t>
  </si>
  <si>
    <t>Silty bouldery CLAY</t>
  </si>
  <si>
    <t>Silty sandy gravelly CLAY</t>
  </si>
  <si>
    <t>Silty sandy cobbly CLAY</t>
  </si>
  <si>
    <t>Silty sandy bouldery CLAY</t>
  </si>
  <si>
    <t>Silty sandy gravelly cobbly CLAY</t>
  </si>
  <si>
    <t>Silty sandy gravelly bouldery CLAY</t>
  </si>
  <si>
    <t>Silty sandy gravelly cobbly bouldery CLAY</t>
  </si>
  <si>
    <t>Silty sandy organic CLAY</t>
  </si>
  <si>
    <t>Silty sandy gravelly organic CLAY</t>
  </si>
  <si>
    <t>Silty organic CLAY</t>
  </si>
  <si>
    <t>Sandy gravelly CLAY</t>
  </si>
  <si>
    <t>Sandy cobbly CLAY</t>
  </si>
  <si>
    <t>Sandy bouldery CLAY</t>
  </si>
  <si>
    <t>Sandy gravelly cobbly CLAY</t>
  </si>
  <si>
    <t>Sandy gravelly bouldery CLAY</t>
  </si>
  <si>
    <t>Sandy gravelly cobbly bouldery CLAY</t>
  </si>
  <si>
    <t>Sandy organic CLAY</t>
  </si>
  <si>
    <t>Sandy gravelly organic CLAY</t>
  </si>
  <si>
    <t>Organic CLAY</t>
  </si>
  <si>
    <t>Gravelly cobbly CLAY</t>
  </si>
  <si>
    <t>Silty gravelly cobbly CLAY</t>
  </si>
  <si>
    <t>SILT</t>
  </si>
  <si>
    <t>Clay/Silt</t>
  </si>
  <si>
    <t>Sandy SILT</t>
  </si>
  <si>
    <t>Gravelly SILT</t>
  </si>
  <si>
    <t>Organic SILT</t>
  </si>
  <si>
    <t>Clayey sandy SILT</t>
  </si>
  <si>
    <t>Sandy gravelly SILT</t>
  </si>
  <si>
    <t>Clayey sandy gravelly SILT</t>
  </si>
  <si>
    <t>Clayey sandy gravelly organic cobbly SILT</t>
  </si>
  <si>
    <t>Sandy cobbly SILT</t>
  </si>
  <si>
    <t>Sandy bouldery SILT</t>
  </si>
  <si>
    <t>Sandy organic SILT</t>
  </si>
  <si>
    <t>Sandy gravelly organic SILT</t>
  </si>
  <si>
    <t>Sandy gravelly cobbly SILT</t>
  </si>
  <si>
    <t>Sandy gravelly organic cobbly SILT</t>
  </si>
  <si>
    <t>Gravelly cobbly SILT</t>
  </si>
  <si>
    <t>Gravelly bouldery SILT</t>
  </si>
  <si>
    <t>Gravelly organic SILT</t>
  </si>
  <si>
    <t>Gravelly organic cobbly SILT</t>
  </si>
  <si>
    <t>Cobbly SILT</t>
  </si>
  <si>
    <t>Cobbly bouldery SILT</t>
  </si>
  <si>
    <t>Organic cobbly SILT</t>
  </si>
  <si>
    <t>Bouldery SILT</t>
  </si>
  <si>
    <t>Sandy gravelly clayey cobbly SILT</t>
  </si>
  <si>
    <t>Gravelly SAND</t>
  </si>
  <si>
    <t>Cobbly SAND</t>
  </si>
  <si>
    <t>Bouldery SAND</t>
  </si>
  <si>
    <t>Clayey gravelly SAND</t>
  </si>
  <si>
    <t>Clayey gravelly cobbly SAND</t>
  </si>
  <si>
    <t>Silty gravelly SAND</t>
  </si>
  <si>
    <t>Silty gravelly cobbly SAND</t>
  </si>
  <si>
    <t>Silty gravelly cobbly bouldery SAND</t>
  </si>
  <si>
    <t>Gravelly cobbly SAND</t>
  </si>
  <si>
    <t>Gravelly cobbly bouldery SAND</t>
  </si>
  <si>
    <t>Gravelly bouldery SAND</t>
  </si>
  <si>
    <t>Cobbly bouldery SAND</t>
  </si>
  <si>
    <t>Silty cobbly SAND</t>
  </si>
  <si>
    <t>SAND and GRAVEL</t>
  </si>
  <si>
    <t>Organic SAND</t>
  </si>
  <si>
    <t>Silty organic SAND</t>
  </si>
  <si>
    <t>Gravelly organic SAND</t>
  </si>
  <si>
    <t>Cobbly organic SAND</t>
  </si>
  <si>
    <t>Bouldery organic SAND</t>
  </si>
  <si>
    <t>Clayey GRAVEL</t>
  </si>
  <si>
    <t>Silty GRAVEL</t>
  </si>
  <si>
    <t>Sandy GRAVEL</t>
  </si>
  <si>
    <t>Organic GRAVEL</t>
  </si>
  <si>
    <t>Cobbly GRAVEL</t>
  </si>
  <si>
    <t>Bouldery GRAVEL</t>
  </si>
  <si>
    <t>Clayey sandy GRAVEL</t>
  </si>
  <si>
    <t>Clayey cobbly GRAVEL</t>
  </si>
  <si>
    <t>Clayey bouldery GRAVEL</t>
  </si>
  <si>
    <t>Clayey organic GRAVEL</t>
  </si>
  <si>
    <t>Clayey sandy cobbly GRAVEL</t>
  </si>
  <si>
    <t>Clayey sandy organic GRAVEL</t>
  </si>
  <si>
    <t>Silty sandy GRAVEL</t>
  </si>
  <si>
    <t>Silty cobbly GRAVEL</t>
  </si>
  <si>
    <t>Silty bouldery GRAVEL</t>
  </si>
  <si>
    <t>Silty organic GRAVEL</t>
  </si>
  <si>
    <t>Silty organic sandy GRAVEL</t>
  </si>
  <si>
    <t>Sandy cobbly GRAVEL</t>
  </si>
  <si>
    <t>Sandy bouldery GRAVEL</t>
  </si>
  <si>
    <t>Sandy organic GRAVEL</t>
  </si>
  <si>
    <t>Silty sandy cobbly GRAVEL</t>
  </si>
  <si>
    <t>PEAT</t>
  </si>
  <si>
    <t>Clayey PEAT</t>
  </si>
  <si>
    <t>Silty PEAT</t>
  </si>
  <si>
    <t>Sandy PEAT</t>
  </si>
  <si>
    <t>Gravelly PEAT</t>
  </si>
  <si>
    <t>Cobbly PEAT</t>
  </si>
  <si>
    <t>Clayey sandy PEAT</t>
  </si>
  <si>
    <t>Clayey gravelly PEAT</t>
  </si>
  <si>
    <t>Silty sandy PEAT</t>
  </si>
  <si>
    <t>Silty sandy gravelly PEAT</t>
  </si>
  <si>
    <t>Sandy gravelly PEAT</t>
  </si>
  <si>
    <t>COBBLES</t>
  </si>
  <si>
    <t>Clayey COBBLES</t>
  </si>
  <si>
    <t>Silty COBBLES</t>
  </si>
  <si>
    <t>Sandy COBBLES</t>
  </si>
  <si>
    <t>Gravelly COBBLES</t>
  </si>
  <si>
    <t>Organic COBBLES</t>
  </si>
  <si>
    <t>Clayey sandy COBBLES</t>
  </si>
  <si>
    <t>Clayey gravelly COBBLES</t>
  </si>
  <si>
    <t>Silty sandy COBBLES</t>
  </si>
  <si>
    <t>Silty gravelly COBBLES</t>
  </si>
  <si>
    <t>Silty organic COBBLES</t>
  </si>
  <si>
    <t>Silty gravelly sandy COBBLES</t>
  </si>
  <si>
    <t>Silty sandy organic COBBLES</t>
  </si>
  <si>
    <t>Silty sandy gravelly organic COBBLES</t>
  </si>
  <si>
    <t>Sandy gravelly COBBLES</t>
  </si>
  <si>
    <t>Sandy organic COBBLES</t>
  </si>
  <si>
    <t>Gravelly organic COBBLES</t>
  </si>
  <si>
    <t>COBBLES and BOULDERS</t>
  </si>
  <si>
    <t>BOULDERS</t>
  </si>
  <si>
    <t>Gravelly cobbly BOULDERS</t>
  </si>
  <si>
    <t>MUDSTONE</t>
  </si>
  <si>
    <t>SILTSTONE</t>
  </si>
  <si>
    <t>SANDSTONE</t>
  </si>
  <si>
    <t>LIMESTONE</t>
  </si>
  <si>
    <t>CHALK</t>
  </si>
  <si>
    <t>COAL</t>
  </si>
  <si>
    <t>BRECCIA</t>
  </si>
  <si>
    <t>CONGLOMERATE</t>
  </si>
  <si>
    <t>Fine grained IGNEOUS</t>
  </si>
  <si>
    <t>Medium grained IGNEOUS</t>
  </si>
  <si>
    <t>Course grained IGNEOUS</t>
  </si>
  <si>
    <t>Fine grained METAMORPHIC</t>
  </si>
  <si>
    <t>Medium grained METAMORPHIC</t>
  </si>
  <si>
    <t>Course grained METAMORPHIC</t>
  </si>
  <si>
    <t>Pyroclastic (volcanic ash)</t>
  </si>
  <si>
    <t>Gypsum, Rocksalt</t>
  </si>
  <si>
    <t>Shale</t>
  </si>
  <si>
    <t>IRONSTONE</t>
  </si>
  <si>
    <t>SLATE</t>
  </si>
  <si>
    <t>Broken Ground</t>
  </si>
  <si>
    <t>Undetermined</t>
  </si>
  <si>
    <t>No Recovery</t>
  </si>
  <si>
    <t>AU101</t>
  </si>
  <si>
    <t>ASPHALTIC CONCRETE</t>
  </si>
  <si>
    <t>AU102</t>
  </si>
  <si>
    <t>FILL</t>
  </si>
  <si>
    <t>AU103</t>
  </si>
  <si>
    <t>ROOTS</t>
  </si>
  <si>
    <t>AU104</t>
  </si>
  <si>
    <t>SHELLS</t>
  </si>
  <si>
    <t>AU105</t>
  </si>
  <si>
    <t>WOOD</t>
  </si>
  <si>
    <t>AU801</t>
  </si>
  <si>
    <t>AGGLOMERATE</t>
  </si>
  <si>
    <t>ANDESITE</t>
  </si>
  <si>
    <t>AU803</t>
  </si>
  <si>
    <t>ANHYDRITE</t>
  </si>
  <si>
    <t>AU804</t>
  </si>
  <si>
    <t>APLITE</t>
  </si>
  <si>
    <t>AU805</t>
  </si>
  <si>
    <t>ARGILLITE</t>
  </si>
  <si>
    <t>AU806</t>
  </si>
  <si>
    <t>ARKOSE</t>
  </si>
  <si>
    <t>AU807</t>
  </si>
  <si>
    <t>BASALT</t>
  </si>
  <si>
    <t>AU808</t>
  </si>
  <si>
    <t>BASALTIC AGGLOMERATE</t>
  </si>
  <si>
    <t>AU809</t>
  </si>
  <si>
    <t>CALCARENITE</t>
  </si>
  <si>
    <t>AU810</t>
  </si>
  <si>
    <t>CALCAREOUS</t>
  </si>
  <si>
    <t>AU811</t>
  </si>
  <si>
    <t>CALCILUTITE</t>
  </si>
  <si>
    <t>AU812</t>
  </si>
  <si>
    <t>CALCIRUDITE</t>
  </si>
  <si>
    <t>AU813</t>
  </si>
  <si>
    <t>CALCISILTITE</t>
  </si>
  <si>
    <t>AU814</t>
  </si>
  <si>
    <t>CARBONACEOUS</t>
  </si>
  <si>
    <t>AU815</t>
  </si>
  <si>
    <t>CHERT</t>
  </si>
  <si>
    <t>AU816</t>
  </si>
  <si>
    <t>CHERTY LIMESTONE</t>
  </si>
  <si>
    <t>AU817</t>
  </si>
  <si>
    <t>CLAYSTONE</t>
  </si>
  <si>
    <t>AU818</t>
  </si>
  <si>
    <t>COAL LIGNITE</t>
  </si>
  <si>
    <t>AU819</t>
  </si>
  <si>
    <t>CORAL</t>
  </si>
  <si>
    <t>AU820</t>
  </si>
  <si>
    <t>CRUSHED SANDSTONE</t>
  </si>
  <si>
    <t>AU821</t>
  </si>
  <si>
    <t>DACITE</t>
  </si>
  <si>
    <t>AU822</t>
  </si>
  <si>
    <t>DIORITE</t>
  </si>
  <si>
    <t>AU823</t>
  </si>
  <si>
    <t>DOLERITE</t>
  </si>
  <si>
    <t>AU824</t>
  </si>
  <si>
    <t>DOLOMITE</t>
  </si>
  <si>
    <t>AU825</t>
  </si>
  <si>
    <t>DOLOMITIC LIMESTONE</t>
  </si>
  <si>
    <t>AU826</t>
  </si>
  <si>
    <t>FERRICRETE</t>
  </si>
  <si>
    <t>AU827</t>
  </si>
  <si>
    <t>FERRUGINOUS</t>
  </si>
  <si>
    <t>AU828</t>
  </si>
  <si>
    <t>FOSSILS</t>
  </si>
  <si>
    <t>AU829</t>
  </si>
  <si>
    <t>GABBRO</t>
  </si>
  <si>
    <t>AU830</t>
  </si>
  <si>
    <t>GNEISS</t>
  </si>
  <si>
    <t>AU831</t>
  </si>
  <si>
    <t>GRANITE</t>
  </si>
  <si>
    <t>AU832</t>
  </si>
  <si>
    <t>GRANULITE</t>
  </si>
  <si>
    <t>AU833</t>
  </si>
  <si>
    <t>GREYWACKE</t>
  </si>
  <si>
    <t>AU834</t>
  </si>
  <si>
    <t>HALITE</t>
  </si>
  <si>
    <t>AU835</t>
  </si>
  <si>
    <t>HORNFELS</t>
  </si>
  <si>
    <t>AU836</t>
  </si>
  <si>
    <t>IGNUMBRITE</t>
  </si>
  <si>
    <t>AU837</t>
  </si>
  <si>
    <t>INTERBEDDED MUDSTONE &amp; SANDSTONE</t>
  </si>
  <si>
    <t>AU838</t>
  </si>
  <si>
    <t>INTERBEDDED MUDSTONE &amp; SILTSTONE</t>
  </si>
  <si>
    <t>AU839</t>
  </si>
  <si>
    <t>INTERBEDDED SILTSTONE &amp; SANDSTONE</t>
  </si>
  <si>
    <t>AU840</t>
  </si>
  <si>
    <t>AU841</t>
  </si>
  <si>
    <t>LENSES SANDSTONE</t>
  </si>
  <si>
    <t>AU842</t>
  </si>
  <si>
    <t>LENSES SILTSTONE</t>
  </si>
  <si>
    <t>AU843</t>
  </si>
  <si>
    <t>LIGNITE</t>
  </si>
  <si>
    <t>AU844</t>
  </si>
  <si>
    <t>MARBLE</t>
  </si>
  <si>
    <t>AU845</t>
  </si>
  <si>
    <t>META LIMESTONE</t>
  </si>
  <si>
    <t>AU846</t>
  </si>
  <si>
    <t>METAMORPHIC</t>
  </si>
  <si>
    <t>AU847</t>
  </si>
  <si>
    <t>METAMORPHIC CONTACT</t>
  </si>
  <si>
    <t>AU848</t>
  </si>
  <si>
    <t>METASEDIMENTS</t>
  </si>
  <si>
    <t>AU849</t>
  </si>
  <si>
    <t>MICRODORITE</t>
  </si>
  <si>
    <t>AU850</t>
  </si>
  <si>
    <t>MICROGABBRO</t>
  </si>
  <si>
    <t>AU851</t>
  </si>
  <si>
    <t>MICROGRANITE</t>
  </si>
  <si>
    <t>AU852</t>
  </si>
  <si>
    <t>MIGMATITE</t>
  </si>
  <si>
    <t>AU853</t>
  </si>
  <si>
    <t>AU854</t>
  </si>
  <si>
    <t>MUDSTONE &amp; SILTSTONE</t>
  </si>
  <si>
    <t>AU855</t>
  </si>
  <si>
    <t>OOLITIC</t>
  </si>
  <si>
    <t>AU856</t>
  </si>
  <si>
    <t>PERIDOTITE</t>
  </si>
  <si>
    <t>AU857</t>
  </si>
  <si>
    <t>PHOSPHATIC</t>
  </si>
  <si>
    <t>AU858</t>
  </si>
  <si>
    <t>PHYLLITE</t>
  </si>
  <si>
    <t>AU859</t>
  </si>
  <si>
    <t>QUARTZ</t>
  </si>
  <si>
    <t>AU860</t>
  </si>
  <si>
    <t>QUARTZITE</t>
  </si>
  <si>
    <t>AU861</t>
  </si>
  <si>
    <t>RHYOLITE</t>
  </si>
  <si>
    <t>AU862</t>
  </si>
  <si>
    <t>SCHIST</t>
  </si>
  <si>
    <t>AU863</t>
  </si>
  <si>
    <t>SERPENTINE</t>
  </si>
  <si>
    <t>AU864</t>
  </si>
  <si>
    <t>SHALE</t>
  </si>
  <si>
    <t>AU865</t>
  </si>
  <si>
    <t>SILTSTONE &amp; SANDSTONE</t>
  </si>
  <si>
    <t>AU866</t>
  </si>
  <si>
    <t>SYENITE</t>
  </si>
  <si>
    <t>AU867</t>
  </si>
  <si>
    <t>TALUS</t>
  </si>
  <si>
    <t>AU868</t>
  </si>
  <si>
    <t>TUFF</t>
  </si>
  <si>
    <t>AU869</t>
  </si>
  <si>
    <t>VOLCANIC</t>
  </si>
  <si>
    <t>AU870</t>
  </si>
  <si>
    <t>VOLCANIC BRECCIA</t>
  </si>
  <si>
    <t>AU871</t>
  </si>
  <si>
    <t>VOLCANIC GLASS</t>
  </si>
  <si>
    <t>AU872</t>
  </si>
  <si>
    <t>WELDED TUFF</t>
  </si>
  <si>
    <t>AU999</t>
  </si>
  <si>
    <t>CORE LOSS</t>
  </si>
  <si>
    <t>aeolian soil</t>
  </si>
  <si>
    <t>basecourse</t>
  </si>
  <si>
    <t>colluvial soil</t>
  </si>
  <si>
    <t>estuarine soil</t>
  </si>
  <si>
    <t>extremely weathered material</t>
  </si>
  <si>
    <t>fill</t>
  </si>
  <si>
    <t>lacustrine soil</t>
  </si>
  <si>
    <t>marine soil</t>
  </si>
  <si>
    <t>road surface</t>
  </si>
  <si>
    <t>sub-basecourse</t>
  </si>
  <si>
    <t>topsoil</t>
  </si>
  <si>
    <t>probably</t>
  </si>
  <si>
    <t>coarse</t>
  </si>
  <si>
    <t>dry</t>
  </si>
  <si>
    <t>moist</t>
  </si>
  <si>
    <t>wet</t>
  </si>
  <si>
    <t>agglomerate</t>
  </si>
  <si>
    <t>anhydrite</t>
  </si>
  <si>
    <t>aplite</t>
  </si>
  <si>
    <t>arkose</t>
  </si>
  <si>
    <t>basalt</t>
  </si>
  <si>
    <t>breccia</t>
  </si>
  <si>
    <t>calcarenite</t>
  </si>
  <si>
    <t>calcilutite</t>
  </si>
  <si>
    <t>calcirudite</t>
  </si>
  <si>
    <t>calcisiltite</t>
  </si>
  <si>
    <t>calcrete</t>
  </si>
  <si>
    <t>chalk</t>
  </si>
  <si>
    <t>chert</t>
  </si>
  <si>
    <t>claystone</t>
  </si>
  <si>
    <t>coal</t>
  </si>
  <si>
    <t>coal lignite</t>
  </si>
  <si>
    <t>conglomerate</t>
  </si>
  <si>
    <t>diorite</t>
  </si>
  <si>
    <t>dolerite</t>
  </si>
  <si>
    <t>dolomite</t>
  </si>
  <si>
    <t>ferricrete</t>
  </si>
  <si>
    <t>gabbro</t>
  </si>
  <si>
    <t>gneiss</t>
  </si>
  <si>
    <t>granite</t>
  </si>
  <si>
    <t>granulite</t>
  </si>
  <si>
    <t>greywacke</t>
  </si>
  <si>
    <t>gypcrete</t>
  </si>
  <si>
    <t>gypsum</t>
  </si>
  <si>
    <t>halite</t>
  </si>
  <si>
    <t>hornfels</t>
  </si>
  <si>
    <t>ignumbrite</t>
  </si>
  <si>
    <t>ironstone</t>
  </si>
  <si>
    <t>laminite</t>
  </si>
  <si>
    <t>lignite</t>
  </si>
  <si>
    <t>limestone</t>
  </si>
  <si>
    <t>marble</t>
  </si>
  <si>
    <t>microdiorite</t>
  </si>
  <si>
    <t>microgranite</t>
  </si>
  <si>
    <t>migmatite</t>
  </si>
  <si>
    <t>mudstone</t>
  </si>
  <si>
    <t>peridotite</t>
  </si>
  <si>
    <t>phyllite</t>
  </si>
  <si>
    <t>quartzite</t>
  </si>
  <si>
    <t>rhyolite</t>
  </si>
  <si>
    <t>schist</t>
  </si>
  <si>
    <t>serpentine</t>
  </si>
  <si>
    <t>shale</t>
  </si>
  <si>
    <t>silcrete</t>
  </si>
  <si>
    <t>slate</t>
  </si>
  <si>
    <t>syenite</t>
  </si>
  <si>
    <t>tuff</t>
  </si>
  <si>
    <t>volcanic breccia</t>
  </si>
  <si>
    <t>volcanic glass</t>
  </si>
  <si>
    <t>welded tuff</t>
  </si>
  <si>
    <t>argillaceous</t>
  </si>
  <si>
    <t>calcareous clayey</t>
  </si>
  <si>
    <t>coal and carbonaceous</t>
  </si>
  <si>
    <t>conglomeratic</t>
  </si>
  <si>
    <t>crystalline</t>
  </si>
  <si>
    <t>impure</t>
  </si>
  <si>
    <t>lithic</t>
  </si>
  <si>
    <t>meta</t>
  </si>
  <si>
    <t>quartzose</t>
  </si>
  <si>
    <t>sandy</t>
  </si>
  <si>
    <t>siliceous</t>
  </si>
  <si>
    <t>siliceous detrital</t>
  </si>
  <si>
    <t>silty</t>
  </si>
  <si>
    <t>tuffaceous</t>
  </si>
  <si>
    <t>CH</t>
  </si>
  <si>
    <t>High Plasticity CLAY</t>
  </si>
  <si>
    <t>CH-MH</t>
  </si>
  <si>
    <t>High Plasticity CLAY to High Plasticity SILT</t>
  </si>
  <si>
    <t>CH-OH</t>
  </si>
  <si>
    <t>High Plasticity CLAY to High Plasticity ORGANIC CLAYS and SILTS</t>
  </si>
  <si>
    <t>Medium Plasticity CLAY</t>
  </si>
  <si>
    <t>CI-CH</t>
  </si>
  <si>
    <t>Medium to High Plasticity CLAY</t>
  </si>
  <si>
    <t>CI-ML</t>
  </si>
  <si>
    <t>Medium Plasticity CLAY to Low Plasticity SILT</t>
  </si>
  <si>
    <t>CI-OL</t>
  </si>
  <si>
    <t>Medium Plasticity CLAY to Low Plasticity ORGANIC CLAYS and SILTS</t>
  </si>
  <si>
    <t>Low Plasticity CLAY</t>
  </si>
  <si>
    <t>CL-CI</t>
  </si>
  <si>
    <t>Low to Medium Plasticity CLAY</t>
  </si>
  <si>
    <t>CL-ML</t>
  </si>
  <si>
    <t>Low Plasticity CLAY to Low Plasticity SILT</t>
  </si>
  <si>
    <t>CL-OL</t>
  </si>
  <si>
    <t>Low Plasticity CLAY to Low Plasticity ORGANIC CLAYS and SILTS</t>
  </si>
  <si>
    <t>GC</t>
  </si>
  <si>
    <t>GC-GM</t>
  </si>
  <si>
    <t>Clayey GRAVEL to Silty GRAVEL</t>
  </si>
  <si>
    <t>GM</t>
  </si>
  <si>
    <t>GP</t>
  </si>
  <si>
    <t>Poorly Graded GRAVEL</t>
  </si>
  <si>
    <t>GP-GC</t>
  </si>
  <si>
    <t>Poorly Graded GRAVEL to Clayey GRAVEL</t>
  </si>
  <si>
    <t>GP-GM</t>
  </si>
  <si>
    <t>Poorly Graded GRAVEL to Silty GRAVEL</t>
  </si>
  <si>
    <t>Well Graded GRAVEL</t>
  </si>
  <si>
    <t>GW-GC</t>
  </si>
  <si>
    <t>Well Graded GRAVEL to Clayey GRAVEL</t>
  </si>
  <si>
    <t>GW-GM</t>
  </si>
  <si>
    <t>Well Graded GRAVEL to Silty GRAVEL</t>
  </si>
  <si>
    <t>MH</t>
  </si>
  <si>
    <t>High Plasticity SILT</t>
  </si>
  <si>
    <t>MH-OH</t>
  </si>
  <si>
    <t>High Plasticity SILT to High Plasticity ORGANIC CLAYS and SILTS</t>
  </si>
  <si>
    <t>ML</t>
  </si>
  <si>
    <t>Low Plasticity SILT</t>
  </si>
  <si>
    <t>ML-OL</t>
  </si>
  <si>
    <t>Low Plasticity SILT to Low Plasticity ORGANIC CLAYS and SILTS</t>
  </si>
  <si>
    <t>High Plasticity ORGANIC CLAYS and SILTS</t>
  </si>
  <si>
    <t>OL</t>
  </si>
  <si>
    <t>Low Plasticity ORGANIC CLAYS and SILTS</t>
  </si>
  <si>
    <t>Pt</t>
  </si>
  <si>
    <t>SC-SM</t>
  </si>
  <si>
    <t>Clayey SAND to Silty SAND</t>
  </si>
  <si>
    <t>Poorly Graded SAND</t>
  </si>
  <si>
    <t>SP-SC</t>
  </si>
  <si>
    <t>Poorly Graded SAND to Clayey SAND</t>
  </si>
  <si>
    <t>SP-SM</t>
  </si>
  <si>
    <t>Poorly Graded SAND to Silty SAND</t>
  </si>
  <si>
    <t>Well Graded SAND</t>
  </si>
  <si>
    <t>SW-SC</t>
  </si>
  <si>
    <t>Well Graded SAND to Clayey SAND</t>
  </si>
  <si>
    <t>SW-SM</t>
  </si>
  <si>
    <t>Well Graded SAND to Silty SAND</t>
  </si>
  <si>
    <t>elongated</t>
  </si>
  <si>
    <t>platy</t>
  </si>
  <si>
    <t>platy and elongated</t>
  </si>
  <si>
    <t>rounded</t>
  </si>
  <si>
    <t>rounded to angular</t>
  </si>
  <si>
    <t>rounded to sub-angular</t>
  </si>
  <si>
    <t>rounded to sub-rounded</t>
  </si>
  <si>
    <t>sub-angular</t>
  </si>
  <si>
    <t>sub-angular to angular</t>
  </si>
  <si>
    <t>sub-rounded</t>
  </si>
  <si>
    <t>sub-rounded to sub-angular</t>
  </si>
  <si>
    <t>high</t>
  </si>
  <si>
    <t>high, LL &gt; 50%</t>
  </si>
  <si>
    <t>low</t>
  </si>
  <si>
    <t>low, LL &lt; 35%</t>
  </si>
  <si>
    <t>medium, LL 35% - 50%</t>
  </si>
  <si>
    <t>medium to high</t>
  </si>
  <si>
    <t>non</t>
  </si>
  <si>
    <t>asphalt</t>
  </si>
  <si>
    <t>boulders</t>
  </si>
  <si>
    <t>boulders, &gt;200 mm</t>
  </si>
  <si>
    <t>clay, &lt;0.002 mm</t>
  </si>
  <si>
    <t>cobbles</t>
  </si>
  <si>
    <t>cobbles, 63 - 200 mm</t>
  </si>
  <si>
    <t>cobbles/bounders</t>
  </si>
  <si>
    <t>cobbles/boulders, 63 - &gt;200 mm</t>
  </si>
  <si>
    <t>concrete</t>
  </si>
  <si>
    <t>geotextile</t>
  </si>
  <si>
    <t>gravel, 2.36 - 63 mm</t>
  </si>
  <si>
    <t>macadam</t>
  </si>
  <si>
    <t>old seal</t>
  </si>
  <si>
    <t>open grade asphalt</t>
  </si>
  <si>
    <t>peat</t>
  </si>
  <si>
    <t>sand, 0.075 - 2.1 mm</t>
  </si>
  <si>
    <t>silt</t>
  </si>
  <si>
    <t>silt, 0.002 - 0.075 mm</t>
  </si>
  <si>
    <t>slag</t>
  </si>
  <si>
    <t>sprayed seal</t>
  </si>
  <si>
    <t>continuously reinforced</t>
  </si>
  <si>
    <t>heavily bound</t>
  </si>
  <si>
    <t>lean mix</t>
  </si>
  <si>
    <t>lightly bound</t>
  </si>
  <si>
    <t>moderately bound</t>
  </si>
  <si>
    <t>plain</t>
  </si>
  <si>
    <t>bioclastic</t>
  </si>
  <si>
    <t>calcereous</t>
  </si>
  <si>
    <t>carbonate</t>
  </si>
  <si>
    <t>Intermixed</t>
  </si>
  <si>
    <t>layers</t>
  </si>
  <si>
    <t>lenses</t>
  </si>
  <si>
    <t>organic</t>
  </si>
  <si>
    <t>pockets</t>
  </si>
  <si>
    <t>siliceous carbonate</t>
  </si>
  <si>
    <t>gap graded</t>
  </si>
  <si>
    <t>with one or more intermediate sizes absent</t>
  </si>
  <si>
    <t>poorly graded</t>
  </si>
  <si>
    <t xml:space="preserve">with one or more intermediate sizes poorly represented </t>
  </si>
  <si>
    <t>uniform</t>
  </si>
  <si>
    <t>essentially of one size</t>
  </si>
  <si>
    <t>well graded</t>
  </si>
  <si>
    <t>having good representation of all particle sizes fro the largest to the smallest</t>
  </si>
  <si>
    <t>DS</t>
  </si>
  <si>
    <t>Dry sieve</t>
  </si>
  <si>
    <t>HY</t>
  </si>
  <si>
    <t>Hydrometer</t>
  </si>
  <si>
    <t>PP</t>
  </si>
  <si>
    <t>Pipette</t>
  </si>
  <si>
    <t>AD/T</t>
  </si>
  <si>
    <t>Auger drilling with tc-bit</t>
  </si>
  <si>
    <t>AD/V</t>
  </si>
  <si>
    <t>Auger drilling with v-bit</t>
  </si>
  <si>
    <t>Auger screwing</t>
  </si>
  <si>
    <t>AT</t>
  </si>
  <si>
    <t>air track</t>
  </si>
  <si>
    <t>B</t>
  </si>
  <si>
    <t>Dozer blade</t>
  </si>
  <si>
    <t>BH</t>
  </si>
  <si>
    <t>Backhoe bucket</t>
  </si>
  <si>
    <t>Cable tool</t>
  </si>
  <si>
    <t>Washbore drag bit</t>
  </si>
  <si>
    <t>Diatube</t>
  </si>
  <si>
    <t>E</t>
  </si>
  <si>
    <t>Excavator</t>
  </si>
  <si>
    <t>EH</t>
  </si>
  <si>
    <t>excavator with hammer</t>
  </si>
  <si>
    <t>Hand auger</t>
  </si>
  <si>
    <t>HMLC</t>
  </si>
  <si>
    <t>HMLC core barrel</t>
  </si>
  <si>
    <t>HQ3 core barrel</t>
  </si>
  <si>
    <t>MZ</t>
  </si>
  <si>
    <t>Mazier</t>
  </si>
  <si>
    <t>Natural exposure</t>
  </si>
  <si>
    <t>NMLC</t>
  </si>
  <si>
    <t>NMLC core barrel</t>
  </si>
  <si>
    <t>NQ3</t>
  </si>
  <si>
    <t>NQ3 core barrel</t>
  </si>
  <si>
    <t>PQ3</t>
  </si>
  <si>
    <t>PQ3 core barrel</t>
  </si>
  <si>
    <t>push tube</t>
  </si>
  <si>
    <t>Pushed SPT</t>
  </si>
  <si>
    <t>pushed SPT</t>
  </si>
  <si>
    <t>Ripper</t>
  </si>
  <si>
    <t>RR</t>
  </si>
  <si>
    <t>Rock roller</t>
  </si>
  <si>
    <t>SPT</t>
  </si>
  <si>
    <t>Driven SPT</t>
  </si>
  <si>
    <t>WB</t>
  </si>
  <si>
    <t>Washbore</t>
  </si>
  <si>
    <t>Existing excavation</t>
  </si>
  <si>
    <t>Timbering</t>
  </si>
  <si>
    <t>HDPH_SHOR|T</t>
  </si>
  <si>
    <t>Collapse on Face A</t>
  </si>
  <si>
    <t>Face A collapses</t>
  </si>
  <si>
    <t>Collapse on Face B</t>
  </si>
  <si>
    <t>Face B collapses</t>
  </si>
  <si>
    <t>Collapse on Face C</t>
  </si>
  <si>
    <t>Face C collapses</t>
  </si>
  <si>
    <t>Collapse on Face D</t>
  </si>
  <si>
    <t>Face D collapses</t>
  </si>
  <si>
    <t>dGPS0.001</t>
  </si>
  <si>
    <t>Differential GPS ± 0.001 m</t>
  </si>
  <si>
    <t>dGPS0.01</t>
  </si>
  <si>
    <t>Differential GPS ± 0.01 m</t>
  </si>
  <si>
    <t>dGPS0.1</t>
  </si>
  <si>
    <t>Differential GPS ± 0.1 m</t>
  </si>
  <si>
    <t>dGPS1</t>
  </si>
  <si>
    <t>Differential GPS ± 1 m</t>
  </si>
  <si>
    <t>dGPS2</t>
  </si>
  <si>
    <t>Differential GPS ± 2 m</t>
  </si>
  <si>
    <t>Flooding</t>
  </si>
  <si>
    <t>Excavation fills with water</t>
  </si>
  <si>
    <t>Foundation</t>
  </si>
  <si>
    <t>hhGPS5</t>
  </si>
  <si>
    <t>Hand held GPS (not differential) ± 5 m</t>
  </si>
  <si>
    <t>LL0.1</t>
  </si>
  <si>
    <t>Line and level  ± 0.1 m</t>
  </si>
  <si>
    <t>LL1</t>
  </si>
  <si>
    <t>Line and level ± 1 m</t>
  </si>
  <si>
    <t>Major spalling</t>
  </si>
  <si>
    <t>Large amounts of material falling into excavation</t>
  </si>
  <si>
    <t>MAP0.1</t>
  </si>
  <si>
    <t>Estimated from map/plan ± 0.1 m</t>
  </si>
  <si>
    <t>MAP0.5</t>
  </si>
  <si>
    <t>Estimated from map/plan ± 0.5 m</t>
  </si>
  <si>
    <t>MAP1</t>
  </si>
  <si>
    <t>Estimated from map/plan ± 1 m</t>
  </si>
  <si>
    <t>MAP5</t>
  </si>
  <si>
    <t>Estimated from map/plan ± 5 m</t>
  </si>
  <si>
    <t>Minor spalling</t>
  </si>
  <si>
    <t>Some material falling into excavation</t>
  </si>
  <si>
    <t>OS0.001</t>
  </si>
  <si>
    <t>Optical survey ± 0.001 m</t>
  </si>
  <si>
    <t>OS0.01</t>
  </si>
  <si>
    <t>Optical survey ± 0.01 m</t>
  </si>
  <si>
    <t>OS0.1</t>
  </si>
  <si>
    <t>Optical survey ± 0.1 m</t>
  </si>
  <si>
    <t>PC1</t>
  </si>
  <si>
    <t>Pace and compass ± 1 m</t>
  </si>
  <si>
    <t>PC5</t>
  </si>
  <si>
    <t>Pace and compass ± 5 m</t>
  </si>
  <si>
    <t>Slope</t>
  </si>
  <si>
    <t>Stable</t>
  </si>
  <si>
    <t>Tunnel</t>
  </si>
  <si>
    <t>Unstable</t>
  </si>
  <si>
    <t>More than 1 face unstable</t>
  </si>
  <si>
    <t>ABS</t>
  </si>
  <si>
    <t>Automatic Ballast Sampler</t>
  </si>
  <si>
    <t>CC</t>
  </si>
  <si>
    <t>Concrete core</t>
  </si>
  <si>
    <t>Slope surface protection stripping</t>
  </si>
  <si>
    <t>Cable percussion (shell and auger)</t>
  </si>
  <si>
    <t>DCP</t>
  </si>
  <si>
    <t>Dynamic cone penetrometer</t>
  </si>
  <si>
    <t>DP</t>
  </si>
  <si>
    <t>Dynamic probe sampling</t>
  </si>
  <si>
    <t>Dynamic Sampling</t>
  </si>
  <si>
    <t>EXP</t>
  </si>
  <si>
    <t>Logged exposure</t>
  </si>
  <si>
    <t>GCOP</t>
  </si>
  <si>
    <t>GCO probe</t>
  </si>
  <si>
    <t>Hand Auger</t>
  </si>
  <si>
    <t>In situ CBR test</t>
  </si>
  <si>
    <t>In situ density test</t>
  </si>
  <si>
    <t>INST</t>
  </si>
  <si>
    <t>Instrument</t>
  </si>
  <si>
    <t>IP</t>
  </si>
  <si>
    <t>Inspection pit</t>
  </si>
  <si>
    <t>In situ redox test</t>
  </si>
  <si>
    <t>In situ resistivity</t>
  </si>
  <si>
    <t>Standard penetration test</t>
  </si>
  <si>
    <t>In situ vane test</t>
  </si>
  <si>
    <t>Observation pit/trench</t>
  </si>
  <si>
    <t>Pavement core</t>
  </si>
  <si>
    <t>PM</t>
  </si>
  <si>
    <t>Pressuremeter test hole</t>
  </si>
  <si>
    <t>RC</t>
  </si>
  <si>
    <t>Rotary cored</t>
  </si>
  <si>
    <t>RCG</t>
  </si>
  <si>
    <t>Rotary drilling in common ground</t>
  </si>
  <si>
    <t>RO</t>
  </si>
  <si>
    <t>Rotary open hole</t>
  </si>
  <si>
    <t>RPC</t>
  </si>
  <si>
    <t>Russian Peat Corer</t>
  </si>
  <si>
    <t>SCP</t>
  </si>
  <si>
    <t>Static cone penetrometer</t>
  </si>
  <si>
    <t>SH</t>
  </si>
  <si>
    <t>Shaft</t>
  </si>
  <si>
    <t>SNC</t>
  </si>
  <si>
    <t>Sonic core drilling</t>
  </si>
  <si>
    <t>Trial pit/trench</t>
  </si>
  <si>
    <t>TRAV</t>
  </si>
  <si>
    <t>Linear logging traverse or scanline survey</t>
  </si>
  <si>
    <t>VC</t>
  </si>
  <si>
    <t>Vibrocore</t>
  </si>
  <si>
    <t>Vacuum Excavation</t>
  </si>
  <si>
    <t>W</t>
  </si>
  <si>
    <t>Wash boring</t>
  </si>
  <si>
    <t>WLS</t>
  </si>
  <si>
    <t>Dynamic (windowless) sampler</t>
  </si>
  <si>
    <t>Window Sampler</t>
  </si>
  <si>
    <t>IN SITU CBR</t>
  </si>
  <si>
    <t>In situ CBR apparatus</t>
  </si>
  <si>
    <t>Mexecone</t>
  </si>
  <si>
    <t>CPB</t>
  </si>
  <si>
    <t>core box photo</t>
  </si>
  <si>
    <t>CPC</t>
  </si>
  <si>
    <t>core photo column</t>
  </si>
  <si>
    <t>DIC</t>
  </si>
  <si>
    <t>downhole image column</t>
  </si>
  <si>
    <t>FS</t>
  </si>
  <si>
    <t>sketch of test pit face, exposure or traverse face</t>
  </si>
  <si>
    <t>general surface photo</t>
  </si>
  <si>
    <t>general surface sketch</t>
  </si>
  <si>
    <t>TRP</t>
  </si>
  <si>
    <t>test pit, exposure or traverse photo</t>
  </si>
  <si>
    <t>borehole visual column sketch</t>
  </si>
  <si>
    <t>DPDP</t>
  </si>
  <si>
    <t>Dipole-dipole array</t>
  </si>
  <si>
    <t>OWEN</t>
  </si>
  <si>
    <t>Offset-Wenner array</t>
  </si>
  <si>
    <t>Schlumberger array</t>
  </si>
  <si>
    <t>SQA</t>
  </si>
  <si>
    <t>Square array</t>
  </si>
  <si>
    <t>WEN</t>
  </si>
  <si>
    <t>Wenner array</t>
  </si>
  <si>
    <t>Saftey hammer</t>
  </si>
  <si>
    <t>Cone</t>
  </si>
  <si>
    <t>Split spoon</t>
  </si>
  <si>
    <t xml:space="preserve">Borehole vane </t>
  </si>
  <si>
    <t>CPT</t>
  </si>
  <si>
    <t>CPT Vane</t>
  </si>
  <si>
    <t>Hand-held field vane</t>
  </si>
  <si>
    <t>TORVANE</t>
  </si>
  <si>
    <t>Torvane</t>
  </si>
  <si>
    <t>AWAITING START</t>
  </si>
  <si>
    <t>Await start</t>
  </si>
  <si>
    <t>COMPLETED</t>
  </si>
  <si>
    <t>Completed</t>
  </si>
  <si>
    <t>In progress</t>
  </si>
  <si>
    <t>NOT RECEIVED</t>
  </si>
  <si>
    <t>Sample has not been delivered to the testing laboratory</t>
  </si>
  <si>
    <t>RESTRICTED</t>
  </si>
  <si>
    <t>Restricted</t>
  </si>
  <si>
    <t>RECOMPACTED</t>
  </si>
  <si>
    <t>Block sample</t>
  </si>
  <si>
    <t>CYLINDER</t>
  </si>
  <si>
    <t>IMMERSION</t>
  </si>
  <si>
    <t>Immersion/displacement measurement</t>
  </si>
  <si>
    <t>Linear measurement</t>
  </si>
  <si>
    <t>Class 2</t>
  </si>
  <si>
    <t>Class 3</t>
  </si>
  <si>
    <t>Class 4</t>
  </si>
  <si>
    <t>Class 5</t>
  </si>
  <si>
    <t>Class 6</t>
  </si>
  <si>
    <t>Class 7</t>
  </si>
  <si>
    <t>Class 8</t>
  </si>
  <si>
    <t>Four point</t>
  </si>
  <si>
    <t>ONE</t>
  </si>
  <si>
    <t>One point</t>
  </si>
  <si>
    <t>Fall cone</t>
  </si>
  <si>
    <t>AMG66-47</t>
  </si>
  <si>
    <t>Australian Map Grid 1966 UTM Zone 47</t>
  </si>
  <si>
    <t>AMG66-48</t>
  </si>
  <si>
    <t>Australian Map Grid 1966 UTM Zone 48</t>
  </si>
  <si>
    <t>AMG66-49</t>
  </si>
  <si>
    <t>Australian Map Grid 1966 UTM Zone 49</t>
  </si>
  <si>
    <t>AMG66-50</t>
  </si>
  <si>
    <t>Australian Map Grid 1966 UTM Zone 50</t>
  </si>
  <si>
    <t>AMG66-51</t>
  </si>
  <si>
    <t>Australian Map Grid 1966 UTM Zone 51</t>
  </si>
  <si>
    <t>AMG66-52</t>
  </si>
  <si>
    <t>Australian Map Grid 1966 UTM Zone 52</t>
  </si>
  <si>
    <t>AMG66-53</t>
  </si>
  <si>
    <t>Australian Map Grid 1966 UTM Zone 53</t>
  </si>
  <si>
    <t>AMG66-54</t>
  </si>
  <si>
    <t>Australian Map Grid 1966 UTM Zone 54</t>
  </si>
  <si>
    <t>AMG66-55</t>
  </si>
  <si>
    <t>Australian Map Grid 1966 UTM Zone 55</t>
  </si>
  <si>
    <t>AMG66-56</t>
  </si>
  <si>
    <t>Australian Map Grid 1966 UTM Zone 56</t>
  </si>
  <si>
    <t>AMG66-57</t>
  </si>
  <si>
    <t>Australian Map Grid 1966 UTM Zone 57</t>
  </si>
  <si>
    <t>AMG66-58</t>
  </si>
  <si>
    <t>Australian Map Grid 1966 UTM Zone 58</t>
  </si>
  <si>
    <t>AMG84-47</t>
  </si>
  <si>
    <t>Australian Map Grid 1984 UTM Zone 47</t>
  </si>
  <si>
    <t>AMG84-48</t>
  </si>
  <si>
    <t>Australian Map Grid 1984 UTM Zone 48</t>
  </si>
  <si>
    <t>AMG84-49</t>
  </si>
  <si>
    <t>Australian Map Grid 1984 UTM Zone 49</t>
  </si>
  <si>
    <t>AMG84-50</t>
  </si>
  <si>
    <t>Australian Map Grid 1984 UTM Zone 50</t>
  </si>
  <si>
    <t>AMG84-51</t>
  </si>
  <si>
    <t>Australian Map Grid 1984 UTM Zone 51</t>
  </si>
  <si>
    <t>AMG84-52</t>
  </si>
  <si>
    <t>Australian Map Grid 1984 UTM Zone 52</t>
  </si>
  <si>
    <t>AMG84-53</t>
  </si>
  <si>
    <t>Australian Map Grid 1984 UTM Zone 53</t>
  </si>
  <si>
    <t>AMG84-54</t>
  </si>
  <si>
    <t>Australian Map Grid 1984 UTM Zone 54</t>
  </si>
  <si>
    <t>AMG84-55</t>
  </si>
  <si>
    <t>Australian Map Grid 1984 UTM Zone 55</t>
  </si>
  <si>
    <t>AMG84-56</t>
  </si>
  <si>
    <t>Australian Map Grid 1984 UTM Zone 56</t>
  </si>
  <si>
    <t>AMG84-57</t>
  </si>
  <si>
    <t>Australian Map Grid 1984 UTM Zone 57</t>
  </si>
  <si>
    <t>AMG84-58</t>
  </si>
  <si>
    <t>Australian Map Grid 1984 UTM Zone 58</t>
  </si>
  <si>
    <t>ISG66-54/2</t>
  </si>
  <si>
    <t>Integrated Survey Grid 1966 Zone 54/2</t>
  </si>
  <si>
    <t>ISG66-54/3</t>
  </si>
  <si>
    <t>Integrated Survey Grid 1966 Zone 54/3</t>
  </si>
  <si>
    <t>ISG66-55/1</t>
  </si>
  <si>
    <t>Integrated Survey Grid 1966 Zone 55/1</t>
  </si>
  <si>
    <t>ISG66-55/2</t>
  </si>
  <si>
    <t>Integrated Survey Grid 1966 Zone 55/2</t>
  </si>
  <si>
    <t>ISG66-55/3</t>
  </si>
  <si>
    <t>Integrated Survey Grid 1966 Zone 55/3</t>
  </si>
  <si>
    <t>ISG66-56/1</t>
  </si>
  <si>
    <t>Integrated Survey Grid 1966 Zone 56/1</t>
  </si>
  <si>
    <t>ISG66-56/2</t>
  </si>
  <si>
    <t>Integrated Survey Grid 1966 Zone 56/2</t>
  </si>
  <si>
    <t>ITM</t>
  </si>
  <si>
    <t>Ordnance Survey Ireland Irish Transverse Mercator</t>
  </si>
  <si>
    <t>LOCAL</t>
  </si>
  <si>
    <t>Local Grid</t>
  </si>
  <si>
    <t>MGA2020-47</t>
  </si>
  <si>
    <t>Map Grid of Australia 2020 UTM Zone 47</t>
  </si>
  <si>
    <t>MGA2020-48</t>
  </si>
  <si>
    <t>Map Grid of Australia 2020 UTM Zone 48</t>
  </si>
  <si>
    <t>MGA2020-49</t>
  </si>
  <si>
    <t>Map Grid of Australia 2020 UTM Zone 49</t>
  </si>
  <si>
    <t>MGA2020-50</t>
  </si>
  <si>
    <t>Map Grid of Australia 2020 UTM Zone 50</t>
  </si>
  <si>
    <t>MGA2020-51</t>
  </si>
  <si>
    <t>Map Grid of Australia 2020 UTM Zone 51</t>
  </si>
  <si>
    <t>MGA2020-52</t>
  </si>
  <si>
    <t>Map Grid of Australia 2020 UTM Zone 52</t>
  </si>
  <si>
    <t>MGA2020-53</t>
  </si>
  <si>
    <t>Map Grid of Australia 2020 UTM Zone 53</t>
  </si>
  <si>
    <t>MGA2020-54</t>
  </si>
  <si>
    <t>Map Grid of Australia 2020 UTM Zone 54</t>
  </si>
  <si>
    <t>MGA2020-55</t>
  </si>
  <si>
    <t>Map Grid of Australia 2020 UTM Zone 55</t>
  </si>
  <si>
    <t>MGA2020-56</t>
  </si>
  <si>
    <t>Map Grid of Australia 2020 UTM Zone 56</t>
  </si>
  <si>
    <t>MGA2020-57</t>
  </si>
  <si>
    <t>Map Grid of Australia 2020 UTM Zone 57</t>
  </si>
  <si>
    <t>MGA2020-58</t>
  </si>
  <si>
    <t>Map Grid of Australia 2020 UTM Zone 58</t>
  </si>
  <si>
    <t>MGA94-47</t>
  </si>
  <si>
    <t>Map Grid of Australia 1994 UTM Zone 47</t>
  </si>
  <si>
    <t>MGA94-48</t>
  </si>
  <si>
    <t>Map Grid of Australia 1994 UTM Zone 48</t>
  </si>
  <si>
    <t>MGA94-49</t>
  </si>
  <si>
    <t>Map Grid of Australia 1994 UTM Zone 49</t>
  </si>
  <si>
    <t>MGA94-50</t>
  </si>
  <si>
    <t>Map Grid of Australia 1994 UTM Zone 50</t>
  </si>
  <si>
    <t>MGA94-51</t>
  </si>
  <si>
    <t>Map Grid of Australia 1994 UTM Zone 51</t>
  </si>
  <si>
    <t>MGA94-52</t>
  </si>
  <si>
    <t>Map Grid of Australia 1994 UTM Zone 52</t>
  </si>
  <si>
    <t>MGA94-53</t>
  </si>
  <si>
    <t>Map Grid of Australia 1994 UTM Zone 53</t>
  </si>
  <si>
    <t>MGA94-54</t>
  </si>
  <si>
    <t>Map Grid of Australia 1994 UTM Zone 54</t>
  </si>
  <si>
    <t>MGA94-55</t>
  </si>
  <si>
    <t>Map Grid of Australia 1994 UTM Zone 55</t>
  </si>
  <si>
    <t>MGA94-56</t>
  </si>
  <si>
    <t>Map Grid of Australia 1994 UTM Zone 56</t>
  </si>
  <si>
    <t>MGA94-57</t>
  </si>
  <si>
    <t>Map Grid of Australia 1994 UTM Zone 57</t>
  </si>
  <si>
    <t>MGA94-58</t>
  </si>
  <si>
    <t>Map Grid of Australia 1994 UTM Zone 58</t>
  </si>
  <si>
    <t>OSGB</t>
  </si>
  <si>
    <t>Ordnance Survey Great Britain National Grid</t>
  </si>
  <si>
    <t>OSI</t>
  </si>
  <si>
    <t>Ordnance Survey Ireland Irish Grid</t>
  </si>
  <si>
    <t>LOCA_LOCM|dGPS0.001</t>
  </si>
  <si>
    <t>LOCA_LOCM|dGPS0.01</t>
  </si>
  <si>
    <t>LOCA_LOCM|dGPS0.1</t>
  </si>
  <si>
    <t>LOCA_LOCM|dGPS1</t>
  </si>
  <si>
    <t>LOCA_LOCM|dGPS2</t>
  </si>
  <si>
    <t>LOCA_LOCM|hhGPS5</t>
  </si>
  <si>
    <t>LOCA_LOCM|LL0.1</t>
  </si>
  <si>
    <t>LOCA_LOCM|LL1</t>
  </si>
  <si>
    <t>LOCA_LOCM|MAP0.1</t>
  </si>
  <si>
    <t>LOCA_LOCM|MAP0.5</t>
  </si>
  <si>
    <t>LOCA_LOCM|MAP1</t>
  </si>
  <si>
    <t>LOCA_LOCM|MAP5</t>
  </si>
  <si>
    <t>LOCA_LOCM|OS0.001</t>
  </si>
  <si>
    <t>LOCA_LOCM|OS0.01</t>
  </si>
  <si>
    <t>LOCA_LOCM|OS0.1</t>
  </si>
  <si>
    <t>LOCA_LOCM|PC1</t>
  </si>
  <si>
    <t>LOCA_LOCM|PC5</t>
  </si>
  <si>
    <t>Contamination</t>
  </si>
  <si>
    <t>DRAFT</t>
  </si>
  <si>
    <t>Draft data</t>
  </si>
  <si>
    <t>FINAL</t>
  </si>
  <si>
    <t>Final data</t>
  </si>
  <si>
    <t>HISTORIC</t>
  </si>
  <si>
    <t>Historical data converted from paper records</t>
  </si>
  <si>
    <t>Preliminary data</t>
  </si>
  <si>
    <t>PROPOSED</t>
  </si>
  <si>
    <t>Proposed data</t>
  </si>
  <si>
    <t>Collapse</t>
  </si>
  <si>
    <t>Exploratory Hole collapsed before reaching planned depth</t>
  </si>
  <si>
    <t>Equipment failure</t>
  </si>
  <si>
    <t>E.g. auger broke</t>
  </si>
  <si>
    <t>Machine Limit</t>
  </si>
  <si>
    <t>Obstruction in the hole</t>
  </si>
  <si>
    <t>Possible services</t>
  </si>
  <si>
    <t>Services likely to be present</t>
  </si>
  <si>
    <t>Refusal</t>
  </si>
  <si>
    <t>Services present</t>
  </si>
  <si>
    <t>Services encountered during exploratory hole</t>
  </si>
  <si>
    <t>Squeezing</t>
  </si>
  <si>
    <t>Hole squeezing on Auger rods</t>
  </si>
  <si>
    <t>Target depth</t>
  </si>
  <si>
    <t>Exploratory Hole reached planned depth</t>
  </si>
  <si>
    <t>AUGH</t>
  </si>
  <si>
    <t>Hollow Stem Auger</t>
  </si>
  <si>
    <t>AUGS</t>
  </si>
  <si>
    <t>Solid Stem Auger</t>
  </si>
  <si>
    <t>Dynamic Sampler</t>
  </si>
  <si>
    <t>Exploratory Hole</t>
  </si>
  <si>
    <t>instrument</t>
  </si>
  <si>
    <t>In situ plate loading test</t>
  </si>
  <si>
    <t>MSTP</t>
  </si>
  <si>
    <t>Mostap sampling position</t>
  </si>
  <si>
    <t>PPR</t>
  </si>
  <si>
    <t>Peat probe</t>
  </si>
  <si>
    <t>Sampling Location</t>
  </si>
  <si>
    <t>SRAL</t>
  </si>
  <si>
    <t>Seismic refraction line</t>
  </si>
  <si>
    <t>STC</t>
  </si>
  <si>
    <t>Structure Coring</t>
  </si>
  <si>
    <t>TMP</t>
  </si>
  <si>
    <t>Tidal Monitoring Point</t>
  </si>
  <si>
    <t>TT</t>
  </si>
  <si>
    <t>Trial trench</t>
  </si>
  <si>
    <t>Drilled Over Water</t>
  </si>
  <si>
    <t>Not Assessed</t>
  </si>
  <si>
    <t>Could not be assessed</t>
  </si>
  <si>
    <t>Not Encountered</t>
  </si>
  <si>
    <t>GAS JAR</t>
  </si>
  <si>
    <t>Gas jar method</t>
  </si>
  <si>
    <t>LARGE PYK</t>
  </si>
  <si>
    <t>Large pyknometer</t>
  </si>
  <si>
    <t>Small pyknometer</t>
  </si>
  <si>
    <t>highly dispersive</t>
  </si>
  <si>
    <t>D2</t>
  </si>
  <si>
    <t>dispersive</t>
  </si>
  <si>
    <t>ND1</t>
  </si>
  <si>
    <t>completely erosion resistant</t>
  </si>
  <si>
    <t>ND2</t>
  </si>
  <si>
    <t>non-dispersive</t>
  </si>
  <si>
    <t>PD1</t>
  </si>
  <si>
    <t>potentially dispersive (intermediate)</t>
  </si>
  <si>
    <t>PD2</t>
  </si>
  <si>
    <t>Petrographic analysis</t>
  </si>
  <si>
    <t>X-ray diffraction</t>
  </si>
  <si>
    <t>HV</t>
  </si>
  <si>
    <t>Hand vane</t>
  </si>
  <si>
    <t>Laboratory vane</t>
  </si>
  <si>
    <t>TV</t>
  </si>
  <si>
    <t>ANGA</t>
  </si>
  <si>
    <t>Rotation/Tilt in direction A</t>
  </si>
  <si>
    <t>ANGB</t>
  </si>
  <si>
    <t>Rotation/Tilt in direction B</t>
  </si>
  <si>
    <t>ANGC</t>
  </si>
  <si>
    <t>Rotation in direction C</t>
  </si>
  <si>
    <t>BAR</t>
  </si>
  <si>
    <t>Barometric pressure at time of monitoring</t>
  </si>
  <si>
    <t>BRG</t>
  </si>
  <si>
    <t>Bearing</t>
  </si>
  <si>
    <t>CURR</t>
  </si>
  <si>
    <t>Current</t>
  </si>
  <si>
    <t>DBSE</t>
  </si>
  <si>
    <t>Depth to base of installation on monitoring round</t>
  </si>
  <si>
    <t>DNAPL</t>
  </si>
  <si>
    <t xml:space="preserve">Dense Nonaqueous Phase Liquid                     </t>
  </si>
  <si>
    <t>DO</t>
  </si>
  <si>
    <t>Dissolved Oxygen</t>
  </si>
  <si>
    <t>DOWNTEMP</t>
  </si>
  <si>
    <t>Downhole temperature</t>
  </si>
  <si>
    <t>DSPA</t>
  </si>
  <si>
    <t>Displacement in direction A</t>
  </si>
  <si>
    <t>DSPB</t>
  </si>
  <si>
    <t>Displacement in direction B</t>
  </si>
  <si>
    <t>DSPC</t>
  </si>
  <si>
    <t>Displacement in direction C</t>
  </si>
  <si>
    <t>DSTA</t>
  </si>
  <si>
    <t>Distance A from LOCA_ID (slip indicator top rod)</t>
  </si>
  <si>
    <t>DSTB</t>
  </si>
  <si>
    <t>Distance B from LOCA_ID (slip indicator top rod)</t>
  </si>
  <si>
    <t>DSTL</t>
  </si>
  <si>
    <t>Distance</t>
  </si>
  <si>
    <t>EAST</t>
  </si>
  <si>
    <t>Absolute position (Easting)</t>
  </si>
  <si>
    <t>EC</t>
  </si>
  <si>
    <t>Electrical conductivity</t>
  </si>
  <si>
    <t>ECA</t>
  </si>
  <si>
    <t>Actual Conductivity</t>
  </si>
  <si>
    <t>ECS</t>
  </si>
  <si>
    <t>Specific Conductivity</t>
  </si>
  <si>
    <t>ERAT</t>
  </si>
  <si>
    <t>Volume extraction rate</t>
  </si>
  <si>
    <t>FLOW</t>
  </si>
  <si>
    <t>Flow</t>
  </si>
  <si>
    <t>FORC</t>
  </si>
  <si>
    <t>Force</t>
  </si>
  <si>
    <t>GAMP</t>
  </si>
  <si>
    <t xml:space="preserve">Peak ammonia concentration </t>
  </si>
  <si>
    <t>GAMS</t>
  </si>
  <si>
    <t xml:space="preserve">Steady ammonia concentration </t>
  </si>
  <si>
    <t>GAUG</t>
  </si>
  <si>
    <t>Gauge length</t>
  </si>
  <si>
    <t>GCD</t>
  </si>
  <si>
    <t>Carbon dioxide concentration</t>
  </si>
  <si>
    <t>GCDP</t>
  </si>
  <si>
    <t>Peak carbon dioxide concentration</t>
  </si>
  <si>
    <t>GCDS</t>
  </si>
  <si>
    <t>Steady carbon dioxide concentration</t>
  </si>
  <si>
    <t>GCM</t>
  </si>
  <si>
    <t>Carbon monoxide concentration</t>
  </si>
  <si>
    <t>GCMP</t>
  </si>
  <si>
    <t>Peak carbon monoxide concentration</t>
  </si>
  <si>
    <t>Steady carbon monoxide concentration</t>
  </si>
  <si>
    <t>GFLO</t>
  </si>
  <si>
    <t>GFLOP</t>
  </si>
  <si>
    <t>Peak gas flow rate</t>
  </si>
  <si>
    <t>GFLOS</t>
  </si>
  <si>
    <t>Steady gas flow rate</t>
  </si>
  <si>
    <t>GHP</t>
  </si>
  <si>
    <t xml:space="preserve">Peak hydrogen concentration </t>
  </si>
  <si>
    <t>GHS</t>
  </si>
  <si>
    <t xml:space="preserve">Steady hydrogen concentration </t>
  </si>
  <si>
    <t>Measured methane as percentage of LEL</t>
  </si>
  <si>
    <t>GMP</t>
  </si>
  <si>
    <t>Peak methane as percentage of LEL</t>
  </si>
  <si>
    <t>GMS</t>
  </si>
  <si>
    <t>Steady methane as percentage of LEL</t>
  </si>
  <si>
    <t>GNIT</t>
  </si>
  <si>
    <t>Nitrogen concentration</t>
  </si>
  <si>
    <t>GNITP</t>
  </si>
  <si>
    <t>Peak nitrogen concentration</t>
  </si>
  <si>
    <t>GNITS</t>
  </si>
  <si>
    <t>Steady nitrogen concentration</t>
  </si>
  <si>
    <t>GOX</t>
  </si>
  <si>
    <t>Oxygen concentration</t>
  </si>
  <si>
    <t>GOXM</t>
  </si>
  <si>
    <t>Minimum oxygen concentration</t>
  </si>
  <si>
    <t>GOXP</t>
  </si>
  <si>
    <t>Steady oxygen concentration</t>
  </si>
  <si>
    <t>GOXS</t>
  </si>
  <si>
    <t>Peak oxygen concentration</t>
  </si>
  <si>
    <t>GPRS</t>
  </si>
  <si>
    <t>Differential Pressure</t>
  </si>
  <si>
    <t>HYC</t>
  </si>
  <si>
    <t>Hydrogen cyanide concentration</t>
  </si>
  <si>
    <t>HYCP</t>
  </si>
  <si>
    <t>Peak hydrogen cyanide concentration</t>
  </si>
  <si>
    <t>HYCS</t>
  </si>
  <si>
    <t>Steady hydrogen cyanide concentration</t>
  </si>
  <si>
    <t>HYS</t>
  </si>
  <si>
    <t>Hydrogen sulphide concentration</t>
  </si>
  <si>
    <t>HYSP</t>
  </si>
  <si>
    <t>Peak hydrogen sulphide concentration</t>
  </si>
  <si>
    <t>HYSS</t>
  </si>
  <si>
    <t>Steady hydrogen sulphide concentration</t>
  </si>
  <si>
    <t>LEV</t>
  </si>
  <si>
    <t>Absolute position (Level)</t>
  </si>
  <si>
    <t>LNAPL</t>
  </si>
  <si>
    <t xml:space="preserve">Light Nonaqueous Phase Liquid                     </t>
  </si>
  <si>
    <t>NRTH</t>
  </si>
  <si>
    <t>Absolute position (Northing)</t>
  </si>
  <si>
    <t>OPP</t>
  </si>
  <si>
    <t>Oxygen Partial Pressure</t>
  </si>
  <si>
    <t>Potential of Hydrogen (pH)</t>
  </si>
  <si>
    <t>PID</t>
  </si>
  <si>
    <t>Photo Ionisation Detector Reading</t>
  </si>
  <si>
    <t>PIDP</t>
  </si>
  <si>
    <t>Peak Photo Ionisation Detector Reading</t>
  </si>
  <si>
    <t>PIDS</t>
  </si>
  <si>
    <t>Steady Photo Ionisation Detector Reading</t>
  </si>
  <si>
    <t>PRES</t>
  </si>
  <si>
    <t>Pressure</t>
  </si>
  <si>
    <t>RAD</t>
  </si>
  <si>
    <t>Radon gas</t>
  </si>
  <si>
    <t>RAIN</t>
  </si>
  <si>
    <t>Rainfall</t>
  </si>
  <si>
    <t>RDX</t>
  </si>
  <si>
    <t>RES</t>
  </si>
  <si>
    <t>Apparent resistivity</t>
  </si>
  <si>
    <t>RFLOW</t>
  </si>
  <si>
    <t>River flowrate measurement</t>
  </si>
  <si>
    <t>RLEVEL</t>
  </si>
  <si>
    <t>River level measurement</t>
  </si>
  <si>
    <t>ROTS</t>
  </si>
  <si>
    <t>Rotational speed</t>
  </si>
  <si>
    <t>SAL</t>
  </si>
  <si>
    <t>Salinity</t>
  </si>
  <si>
    <t>SAMPTEMP</t>
  </si>
  <si>
    <t>Sample temperature</t>
  </si>
  <si>
    <t>STAT</t>
  </si>
  <si>
    <t>STRA</t>
  </si>
  <si>
    <t>Strain in direction A</t>
  </si>
  <si>
    <t>STRB</t>
  </si>
  <si>
    <t>Strain in direction B</t>
  </si>
  <si>
    <t>STRC</t>
  </si>
  <si>
    <t>Strain in direction C</t>
  </si>
  <si>
    <t>Total dissolved solids</t>
  </si>
  <si>
    <t>TEMP</t>
  </si>
  <si>
    <t>Atmospheric temperature</t>
  </si>
  <si>
    <t>TGM</t>
  </si>
  <si>
    <t>Total methane concentration</t>
  </si>
  <si>
    <t>TGMP</t>
  </si>
  <si>
    <t>Peak total methane concentration</t>
  </si>
  <si>
    <t>TGMS</t>
  </si>
  <si>
    <t>Steady total methane concentration</t>
  </si>
  <si>
    <t>TORQ</t>
  </si>
  <si>
    <t>Torque</t>
  </si>
  <si>
    <t>TRST</t>
  </si>
  <si>
    <t>Thrust</t>
  </si>
  <si>
    <t>TURB</t>
  </si>
  <si>
    <t>Turbidity</t>
  </si>
  <si>
    <t>UPT</t>
  </si>
  <si>
    <t>Up/run time</t>
  </si>
  <si>
    <t>VEL</t>
  </si>
  <si>
    <t>Velocity</t>
  </si>
  <si>
    <t>VOC</t>
  </si>
  <si>
    <t>Volatile organic compound</t>
  </si>
  <si>
    <t>VOCP</t>
  </si>
  <si>
    <t>Peak volatile organic compound</t>
  </si>
  <si>
    <t>VOL</t>
  </si>
  <si>
    <t>Volume</t>
  </si>
  <si>
    <t>VOLT</t>
  </si>
  <si>
    <t>Voltage</t>
  </si>
  <si>
    <t>Depth to water from LOCA_ID datum</t>
  </si>
  <si>
    <t>WHD</t>
  </si>
  <si>
    <t>Head of water above tip</t>
  </si>
  <si>
    <t>ANEM</t>
  </si>
  <si>
    <t>Anenometer</t>
  </si>
  <si>
    <t>DM</t>
  </si>
  <si>
    <t>Discontinuity monitoring</t>
  </si>
  <si>
    <t>EPCE</t>
  </si>
  <si>
    <t xml:space="preserve">Embedment pressure cell </t>
  </si>
  <si>
    <t>EPCH</t>
  </si>
  <si>
    <t>EPCP</t>
  </si>
  <si>
    <t>EPIE</t>
  </si>
  <si>
    <t>Electronic Piezometer</t>
  </si>
  <si>
    <t>ESET</t>
  </si>
  <si>
    <t>Electronic settlement cell/gauges</t>
  </si>
  <si>
    <t>ETL</t>
  </si>
  <si>
    <t>Optical extensometer</t>
  </si>
  <si>
    <t>ETM</t>
  </si>
  <si>
    <t>Magnetic Extensometer</t>
  </si>
  <si>
    <t>ETR</t>
  </si>
  <si>
    <t>Rod Extensometer</t>
  </si>
  <si>
    <t>ETT</t>
  </si>
  <si>
    <t>Tape Extensometer</t>
  </si>
  <si>
    <t>Gas monitoring point</t>
  </si>
  <si>
    <t>GWMP</t>
  </si>
  <si>
    <t>Groundwater monitoring point</t>
  </si>
  <si>
    <t>HPIE</t>
  </si>
  <si>
    <t>Hydraulic piezometer</t>
  </si>
  <si>
    <t>HSET</t>
  </si>
  <si>
    <t>Hydraulic settlement cell/gauges</t>
  </si>
  <si>
    <t>ICE</t>
  </si>
  <si>
    <t xml:space="preserve">Inclinometer </t>
  </si>
  <si>
    <t>ICM</t>
  </si>
  <si>
    <t>Inclinometer - Manual</t>
  </si>
  <si>
    <t>IPCE</t>
  </si>
  <si>
    <t xml:space="preserve">Interface pressure cell </t>
  </si>
  <si>
    <t>IPCH</t>
  </si>
  <si>
    <t>IPCP</t>
  </si>
  <si>
    <t>Load cell</t>
  </si>
  <si>
    <t>MSET</t>
  </si>
  <si>
    <t>Levelling point or plate</t>
  </si>
  <si>
    <t>PPCE</t>
  </si>
  <si>
    <t xml:space="preserve">Push in pressure cell </t>
  </si>
  <si>
    <t>PPCH</t>
  </si>
  <si>
    <t>PPCP</t>
  </si>
  <si>
    <t>PPIE</t>
  </si>
  <si>
    <t>Pneumatic Piezometer</t>
  </si>
  <si>
    <t>PSET</t>
  </si>
  <si>
    <t>Pneumatic settlement cell/gauges</t>
  </si>
  <si>
    <t>Rain Gauge</t>
  </si>
  <si>
    <t>RIVER</t>
  </si>
  <si>
    <t>River Gauging Station</t>
  </si>
  <si>
    <t>SG</t>
  </si>
  <si>
    <t>Strain gauge</t>
  </si>
  <si>
    <t>SLIP</t>
  </si>
  <si>
    <t>Slip indicator</t>
  </si>
  <si>
    <t>Standpipe</t>
  </si>
  <si>
    <t>SPIE</t>
  </si>
  <si>
    <t>TMB</t>
  </si>
  <si>
    <t xml:space="preserve">Tiltmeter </t>
  </si>
  <si>
    <t>TMU</t>
  </si>
  <si>
    <t>Tiltmeter - Uniaxial</t>
  </si>
  <si>
    <t>Temperature measuring point</t>
  </si>
  <si>
    <t>TRT</t>
  </si>
  <si>
    <t>Thermal Response Loop</t>
  </si>
  <si>
    <t>Total station point</t>
  </si>
  <si>
    <t>easy</t>
  </si>
  <si>
    <t>firm</t>
  </si>
  <si>
    <t>hard</t>
  </si>
  <si>
    <t>very easy</t>
  </si>
  <si>
    <t>VH</t>
  </si>
  <si>
    <t>very hard</t>
  </si>
  <si>
    <t>PLAIN</t>
  </si>
  <si>
    <t>Plain</t>
  </si>
  <si>
    <t>Slotted</t>
  </si>
  <si>
    <t>HPD</t>
  </si>
  <si>
    <t>High pressure dilatometer</t>
  </si>
  <si>
    <t>MPM</t>
  </si>
  <si>
    <t>Menard type pressuremeter</t>
  </si>
  <si>
    <t>PIP</t>
  </si>
  <si>
    <t>Push-in pressuremeter</t>
  </si>
  <si>
    <t>SBP</t>
  </si>
  <si>
    <t>Self boring pressuremeter</t>
  </si>
  <si>
    <t>WRSBP</t>
  </si>
  <si>
    <t>Weak rock self boring pressuremeter</t>
  </si>
  <si>
    <t>CHP</t>
  </si>
  <si>
    <t>Constant head permeameter</t>
  </si>
  <si>
    <t>FHP</t>
  </si>
  <si>
    <t>Falling head permeameter</t>
  </si>
  <si>
    <t>Triaxial cell</t>
  </si>
  <si>
    <t>Constant head</t>
  </si>
  <si>
    <t>DA</t>
  </si>
  <si>
    <t>Distinctly Altered</t>
  </si>
  <si>
    <t>Highly Altered</t>
  </si>
  <si>
    <t>MA</t>
  </si>
  <si>
    <t>Moderately Altered</t>
  </si>
  <si>
    <t>Slightly Altered</t>
  </si>
  <si>
    <t>XA</t>
  </si>
  <si>
    <t>Extremely Altered</t>
  </si>
  <si>
    <t>extremely high</t>
  </si>
  <si>
    <t>very high</t>
  </si>
  <si>
    <t>VL</t>
  </si>
  <si>
    <t>very low</t>
  </si>
  <si>
    <t>Saturated</t>
  </si>
  <si>
    <t>Axial</t>
  </si>
  <si>
    <t>Block</t>
  </si>
  <si>
    <t>Diametral</t>
  </si>
  <si>
    <t>I</t>
  </si>
  <si>
    <t>Irregular lump</t>
  </si>
  <si>
    <t>Parallel to planes of weakness</t>
  </si>
  <si>
    <t>Perpendicular to planes of weakness</t>
  </si>
  <si>
    <t>Unknown</t>
  </si>
  <si>
    <t>BLASTING</t>
  </si>
  <si>
    <t>Blasting</t>
  </si>
  <si>
    <t>Boring</t>
  </si>
  <si>
    <t>RIP</t>
  </si>
  <si>
    <t>Ripping</t>
  </si>
  <si>
    <t>SPLIT</t>
  </si>
  <si>
    <t>Mechanical Splitting</t>
  </si>
  <si>
    <t>L-Type</t>
  </si>
  <si>
    <t>N-Type</t>
  </si>
  <si>
    <t>EXC</t>
  </si>
  <si>
    <t>Excavation face</t>
  </si>
  <si>
    <t>LFB</t>
  </si>
  <si>
    <t>Large field block</t>
  </si>
  <si>
    <t>NAT</t>
  </si>
  <si>
    <t>Saw-cut block</t>
  </si>
  <si>
    <t>AMAL</t>
  </si>
  <si>
    <t>Amalgamated sample</t>
  </si>
  <si>
    <t>Bulk disturbed sample</t>
  </si>
  <si>
    <t>BLK</t>
  </si>
  <si>
    <t>Core sample</t>
  </si>
  <si>
    <t>CBR mould sample</t>
  </si>
  <si>
    <t>COMP</t>
  </si>
  <si>
    <t>Composite sample - where the sample is made up of material from disparate unrecorded locations, coned and quartered into one composite sample</t>
  </si>
  <si>
    <t>For the case where the sample is made up of material from disparate locations, coned and quartered into one composite sample.</t>
  </si>
  <si>
    <t>CONCB</t>
  </si>
  <si>
    <t>Concrete Cube</t>
  </si>
  <si>
    <t>CONCC</t>
  </si>
  <si>
    <t>Concrete Core</t>
  </si>
  <si>
    <t>Small disturbed sample</t>
  </si>
  <si>
    <t>Soil sample for environmental testing</t>
  </si>
  <si>
    <t>Water sample for environmental testing</t>
  </si>
  <si>
    <t>G</t>
  </si>
  <si>
    <t>Gas sample</t>
  </si>
  <si>
    <t>Liner sample (dynamic)</t>
  </si>
  <si>
    <t>LB</t>
  </si>
  <si>
    <t>Large bulk disturbed sample (for earthworks testing)</t>
  </si>
  <si>
    <t>Mazier type sample</t>
  </si>
  <si>
    <t>MOS</t>
  </si>
  <si>
    <t>Mostap sample</t>
  </si>
  <si>
    <t>Piston sample</t>
  </si>
  <si>
    <t>SPTLS</t>
  </si>
  <si>
    <t>Standard penetration test liner sample</t>
  </si>
  <si>
    <t>TW</t>
  </si>
  <si>
    <t>Thin walled push in sample</t>
  </si>
  <si>
    <t>Undisturbed sample - open drive</t>
  </si>
  <si>
    <t>UT</t>
  </si>
  <si>
    <t>Thin wall open drive tube sampler</t>
  </si>
  <si>
    <t>Water sample</t>
  </si>
  <si>
    <t>Maximum Cone Value</t>
  </si>
  <si>
    <t>Maximum Friction Value</t>
  </si>
  <si>
    <t>Maximum Inclination Value</t>
  </si>
  <si>
    <t>Maximum Penetration Force</t>
  </si>
  <si>
    <t>Maximum Pore Pressure Value</t>
  </si>
  <si>
    <t>Obstacle</t>
  </si>
  <si>
    <t>Target Depth</t>
  </si>
  <si>
    <t>Conductivity cone</t>
  </si>
  <si>
    <t>Electric cone</t>
  </si>
  <si>
    <t>FFD</t>
  </si>
  <si>
    <t>Fuel fluorescence cone</t>
  </si>
  <si>
    <t>Mechanical cone</t>
  </si>
  <si>
    <t>MG</t>
  </si>
  <si>
    <t>Magnetometer Cone</t>
  </si>
  <si>
    <t>Piezo cone</t>
  </si>
  <si>
    <t>P &amp; S-wave Seismic Cone</t>
  </si>
  <si>
    <t>TC</t>
  </si>
  <si>
    <t>Temperature cone</t>
  </si>
  <si>
    <t>BB</t>
  </si>
  <si>
    <t>Bottom of borehole</t>
  </si>
  <si>
    <t>Surface</t>
  </si>
  <si>
    <t>Sea bottom</t>
  </si>
  <si>
    <t>LARGE RSHEAR</t>
  </si>
  <si>
    <t>Large Ring shear</t>
  </si>
  <si>
    <t>LARGE SBOX</t>
  </si>
  <si>
    <t>Large Shearbox</t>
  </si>
  <si>
    <t>SMALL RSHEAR</t>
  </si>
  <si>
    <t>Small Ring shear</t>
  </si>
  <si>
    <t>Small Shearbox</t>
  </si>
  <si>
    <t>dense</t>
  </si>
  <si>
    <t>Fr</t>
  </si>
  <si>
    <t>friable</t>
  </si>
  <si>
    <t>loose</t>
  </si>
  <si>
    <t>MD</t>
  </si>
  <si>
    <t>medium dense</t>
  </si>
  <si>
    <t>soft</t>
  </si>
  <si>
    <t>St</t>
  </si>
  <si>
    <t>stiff</t>
  </si>
  <si>
    <t>VD</t>
  </si>
  <si>
    <t>very dense</t>
  </si>
  <si>
    <t>very loose</t>
  </si>
  <si>
    <t>very soft</t>
  </si>
  <si>
    <t>VSt</t>
  </si>
  <si>
    <t>very stiff</t>
  </si>
  <si>
    <t>Moist</t>
  </si>
  <si>
    <t>w &lt; PL</t>
  </si>
  <si>
    <t>Moist, dry of plastic limit</t>
  </si>
  <si>
    <t>w = LL</t>
  </si>
  <si>
    <t>Moist, near liquid limit</t>
  </si>
  <si>
    <t>w = PL</t>
  </si>
  <si>
    <t>Moist, near plastic limit</t>
  </si>
  <si>
    <t>w &gt; LL</t>
  </si>
  <si>
    <t>Moist, wet of liquid limit</t>
  </si>
  <si>
    <t>w &gt; PL</t>
  </si>
  <si>
    <t>Moist, wet of plastic limit</t>
  </si>
  <si>
    <t>Anisotropically consolidated drained compression with pwp measurement</t>
  </si>
  <si>
    <t>CADE</t>
  </si>
  <si>
    <t>Anisotropically consolidated drained extension with pwp measurement</t>
  </si>
  <si>
    <t>Anisotropically consolidated undrained compression with pwp measurement</t>
  </si>
  <si>
    <t>CAUE</t>
  </si>
  <si>
    <t>Anisotropically consolidated undrained extension with pwp measurement</t>
  </si>
  <si>
    <t>Consolidated drained (single stage)</t>
  </si>
  <si>
    <t>Consolidated drained (multi-stage)</t>
  </si>
  <si>
    <t>Isotropically consolidated drained compression with pwp measurement</t>
  </si>
  <si>
    <t>CIDE</t>
  </si>
  <si>
    <t>Isotropically consolidated drained extension with pwp measurement</t>
  </si>
  <si>
    <t>Isotropically consolidated undrained compression with pwp measurement</t>
  </si>
  <si>
    <t>CIUCM</t>
  </si>
  <si>
    <t>Isotropically consolidated undrained compression with pwp measurement (multi-stage)</t>
  </si>
  <si>
    <t>Consolidated undrained with pwp measurement (single stage)</t>
  </si>
  <si>
    <t>Consolidated undrained with pwp measurement (multi-stage)</t>
  </si>
  <si>
    <t>UUP</t>
  </si>
  <si>
    <t>Unconsolidated undrained with pwp measurement</t>
  </si>
  <si>
    <t>UNC</t>
  </si>
  <si>
    <t>Unconfined Compressive test</t>
  </si>
  <si>
    <t>UU</t>
  </si>
  <si>
    <t>Unconsolidated quick undrained (single stage)</t>
  </si>
  <si>
    <t>UUM</t>
  </si>
  <si>
    <t>Unconsolidated quick undrained (multi-stage)</t>
  </si>
  <si>
    <t>DW</t>
  </si>
  <si>
    <t>Distinctly Weathered</t>
  </si>
  <si>
    <t>Fresh</t>
  </si>
  <si>
    <t>Highly Weathered</t>
  </si>
  <si>
    <t>MW</t>
  </si>
  <si>
    <t>Moderately Weathered</t>
  </si>
  <si>
    <t>RS</t>
  </si>
  <si>
    <t>Residual Soil</t>
  </si>
  <si>
    <t>Slightly Weathered</t>
  </si>
  <si>
    <t>XW</t>
  </si>
  <si>
    <t>Extremely Weathered</t>
  </si>
  <si>
    <t>BS 5930:1999 AMEND 1</t>
  </si>
  <si>
    <t>BS 5930:1999 Amendment 1</t>
  </si>
  <si>
    <t>BS 5930:1999 PRE AMEND 1</t>
  </si>
  <si>
    <t>BS 5930:1999 Pre Amendment 1</t>
  </si>
  <si>
    <t>BS 5930:2015</t>
  </si>
  <si>
    <t>BS EN ISO 14689-1:2003</t>
  </si>
  <si>
    <t>BS5930: 2010 AMEND 2</t>
  </si>
  <si>
    <t xml:space="preserve">BS5930: 2010 Amendment 2 </t>
  </si>
  <si>
    <t>CHANDLER APTED LC</t>
  </si>
  <si>
    <t>Chandler and Apted London Clay</t>
  </si>
  <si>
    <t>CHANDLER MERCIA</t>
  </si>
  <si>
    <t>Chandler Mercia Mudstone Weathering Grades</t>
  </si>
  <si>
    <t>CIRIA CHALK</t>
  </si>
  <si>
    <t>CIRIA chalk weathering system</t>
  </si>
  <si>
    <t>CIRIA MERCIA</t>
  </si>
  <si>
    <t>CIRIA C570 Simplified scheme for Mercia  Mudstone</t>
  </si>
  <si>
    <t>GEO3</t>
  </si>
  <si>
    <t>Geoguide 3</t>
  </si>
  <si>
    <t>ISRM</t>
  </si>
  <si>
    <t>MUNDFORD</t>
  </si>
  <si>
    <t>Mundford chalk weathering scale</t>
  </si>
  <si>
    <t>Rock Mass Weathering Classification</t>
  </si>
  <si>
    <t>MASS GRADE</t>
  </si>
  <si>
    <t>Rock Mass Weathering Grade</t>
  </si>
  <si>
    <t>MASS ZONE</t>
  </si>
  <si>
    <t>Rock Mass Weathering Zone</t>
  </si>
  <si>
    <t>MAT CLASS</t>
  </si>
  <si>
    <t>Material Weathering Classification</t>
  </si>
  <si>
    <t>MAT GRADE</t>
  </si>
  <si>
    <t>Material Weathering Grade</t>
  </si>
  <si>
    <t>ABI</t>
  </si>
  <si>
    <t>Acoustic Borehole Imager</t>
  </si>
  <si>
    <t>BDEV</t>
  </si>
  <si>
    <t>Borehole Deviation</t>
  </si>
  <si>
    <t>BT</t>
  </si>
  <si>
    <t>Borehole Temperature</t>
  </si>
  <si>
    <t>CAL3</t>
  </si>
  <si>
    <t>Three arm Caliper</t>
  </si>
  <si>
    <t>CAL4</t>
  </si>
  <si>
    <t>Four Arm Caliper</t>
  </si>
  <si>
    <t>CALX-Y</t>
  </si>
  <si>
    <t>Caliper X-Y (2 x two arm Caliper)</t>
  </si>
  <si>
    <t>DFEL</t>
  </si>
  <si>
    <t>Dual Focused Resistivity</t>
  </si>
  <si>
    <t>DIEL</t>
  </si>
  <si>
    <t>Dual Induction</t>
  </si>
  <si>
    <t>DMR</t>
  </si>
  <si>
    <t>Downhole Magnetic Resonance</t>
  </si>
  <si>
    <t>ELOG</t>
  </si>
  <si>
    <t>Normal Resistivity</t>
  </si>
  <si>
    <t>FC</t>
  </si>
  <si>
    <t>Fluid Conductivity</t>
  </si>
  <si>
    <t>FWS</t>
  </si>
  <si>
    <t>Full Waveform Sonic</t>
  </si>
  <si>
    <t>GGD</t>
  </si>
  <si>
    <t>Dual Gamma Density</t>
  </si>
  <si>
    <t>HPFL</t>
  </si>
  <si>
    <t>Heat Pulse Flowmeter</t>
  </si>
  <si>
    <t>IPFL</t>
  </si>
  <si>
    <t>Impeller/Spinner Flowmeter</t>
  </si>
  <si>
    <t>MSUS</t>
  </si>
  <si>
    <t>Magnetic Susceptibility</t>
  </si>
  <si>
    <t>NGR</t>
  </si>
  <si>
    <t>Natural Gamma</t>
  </si>
  <si>
    <t>NTR</t>
  </si>
  <si>
    <t>Dual Neutron</t>
  </si>
  <si>
    <t>Optical Borehole Imager</t>
  </si>
  <si>
    <t>PSL</t>
  </si>
  <si>
    <t>P&amp;S Wave Suspension Logger</t>
  </si>
  <si>
    <t>SGR</t>
  </si>
  <si>
    <t>Spectral Gamma</t>
  </si>
  <si>
    <t>Open hole</t>
  </si>
  <si>
    <t>PVCG</t>
  </si>
  <si>
    <t>PVC grouted</t>
  </si>
  <si>
    <t>PVCU</t>
  </si>
  <si>
    <t>PVC ungrouted</t>
  </si>
  <si>
    <t>SLOT</t>
  </si>
  <si>
    <t>Slotted casing</t>
  </si>
  <si>
    <t>STCG</t>
  </si>
  <si>
    <t>Steel cased grouted</t>
  </si>
  <si>
    <t>STCU</t>
  </si>
  <si>
    <t>Steel cased ungrouted</t>
  </si>
  <si>
    <t>ABI-ARQD</t>
  </si>
  <si>
    <t>Acoustic Borehole Imager Acoustic-RQD</t>
  </si>
  <si>
    <t>ABI-BAM</t>
  </si>
  <si>
    <t>Acoustic Borehole Imager Borehole Azimuth Magnetic Sensor</t>
  </si>
  <si>
    <t>ABI-BT</t>
  </si>
  <si>
    <t>Acoustic Borehole Imager Borehole Tilt</t>
  </si>
  <si>
    <t>ABI-CAVE</t>
  </si>
  <si>
    <t>Acoustic Borehole Imager Caliper Ave</t>
  </si>
  <si>
    <t>ABI-CMAX</t>
  </si>
  <si>
    <t>Acoustic Borehole Imager Caliper Max</t>
  </si>
  <si>
    <t>ABI-CMIN</t>
  </si>
  <si>
    <t>Acoustic Borehole Imager Caliper Min</t>
  </si>
  <si>
    <t>ABI-EAST</t>
  </si>
  <si>
    <t>Acoustic Borehole Imager Easting</t>
  </si>
  <si>
    <t>ABI-MF</t>
  </si>
  <si>
    <t>Acoustic Borehole Imager Magnetic Field</t>
  </si>
  <si>
    <t>ABI-NORT</t>
  </si>
  <si>
    <t>Acoustic Borehole Imager Northing</t>
  </si>
  <si>
    <t>ABI-SAM</t>
  </si>
  <si>
    <t>Acoustic Borehole Imager Structure Azimuth Magnetic</t>
  </si>
  <si>
    <t>ABI-SAP</t>
  </si>
  <si>
    <t>Acoustic Borehole Imager Structure Aperture</t>
  </si>
  <si>
    <t>ABI-SDIP</t>
  </si>
  <si>
    <t>Acoustic Borehole Imager Structure Dip</t>
  </si>
  <si>
    <t>ABI-TVD</t>
  </si>
  <si>
    <t>Acoustic Borehole Imager TVD</t>
  </si>
  <si>
    <t>BDEV-BAG</t>
  </si>
  <si>
    <t>Borehole Deviation Borehole Azimuth Gyro</t>
  </si>
  <si>
    <t>BDEV-BAM</t>
  </si>
  <si>
    <t>Borehole Deviation Borehole Azimuth Magnetic Sensor</t>
  </si>
  <si>
    <t>BDEV-BT</t>
  </si>
  <si>
    <t>Borehole Deviation Borehole Tilt</t>
  </si>
  <si>
    <t>BDEV-EAST</t>
  </si>
  <si>
    <t>Borehole Deviation Easting</t>
  </si>
  <si>
    <t>BDEV-NORT</t>
  </si>
  <si>
    <t>Borehole Deviation Northing</t>
  </si>
  <si>
    <t>BDEV-TVD</t>
  </si>
  <si>
    <t>Borehole Deviation Total Vertical Depth (TVD)</t>
  </si>
  <si>
    <t>BT-T</t>
  </si>
  <si>
    <t>CAL3-BHD</t>
  </si>
  <si>
    <t>Three arm Caliper - Average Borehole Diameter</t>
  </si>
  <si>
    <t>CAL4-BRX1</t>
  </si>
  <si>
    <t>Caliper X-Y (2 x two arm Caliper) - Borehole Radii X1</t>
  </si>
  <si>
    <t>CAL4-BRX2</t>
  </si>
  <si>
    <t>Caliper X-Y (2 x two arm Caliper) - Borehole Radii X2</t>
  </si>
  <si>
    <t>CAL4-BRY1</t>
  </si>
  <si>
    <t>Caliper X-Y (2 x two arm Caliper) - Borehole Radii Y1</t>
  </si>
  <si>
    <t>CAL4-BRY2</t>
  </si>
  <si>
    <t>Caliper X-Y (2 x two arm Caliper) - Borehole Radii Y2</t>
  </si>
  <si>
    <t>CAL4-X1P</t>
  </si>
  <si>
    <t>Caliper X-Y (2 x two arm Caliper) - X1 Position</t>
  </si>
  <si>
    <t>CALXY-BDX</t>
  </si>
  <si>
    <t>Caliper X-Y (2 x two arm Caliper) - Borehole Diameter X</t>
  </si>
  <si>
    <t>CALXY-BDY</t>
  </si>
  <si>
    <t>Caliper X-Y (2 x two arm Caliper) - Borehole Diameter Y</t>
  </si>
  <si>
    <t>DFEL-FRD</t>
  </si>
  <si>
    <t>Dual Focused Resistivity Deep</t>
  </si>
  <si>
    <t>DFEL-FRS</t>
  </si>
  <si>
    <t>Dual Focused Resistivity Shallow</t>
  </si>
  <si>
    <t>DIEL-CD</t>
  </si>
  <si>
    <t>Dual Induction - Conductivity Deep</t>
  </si>
  <si>
    <t>DIEL-CS</t>
  </si>
  <si>
    <t>Dual Induction - Conductivity Shallow</t>
  </si>
  <si>
    <t>DMR-CBWV</t>
  </si>
  <si>
    <t>Downhole Magnetic Resonance - Capillary bound water volume</t>
  </si>
  <si>
    <t>DMR-CLBWV</t>
  </si>
  <si>
    <t>Downhole Magnetic Resonance - Clay bound water volume</t>
  </si>
  <si>
    <t>DMR-FMWV</t>
  </si>
  <si>
    <t>Downhole Magnetic Resonance - Free or mobile water volume</t>
  </si>
  <si>
    <t>DMR-HPSD1</t>
  </si>
  <si>
    <t>Downhole Magnetic Resonance - Estimated Hydraulic Permeability SDR q1</t>
  </si>
  <si>
    <t>DMR-HPSD2</t>
  </si>
  <si>
    <t>Downhole Magnetic Resonance - Estimated Hydraulic Permeability SDR q2</t>
  </si>
  <si>
    <t>DMR-HPSD3</t>
  </si>
  <si>
    <t>Downhole Magnetic Resonance - Estimated Hydraulic Permeability SDR q3</t>
  </si>
  <si>
    <t>DMR-HPSO1</t>
  </si>
  <si>
    <t>Downhole Magnetic Resonance - Estimated Hydraulic Permeability SOE q1</t>
  </si>
  <si>
    <t>DMR-HPSO2</t>
  </si>
  <si>
    <t>Downhole Magnetic Resonance - Estimated Hydraulic Permeability SOE q2</t>
  </si>
  <si>
    <t>DMR-HPSO3</t>
  </si>
  <si>
    <t>Downhole Magnetic Resonance - Estimated Hydraulic Permeability SOE q3</t>
  </si>
  <si>
    <t>DMR-HPT1</t>
  </si>
  <si>
    <t>Downhole Magnetic Resonance - Estimated Hydraulic Permeability TIM q1</t>
  </si>
  <si>
    <t>DMR-HPT2</t>
  </si>
  <si>
    <t>Downhole Magnetic Resonance - Estimated Hydraulic Permeability TIM q2</t>
  </si>
  <si>
    <t>DMR-HPT3</t>
  </si>
  <si>
    <t>Downhole Magnetic Resonance - Estimated Hydraulic Permeability TIM q3</t>
  </si>
  <si>
    <t>DMR-MC</t>
  </si>
  <si>
    <t>Downhole Magnetic Resonance - Moisture Content</t>
  </si>
  <si>
    <t>DMR-T2LM</t>
  </si>
  <si>
    <t>Downhole Magnetic Resonance - T2 Logarithmic Mean</t>
  </si>
  <si>
    <t>DMR-TP</t>
  </si>
  <si>
    <t>Downhole Magnetic Resonance - Total Porosity</t>
  </si>
  <si>
    <t>ELOG-RES16</t>
  </si>
  <si>
    <t>Normal Resistivity - 16inch Resistivity</t>
  </si>
  <si>
    <t>ELOG-RES32</t>
  </si>
  <si>
    <t>Normal Resistivity - 32inch Resistivity</t>
  </si>
  <si>
    <t>ELOG-RES64</t>
  </si>
  <si>
    <t>Normal Resistivity - 64inch Resistivity</t>
  </si>
  <si>
    <t>ELOG-RES8</t>
  </si>
  <si>
    <t>Normal Resistivity - 8inch Resistivity</t>
  </si>
  <si>
    <t>FC-FC</t>
  </si>
  <si>
    <t>FWS-ART1</t>
  </si>
  <si>
    <t>Full Waveform Sonic - Amplitude Rx1-Tx1</t>
  </si>
  <si>
    <t>FWS-ART2</t>
  </si>
  <si>
    <t>Full Waveform Sonic - Amplitude Rx1-Tx2</t>
  </si>
  <si>
    <t>FWS-CBI</t>
  </si>
  <si>
    <t>Full Waveform Sonic - Cement Bond Index in Steel Casing</t>
  </si>
  <si>
    <t>FWS-DTP</t>
  </si>
  <si>
    <t>Full Waveform Sonic - dtp</t>
  </si>
  <si>
    <t>FWS-DTS</t>
  </si>
  <si>
    <t>Full Waveform Sonic - dts</t>
  </si>
  <si>
    <t>FWS-PDEL</t>
  </si>
  <si>
    <t>Full Waveform Sonic - Propagation Delay</t>
  </si>
  <si>
    <t>FWS-PORA</t>
  </si>
  <si>
    <t>Full Waveform Sonic - Poisson's Ratio</t>
  </si>
  <si>
    <t>FWS-PTR1T1</t>
  </si>
  <si>
    <t>Full Waveform Sonic - P-Wave TT Rx1-Tx1</t>
  </si>
  <si>
    <t>FWS-PTR1T2</t>
  </si>
  <si>
    <t>Full Waveform Sonic - P-Wave TT Rx1-Tx2</t>
  </si>
  <si>
    <t>FWS-PTR2T1</t>
  </si>
  <si>
    <t>Full Waveform Sonic - P-Wave TT Rx2-Tx1</t>
  </si>
  <si>
    <t>FWS-PTR2T2</t>
  </si>
  <si>
    <t>Full Waveform Sonic - P-Wave TT Rx2-Tx2</t>
  </si>
  <si>
    <t>FWS-PTR3T1</t>
  </si>
  <si>
    <t>Full Waveform Sonic - P-Wave TT Rx3-Tx1</t>
  </si>
  <si>
    <t>FWS-PTR3T2</t>
  </si>
  <si>
    <t>Full Waveform Sonic - P-Wave TT Rx3-Tx2</t>
  </si>
  <si>
    <t>FWS-PTR4T1</t>
  </si>
  <si>
    <t>Full Waveform Sonic - P-Wave TT Rx4-Tx1</t>
  </si>
  <si>
    <t>FWS-PTR4T2</t>
  </si>
  <si>
    <t>Full Waveform Sonic - P-Wave TT Rx4-Tx2</t>
  </si>
  <si>
    <t>FWS-PWV</t>
  </si>
  <si>
    <t>Full Waveform Sonic - P-Wave Velocity</t>
  </si>
  <si>
    <t>FWS-STR1T1</t>
  </si>
  <si>
    <t>Full Waveform Sonic - S-Wave TT Rx1-Tx1</t>
  </si>
  <si>
    <t>FWS-STR1T2</t>
  </si>
  <si>
    <t>Full Waveform Sonic - S-Wave TT Rx1-Tx2</t>
  </si>
  <si>
    <t>FWS-STR2T1</t>
  </si>
  <si>
    <t>Full Waveform Sonic - S-Wave TT Rx2-Tx1</t>
  </si>
  <si>
    <t>FWS-STR2T2</t>
  </si>
  <si>
    <t>Full Waveform Sonic - S-Wave TT Rx2-Tx2</t>
  </si>
  <si>
    <t>FWS-STR3T1</t>
  </si>
  <si>
    <t>Full Waveform Sonic - S-Wave TT Rx3-Tx1</t>
  </si>
  <si>
    <t>FWS-STR3T2</t>
  </si>
  <si>
    <t>Full Waveform Sonic - S-Wave TT Rx3-Tx2</t>
  </si>
  <si>
    <t>FWS-STR4T1</t>
  </si>
  <si>
    <t>Full Waveform Sonic - S-Wave TT Rx4-Tx1</t>
  </si>
  <si>
    <t>FWS-STR4T2</t>
  </si>
  <si>
    <t>Full Waveform Sonic - S-Wave TT Rx4-Tx2</t>
  </si>
  <si>
    <t>FWS-SWV</t>
  </si>
  <si>
    <t>Full Waveform Sonic - S-Wave Velocity</t>
  </si>
  <si>
    <t>FWS-VRAT</t>
  </si>
  <si>
    <t>Full Waveform Sonic - Vp/Vs Ratio</t>
  </si>
  <si>
    <t>GGD-BD</t>
  </si>
  <si>
    <t>Dual Gamma - Bulk Density</t>
  </si>
  <si>
    <t>GGD-DL</t>
  </si>
  <si>
    <t>Dual Gamma - Density Long</t>
  </si>
  <si>
    <t>GGD-DS</t>
  </si>
  <si>
    <t>Dual Gamma - Density Short</t>
  </si>
  <si>
    <t>GGD-GL</t>
  </si>
  <si>
    <t>Dual Gamma - Gamma Long</t>
  </si>
  <si>
    <t>GGD-GS</t>
  </si>
  <si>
    <t>Dual Gamma - Gamma Short</t>
  </si>
  <si>
    <t>GGD-SC</t>
  </si>
  <si>
    <t>Dual Gamma - Sidewall Caliper</t>
  </si>
  <si>
    <t>HPFL-FR</t>
  </si>
  <si>
    <t>Heat Pulse Flowmeter - Flow Rate</t>
  </si>
  <si>
    <t>HPFL-TTD</t>
  </si>
  <si>
    <t>Heat Pulse Flowmeter - Thermistor Temperature Difference</t>
  </si>
  <si>
    <t>HPRL-TCD</t>
  </si>
  <si>
    <t>Heat Pulse Flowmeter - Time from Capacitor Discharge</t>
  </si>
  <si>
    <t>IPFL-CS</t>
  </si>
  <si>
    <t>Impeller/Spinner Flowmeter - Logging / Cable Speed</t>
  </si>
  <si>
    <t>IPFL-DRAT</t>
  </si>
  <si>
    <t>Impeller/Spinner Flowmeter - rotation rate - Dynamic</t>
  </si>
  <si>
    <t>IPFL-FR</t>
  </si>
  <si>
    <t>Impeller/Spinner Flowmeter - Flow Rate</t>
  </si>
  <si>
    <t>IPFL-SRAT</t>
  </si>
  <si>
    <t>Impeller/Spinner Flowmeter - rotation rate - Stationary</t>
  </si>
  <si>
    <t>MSUS-FS</t>
  </si>
  <si>
    <t>Magnetic Susceptibility - Formation Susceptibility</t>
  </si>
  <si>
    <t>NGR-CV</t>
  </si>
  <si>
    <t>Natural Gamma - Clay Volume NGR</t>
  </si>
  <si>
    <t>NGR-NGA</t>
  </si>
  <si>
    <t>Natural Gamma - Total Natural Gamma in API</t>
  </si>
  <si>
    <t>NGR-NGC</t>
  </si>
  <si>
    <t>Natural Gamma - Total natural Gamma in counts/s</t>
  </si>
  <si>
    <t>NTR-LPPC</t>
  </si>
  <si>
    <t>Dual Neutron - Limestone Equivalent Porosity</t>
  </si>
  <si>
    <t>NTR-LPPU</t>
  </si>
  <si>
    <t>NTR-NPPC</t>
  </si>
  <si>
    <t>Dual Neutron - Neutron Porosity</t>
  </si>
  <si>
    <t>NTR-NPPU</t>
  </si>
  <si>
    <t>Dual Neutron - Neutron Porosity q</t>
  </si>
  <si>
    <t>NTR-SPPC</t>
  </si>
  <si>
    <t>Dual Neutron - Sandstone Equivalent Porosity</t>
  </si>
  <si>
    <t>NTR-SPPU</t>
  </si>
  <si>
    <t>OBI-BAM</t>
  </si>
  <si>
    <t>Optical Borehole Imager Borehole Azimuth Magnetic Sensor</t>
  </si>
  <si>
    <t>OBI-BT</t>
  </si>
  <si>
    <t>Optical Borehole Imager Borehole Tilt</t>
  </si>
  <si>
    <t>OBI-EAST</t>
  </si>
  <si>
    <t>Optical Borehole Imager Easting</t>
  </si>
  <si>
    <t>OBI-MF</t>
  </si>
  <si>
    <t>Optical Borehole Imager Magnetic Field</t>
  </si>
  <si>
    <t>OBI-NORT</t>
  </si>
  <si>
    <t>Optical Borehole Imager Northing</t>
  </si>
  <si>
    <t>OBI-SAM</t>
  </si>
  <si>
    <t>Optical Borehole Imager Structure Azimuth Magnetic</t>
  </si>
  <si>
    <t>OBI-SDIP</t>
  </si>
  <si>
    <t>Optical Borehole Imager Structure Dip</t>
  </si>
  <si>
    <t>OBI-TVD</t>
  </si>
  <si>
    <t>Optical Borehole Imager TVD</t>
  </si>
  <si>
    <t>PSL-PWV</t>
  </si>
  <si>
    <t>P &amp; S Wave Suspension - Logger P-Wave Velocity</t>
  </si>
  <si>
    <t>PSL-SWV</t>
  </si>
  <si>
    <t>P &amp; S Wave Suspension - S-Wave Velocity</t>
  </si>
  <si>
    <t>SGR-CCV</t>
  </si>
  <si>
    <t>Spectral Gamma - Corrected Clay Volume SGR (excl. Uranium)</t>
  </si>
  <si>
    <t>SGR-CV</t>
  </si>
  <si>
    <t>Spectral Gamma - Clay Volume SGR</t>
  </si>
  <si>
    <t>SGR-PC</t>
  </si>
  <si>
    <t>Spectral Gamma - Potassium Concentration</t>
  </si>
  <si>
    <t>SGR-TC</t>
  </si>
  <si>
    <t>Spectral Gamma - Thorium Concentration</t>
  </si>
  <si>
    <t>SGR-TGA</t>
  </si>
  <si>
    <t>Spectral Gamma - Total Gamma in API</t>
  </si>
  <si>
    <t>SGR-TGC</t>
  </si>
  <si>
    <t>Spectral Gamma - Total Gamma in counts/s</t>
  </si>
  <si>
    <t>SGR-UC</t>
  </si>
  <si>
    <t>Spectral Gamma - Uranium Concentration</t>
  </si>
  <si>
    <t>77 mm</t>
  </si>
  <si>
    <t>126 mm</t>
  </si>
  <si>
    <t>97 mm</t>
  </si>
  <si>
    <t>PHKC</t>
  </si>
  <si>
    <t>Laboratory tested pH value using a filtered potassium chloride - soil sample solution (to 1DP) (PASS)</t>
  </si>
  <si>
    <t>TAA</t>
  </si>
  <si>
    <t>Total Actual Acidity (as mol H+/t to 0DP) (PASS)</t>
  </si>
  <si>
    <t>sTAA</t>
  </si>
  <si>
    <t>Total Actual Acidity calculated as equivalent Pyrite (as % to 0DP) (PASS)</t>
  </si>
  <si>
    <t>SNAS</t>
  </si>
  <si>
    <t>Net Acid Soluble Sulfur (as % to 2DP) (PASS)</t>
  </si>
  <si>
    <t>EXAC</t>
  </si>
  <si>
    <t>Existing Acidity (as % to 1DP) (PASS)</t>
  </si>
  <si>
    <t>SCR</t>
  </si>
  <si>
    <t>Chromium Reducible Sulfur (as % to 2DP) (PASS)</t>
  </si>
  <si>
    <t>SPOS</t>
  </si>
  <si>
    <t>Peroxide Oxidisable Sulfur (as % to 2DP) (PASS)</t>
  </si>
  <si>
    <t>ANC</t>
  </si>
  <si>
    <t>Acid neutralising capacity (as mol H+/t to 0DP) (PASS)</t>
  </si>
  <si>
    <t>NTAC</t>
  </si>
  <si>
    <t>Net total acidity (as mol H+/t to 0DP) (PASS)</t>
  </si>
  <si>
    <t>PHOX</t>
  </si>
  <si>
    <t>Laboratory tested oxidised pH (1DP) (PASS)</t>
  </si>
  <si>
    <t>ASST</t>
  </si>
  <si>
    <t>Acid Sulfate Soil Type (X) (PASS)</t>
  </si>
  <si>
    <t>NACR</t>
  </si>
  <si>
    <t>National criteria (X) (PASS)</t>
  </si>
  <si>
    <t>LRNT</t>
  </si>
  <si>
    <t>Liming Rate Net (as kg/m3 to 0DP) (PASS)</t>
  </si>
  <si>
    <t>LREX</t>
  </si>
  <si>
    <t>Liming Rate Existing (as kg/m3 to 0DP) (PASS)</t>
  </si>
  <si>
    <t>TOP</t>
  </si>
  <si>
    <t>BOT</t>
  </si>
  <si>
    <t>Bottom</t>
  </si>
  <si>
    <t>Extreme</t>
  </si>
  <si>
    <t>Possible PASS/AASS</t>
  </si>
  <si>
    <t>Actual</t>
  </si>
  <si>
    <t>Actual PASS/AASS</t>
  </si>
  <si>
    <t>No</t>
  </si>
  <si>
    <t>No PASS/AASS</t>
  </si>
  <si>
    <t>Cone tip</t>
  </si>
  <si>
    <t>Local unit side friction resistance</t>
  </si>
  <si>
    <t>U1</t>
  </si>
  <si>
    <t>U2</t>
  </si>
  <si>
    <t>U3</t>
  </si>
  <si>
    <t>I1</t>
  </si>
  <si>
    <t>I2</t>
  </si>
  <si>
    <t>Type</t>
  </si>
  <si>
    <t>Area</t>
  </si>
  <si>
    <t>acre</t>
  </si>
  <si>
    <t>square centimetre</t>
  </si>
  <si>
    <t>ft2</t>
  </si>
  <si>
    <t>square foot</t>
  </si>
  <si>
    <t>hect</t>
  </si>
  <si>
    <t>hectare</t>
  </si>
  <si>
    <t>in2</t>
  </si>
  <si>
    <t>square inch</t>
  </si>
  <si>
    <t>km2</t>
  </si>
  <si>
    <t>square kilometre</t>
  </si>
  <si>
    <t>m2</t>
  </si>
  <si>
    <t>square metre</t>
  </si>
  <si>
    <t>mi2</t>
  </si>
  <si>
    <t>square mile</t>
  </si>
  <si>
    <t>yd2</t>
  </si>
  <si>
    <t>square yard</t>
  </si>
  <si>
    <t>Concentration</t>
  </si>
  <si>
    <t>percentage</t>
  </si>
  <si>
    <t>% dry weight</t>
  </si>
  <si>
    <t>percentage of dry weight</t>
  </si>
  <si>
    <t>%vol</t>
  </si>
  <si>
    <t>percentage volume</t>
  </si>
  <si>
    <t>CFU/g</t>
  </si>
  <si>
    <t>colony forming units per gram</t>
  </si>
  <si>
    <t>CFU/ml</t>
  </si>
  <si>
    <t>colony forming units per millilitre</t>
  </si>
  <si>
    <t>colonies/l</t>
  </si>
  <si>
    <t>colonies per litre</t>
  </si>
  <si>
    <t>colonies/ml</t>
  </si>
  <si>
    <t>colonies per millilitre</t>
  </si>
  <si>
    <t>g/l</t>
  </si>
  <si>
    <t>grams per litre</t>
  </si>
  <si>
    <t>milligrams per kilogram</t>
  </si>
  <si>
    <t>milligrams per litre</t>
  </si>
  <si>
    <t>MPN/100ml</t>
  </si>
  <si>
    <t>most probable number per 100 millilitres</t>
  </si>
  <si>
    <t>MPN/l</t>
  </si>
  <si>
    <t>most probable number per litre</t>
  </si>
  <si>
    <t>MPN/ml</t>
  </si>
  <si>
    <t>most probable number per millilitre</t>
  </si>
  <si>
    <t>ng/l</t>
  </si>
  <si>
    <t>nanograms per litre</t>
  </si>
  <si>
    <t>ppb</t>
  </si>
  <si>
    <t>parts per billion</t>
  </si>
  <si>
    <t>ppm</t>
  </si>
  <si>
    <t>parts per million</t>
  </si>
  <si>
    <t>Parts per million volume</t>
  </si>
  <si>
    <t>ug/kg</t>
  </si>
  <si>
    <t>micrograms per kilogram</t>
  </si>
  <si>
    <t>ug/l</t>
  </si>
  <si>
    <t>micrograms per litre</t>
  </si>
  <si>
    <t>Density</t>
  </si>
  <si>
    <t>grams per cubic centimetre</t>
  </si>
  <si>
    <t>kilograms per cubic metre</t>
  </si>
  <si>
    <t>kiloNewtons per cubic metre</t>
  </si>
  <si>
    <t>megagrams per cubic metre</t>
  </si>
  <si>
    <t>pcf</t>
  </si>
  <si>
    <t>pounds per cubic foot</t>
  </si>
  <si>
    <t>Electrical Resistivity</t>
  </si>
  <si>
    <t>ohm</t>
  </si>
  <si>
    <t>Ohm</t>
  </si>
  <si>
    <t>ohmcm</t>
  </si>
  <si>
    <t>Ohm centimetre</t>
  </si>
  <si>
    <t>percentage per hour</t>
  </si>
  <si>
    <t>cfs</t>
  </si>
  <si>
    <t>cubic feet per second</t>
  </si>
  <si>
    <t>gpm</t>
  </si>
  <si>
    <t>gallons per minute</t>
  </si>
  <si>
    <t>l/hr</t>
  </si>
  <si>
    <t>litres per hour</t>
  </si>
  <si>
    <t>litres per second</t>
  </si>
  <si>
    <t>m3/s</t>
  </si>
  <si>
    <t>cubic metres per second</t>
  </si>
  <si>
    <t>mgd</t>
  </si>
  <si>
    <t>million gallons per day</t>
  </si>
  <si>
    <t>kgf</t>
  </si>
  <si>
    <t>kilograms force</t>
  </si>
  <si>
    <t>kiloNewton</t>
  </si>
  <si>
    <t>lbf</t>
  </si>
  <si>
    <t>pounds force</t>
  </si>
  <si>
    <t>MN</t>
  </si>
  <si>
    <t>megaNewton</t>
  </si>
  <si>
    <t>Newton</t>
  </si>
  <si>
    <t>tonf</t>
  </si>
  <si>
    <t>tons force</t>
  </si>
  <si>
    <t>Length</t>
  </si>
  <si>
    <t>cm</t>
  </si>
  <si>
    <t>centimetre</t>
  </si>
  <si>
    <t>ft</t>
  </si>
  <si>
    <t>foot</t>
  </si>
  <si>
    <t>inch</t>
  </si>
  <si>
    <t>kilometre</t>
  </si>
  <si>
    <t>metre</t>
  </si>
  <si>
    <t>mi</t>
  </si>
  <si>
    <t>mile</t>
  </si>
  <si>
    <t>millimetre</t>
  </si>
  <si>
    <t>yd</t>
  </si>
  <si>
    <t>yard</t>
  </si>
  <si>
    <t>Mass</t>
  </si>
  <si>
    <t>gram</t>
  </si>
  <si>
    <t>kilogram</t>
  </si>
  <si>
    <t>kips</t>
  </si>
  <si>
    <t>kilopound</t>
  </si>
  <si>
    <t>lb</t>
  </si>
  <si>
    <t>pound</t>
  </si>
  <si>
    <t>Mg</t>
  </si>
  <si>
    <t>megagram (tonne)</t>
  </si>
  <si>
    <t>t</t>
  </si>
  <si>
    <t>ton</t>
  </si>
  <si>
    <t>Miscellaneous</t>
  </si>
  <si>
    <t>API</t>
  </si>
  <si>
    <t>American Petroleum Institute</t>
  </si>
  <si>
    <t>Bq/g</t>
  </si>
  <si>
    <t>Becquerel per gram</t>
  </si>
  <si>
    <t>counts per second</t>
  </si>
  <si>
    <t>degree (angle)</t>
  </si>
  <si>
    <t>ft2/day</t>
  </si>
  <si>
    <t>square feet per day</t>
  </si>
  <si>
    <t>ft2/t</t>
  </si>
  <si>
    <t>square feet per ton</t>
  </si>
  <si>
    <t>ft2/yr</t>
  </si>
  <si>
    <t>square feet per year</t>
  </si>
  <si>
    <t>kilograms per metre</t>
  </si>
  <si>
    <t>kJ/kg</t>
  </si>
  <si>
    <t>kiloJoules per kilogram</t>
  </si>
  <si>
    <t>square metres per megaNewton</t>
  </si>
  <si>
    <t>square metres per year</t>
  </si>
  <si>
    <t>mol/kg</t>
  </si>
  <si>
    <t>moles per kiloram</t>
  </si>
  <si>
    <t>mega Pascals per minute</t>
  </si>
  <si>
    <t>mega Pascals per second</t>
  </si>
  <si>
    <t>mS/cm</t>
  </si>
  <si>
    <t>milliSiemens per centimetre</t>
  </si>
  <si>
    <t>milliVolt</t>
  </si>
  <si>
    <t>Newton metre</t>
  </si>
  <si>
    <t>nano Tesla</t>
  </si>
  <si>
    <t>rps</t>
  </si>
  <si>
    <t>rotations per second</t>
  </si>
  <si>
    <t>S/m</t>
  </si>
  <si>
    <t>Siemens per metre</t>
  </si>
  <si>
    <t>UNITLESS</t>
  </si>
  <si>
    <t>No unit</t>
  </si>
  <si>
    <t>microSiemens per centimetre</t>
  </si>
  <si>
    <t>uT</t>
  </si>
  <si>
    <t>micro Tesla</t>
  </si>
  <si>
    <t>uV</t>
  </si>
  <si>
    <t>microVolt</t>
  </si>
  <si>
    <t>Yes</t>
  </si>
  <si>
    <t>Permeability</t>
  </si>
  <si>
    <t>mD</t>
  </si>
  <si>
    <t>milli Darcy</t>
  </si>
  <si>
    <t>gigaPascal</t>
  </si>
  <si>
    <t>kg/cm2</t>
  </si>
  <si>
    <t>kilograms per square centimetre</t>
  </si>
  <si>
    <t>kN/m2</t>
  </si>
  <si>
    <t>kiloNewtons per square metre</t>
  </si>
  <si>
    <t>kiloPascal</t>
  </si>
  <si>
    <t>ksf</t>
  </si>
  <si>
    <t>kips per square foot</t>
  </si>
  <si>
    <t>ksi</t>
  </si>
  <si>
    <t>kips per square inch</t>
  </si>
  <si>
    <t>mbar</t>
  </si>
  <si>
    <t>millibars</t>
  </si>
  <si>
    <t>MN/m2</t>
  </si>
  <si>
    <t>megaNewtons per square metre</t>
  </si>
  <si>
    <t>megaPascal</t>
  </si>
  <si>
    <t>psf</t>
  </si>
  <si>
    <t>pounds per square foot</t>
  </si>
  <si>
    <t>psi</t>
  </si>
  <si>
    <t>pounds per square inch</t>
  </si>
  <si>
    <t>tsf</t>
  </si>
  <si>
    <t>tons per square foot</t>
  </si>
  <si>
    <t>degree Celsius</t>
  </si>
  <si>
    <t>DegF</t>
  </si>
  <si>
    <t>degree Fahrenheit</t>
  </si>
  <si>
    <t>Thermal Resistence</t>
  </si>
  <si>
    <t>(K-cm)/W</t>
  </si>
  <si>
    <t>Kelvin centimetres per Watt</t>
  </si>
  <si>
    <t>Kelvin metres per Watt</t>
  </si>
  <si>
    <t>DegC/W</t>
  </si>
  <si>
    <t>Degree Celsius per Watt</t>
  </si>
  <si>
    <t>K/W</t>
  </si>
  <si>
    <t>Kelvin per Watt</t>
  </si>
  <si>
    <t>W/(K-cm)</t>
  </si>
  <si>
    <t>Watts per Kelvin centimetre</t>
  </si>
  <si>
    <t>Watts per Kelvin metre</t>
  </si>
  <si>
    <t>W/DegC</t>
  </si>
  <si>
    <t>Watts per degree Celsius</t>
  </si>
  <si>
    <t>W/K</t>
  </si>
  <si>
    <t>Watts per Kelvin</t>
  </si>
  <si>
    <t>Time</t>
  </si>
  <si>
    <t>dd/mm/yyyy</t>
  </si>
  <si>
    <t>day month year</t>
  </si>
  <si>
    <t>hours minutes</t>
  </si>
  <si>
    <t>hhmm</t>
  </si>
  <si>
    <t>hhmmss</t>
  </si>
  <si>
    <t>hours minutes seconds</t>
  </si>
  <si>
    <t>hour</t>
  </si>
  <si>
    <t>minute</t>
  </si>
  <si>
    <t>month</t>
  </si>
  <si>
    <t>ms</t>
  </si>
  <si>
    <t>millisecond</t>
  </si>
  <si>
    <t>second</t>
  </si>
  <si>
    <t>microsecond</t>
  </si>
  <si>
    <t>yr</t>
  </si>
  <si>
    <t>year</t>
  </si>
  <si>
    <t>year month day</t>
  </si>
  <si>
    <t>year month day hours minutes</t>
  </si>
  <si>
    <t>year month day hours minutes seconds</t>
  </si>
  <si>
    <t>cm/s</t>
  </si>
  <si>
    <t>centimetres per second</t>
  </si>
  <si>
    <t>ft/min</t>
  </si>
  <si>
    <t>feet per minute</t>
  </si>
  <si>
    <t>km/hr</t>
  </si>
  <si>
    <t>kilometres per hour</t>
  </si>
  <si>
    <t>m/day</t>
  </si>
  <si>
    <t>metres per day</t>
  </si>
  <si>
    <t>m/min</t>
  </si>
  <si>
    <t>metres per minute</t>
  </si>
  <si>
    <t>metres per second</t>
  </si>
  <si>
    <t>millimetres per minute</t>
  </si>
  <si>
    <t>millimetres per second</t>
  </si>
  <si>
    <t>mph</t>
  </si>
  <si>
    <t>miles per hour</t>
  </si>
  <si>
    <t>cubic centimetre</t>
  </si>
  <si>
    <t>ft3</t>
  </si>
  <si>
    <t>cubic foot</t>
  </si>
  <si>
    <t>gal</t>
  </si>
  <si>
    <t>gallon</t>
  </si>
  <si>
    <t>in3</t>
  </si>
  <si>
    <t>cubic inch</t>
  </si>
  <si>
    <t>litre</t>
  </si>
  <si>
    <t>m3</t>
  </si>
  <si>
    <t>cubic metre</t>
  </si>
  <si>
    <t>millilitre</t>
  </si>
  <si>
    <t>yd3</t>
  </si>
  <si>
    <t>cubic yard</t>
  </si>
  <si>
    <t>Desc</t>
  </si>
  <si>
    <t>Notes</t>
  </si>
  <si>
    <t>An ID is a unique identifier used across the project.&lt;br&gt;&lt;/br&gt;The ID shall be unique in the parent group but may be repeated in child groups i.e. SAMP (parent) vs ELRG (child), LOCA (parent) vs SAMP (child).</t>
  </si>
  <si>
    <t>Abbreviations listed in ABBR group. Rule 16 refers.&lt;br&gt;&lt;/br&gt;The list of standard abbreviations and descriptions are presented on the AGS website and shall not be redefined.&lt;br&gt;&lt;/br&gt;Other abbreviations may be defined as required within a project, but shall not match/impersonate existing standard abbreviations&lt;br&gt;&lt;/br&gt;e.g. “CP” for ‘Cable percussion’ in LOCA_TYPE shall not be given a non-standard abbreviation defined as “CH” for ‘Cable hole’; likewise “SCP” (Static cone penetrometer) shall not be replaced by a non-standard abbreviation of “CPT” (Cone penetration test).&lt;br&gt;&lt;/br&gt;Multiple abbreviations can be used in a data VARIABLE. Where this occurs, abbreviations are joined using the concatenation character defined in TRAN_RCON (a "+" character by default).</t>
  </si>
  <si>
    <t>Abbreviations listed in TYPE group. Rule 17 refers.</t>
  </si>
  <si>
    <t>Abbreviations listed in UNIT group.  Rule 15 refers.&lt;br&gt;&lt;/br&gt;The list of standard units and descriptions are presented on the AGS website and shall not be redefined.&lt;br&gt;&lt;/br&gt;This list is case sensitive.</t>
  </si>
  <si>
    <t>Abbreviations used in text data are to be listed in ABBR group. Rule 16 refers.</t>
  </si>
  <si>
    <t>Text/numeric</t>
  </si>
  <si>
    <t>There are some measured parameters that are typically numeric but can have a valid result that is text; examples include plastic limit (34 or NP) and depth of water in a borehole (2.34 or dry).&lt;br&gt;&lt;/br&gt;Abbreviations used in text data are to be listed in ABBR group. Rule 16 refers.</t>
  </si>
  <si>
    <t>Elapsed Time</t>
  </si>
  <si>
    <t>e.g. hh:mm:ss</t>
  </si>
  <si>
    <t>Ref: ISO 8601:2004&lt;br&gt;&lt;/br&gt;e.g. yyyy-mm-ddThh:mm:ss.sssZ(+hh:mm) or yyyy-mm-dd or hh:mm:ss or yyyy&lt;br&gt;&lt;/br&gt;This format is flexible and can be used in full or part according to user requirements</t>
  </si>
  <si>
    <t>yyyy-mm-ddThh:mm:ss.sssZ(+hh:mm) or yyyy-mm-dd or hh:mm:ss or yyyy&lt;br&gt;&lt;/br&gt;This format may be used in full or part based on user requirements</t>
  </si>
  <si>
    <t>&lt;i&gt;This data type is included for legacy reasons and not used in AGS 4.1&lt;/i&gt;</t>
  </si>
  <si>
    <t>nDP</t>
  </si>
  <si>
    <t>Value with required number of decimal places</t>
  </si>
  <si>
    <t>e.g. 2DP = 2 decimal places = 2.34</t>
  </si>
  <si>
    <t>nSF</t>
  </si>
  <si>
    <t>Value with required number of significant figures</t>
  </si>
  <si>
    <t>e.g. 2SF = 2 significant figures = 1.2, 10</t>
  </si>
  <si>
    <t>nSCI</t>
  </si>
  <si>
    <t>Scientific Notation with required number of decimal places</t>
  </si>
  <si>
    <t>e.g. 73100 as 2SCI = 7.31E4; 73100 as 1SCI = 7.3E4</t>
  </si>
  <si>
    <t>Value with a variable format</t>
  </si>
  <si>
    <t>This is used for fields that contain values with differing accuracy; e.g. ERES_RVAL.</t>
  </si>
  <si>
    <t>This is used for fields that contain values with differing accuracy; e.g. AGS 4.1 = ELRG_RVAL (AGS 4.0 = ERES_RVAL).</t>
  </si>
  <si>
    <t>Degrees: Minutes: Seconds</t>
  </si>
  <si>
    <t>e.g. 51: 28: 52.498</t>
  </si>
  <si>
    <t>Yes or No</t>
  </si>
  <si>
    <t>Data in the file will be either a Y or N&lt;br&gt;e.g.Y&lt;br&gt;These fields if included in a data group should include data to prevent any possible mis - interpretation.</t>
  </si>
  <si>
    <t>Data in the file will be either a Y or N or Null (Rule 12)&lt;br&gt;&lt;/br&gt;e.g. Y</t>
  </si>
  <si>
    <t>Record Link</t>
  </si>
  <si>
    <t>Rule 11 refers.&lt;br&gt;Text in specified format that refers to one or more records in other Groups by Key fields.</t>
  </si>
  <si>
    <t>Example 5</t>
  </si>
  <si>
    <t>Example 6</t>
  </si>
  <si>
    <t>0.6 change to X to match 4.1.1</t>
  </si>
  <si>
    <t>0.6 fix desc to mact 4.1.1</t>
  </si>
  <si>
    <t>7782-44-7</t>
  </si>
  <si>
    <t>0.6 added example per 4.1.1.</t>
  </si>
  <si>
    <t>Test or Suite Name</t>
  </si>
  <si>
    <t>0.6 desc per 4.1.1</t>
  </si>
  <si>
    <t>Instrument reference number or identifier</t>
  </si>
  <si>
    <t>Size of material removed prior to test; value given indicates lowest sized material removed</t>
  </si>
  <si>
    <t>0.6 example per 4.1.1</t>
  </si>
  <si>
    <t>12.20</t>
  </si>
  <si>
    <t>0.6 revise example</t>
  </si>
  <si>
    <t>0.6 example to match 4.1.1</t>
  </si>
  <si>
    <t>0.6 desc to match 4.1.1</t>
  </si>
  <si>
    <t xml:space="preserve">GCHM_SIZE </t>
  </si>
  <si>
    <t>GCHM_PERP</t>
  </si>
  <si>
    <t xml:space="preserve">Percentage of material removed </t>
  </si>
  <si>
    <t>0.6 added per 4.1.1.</t>
  </si>
  <si>
    <t>Percentage passing 0.425 mm sieve</t>
  </si>
  <si>
    <t>Percentage of soil passing 0.425 mm sieve</t>
  </si>
  <si>
    <t>UNDISTUBED</t>
  </si>
  <si>
    <t>0.6 example to 4.1.1</t>
  </si>
  <si>
    <t>Organization taking reading</t>
  </si>
  <si>
    <t>with gravel</t>
  </si>
  <si>
    <t>gravel 20%, fine to medium, sub-rounded</t>
  </si>
  <si>
    <t>Plasticity of the fine grained fraction of primary material 1, not the complete soil mixture of material 1</t>
  </si>
  <si>
    <t>Plasticity of the fine grained fraction of primary material 2, not the complete soil mixture of material 2</t>
  </si>
  <si>
    <t>GEO1</t>
  </si>
  <si>
    <t>GEO2</t>
  </si>
  <si>
    <t>Interpreted Geological or Geotechnical Unit or Code</t>
  </si>
  <si>
    <t>Interpreted Geological or Geotechnical Unit or Code - One</t>
  </si>
  <si>
    <t>Interpreted Geological or Geotechnical Unit or Code - Two</t>
  </si>
  <si>
    <t>Replaced by group GEO1</t>
  </si>
  <si>
    <t>Replaced by group GEO2</t>
  </si>
  <si>
    <t>GEO1_TOP</t>
  </si>
  <si>
    <t>GEO1_BASE</t>
  </si>
  <si>
    <t>GEO1_CONF</t>
  </si>
  <si>
    <t>GEO1_REM</t>
  </si>
  <si>
    <t>GEO1_GEO</t>
  </si>
  <si>
    <t>GEO2_TOP</t>
  </si>
  <si>
    <t>GEO2_BASE</t>
  </si>
  <si>
    <t>GEO2_GEO</t>
  </si>
  <si>
    <t>GEO2_CONF</t>
  </si>
  <si>
    <t>GEO2_REM</t>
  </si>
  <si>
    <t>Relative to coordinate system stated in LOCA_LREF</t>
  </si>
  <si>
    <t>• For example, for a single depth, e.g. "at 12.10 m, coarse gravel sized inclusion of dark grey siltstone", and set DETL_TOP to same as DETL_BASE.
• For depth intervals, enter both DETL_TOP and DETL_BASE as it applies over an interval, e.g. "12.15 to 12.25 m, orange-grey".
• For persistent changes that is significant to the strata e.g. "from 12.15 m, fine-grained", a new row in GEOL should be made, and it should not be in DETL.</t>
  </si>
  <si>
    <t>GEOL_VAR</t>
  </si>
  <si>
    <t>GEOL_VARP</t>
  </si>
  <si>
    <t>TRUE</t>
  </si>
  <si>
    <t>becomes</t>
  </si>
  <si>
    <t>Variance, a minor change where the headings that changes are set.  If a significant change is made then make a new complete row.</t>
  </si>
  <si>
    <t>Variance prefix</t>
  </si>
  <si>
    <t>LOCA_METH</t>
  </si>
  <si>
    <t>Logging standard/method for material descriptions</t>
  </si>
  <si>
    <t>AS 1726-2017</t>
  </si>
  <si>
    <t>GEOL_1SH1</t>
  </si>
  <si>
    <t>GEOL_1SHC</t>
  </si>
  <si>
    <t>GEOL_1SH2</t>
  </si>
  <si>
    <t>Soil or non-rock particle shape 1</t>
  </si>
  <si>
    <t>Soil or non-rock particle shape 2</t>
  </si>
  <si>
    <t>Composite soil or non-rock particle shape 1</t>
  </si>
  <si>
    <t>Composite soil or non-rock particle shape 2</t>
  </si>
  <si>
    <t>GEOL_2SH1</t>
  </si>
  <si>
    <t>GEOL_2SHC</t>
  </si>
  <si>
    <t>GEOL_2SH2</t>
  </si>
  <si>
    <t>Composite soil or non-rock particle shape conjunction</t>
  </si>
  <si>
    <t>Soil or non-rock particle shape conjunction</t>
  </si>
  <si>
    <t>trace</t>
  </si>
  <si>
    <t>trace, coarse soil &lt;= 5%, fine soil &lt; 15%</t>
  </si>
  <si>
    <t>with, coarse soil &gt; 5% to &lt;= 12%, fine soil &gt; 15% to &lt;= 30%</t>
  </si>
  <si>
    <t>GEOL_MQ</t>
  </si>
  <si>
    <t>GEOL_1M1Q</t>
  </si>
  <si>
    <t>GEOL_1M1</t>
  </si>
  <si>
    <t>GEOL_1M1D</t>
  </si>
  <si>
    <t>GEOL_1M2Q</t>
  </si>
  <si>
    <t>GEOL_1M2</t>
  </si>
  <si>
    <t>GEOL_1M2D</t>
  </si>
  <si>
    <t>Soil or non-rock minor component 1 name qualifier</t>
  </si>
  <si>
    <t>Soil or non-rock minor component 1 name</t>
  </si>
  <si>
    <t>Soil or non-rock minor component 1 description</t>
  </si>
  <si>
    <t>Soil or non-rock minor component 2 name qualifier</t>
  </si>
  <si>
    <t>Soil or non-rock minor component 2 name</t>
  </si>
  <si>
    <t>Soil or non-rock minor component 2 description</t>
  </si>
  <si>
    <t>Inclusions or other minor components</t>
  </si>
  <si>
    <t>GEOL_2M1Q</t>
  </si>
  <si>
    <t>GEOL_2M1</t>
  </si>
  <si>
    <t>GEOL_2M1D</t>
  </si>
  <si>
    <t>GEOL_2M2Q</t>
  </si>
  <si>
    <t>GEOL_2M2</t>
  </si>
  <si>
    <t>GEOL_2M2D</t>
  </si>
  <si>
    <t>Composite soil or non-rock minor component 1 name qualifier</t>
  </si>
  <si>
    <t>Composite soil or non-rock minor component 1 name</t>
  </si>
  <si>
    <t>Composite soil or non-rock minor component 1 description</t>
  </si>
  <si>
    <t>Composite soil or non-rock minor component 2 name qualifier</t>
  </si>
  <si>
    <t>Composite soil or non-rock minor component 2 name</t>
  </si>
  <si>
    <t>Composite soil or non-rock minor component 2 description</t>
  </si>
  <si>
    <t>AS1726:2017:6.2.10.1</t>
  </si>
  <si>
    <t xml:space="preserve">IA </t>
  </si>
  <si>
    <t xml:space="preserve">Fresh; no visible sign of rock material weathering </t>
  </si>
  <si>
    <t xml:space="preserve">IB </t>
  </si>
  <si>
    <t xml:space="preserve">Fresh except for staining on major defect surfaces </t>
  </si>
  <si>
    <t xml:space="preserve">II </t>
  </si>
  <si>
    <t xml:space="preserve">Some to all of the rock mass is discoloured by slight weathering </t>
  </si>
  <si>
    <t xml:space="preserve">III </t>
  </si>
  <si>
    <t xml:space="preserve">Less than 35% of the mass is weathered to a soil </t>
  </si>
  <si>
    <t xml:space="preserve">V </t>
  </si>
  <si>
    <t xml:space="preserve">IV </t>
  </si>
  <si>
    <t xml:space="preserve">More than 35% of the mass is weathered to a soil with rock present as a discontinuous framework or corestones </t>
  </si>
  <si>
    <t xml:space="preserve">Virtually all of the rock mass is weathered to a soil but the original mass structure still largely intact </t>
  </si>
  <si>
    <t>AS1726:2017:6.2.4.2</t>
  </si>
  <si>
    <t>Classification of Material Weathering</t>
  </si>
  <si>
    <t>AS1726:2017:6.2.10.2</t>
  </si>
  <si>
    <t>Duricrust Mass Grade</t>
  </si>
  <si>
    <t xml:space="preserve">Description </t>
  </si>
  <si>
    <t>Massive or hardspan</t>
  </si>
  <si>
    <t xml:space="preserve">DI </t>
  </si>
  <si>
    <t xml:space="preserve">DII </t>
  </si>
  <si>
    <t xml:space="preserve">DIII </t>
  </si>
  <si>
    <t>Less than 50% of the ground consists of</t>
  </si>
  <si>
    <t>gravel and cobble sized nodules (rounded</t>
  </si>
  <si>
    <t>or subrounded) or fragments (angular or</t>
  </si>
  <si>
    <t>subangular) of duricrust rock material and</t>
  </si>
  <si>
    <t xml:space="preserve">it is described as a soil. </t>
  </si>
  <si>
    <t xml:space="preserve">Structure term </t>
  </si>
  <si>
    <t>Grade</t>
  </si>
  <si>
    <t xml:space="preserve">Massive or hardspan. More than 90% of the ground consists of duricrust rock material which forms a continuous framework. </t>
  </si>
  <si>
    <t xml:space="preserve">Vuggy or patchy. Between 50% and 90% of the ground consists of duricrust rock material which forms a continuous framework around soil materials (vuggy) or rock materials (patchy). </t>
  </si>
  <si>
    <t xml:space="preserve">Nodular or fragmental. Less than 50% of the ground consists of gravel and cobble sized nodules (rounded or subrounded) or fragments (angular or subangular) of duricrust rock material and it is described as a soil. </t>
  </si>
  <si>
    <t>IGCM</t>
  </si>
  <si>
    <t>IGCM_DPTH</t>
  </si>
  <si>
    <t>IGCM_TESN</t>
  </si>
  <si>
    <t>IGCM_DATE</t>
  </si>
  <si>
    <t>IGCM_DESC</t>
  </si>
  <si>
    <t>IGCM_REM</t>
  </si>
  <si>
    <t>IGCM_ENV</t>
  </si>
  <si>
    <t>IGCM_METH</t>
  </si>
  <si>
    <t>IGCM_OPER</t>
  </si>
  <si>
    <t>IGCM_CONT</t>
  </si>
  <si>
    <t>IGCM_CRED</t>
  </si>
  <si>
    <t>IGCM_CODE</t>
  </si>
  <si>
    <t>IGCM_RESL</t>
  </si>
  <si>
    <t>IGCM_UNIT</t>
  </si>
  <si>
    <t>2003-02-20T15:00</t>
  </si>
  <si>
    <t>PASS-PHF</t>
  </si>
  <si>
    <t>PASS-PHFX</t>
  </si>
  <si>
    <t>PASS-REAX</t>
  </si>
  <si>
    <t>PASS-POT</t>
  </si>
  <si>
    <t>Potential Acid Sulphate Soil, Field pH before oxidation</t>
  </si>
  <si>
    <t>Potential Acid Sulphate Soil, Field pH after oxidation</t>
  </si>
  <si>
    <t>Potential Acid Sulphate Soil, Soil Reaction</t>
  </si>
  <si>
    <t>Potential Acid Sulphate Soil, Potential</t>
  </si>
  <si>
    <t>HCL</t>
  </si>
  <si>
    <t>Reaction to HCl Acid (effervescence), use option: None, Weak, Sporadic, Sustained</t>
  </si>
  <si>
    <t>In Situ Chemical Testing for Geotechnical Purposes</t>
  </si>
  <si>
    <t>• Potenial Acid Sulpahte Soil field test resulst go here
• Lab results go in GCHM</t>
  </si>
  <si>
    <t>CEMT</t>
  </si>
  <si>
    <t>CEMT_TOP</t>
  </si>
  <si>
    <t>CEMT_BASE</t>
  </si>
  <si>
    <t>CEMT_CONJ</t>
  </si>
  <si>
    <t>CEMT_CONF</t>
  </si>
  <si>
    <t>Cementation minimum, if you have one value use this</t>
  </si>
  <si>
    <t>Cementation maximum, if different from minimum</t>
  </si>
  <si>
    <t>CEMT_CEMN</t>
  </si>
  <si>
    <t>CEMT_CEMX</t>
  </si>
  <si>
    <t>CEMT_CEM</t>
  </si>
  <si>
    <t>uncemented</t>
  </si>
  <si>
    <t>VWK</t>
  </si>
  <si>
    <t>very weakly cemented</t>
  </si>
  <si>
    <t>WEK</t>
  </si>
  <si>
    <t>weakly cemented</t>
  </si>
  <si>
    <t>MOD</t>
  </si>
  <si>
    <t>moderately cemented</t>
  </si>
  <si>
    <t>WEL</t>
  </si>
  <si>
    <t>well cemented</t>
  </si>
  <si>
    <t>VWL</t>
  </si>
  <si>
    <t>very well cemented</t>
  </si>
  <si>
    <t>Cementation</t>
  </si>
  <si>
    <t>• Modified bound soils should be defined in GEOL_SLM
• No need provided data in CEMT if if the material is not cemented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</si>
</sst>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i/>
      <sz val="10"/>
      <name val="Arial"/>
      <family val="2"/>
    </font>
    <font>
      <sz val="10"/>
      <color indexed="81"/>
      <name val="Tahoma"/>
      <family val="2"/>
    </font>
    <font>
      <b/>
      <sz val="8"/>
      <color indexed="81"/>
      <name val="Tahoma"/>
      <family val="2"/>
    </font>
    <font>
      <sz val="8"/>
      <color indexed="81"/>
      <name val="Tahoma"/>
      <family val="2"/>
    </font>
    <font>
      <sz val="11"/>
      <name val="Calibri"/>
      <family val="2"/>
    </font>
    <font>
      <sz val="11"/>
      <color rgb="FF9C0006"/>
      <name val="Calibri"/>
      <family val="2"/>
      <scheme val="minor"/>
    </font>
    <font>
      <sz val="11"/>
      <color rgb="FF006100"/>
      <name val="Calibri"/>
      <family val="2"/>
      <scheme val="minor"/>
    </font>
    <font>
      <sz val="11"/>
      <name val="Calibri"/>
      <family val="2"/>
      <scheme val="minor"/>
    </font>
    <font>
      <sz val="11"/>
      <color rgb="FF000000"/>
      <name val="Calibri"/>
      <family val="2"/>
      <scheme val="minor"/>
    </font>
    <font>
      <sz val="10"/>
      <color rgb="FF000000"/>
      <name val="Arial"/>
      <charset val="1"/>
    </font>
    <font>
      <sz val="10"/>
      <color rgb="FFFF0000"/>
      <name val="Arial"/>
      <family val="2"/>
    </font>
    <font>
      <sz val="10"/>
      <color rgb="FFFF0000"/>
      <name val="Arial"/>
    </font>
    <font>
      <sz val="10"/>
      <color rgb="FF000000"/>
      <name val="Arial"/>
    </font>
    <font>
      <sz val="11"/>
      <color rgb="FF9C5700"/>
      <name val="Calibri"/>
      <family val="2"/>
      <scheme val="minor"/>
    </font>
    <font>
      <strike/>
      <sz val="10"/>
      <name val="Arial"/>
      <family val="2"/>
    </font>
    <font>
      <sz val="10"/>
      <color rgb="FF000000"/>
      <name val="Arial"/>
      <family val="2"/>
    </font>
    <font>
      <sz val="10"/>
      <color rgb="FFD9D9D9"/>
      <name val="Arial"/>
      <family val="2"/>
    </font>
    <font>
      <sz val="9"/>
      <color indexed="81"/>
      <name val="Tahoma"/>
      <family val="2"/>
    </font>
    <font>
      <b/>
      <sz val="9"/>
      <color indexed="81"/>
      <name val="Tahoma"/>
      <family val="2"/>
    </font>
  </fonts>
  <fills count="19">
    <fill>
      <patternFill patternType="none"/>
    </fill>
    <fill>
      <patternFill patternType="gray125"/>
    </fill>
    <fill>
      <patternFill patternType="solid">
        <fgColor indexed="22"/>
        <bgColor indexed="64"/>
      </patternFill>
    </fill>
    <fill>
      <patternFill patternType="solid">
        <fgColor indexed="44"/>
        <bgColor indexed="64"/>
      </patternFill>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7CE"/>
      </patternFill>
    </fill>
    <fill>
      <patternFill patternType="solid">
        <fgColor rgb="FFC6EFCE"/>
      </patternFill>
    </fill>
    <fill>
      <patternFill patternType="solid">
        <fgColor rgb="FFFFEB9C"/>
      </patternFill>
    </fill>
    <fill>
      <patternFill patternType="solid">
        <fgColor rgb="FFFF0000"/>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7" tint="0.79998168889431442"/>
        <bgColor rgb="FF000000"/>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0" fontId="7" fillId="0" borderId="0"/>
    <xf numFmtId="0" fontId="6" fillId="0" borderId="0"/>
    <xf numFmtId="0" fontId="15" fillId="7" borderId="0" applyNumberFormat="0" applyBorder="0" applyAlignment="0" applyProtection="0"/>
    <xf numFmtId="0" fontId="16" fillId="8" borderId="0" applyNumberFormat="0" applyBorder="0" applyAlignment="0" applyProtection="0"/>
    <xf numFmtId="0" fontId="23" fillId="9" borderId="0" applyNumberFormat="0" applyBorder="0" applyAlignment="0" applyProtection="0"/>
  </cellStyleXfs>
  <cellXfs count="202">
    <xf numFmtId="0" fontId="0" fillId="0" borderId="0" xfId="0"/>
    <xf numFmtId="0" fontId="8" fillId="2" borderId="1" xfId="0" applyFont="1" applyFill="1" applyBorder="1" applyAlignment="1">
      <alignment horizontal="left" vertical="center"/>
    </xf>
    <xf numFmtId="0" fontId="8" fillId="2" borderId="1" xfId="0" applyFont="1" applyFill="1" applyBorder="1" applyAlignment="1">
      <alignment horizontal="center" vertical="center"/>
    </xf>
    <xf numFmtId="0" fontId="9" fillId="0" borderId="0" xfId="0" applyFont="1" applyBorder="1" applyAlignment="1">
      <alignment vertical="center"/>
    </xf>
    <xf numFmtId="0" fontId="9" fillId="0" borderId="1" xfId="0" applyFont="1" applyBorder="1" applyAlignment="1">
      <alignment horizontal="left" vertical="top"/>
    </xf>
    <xf numFmtId="0" fontId="9" fillId="4" borderId="1" xfId="0" applyFont="1" applyFill="1" applyBorder="1" applyAlignment="1">
      <alignment horizontal="left" vertical="top"/>
    </xf>
    <xf numFmtId="0" fontId="9" fillId="0" borderId="1" xfId="0" applyFont="1" applyBorder="1" applyAlignment="1">
      <alignment horizontal="center" vertical="top"/>
    </xf>
    <xf numFmtId="0" fontId="9" fillId="0" borderId="0" xfId="0" applyFont="1" applyBorder="1" applyAlignment="1"/>
    <xf numFmtId="0" fontId="9" fillId="0" borderId="1" xfId="0" applyFont="1" applyFill="1" applyBorder="1" applyAlignment="1">
      <alignment horizontal="left" vertical="top" wrapText="1"/>
    </xf>
    <xf numFmtId="0" fontId="9" fillId="0" borderId="1" xfId="0" applyFont="1" applyBorder="1" applyAlignment="1">
      <alignment vertical="top" wrapText="1"/>
    </xf>
    <xf numFmtId="0" fontId="0" fillId="0" borderId="1" xfId="0" applyBorder="1" applyAlignment="1">
      <alignment horizontal="left" vertical="top"/>
    </xf>
    <xf numFmtId="0" fontId="9" fillId="0" borderId="1" xfId="0" quotePrefix="1" applyFont="1" applyBorder="1" applyAlignment="1">
      <alignment horizontal="left" vertical="top"/>
    </xf>
    <xf numFmtId="0" fontId="8" fillId="2" borderId="1" xfId="0" applyFont="1" applyFill="1" applyBorder="1" applyAlignment="1">
      <alignment vertical="center" wrapText="1"/>
    </xf>
    <xf numFmtId="0" fontId="8" fillId="2" borderId="1" xfId="0" applyFont="1" applyFill="1" applyBorder="1" applyAlignment="1">
      <alignment horizontal="center" vertical="center" wrapText="1"/>
    </xf>
    <xf numFmtId="49" fontId="8" fillId="2" borderId="1" xfId="0" applyNumberFormat="1" applyFont="1" applyFill="1" applyBorder="1" applyAlignment="1">
      <alignment vertical="center" wrapText="1"/>
    </xf>
    <xf numFmtId="0" fontId="8" fillId="3" borderId="1" xfId="0" applyFont="1" applyFill="1" applyBorder="1" applyAlignment="1">
      <alignment horizontal="center" vertical="center" wrapText="1"/>
    </xf>
    <xf numFmtId="0" fontId="9" fillId="0" borderId="1" xfId="0" applyFont="1" applyFill="1" applyBorder="1" applyAlignment="1">
      <alignment vertical="top" wrapText="1"/>
    </xf>
    <xf numFmtId="0" fontId="9" fillId="0" borderId="1" xfId="0" applyFont="1" applyFill="1" applyBorder="1" applyAlignment="1">
      <alignment horizontal="center" vertical="top" wrapText="1"/>
    </xf>
    <xf numFmtId="49" fontId="9" fillId="0" borderId="1" xfId="0" applyNumberFormat="1" applyFont="1" applyFill="1" applyBorder="1" applyAlignment="1">
      <alignment vertical="top" wrapText="1"/>
    </xf>
    <xf numFmtId="0" fontId="9" fillId="0" borderId="0" xfId="0" applyFont="1" applyFill="1" applyBorder="1" applyAlignment="1">
      <alignment vertical="top" wrapText="1"/>
    </xf>
    <xf numFmtId="0" fontId="9" fillId="0" borderId="1" xfId="0" applyFont="1" applyBorder="1"/>
    <xf numFmtId="0" fontId="0" fillId="0" borderId="1" xfId="0" applyBorder="1"/>
    <xf numFmtId="0" fontId="0" fillId="0" borderId="1" xfId="0" applyFill="1" applyBorder="1" applyAlignment="1">
      <alignment horizontal="center" vertical="top" wrapText="1"/>
    </xf>
    <xf numFmtId="0" fontId="0" fillId="0" borderId="1" xfId="0" applyBorder="1" applyAlignment="1">
      <alignment horizontal="center"/>
    </xf>
    <xf numFmtId="0" fontId="9" fillId="0" borderId="1" xfId="0" applyFont="1" applyBorder="1" applyAlignment="1">
      <alignment horizontal="center"/>
    </xf>
    <xf numFmtId="0" fontId="0" fillId="0" borderId="1" xfId="0" applyFill="1" applyBorder="1" applyAlignment="1">
      <alignment vertical="top" wrapText="1"/>
    </xf>
    <xf numFmtId="49" fontId="0" fillId="0" borderId="1" xfId="0" applyNumberFormat="1" applyFill="1" applyBorder="1" applyAlignment="1">
      <alignment vertical="top" wrapText="1"/>
    </xf>
    <xf numFmtId="0" fontId="0" fillId="0" borderId="1" xfId="0" applyBorder="1" applyAlignment="1">
      <alignment horizontal="left"/>
    </xf>
    <xf numFmtId="49" fontId="0" fillId="0" borderId="1" xfId="0" applyNumberFormat="1" applyBorder="1" applyAlignment="1">
      <alignment horizontal="left"/>
    </xf>
    <xf numFmtId="0" fontId="9" fillId="0" borderId="1" xfId="0" quotePrefix="1" applyFont="1" applyFill="1" applyBorder="1" applyAlignment="1">
      <alignment horizontal="center" vertical="top" wrapText="1"/>
    </xf>
    <xf numFmtId="0" fontId="9" fillId="0" borderId="0" xfId="0" applyFont="1" applyFill="1" applyBorder="1" applyAlignment="1">
      <alignment horizontal="center" vertical="top" wrapText="1"/>
    </xf>
    <xf numFmtId="49" fontId="9" fillId="0" borderId="0" xfId="0" applyNumberFormat="1" applyFont="1" applyFill="1" applyBorder="1" applyAlignment="1">
      <alignment vertical="top" wrapText="1"/>
    </xf>
    <xf numFmtId="0" fontId="8" fillId="0" borderId="1" xfId="0" applyFont="1" applyFill="1" applyBorder="1" applyAlignment="1">
      <alignment horizontal="left" vertical="center"/>
    </xf>
    <xf numFmtId="0" fontId="9" fillId="0" borderId="1" xfId="0" applyFont="1" applyFill="1" applyBorder="1" applyAlignment="1">
      <alignment horizontal="left" vertical="top"/>
    </xf>
    <xf numFmtId="0" fontId="9" fillId="0" borderId="0" xfId="0" applyFont="1" applyFill="1" applyBorder="1" applyAlignment="1"/>
    <xf numFmtId="0" fontId="9" fillId="5" borderId="1" xfId="0" applyFont="1" applyFill="1" applyBorder="1" applyAlignment="1">
      <alignment horizontal="left" vertical="top"/>
    </xf>
    <xf numFmtId="0" fontId="9" fillId="0" borderId="3" xfId="0" applyFont="1" applyBorder="1" applyAlignment="1">
      <alignment vertical="top" wrapText="1"/>
    </xf>
    <xf numFmtId="49" fontId="0" fillId="0" borderId="1" xfId="0" applyNumberFormat="1" applyBorder="1" applyAlignment="1">
      <alignment horizontal="center"/>
    </xf>
    <xf numFmtId="0" fontId="9" fillId="0" borderId="3" xfId="0" applyFont="1" applyFill="1" applyBorder="1" applyAlignment="1">
      <alignment vertical="top" wrapText="1"/>
    </xf>
    <xf numFmtId="0" fontId="9" fillId="0" borderId="4" xfId="0" applyFont="1" applyFill="1" applyBorder="1" applyAlignment="1">
      <alignment horizontal="center" vertical="top" wrapText="1"/>
    </xf>
    <xf numFmtId="0" fontId="9" fillId="0" borderId="5" xfId="0" applyFont="1" applyFill="1" applyBorder="1" applyAlignment="1">
      <alignment horizontal="center" vertical="top" wrapText="1"/>
    </xf>
    <xf numFmtId="0" fontId="9" fillId="0" borderId="5" xfId="0" applyFont="1" applyFill="1" applyBorder="1" applyAlignment="1">
      <alignment vertical="top" wrapText="1"/>
    </xf>
    <xf numFmtId="49" fontId="9" fillId="0" borderId="5" xfId="0" applyNumberFormat="1" applyFont="1" applyFill="1" applyBorder="1" applyAlignment="1">
      <alignment vertical="top" wrapText="1"/>
    </xf>
    <xf numFmtId="0" fontId="14" fillId="0" borderId="1" xfId="0" applyFont="1" applyBorder="1" applyAlignment="1">
      <alignment vertical="center" wrapText="1"/>
    </xf>
    <xf numFmtId="0" fontId="9" fillId="0" borderId="1" xfId="0" applyFont="1" applyBorder="1" applyAlignment="1">
      <alignment horizontal="center" vertical="center" wrapText="1"/>
    </xf>
    <xf numFmtId="0" fontId="9" fillId="0" borderId="1" xfId="0" applyFont="1" applyBorder="1" applyAlignment="1">
      <alignment vertical="center" wrapText="1"/>
    </xf>
    <xf numFmtId="0" fontId="9" fillId="0" borderId="1" xfId="0" applyFont="1" applyBorder="1" applyAlignment="1">
      <alignment horizontal="center" vertical="top" wrapText="1"/>
    </xf>
    <xf numFmtId="0" fontId="9" fillId="0" borderId="1" xfId="0" applyFont="1" applyBorder="1" applyAlignment="1">
      <alignment horizontal="left" vertical="center" wrapText="1"/>
    </xf>
    <xf numFmtId="0" fontId="9" fillId="0" borderId="2" xfId="0" applyFont="1" applyFill="1" applyBorder="1" applyAlignment="1">
      <alignment vertical="top" wrapText="1"/>
    </xf>
    <xf numFmtId="49" fontId="9" fillId="0" borderId="1" xfId="0" applyNumberFormat="1" applyFont="1" applyFill="1" applyBorder="1" applyAlignment="1">
      <alignment horizontal="left" vertical="top" wrapText="1"/>
    </xf>
    <xf numFmtId="0" fontId="9" fillId="0" borderId="0" xfId="0" applyFont="1" applyBorder="1" applyAlignment="1">
      <alignment vertical="top" wrapText="1"/>
    </xf>
    <xf numFmtId="0" fontId="9" fillId="0" borderId="1" xfId="0" applyFont="1" applyBorder="1" applyAlignment="1">
      <alignment horizontal="left"/>
    </xf>
    <xf numFmtId="49" fontId="9" fillId="0" borderId="5" xfId="0" applyNumberFormat="1" applyFont="1" applyFill="1" applyBorder="1" applyAlignment="1">
      <alignment horizontal="left" vertical="top" wrapText="1"/>
    </xf>
    <xf numFmtId="49" fontId="8" fillId="2" borderId="1" xfId="0" applyNumberFormat="1" applyFont="1" applyFill="1" applyBorder="1" applyAlignment="1">
      <alignment horizontal="left" vertical="center" wrapText="1"/>
    </xf>
    <xf numFmtId="11" fontId="9" fillId="0" borderId="1" xfId="0" applyNumberFormat="1" applyFont="1" applyFill="1" applyBorder="1" applyAlignment="1">
      <alignment horizontal="left" vertical="top" wrapText="1"/>
    </xf>
    <xf numFmtId="49" fontId="0" fillId="0" borderId="1" xfId="0" applyNumberFormat="1" applyFill="1" applyBorder="1" applyAlignment="1">
      <alignment horizontal="left" vertical="top" wrapText="1"/>
    </xf>
    <xf numFmtId="49" fontId="9" fillId="0" borderId="0" xfId="0" applyNumberFormat="1" applyFont="1" applyFill="1" applyBorder="1" applyAlignment="1">
      <alignment horizontal="left" vertical="top" wrapText="1"/>
    </xf>
    <xf numFmtId="0" fontId="9" fillId="0" borderId="2" xfId="0" applyFont="1" applyFill="1" applyBorder="1" applyAlignment="1">
      <alignment horizontal="center" vertical="top" wrapText="1"/>
    </xf>
    <xf numFmtId="49" fontId="9" fillId="0" borderId="2" xfId="0" applyNumberFormat="1" applyFont="1" applyFill="1" applyBorder="1" applyAlignment="1">
      <alignment vertical="top" wrapText="1"/>
    </xf>
    <xf numFmtId="14" fontId="9" fillId="0" borderId="1" xfId="0" applyNumberFormat="1" applyFont="1" applyFill="1" applyBorder="1" applyAlignment="1">
      <alignment horizontal="left" vertical="top" wrapText="1"/>
    </xf>
    <xf numFmtId="21" fontId="9" fillId="0" borderId="1" xfId="0" applyNumberFormat="1" applyFont="1" applyFill="1" applyBorder="1" applyAlignment="1">
      <alignment horizontal="left" vertical="top" wrapText="1"/>
    </xf>
    <xf numFmtId="49" fontId="9" fillId="0" borderId="1" xfId="0" quotePrefix="1" applyNumberFormat="1" applyFont="1" applyFill="1" applyBorder="1" applyAlignment="1">
      <alignment horizontal="left" vertical="top" wrapText="1"/>
    </xf>
    <xf numFmtId="0" fontId="9" fillId="0" borderId="0" xfId="0" applyFont="1"/>
    <xf numFmtId="49" fontId="9" fillId="0" borderId="2" xfId="0" applyNumberFormat="1" applyFont="1" applyFill="1" applyBorder="1" applyAlignment="1">
      <alignment horizontal="left" vertical="top" wrapText="1"/>
    </xf>
    <xf numFmtId="0" fontId="8" fillId="2" borderId="1" xfId="0" applyFont="1" applyFill="1" applyBorder="1" applyAlignment="1">
      <alignment horizontal="left" vertical="top"/>
    </xf>
    <xf numFmtId="0" fontId="9" fillId="0" borderId="1" xfId="0" applyFont="1" applyBorder="1" applyAlignment="1">
      <alignment vertical="top"/>
    </xf>
    <xf numFmtId="0" fontId="9" fillId="0" borderId="0" xfId="0" applyFont="1" applyBorder="1" applyAlignment="1">
      <alignment vertical="top"/>
    </xf>
    <xf numFmtId="0" fontId="9" fillId="0" borderId="1" xfId="0" quotePrefix="1" applyFont="1" applyBorder="1" applyAlignment="1">
      <alignment horizontal="center" vertical="top"/>
    </xf>
    <xf numFmtId="164" fontId="0" fillId="0" borderId="0" xfId="0" applyNumberFormat="1"/>
    <xf numFmtId="0" fontId="6" fillId="0" borderId="0" xfId="2"/>
    <xf numFmtId="14" fontId="6" fillId="0" borderId="0" xfId="2" applyNumberFormat="1"/>
    <xf numFmtId="0" fontId="0" fillId="0" borderId="0" xfId="0" applyBorder="1" applyAlignment="1">
      <alignment horizontal="center"/>
    </xf>
    <xf numFmtId="0" fontId="0" fillId="0" borderId="0" xfId="0" applyBorder="1"/>
    <xf numFmtId="0" fontId="0" fillId="0" borderId="0" xfId="0" applyBorder="1" applyAlignment="1">
      <alignment horizontal="right"/>
    </xf>
    <xf numFmtId="49" fontId="8" fillId="2" borderId="1" xfId="0" applyNumberFormat="1" applyFont="1" applyFill="1" applyBorder="1" applyAlignment="1">
      <alignment vertical="top"/>
    </xf>
    <xf numFmtId="49" fontId="9" fillId="0" borderId="0" xfId="0" applyNumberFormat="1" applyFont="1" applyBorder="1" applyAlignment="1"/>
    <xf numFmtId="0" fontId="8" fillId="3" borderId="1" xfId="0" applyFont="1" applyFill="1" applyBorder="1" applyAlignment="1">
      <alignment horizontal="left" vertical="top" wrapText="1"/>
    </xf>
    <xf numFmtId="0" fontId="9" fillId="0" borderId="2" xfId="0" applyFont="1" applyBorder="1" applyAlignment="1">
      <alignment horizontal="center" vertical="center" wrapText="1"/>
    </xf>
    <xf numFmtId="0" fontId="9" fillId="0" borderId="5" xfId="0" applyFont="1" applyBorder="1" applyAlignment="1">
      <alignment horizontal="center" vertical="center" wrapText="1"/>
    </xf>
    <xf numFmtId="0" fontId="9" fillId="0" borderId="5" xfId="0" applyFont="1" applyBorder="1" applyAlignment="1">
      <alignment horizontal="left"/>
    </xf>
    <xf numFmtId="49" fontId="0" fillId="0" borderId="0" xfId="0" applyNumberFormat="1"/>
    <xf numFmtId="0" fontId="15" fillId="7" borderId="0" xfId="3"/>
    <xf numFmtId="0" fontId="5" fillId="0" borderId="0" xfId="2" applyFont="1"/>
    <xf numFmtId="49" fontId="5" fillId="0" borderId="0" xfId="2" applyNumberFormat="1" applyFont="1"/>
    <xf numFmtId="0" fontId="5" fillId="0" borderId="0" xfId="2" applyFont="1" applyAlignment="1">
      <alignment horizontal="left"/>
    </xf>
    <xf numFmtId="0" fontId="5" fillId="0" borderId="0" xfId="2" applyFont="1" applyAlignment="1">
      <alignment wrapText="1"/>
    </xf>
    <xf numFmtId="0" fontId="17" fillId="0" borderId="0" xfId="4" applyFont="1" applyFill="1"/>
    <xf numFmtId="49" fontId="17" fillId="0" borderId="0" xfId="4" applyNumberFormat="1" applyFont="1" applyFill="1"/>
    <xf numFmtId="0" fontId="17" fillId="0" borderId="0" xfId="0" applyFont="1"/>
    <xf numFmtId="49" fontId="17" fillId="0" borderId="0" xfId="0" applyNumberFormat="1" applyFont="1"/>
    <xf numFmtId="0" fontId="17" fillId="0" borderId="0" xfId="0" quotePrefix="1" applyFont="1"/>
    <xf numFmtId="0" fontId="17" fillId="0" borderId="0" xfId="0" applyFont="1" applyAlignment="1">
      <alignment vertical="center"/>
    </xf>
    <xf numFmtId="0" fontId="17" fillId="0" borderId="0" xfId="0" applyFont="1" applyAlignment="1">
      <alignment wrapText="1"/>
    </xf>
    <xf numFmtId="49" fontId="9" fillId="0" borderId="1" xfId="0" applyNumberFormat="1" applyFont="1" applyBorder="1" applyAlignment="1">
      <alignment vertical="top" wrapText="1"/>
    </xf>
    <xf numFmtId="49" fontId="9" fillId="0" borderId="1" xfId="0" applyNumberFormat="1" applyFont="1" applyBorder="1" applyAlignment="1">
      <alignment horizontal="left" vertical="top" wrapText="1"/>
    </xf>
    <xf numFmtId="0" fontId="9" fillId="0" borderId="1" xfId="0" applyFont="1" applyBorder="1" applyAlignment="1"/>
    <xf numFmtId="0" fontId="9" fillId="0" borderId="0" xfId="0" applyFont="1" applyFill="1" applyBorder="1" applyAlignment="1">
      <alignment horizontal="left" vertical="top" wrapText="1"/>
    </xf>
    <xf numFmtId="49" fontId="0" fillId="0" borderId="0" xfId="0" applyNumberFormat="1" applyFill="1"/>
    <xf numFmtId="49" fontId="20" fillId="0" borderId="1" xfId="0" applyNumberFormat="1" applyFont="1" applyFill="1" applyBorder="1" applyAlignment="1">
      <alignment vertical="top" wrapText="1"/>
    </xf>
    <xf numFmtId="0" fontId="15" fillId="0" borderId="0" xfId="3" applyFill="1"/>
    <xf numFmtId="0" fontId="9" fillId="0" borderId="0" xfId="0" applyFont="1" applyFill="1"/>
    <xf numFmtId="0" fontId="21" fillId="0" borderId="0" xfId="0" applyFont="1"/>
    <xf numFmtId="0" fontId="22" fillId="0" borderId="0" xfId="0" applyFont="1"/>
    <xf numFmtId="0" fontId="18" fillId="0" borderId="0" xfId="3" applyFont="1" applyFill="1"/>
    <xf numFmtId="49" fontId="8" fillId="2" borderId="0"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0" fontId="23" fillId="9" borderId="0" xfId="5"/>
    <xf numFmtId="0" fontId="23" fillId="9" borderId="0" xfId="5" applyAlignment="1">
      <alignment horizontal="left"/>
    </xf>
    <xf numFmtId="0" fontId="24" fillId="0" borderId="1" xfId="0" applyFont="1" applyFill="1" applyBorder="1" applyAlignment="1">
      <alignment vertical="top" wrapText="1"/>
    </xf>
    <xf numFmtId="0" fontId="24" fillId="0" borderId="1" xfId="0" applyFont="1" applyFill="1" applyBorder="1" applyAlignment="1">
      <alignment horizontal="center" vertical="top" wrapText="1"/>
    </xf>
    <xf numFmtId="49" fontId="24" fillId="0" borderId="1" xfId="0" applyNumberFormat="1" applyFont="1" applyFill="1" applyBorder="1" applyAlignment="1">
      <alignment vertical="top" wrapText="1"/>
    </xf>
    <xf numFmtId="49" fontId="24" fillId="0" borderId="1" xfId="0" applyNumberFormat="1" applyFont="1" applyFill="1" applyBorder="1" applyAlignment="1">
      <alignment horizontal="left" vertical="top" wrapText="1"/>
    </xf>
    <xf numFmtId="0" fontId="4" fillId="0" borderId="0" xfId="2" applyFont="1"/>
    <xf numFmtId="0" fontId="9" fillId="10" borderId="1" xfId="0" applyFont="1" applyFill="1" applyBorder="1" applyAlignment="1">
      <alignment vertical="top" wrapText="1"/>
    </xf>
    <xf numFmtId="49" fontId="9" fillId="11" borderId="1" xfId="0" applyNumberFormat="1" applyFont="1" applyFill="1" applyBorder="1" applyAlignment="1">
      <alignment vertical="top" wrapText="1"/>
    </xf>
    <xf numFmtId="49" fontId="25" fillId="0" borderId="1" xfId="0" applyNumberFormat="1" applyFont="1" applyFill="1" applyBorder="1" applyAlignment="1">
      <alignment vertical="top" wrapText="1"/>
    </xf>
    <xf numFmtId="49" fontId="8" fillId="2" borderId="4" xfId="0" applyNumberFormat="1" applyFont="1" applyFill="1" applyBorder="1" applyAlignment="1">
      <alignment vertical="top"/>
    </xf>
    <xf numFmtId="0" fontId="8" fillId="2" borderId="1" xfId="0" applyFont="1" applyFill="1" applyBorder="1" applyAlignment="1">
      <alignment horizontal="right" vertical="center"/>
    </xf>
    <xf numFmtId="0" fontId="8" fillId="3" borderId="1" xfId="0" applyFont="1" applyFill="1" applyBorder="1" applyAlignment="1">
      <alignment horizontal="left" vertical="center"/>
    </xf>
    <xf numFmtId="0" fontId="8" fillId="6" borderId="1" xfId="0" applyFont="1" applyFill="1" applyBorder="1" applyAlignment="1">
      <alignment vertical="top" wrapText="1"/>
    </xf>
    <xf numFmtId="0" fontId="9" fillId="0" borderId="1" xfId="0" applyFont="1" applyBorder="1" applyAlignment="1">
      <alignment horizontal="left" vertical="top" wrapText="1"/>
    </xf>
    <xf numFmtId="0" fontId="9" fillId="0" borderId="1" xfId="0" quotePrefix="1" applyFont="1" applyFill="1" applyBorder="1" applyAlignment="1">
      <alignment horizontal="left" vertical="top"/>
    </xf>
    <xf numFmtId="49" fontId="9" fillId="0" borderId="1" xfId="0" applyNumberFormat="1" applyFont="1" applyBorder="1" applyAlignment="1"/>
    <xf numFmtId="0" fontId="9" fillId="0" borderId="1" xfId="0" quotePrefix="1" applyFont="1" applyFill="1" applyBorder="1" applyAlignment="1">
      <alignment horizontal="left" vertical="top" wrapText="1"/>
    </xf>
    <xf numFmtId="0" fontId="26" fillId="0" borderId="1" xfId="0" applyFont="1" applyBorder="1" applyAlignment="1">
      <alignment horizontal="left" vertical="top" wrapText="1"/>
    </xf>
    <xf numFmtId="0" fontId="19" fillId="0" borderId="1" xfId="0" applyFont="1" applyFill="1" applyBorder="1" applyAlignment="1">
      <alignment wrapText="1"/>
    </xf>
    <xf numFmtId="0" fontId="0" fillId="0" borderId="1" xfId="0" applyFill="1" applyBorder="1" applyAlignment="1">
      <alignment horizontal="left" vertical="top" wrapText="1"/>
    </xf>
    <xf numFmtId="0" fontId="20" fillId="0" borderId="1" xfId="0" applyFont="1" applyBorder="1" applyAlignment="1">
      <alignment vertical="top" wrapText="1"/>
    </xf>
    <xf numFmtId="0" fontId="25" fillId="0" borderId="1" xfId="0" quotePrefix="1" applyFont="1" applyFill="1" applyBorder="1" applyAlignment="1">
      <alignment horizontal="left" vertical="top" wrapText="1"/>
    </xf>
    <xf numFmtId="0" fontId="20" fillId="0" borderId="1" xfId="0" applyFont="1" applyBorder="1" applyAlignment="1">
      <alignment wrapText="1"/>
    </xf>
    <xf numFmtId="0" fontId="20" fillId="0" borderId="1" xfId="0" quotePrefix="1" applyFont="1" applyBorder="1" applyAlignment="1">
      <alignment wrapText="1"/>
    </xf>
    <xf numFmtId="49" fontId="8" fillId="12" borderId="1" xfId="0" applyNumberFormat="1" applyFont="1" applyFill="1" applyBorder="1" applyAlignment="1">
      <alignment horizontal="left" vertical="center" wrapText="1"/>
    </xf>
    <xf numFmtId="49" fontId="8" fillId="13" borderId="1" xfId="0" applyNumberFormat="1" applyFont="1" applyFill="1" applyBorder="1" applyAlignment="1">
      <alignment horizontal="left" vertical="center" wrapText="1"/>
    </xf>
    <xf numFmtId="49" fontId="8" fillId="14" borderId="1" xfId="0" applyNumberFormat="1" applyFont="1" applyFill="1" applyBorder="1" applyAlignment="1">
      <alignment horizontal="left" vertical="center" wrapText="1"/>
    </xf>
    <xf numFmtId="49" fontId="8" fillId="15" borderId="1" xfId="0" applyNumberFormat="1" applyFont="1" applyFill="1" applyBorder="1" applyAlignment="1">
      <alignment horizontal="left" vertical="center" wrapText="1"/>
    </xf>
    <xf numFmtId="49" fontId="8" fillId="2" borderId="3" xfId="0" applyNumberFormat="1" applyFont="1" applyFill="1" applyBorder="1" applyAlignment="1">
      <alignment horizontal="left" vertical="center" wrapText="1"/>
    </xf>
    <xf numFmtId="49" fontId="9" fillId="0" borderId="3" xfId="0" applyNumberFormat="1" applyFont="1" applyFill="1" applyBorder="1" applyAlignment="1">
      <alignment horizontal="left" vertical="top" wrapText="1"/>
    </xf>
    <xf numFmtId="49" fontId="24" fillId="0" borderId="3" xfId="0" applyNumberFormat="1" applyFont="1" applyFill="1" applyBorder="1" applyAlignment="1">
      <alignment horizontal="left" vertical="top" wrapText="1"/>
    </xf>
    <xf numFmtId="0" fontId="0" fillId="12" borderId="1" xfId="0" applyFill="1" applyBorder="1"/>
    <xf numFmtId="0" fontId="0" fillId="13" borderId="1" xfId="0" applyFill="1" applyBorder="1"/>
    <xf numFmtId="0" fontId="0" fillId="14" borderId="1" xfId="0" applyFill="1" applyBorder="1"/>
    <xf numFmtId="0" fontId="0" fillId="15" borderId="1" xfId="0" applyFill="1" applyBorder="1"/>
    <xf numFmtId="0" fontId="0" fillId="16" borderId="1" xfId="0" applyFill="1" applyBorder="1"/>
    <xf numFmtId="0" fontId="0" fillId="17" borderId="1" xfId="0" applyFill="1" applyBorder="1"/>
    <xf numFmtId="49" fontId="9" fillId="12" borderId="1" xfId="0" applyNumberFormat="1" applyFont="1" applyFill="1" applyBorder="1" applyAlignment="1">
      <alignment horizontal="left" vertical="top" wrapText="1"/>
    </xf>
    <xf numFmtId="0" fontId="0" fillId="12" borderId="1" xfId="0" applyFill="1" applyBorder="1" applyAlignment="1">
      <alignment wrapText="1"/>
    </xf>
    <xf numFmtId="0" fontId="0" fillId="13" borderId="1" xfId="0" applyFill="1" applyBorder="1" applyAlignment="1">
      <alignment wrapText="1"/>
    </xf>
    <xf numFmtId="0" fontId="0" fillId="14" borderId="1" xfId="0" applyFill="1" applyBorder="1" applyAlignment="1">
      <alignment wrapText="1"/>
    </xf>
    <xf numFmtId="0" fontId="0" fillId="15" borderId="1" xfId="0" applyFill="1" applyBorder="1" applyAlignment="1">
      <alignment wrapText="1"/>
    </xf>
    <xf numFmtId="0" fontId="0" fillId="16" borderId="1" xfId="0" applyFill="1" applyBorder="1" applyAlignment="1">
      <alignment wrapText="1"/>
    </xf>
    <xf numFmtId="49" fontId="24" fillId="12" borderId="1" xfId="0" applyNumberFormat="1" applyFont="1" applyFill="1" applyBorder="1" applyAlignment="1">
      <alignment horizontal="left" vertical="top" wrapText="1"/>
    </xf>
    <xf numFmtId="0" fontId="0" fillId="13" borderId="1" xfId="0" applyFill="1" applyBorder="1" applyAlignment="1">
      <alignment vertical="top"/>
    </xf>
    <xf numFmtId="0" fontId="19" fillId="14" borderId="1" xfId="0" applyFont="1" applyFill="1" applyBorder="1" applyAlignment="1">
      <alignment wrapText="1"/>
    </xf>
    <xf numFmtId="49" fontId="9" fillId="0" borderId="7" xfId="0" applyNumberFormat="1" applyFont="1" applyFill="1" applyBorder="1" applyAlignment="1">
      <alignment horizontal="left" vertical="top" wrapText="1"/>
    </xf>
    <xf numFmtId="49" fontId="9" fillId="12" borderId="2" xfId="0" applyNumberFormat="1" applyFont="1" applyFill="1" applyBorder="1" applyAlignment="1">
      <alignment horizontal="left" vertical="top" wrapText="1"/>
    </xf>
    <xf numFmtId="0" fontId="0" fillId="13" borderId="2" xfId="0" applyFill="1" applyBorder="1"/>
    <xf numFmtId="0" fontId="0" fillId="14" borderId="2" xfId="0" applyFill="1" applyBorder="1"/>
    <xf numFmtId="0" fontId="0" fillId="15" borderId="2" xfId="0" applyFill="1" applyBorder="1"/>
    <xf numFmtId="0" fontId="0" fillId="16" borderId="2" xfId="0" applyFill="1" applyBorder="1"/>
    <xf numFmtId="0" fontId="9" fillId="0" borderId="8" xfId="0" applyFont="1" applyFill="1" applyBorder="1" applyAlignment="1">
      <alignment vertical="top" wrapText="1"/>
    </xf>
    <xf numFmtId="0" fontId="9" fillId="0" borderId="8" xfId="0" applyFont="1" applyFill="1" applyBorder="1" applyAlignment="1">
      <alignment horizontal="center" vertical="top" wrapText="1"/>
    </xf>
    <xf numFmtId="49" fontId="9" fillId="0" borderId="8" xfId="0" applyNumberFormat="1" applyFont="1" applyFill="1" applyBorder="1" applyAlignment="1">
      <alignment vertical="top" wrapText="1"/>
    </xf>
    <xf numFmtId="49" fontId="9" fillId="0" borderId="9" xfId="0" applyNumberFormat="1" applyFont="1" applyFill="1" applyBorder="1" applyAlignment="1">
      <alignment horizontal="left" vertical="top" wrapText="1"/>
    </xf>
    <xf numFmtId="49" fontId="9" fillId="12" borderId="8" xfId="0" applyNumberFormat="1" applyFont="1" applyFill="1" applyBorder="1" applyAlignment="1">
      <alignment horizontal="left" vertical="top" wrapText="1"/>
    </xf>
    <xf numFmtId="0" fontId="0" fillId="13" borderId="8" xfId="0" applyFill="1" applyBorder="1"/>
    <xf numFmtId="0" fontId="0" fillId="14" borderId="8" xfId="0" applyFill="1" applyBorder="1"/>
    <xf numFmtId="0" fontId="0" fillId="15" borderId="8" xfId="0" applyFill="1" applyBorder="1"/>
    <xf numFmtId="0" fontId="0" fillId="16" borderId="8" xfId="0" applyFill="1" applyBorder="1"/>
    <xf numFmtId="0" fontId="0" fillId="0" borderId="10" xfId="0" applyBorder="1"/>
    <xf numFmtId="0" fontId="0" fillId="18" borderId="1" xfId="0" applyFill="1" applyBorder="1" applyAlignment="1">
      <alignment wrapText="1"/>
    </xf>
    <xf numFmtId="0" fontId="0" fillId="18" borderId="2" xfId="0" applyFill="1" applyBorder="1" applyAlignment="1">
      <alignment wrapText="1"/>
    </xf>
    <xf numFmtId="0" fontId="0" fillId="18" borderId="8" xfId="0" applyFill="1" applyBorder="1" applyAlignment="1">
      <alignment wrapText="1"/>
    </xf>
    <xf numFmtId="0" fontId="0" fillId="0" borderId="2" xfId="0" applyFill="1" applyBorder="1" applyAlignment="1">
      <alignment horizontal="center" vertical="top" wrapText="1"/>
    </xf>
    <xf numFmtId="0" fontId="9" fillId="0" borderId="5" xfId="0" applyFont="1" applyBorder="1" applyAlignment="1">
      <alignment vertical="center" wrapText="1"/>
    </xf>
    <xf numFmtId="49" fontId="9" fillId="0" borderId="11" xfId="0" applyNumberFormat="1" applyFont="1" applyFill="1" applyBorder="1" applyAlignment="1">
      <alignment vertical="top" wrapText="1"/>
    </xf>
    <xf numFmtId="0" fontId="9" fillId="0" borderId="5" xfId="0" applyFont="1" applyBorder="1" applyAlignment="1">
      <alignment horizontal="left" vertical="center" wrapText="1"/>
    </xf>
    <xf numFmtId="0" fontId="9" fillId="0" borderId="5" xfId="0" applyFont="1" applyFill="1" applyBorder="1" applyAlignment="1">
      <alignment horizontal="left" vertical="top" wrapText="1"/>
    </xf>
    <xf numFmtId="0" fontId="0" fillId="0" borderId="5" xfId="0" applyBorder="1" applyAlignment="1">
      <alignment horizontal="left"/>
    </xf>
    <xf numFmtId="49" fontId="3" fillId="0" borderId="0" xfId="2" applyNumberFormat="1" applyFont="1"/>
    <xf numFmtId="11" fontId="9" fillId="0" borderId="1" xfId="0" applyNumberFormat="1" applyFont="1" applyBorder="1" applyAlignment="1">
      <alignment horizontal="left" vertical="top" wrapText="1"/>
    </xf>
    <xf numFmtId="0" fontId="9" fillId="0" borderId="0" xfId="0" applyFont="1" applyAlignment="1">
      <alignment horizontal="center" vertical="top" wrapText="1"/>
    </xf>
    <xf numFmtId="0" fontId="3" fillId="0" borderId="0" xfId="2" applyFont="1"/>
    <xf numFmtId="0" fontId="3" fillId="0" borderId="0" xfId="2" applyFont="1" applyAlignment="1">
      <alignment horizontal="left"/>
    </xf>
    <xf numFmtId="0" fontId="3" fillId="0" borderId="0" xfId="2" applyFont="1" applyAlignment="1">
      <alignment wrapText="1"/>
    </xf>
    <xf numFmtId="14" fontId="3" fillId="0" borderId="0" xfId="2" applyNumberFormat="1" applyFont="1"/>
    <xf numFmtId="0" fontId="8" fillId="16" borderId="1" xfId="0" applyFont="1" applyFill="1" applyBorder="1" applyAlignment="1">
      <alignment horizontal="center" vertical="center"/>
    </xf>
    <xf numFmtId="0" fontId="8" fillId="17" borderId="1" xfId="0" applyFont="1" applyFill="1" applyBorder="1" applyAlignment="1">
      <alignment horizontal="center" vertical="center"/>
    </xf>
    <xf numFmtId="49" fontId="9" fillId="0" borderId="3" xfId="0" applyNumberFormat="1" applyFont="1" applyBorder="1" applyAlignment="1">
      <alignment horizontal="left" vertical="top" wrapText="1"/>
    </xf>
    <xf numFmtId="49" fontId="0" fillId="13" borderId="1" xfId="0" applyNumberFormat="1" applyFill="1" applyBorder="1"/>
    <xf numFmtId="49" fontId="0" fillId="14" borderId="1" xfId="0" applyNumberFormat="1" applyFill="1" applyBorder="1"/>
    <xf numFmtId="49" fontId="0" fillId="15" borderId="1" xfId="0" applyNumberFormat="1" applyFill="1" applyBorder="1"/>
    <xf numFmtId="49" fontId="0" fillId="16" borderId="1" xfId="0" applyNumberFormat="1" applyFill="1" applyBorder="1"/>
    <xf numFmtId="49" fontId="0" fillId="17" borderId="1" xfId="0" applyNumberFormat="1" applyFill="1" applyBorder="1"/>
    <xf numFmtId="0" fontId="20" fillId="0" borderId="0" xfId="0" applyFont="1"/>
    <xf numFmtId="0" fontId="9" fillId="0" borderId="1" xfId="0" applyFont="1" applyFill="1" applyBorder="1" applyAlignment="1"/>
    <xf numFmtId="0" fontId="0" fillId="0" borderId="0" xfId="0" applyAlignment="1">
      <alignment wrapText="1"/>
    </xf>
    <xf numFmtId="0" fontId="15" fillId="7" borderId="1" xfId="3" applyBorder="1" applyAlignment="1">
      <alignment vertical="top" wrapText="1"/>
    </xf>
    <xf numFmtId="0" fontId="2" fillId="0" borderId="0" xfId="2" applyFont="1"/>
    <xf numFmtId="0" fontId="1" fillId="0" borderId="0" xfId="2" applyFont="1" applyAlignment="1">
      <alignment horizontal="left"/>
    </xf>
    <xf numFmtId="0" fontId="1" fillId="0" borderId="0" xfId="2" applyFont="1"/>
    <xf numFmtId="49" fontId="1" fillId="0" borderId="0" xfId="2" applyNumberFormat="1" applyFont="1"/>
    <xf numFmtId="0" fontId="9" fillId="0" borderId="1" xfId="0" quotePrefix="1" applyFont="1" applyFill="1" applyBorder="1" applyAlignment="1">
      <alignment vertical="top" wrapText="1"/>
    </xf>
  </cellXfs>
  <cellStyles count="6">
    <cellStyle name="Bad" xfId="3" builtinId="27"/>
    <cellStyle name="Good" xfId="4" builtinId="26"/>
    <cellStyle name="Neutral" xfId="5" builtinId="28"/>
    <cellStyle name="Normal" xfId="0" builtinId="0"/>
    <cellStyle name="Normal 2" xfId="1" xr:uid="{00000000-0005-0000-0000-000001000000}"/>
    <cellStyle name="Normal 3" xfId="2" xr:uid="{06AA3D22-4F08-4AB2-8BA2-AE32443B5D00}"/>
  </cellStyles>
  <dxfs count="220">
    <dxf>
      <fill>
        <patternFill>
          <bgColor indexed="52"/>
        </patternFill>
      </fill>
    </dxf>
    <dxf>
      <fill>
        <patternFill>
          <bgColor rgb="FF00B0F0"/>
        </patternFill>
      </fill>
    </dxf>
    <dxf>
      <fill>
        <patternFill>
          <bgColor theme="6"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00B0F0"/>
        </patternFill>
      </fill>
    </dxf>
    <dxf>
      <fill>
        <patternFill>
          <bgColor theme="6" tint="0.59996337778862885"/>
        </patternFill>
      </fill>
    </dxf>
    <dxf>
      <fill>
        <patternFill>
          <bgColor rgb="FF00B0F0"/>
        </patternFill>
      </fill>
    </dxf>
    <dxf>
      <fill>
        <patternFill>
          <bgColor theme="6"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00B0F0"/>
        </patternFill>
      </fill>
    </dxf>
    <dxf>
      <fill>
        <patternFill>
          <bgColor theme="6"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00B0F0"/>
        </patternFill>
      </fill>
    </dxf>
    <dxf>
      <fill>
        <patternFill>
          <bgColor theme="6" tint="0.59996337778862885"/>
        </patternFill>
      </fill>
    </dxf>
    <dxf>
      <fill>
        <patternFill>
          <bgColor indexed="51"/>
        </patternFill>
      </fill>
    </dxf>
    <dxf>
      <fill>
        <patternFill>
          <bgColor indexed="52"/>
        </patternFill>
      </fill>
    </dxf>
    <dxf>
      <fill>
        <patternFill>
          <bgColor indexed="52"/>
        </patternFill>
      </fill>
    </dxf>
    <dxf>
      <fill>
        <patternFill>
          <bgColor indexed="51"/>
        </patternFill>
      </fill>
    </dxf>
    <dxf>
      <fill>
        <patternFill>
          <bgColor indexed="52"/>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06504-FA89-469E-9B52-8ACEF59C0177}">
  <sheetPr codeName="Sheet6"/>
  <dimension ref="A2:A7"/>
  <sheetViews>
    <sheetView workbookViewId="0">
      <selection activeCell="D22" sqref="D22"/>
    </sheetView>
  </sheetViews>
  <sheetFormatPr defaultRowHeight="12.5" x14ac:dyDescent="0.25"/>
  <sheetData>
    <row r="2" spans="1:1" x14ac:dyDescent="0.25">
      <c r="A2" t="s">
        <v>0</v>
      </c>
    </row>
    <row r="3" spans="1:1" x14ac:dyDescent="0.25">
      <c r="A3" t="s">
        <v>1</v>
      </c>
    </row>
    <row r="5" spans="1:1" x14ac:dyDescent="0.25">
      <c r="A5" t="s">
        <v>2</v>
      </c>
    </row>
    <row r="6" spans="1:1" x14ac:dyDescent="0.25">
      <c r="A6" t="s">
        <v>3</v>
      </c>
    </row>
    <row r="7" spans="1:1" x14ac:dyDescent="0.25">
      <c r="A7" t="s">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N195"/>
  <sheetViews>
    <sheetView tabSelected="1" zoomScaleNormal="100" workbookViewId="0">
      <pane xSplit="1" ySplit="1" topLeftCell="B160" activePane="bottomRight" state="frozen"/>
      <selection pane="topRight" activeCell="B1" sqref="B1"/>
      <selection pane="bottomLeft" activeCell="A2" sqref="A2"/>
      <selection pane="bottomRight" activeCell="J205" sqref="J205"/>
    </sheetView>
  </sheetViews>
  <sheetFormatPr defaultColWidth="9.1796875" defaultRowHeight="14.25" customHeight="1" x14ac:dyDescent="0.25"/>
  <cols>
    <col min="1" max="1" width="8.7265625" style="34" customWidth="1"/>
    <col min="2" max="2" width="60.26953125" style="66" bestFit="1" customWidth="1"/>
    <col min="3" max="3" width="68.81640625" style="7" bestFit="1" customWidth="1"/>
    <col min="4" max="4" width="14.26953125" style="7" customWidth="1"/>
    <col min="5" max="5" width="7.1796875" style="7" customWidth="1"/>
    <col min="6" max="6" width="19.1796875" style="7" bestFit="1" customWidth="1"/>
    <col min="7" max="7" width="6.26953125" style="7" customWidth="1"/>
    <col min="8" max="8" width="97.26953125" style="7" customWidth="1"/>
    <col min="9" max="9" width="13.81640625" style="50" hidden="1" customWidth="1"/>
    <col min="10" max="10" width="127.81640625" style="50" customWidth="1"/>
    <col min="11" max="11" width="19.81640625" style="75" bestFit="1" customWidth="1"/>
    <col min="12" max="12" width="126.54296875" style="75" customWidth="1"/>
    <col min="13" max="13" width="13.54296875" style="75" bestFit="1" customWidth="1"/>
    <col min="14" max="16384" width="9.1796875" style="7"/>
  </cols>
  <sheetData>
    <row r="1" spans="1:13" s="3" customFormat="1" ht="14.25" customHeight="1" x14ac:dyDescent="0.25">
      <c r="A1" s="32" t="s">
        <v>5</v>
      </c>
      <c r="B1" s="64" t="s">
        <v>6</v>
      </c>
      <c r="C1" s="1" t="s">
        <v>7</v>
      </c>
      <c r="D1" s="1" t="s">
        <v>8</v>
      </c>
      <c r="E1" s="1" t="s">
        <v>9</v>
      </c>
      <c r="F1" s="2" t="s">
        <v>10</v>
      </c>
      <c r="G1" s="117" t="s">
        <v>11</v>
      </c>
      <c r="H1" s="118" t="s">
        <v>12</v>
      </c>
      <c r="I1" s="119" t="s">
        <v>13</v>
      </c>
      <c r="J1" s="76" t="s">
        <v>14</v>
      </c>
      <c r="K1" s="74" t="s">
        <v>15</v>
      </c>
      <c r="L1" s="74" t="s">
        <v>16</v>
      </c>
      <c r="M1" s="116" t="s">
        <v>17</v>
      </c>
    </row>
    <row r="2" spans="1:13" ht="14.25" customHeight="1" x14ac:dyDescent="0.25">
      <c r="A2" s="33" t="s">
        <v>18</v>
      </c>
      <c r="B2" s="5" t="s">
        <v>19</v>
      </c>
      <c r="C2" s="4" t="s">
        <v>20</v>
      </c>
      <c r="D2" s="4" t="s">
        <v>21</v>
      </c>
      <c r="E2" s="4" t="s">
        <v>22</v>
      </c>
      <c r="F2" s="6" t="s">
        <v>22</v>
      </c>
      <c r="G2" s="6">
        <v>1</v>
      </c>
      <c r="H2" s="120" t="s">
        <v>23</v>
      </c>
      <c r="I2" s="11" t="s">
        <v>22</v>
      </c>
      <c r="J2" s="121"/>
      <c r="K2" s="21" t="s">
        <v>24</v>
      </c>
      <c r="L2" s="95"/>
      <c r="M2" s="7"/>
    </row>
    <row r="3" spans="1:13" ht="14.25" customHeight="1" x14ac:dyDescent="0.25">
      <c r="A3" s="33" t="s">
        <v>25</v>
      </c>
      <c r="B3" s="5" t="s">
        <v>19</v>
      </c>
      <c r="C3" s="4" t="s">
        <v>26</v>
      </c>
      <c r="D3" s="4" t="s">
        <v>27</v>
      </c>
      <c r="E3" s="4" t="s">
        <v>22</v>
      </c>
      <c r="F3" s="6" t="s">
        <v>22</v>
      </c>
      <c r="G3" s="6">
        <v>2</v>
      </c>
      <c r="H3" s="120" t="s">
        <v>28</v>
      </c>
      <c r="I3" s="11" t="s">
        <v>22</v>
      </c>
      <c r="J3" s="121"/>
      <c r="K3" s="95" t="s">
        <v>24</v>
      </c>
      <c r="L3" s="95"/>
      <c r="M3" s="7"/>
    </row>
    <row r="4" spans="1:13" ht="14.25" customHeight="1" x14ac:dyDescent="0.25">
      <c r="A4" s="33" t="s">
        <v>29</v>
      </c>
      <c r="B4" s="5" t="s">
        <v>19</v>
      </c>
      <c r="C4" s="4" t="s">
        <v>30</v>
      </c>
      <c r="D4" s="4" t="s">
        <v>31</v>
      </c>
      <c r="E4" s="4" t="s">
        <v>22</v>
      </c>
      <c r="F4" s="6" t="s">
        <v>22</v>
      </c>
      <c r="G4" s="6">
        <v>3</v>
      </c>
      <c r="H4" s="120" t="s">
        <v>32</v>
      </c>
      <c r="I4" s="9" t="s">
        <v>33</v>
      </c>
      <c r="J4" s="16" t="s">
        <v>34</v>
      </c>
      <c r="K4" s="95" t="s">
        <v>24</v>
      </c>
      <c r="L4" s="95"/>
      <c r="M4" s="7"/>
    </row>
    <row r="5" spans="1:13" ht="18" customHeight="1" x14ac:dyDescent="0.25">
      <c r="A5" s="33" t="s">
        <v>35</v>
      </c>
      <c r="B5" s="5" t="s">
        <v>19</v>
      </c>
      <c r="C5" s="4" t="s">
        <v>36</v>
      </c>
      <c r="D5" s="4" t="s">
        <v>37</v>
      </c>
      <c r="E5" s="4" t="s">
        <v>22</v>
      </c>
      <c r="F5" s="6" t="s">
        <v>22</v>
      </c>
      <c r="G5" s="6">
        <v>4</v>
      </c>
      <c r="H5" s="120" t="s">
        <v>38</v>
      </c>
      <c r="I5" s="11" t="s">
        <v>22</v>
      </c>
      <c r="J5" s="121"/>
      <c r="K5" s="95" t="s">
        <v>24</v>
      </c>
      <c r="L5" s="95"/>
      <c r="M5" s="7"/>
    </row>
    <row r="6" spans="1:13" ht="14.25" customHeight="1" x14ac:dyDescent="0.25">
      <c r="A6" s="33" t="s">
        <v>39</v>
      </c>
      <c r="B6" s="5" t="s">
        <v>19</v>
      </c>
      <c r="C6" s="4" t="s">
        <v>40</v>
      </c>
      <c r="D6" s="4" t="s">
        <v>41</v>
      </c>
      <c r="E6" s="4" t="s">
        <v>22</v>
      </c>
      <c r="F6" s="6" t="s">
        <v>22</v>
      </c>
      <c r="G6" s="6">
        <v>5</v>
      </c>
      <c r="H6" s="8" t="s">
        <v>42</v>
      </c>
      <c r="I6" s="11" t="s">
        <v>22</v>
      </c>
      <c r="J6" s="121"/>
      <c r="K6" s="95" t="s">
        <v>24</v>
      </c>
      <c r="L6" s="95"/>
      <c r="M6" s="7"/>
    </row>
    <row r="7" spans="1:13" ht="14.25" customHeight="1" x14ac:dyDescent="0.25">
      <c r="A7" s="33" t="s">
        <v>43</v>
      </c>
      <c r="B7" s="5" t="s">
        <v>19</v>
      </c>
      <c r="C7" s="4" t="s">
        <v>44</v>
      </c>
      <c r="D7" s="4" t="s">
        <v>45</v>
      </c>
      <c r="E7" s="4" t="s">
        <v>22</v>
      </c>
      <c r="F7" s="6" t="s">
        <v>22</v>
      </c>
      <c r="G7" s="6">
        <v>6</v>
      </c>
      <c r="H7" s="120" t="s">
        <v>46</v>
      </c>
      <c r="I7" s="11" t="s">
        <v>22</v>
      </c>
      <c r="J7" s="121"/>
      <c r="K7" s="95" t="s">
        <v>24</v>
      </c>
      <c r="L7" s="95"/>
      <c r="M7" s="7"/>
    </row>
    <row r="8" spans="1:13" ht="14.25" customHeight="1" x14ac:dyDescent="0.25">
      <c r="A8" s="33" t="s">
        <v>47</v>
      </c>
      <c r="B8" s="5" t="s">
        <v>19</v>
      </c>
      <c r="C8" s="4" t="s">
        <v>48</v>
      </c>
      <c r="D8" s="4" t="s">
        <v>49</v>
      </c>
      <c r="E8" s="4" t="s">
        <v>22</v>
      </c>
      <c r="F8" s="6" t="s">
        <v>22</v>
      </c>
      <c r="G8" s="6">
        <v>7</v>
      </c>
      <c r="H8" s="120" t="s">
        <v>50</v>
      </c>
      <c r="I8" s="11" t="s">
        <v>22</v>
      </c>
      <c r="J8" s="121"/>
      <c r="K8" s="95" t="s">
        <v>24</v>
      </c>
      <c r="L8" s="95"/>
      <c r="M8" s="7"/>
    </row>
    <row r="9" spans="1:13" ht="14.25" customHeight="1" x14ac:dyDescent="0.25">
      <c r="A9" s="33" t="s">
        <v>51</v>
      </c>
      <c r="B9" s="5" t="s">
        <v>52</v>
      </c>
      <c r="C9" s="4" t="s">
        <v>53</v>
      </c>
      <c r="D9" s="11" t="s">
        <v>22</v>
      </c>
      <c r="E9" s="4" t="s">
        <v>54</v>
      </c>
      <c r="F9" s="6" t="s">
        <v>22</v>
      </c>
      <c r="G9" s="6">
        <v>8</v>
      </c>
      <c r="H9" s="120" t="s">
        <v>55</v>
      </c>
      <c r="I9" s="11" t="s">
        <v>22</v>
      </c>
      <c r="J9" s="121"/>
      <c r="K9" s="95" t="s">
        <v>24</v>
      </c>
      <c r="L9" s="95"/>
      <c r="M9" s="7"/>
    </row>
    <row r="10" spans="1:13" ht="14.25" customHeight="1" x14ac:dyDescent="0.25">
      <c r="A10" s="33" t="s">
        <v>56</v>
      </c>
      <c r="B10" s="5" t="s">
        <v>52</v>
      </c>
      <c r="C10" s="4" t="s">
        <v>57</v>
      </c>
      <c r="D10" s="11" t="s">
        <v>22</v>
      </c>
      <c r="E10" s="4" t="s">
        <v>54</v>
      </c>
      <c r="F10" s="6" t="s">
        <v>22</v>
      </c>
      <c r="G10" s="6">
        <v>9</v>
      </c>
      <c r="H10" s="120" t="s">
        <v>55</v>
      </c>
      <c r="I10" s="11" t="s">
        <v>22</v>
      </c>
      <c r="J10" s="121"/>
      <c r="K10" s="95" t="s">
        <v>24</v>
      </c>
      <c r="L10" s="95"/>
      <c r="M10" s="7"/>
    </row>
    <row r="11" spans="1:13" ht="14.25" customHeight="1" x14ac:dyDescent="0.25">
      <c r="A11" s="33" t="s">
        <v>58</v>
      </c>
      <c r="B11" s="5" t="s">
        <v>52</v>
      </c>
      <c r="C11" s="4" t="s">
        <v>59</v>
      </c>
      <c r="D11" s="11" t="s">
        <v>22</v>
      </c>
      <c r="E11" s="4" t="s">
        <v>54</v>
      </c>
      <c r="F11" s="6" t="s">
        <v>22</v>
      </c>
      <c r="G11" s="6">
        <v>10</v>
      </c>
      <c r="H11" s="120" t="s">
        <v>55</v>
      </c>
      <c r="I11" s="11" t="s">
        <v>22</v>
      </c>
      <c r="J11" s="121"/>
      <c r="K11" s="95" t="s">
        <v>24</v>
      </c>
      <c r="L11" s="95"/>
      <c r="M11" s="7"/>
    </row>
    <row r="12" spans="1:13" ht="14.25" customHeight="1" x14ac:dyDescent="0.25">
      <c r="A12" s="33" t="s">
        <v>60</v>
      </c>
      <c r="B12" s="5" t="s">
        <v>52</v>
      </c>
      <c r="C12" s="4" t="s">
        <v>61</v>
      </c>
      <c r="D12" s="11" t="s">
        <v>22</v>
      </c>
      <c r="E12" s="4" t="s">
        <v>54</v>
      </c>
      <c r="F12" s="6" t="s">
        <v>22</v>
      </c>
      <c r="G12" s="6">
        <v>11</v>
      </c>
      <c r="H12" s="120" t="s">
        <v>55</v>
      </c>
      <c r="I12" s="11" t="s">
        <v>22</v>
      </c>
      <c r="J12" s="121"/>
      <c r="K12" s="95" t="s">
        <v>24</v>
      </c>
      <c r="L12" s="95"/>
      <c r="M12" s="7"/>
    </row>
    <row r="13" spans="1:13" ht="14.25" customHeight="1" x14ac:dyDescent="0.25">
      <c r="A13" s="33" t="s">
        <v>62</v>
      </c>
      <c r="B13" s="5" t="s">
        <v>52</v>
      </c>
      <c r="C13" s="4" t="s">
        <v>63</v>
      </c>
      <c r="D13" s="11" t="s">
        <v>22</v>
      </c>
      <c r="E13" s="4" t="s">
        <v>54</v>
      </c>
      <c r="F13" s="6" t="s">
        <v>22</v>
      </c>
      <c r="G13" s="6">
        <v>12</v>
      </c>
      <c r="H13" s="120" t="s">
        <v>55</v>
      </c>
      <c r="I13" s="11" t="s">
        <v>22</v>
      </c>
      <c r="J13" s="121"/>
      <c r="K13" s="95" t="s">
        <v>24</v>
      </c>
      <c r="L13" s="95"/>
      <c r="M13" s="7"/>
    </row>
    <row r="14" spans="1:13" ht="14.25" customHeight="1" x14ac:dyDescent="0.25">
      <c r="A14" s="33" t="s">
        <v>64</v>
      </c>
      <c r="B14" s="5" t="s">
        <v>52</v>
      </c>
      <c r="C14" s="4" t="s">
        <v>65</v>
      </c>
      <c r="D14" s="11" t="s">
        <v>22</v>
      </c>
      <c r="E14" s="4" t="s">
        <v>54</v>
      </c>
      <c r="F14" s="6" t="s">
        <v>22</v>
      </c>
      <c r="G14" s="6">
        <v>13</v>
      </c>
      <c r="H14" s="120" t="s">
        <v>66</v>
      </c>
      <c r="I14" s="11" t="s">
        <v>22</v>
      </c>
      <c r="J14" s="121"/>
      <c r="K14" s="95" t="s">
        <v>24</v>
      </c>
      <c r="L14" s="95"/>
      <c r="M14" s="7"/>
    </row>
    <row r="15" spans="1:13" ht="14.25" customHeight="1" x14ac:dyDescent="0.25">
      <c r="A15" s="33" t="s">
        <v>67</v>
      </c>
      <c r="B15" s="5" t="s">
        <v>52</v>
      </c>
      <c r="C15" s="4" t="s">
        <v>68</v>
      </c>
      <c r="D15" s="11" t="s">
        <v>22</v>
      </c>
      <c r="E15" s="4" t="s">
        <v>54</v>
      </c>
      <c r="F15" s="6" t="s">
        <v>22</v>
      </c>
      <c r="G15" s="6">
        <v>14</v>
      </c>
      <c r="H15" s="120" t="s">
        <v>55</v>
      </c>
      <c r="I15" s="11" t="s">
        <v>22</v>
      </c>
      <c r="J15" s="121"/>
      <c r="K15" s="95" t="s">
        <v>24</v>
      </c>
      <c r="L15" s="95"/>
      <c r="M15" s="7"/>
    </row>
    <row r="16" spans="1:13" ht="14.25" customHeight="1" x14ac:dyDescent="0.25">
      <c r="A16" s="33" t="s">
        <v>69</v>
      </c>
      <c r="B16" s="5" t="s">
        <v>52</v>
      </c>
      <c r="C16" s="4" t="s">
        <v>70</v>
      </c>
      <c r="D16" s="11" t="s">
        <v>22</v>
      </c>
      <c r="E16" s="4" t="s">
        <v>54</v>
      </c>
      <c r="F16" s="6" t="s">
        <v>22</v>
      </c>
      <c r="G16" s="6">
        <v>15</v>
      </c>
      <c r="H16" s="120" t="s">
        <v>55</v>
      </c>
      <c r="I16" s="11" t="s">
        <v>22</v>
      </c>
      <c r="J16" s="121"/>
      <c r="K16" s="95" t="s">
        <v>24</v>
      </c>
      <c r="L16" s="95"/>
      <c r="M16" s="7"/>
    </row>
    <row r="17" spans="1:13" ht="14.25" customHeight="1" x14ac:dyDescent="0.25">
      <c r="A17" s="33" t="s">
        <v>71</v>
      </c>
      <c r="B17" s="5" t="s">
        <v>52</v>
      </c>
      <c r="C17" s="4" t="s">
        <v>72</v>
      </c>
      <c r="D17" s="11" t="s">
        <v>22</v>
      </c>
      <c r="E17" s="4" t="s">
        <v>54</v>
      </c>
      <c r="F17" s="6" t="s">
        <v>22</v>
      </c>
      <c r="G17" s="6">
        <v>16</v>
      </c>
      <c r="H17" s="120" t="s">
        <v>55</v>
      </c>
      <c r="I17" s="11" t="s">
        <v>22</v>
      </c>
      <c r="J17" s="121"/>
      <c r="K17" s="95" t="s">
        <v>24</v>
      </c>
      <c r="L17" s="95"/>
      <c r="M17" s="7"/>
    </row>
    <row r="18" spans="1:13" ht="14.25" customHeight="1" x14ac:dyDescent="0.25">
      <c r="A18" s="33" t="s">
        <v>73</v>
      </c>
      <c r="B18" s="5" t="s">
        <v>52</v>
      </c>
      <c r="C18" s="4" t="s">
        <v>74</v>
      </c>
      <c r="D18" s="11" t="s">
        <v>22</v>
      </c>
      <c r="E18" s="4" t="s">
        <v>54</v>
      </c>
      <c r="F18" s="6" t="s">
        <v>22</v>
      </c>
      <c r="G18" s="6">
        <v>17</v>
      </c>
      <c r="H18" s="120" t="s">
        <v>55</v>
      </c>
      <c r="I18" s="11" t="s">
        <v>22</v>
      </c>
      <c r="J18" s="121"/>
      <c r="K18" s="95" t="s">
        <v>24</v>
      </c>
      <c r="L18" s="95"/>
      <c r="M18" s="7"/>
    </row>
    <row r="19" spans="1:13" ht="14.25" customHeight="1" x14ac:dyDescent="0.25">
      <c r="A19" s="33" t="s">
        <v>75</v>
      </c>
      <c r="B19" s="5" t="s">
        <v>52</v>
      </c>
      <c r="C19" s="4" t="s">
        <v>76</v>
      </c>
      <c r="D19" s="11" t="s">
        <v>22</v>
      </c>
      <c r="E19" s="4" t="s">
        <v>54</v>
      </c>
      <c r="F19" s="6" t="s">
        <v>22</v>
      </c>
      <c r="G19" s="6">
        <v>18</v>
      </c>
      <c r="H19" s="120" t="s">
        <v>55</v>
      </c>
      <c r="I19" s="11" t="s">
        <v>22</v>
      </c>
      <c r="J19" s="121"/>
      <c r="K19" s="95" t="s">
        <v>24</v>
      </c>
      <c r="L19" s="95"/>
      <c r="M19" s="7"/>
    </row>
    <row r="20" spans="1:13" ht="14.25" customHeight="1" x14ac:dyDescent="0.25">
      <c r="A20" s="33" t="s">
        <v>77</v>
      </c>
      <c r="B20" s="5" t="s">
        <v>78</v>
      </c>
      <c r="C20" s="4" t="s">
        <v>79</v>
      </c>
      <c r="D20" s="11" t="s">
        <v>22</v>
      </c>
      <c r="E20" s="4" t="s">
        <v>80</v>
      </c>
      <c r="F20" s="6" t="s">
        <v>22</v>
      </c>
      <c r="G20" s="6">
        <v>19</v>
      </c>
      <c r="H20" s="120" t="s">
        <v>55</v>
      </c>
      <c r="I20" s="11" t="s">
        <v>22</v>
      </c>
      <c r="J20" s="121"/>
      <c r="K20" s="95" t="s">
        <v>24</v>
      </c>
      <c r="L20" s="95"/>
      <c r="M20" s="7"/>
    </row>
    <row r="21" spans="1:13" ht="14.25" customHeight="1" x14ac:dyDescent="0.25">
      <c r="A21" s="33" t="s">
        <v>81</v>
      </c>
      <c r="B21" s="5" t="s">
        <v>82</v>
      </c>
      <c r="C21" s="4" t="s">
        <v>83</v>
      </c>
      <c r="D21" s="11" t="s">
        <v>22</v>
      </c>
      <c r="E21" s="4" t="s">
        <v>54</v>
      </c>
      <c r="F21" s="6" t="s">
        <v>84</v>
      </c>
      <c r="G21" s="6">
        <v>20</v>
      </c>
      <c r="H21" s="120" t="s">
        <v>85</v>
      </c>
      <c r="I21" s="11" t="s">
        <v>22</v>
      </c>
      <c r="J21" s="121"/>
      <c r="K21" s="95" t="s">
        <v>24</v>
      </c>
      <c r="L21" s="95"/>
      <c r="M21" s="7"/>
    </row>
    <row r="22" spans="1:13" ht="14.25" customHeight="1" x14ac:dyDescent="0.25">
      <c r="A22" s="33" t="s">
        <v>84</v>
      </c>
      <c r="B22" s="5" t="s">
        <v>82</v>
      </c>
      <c r="C22" s="4" t="s">
        <v>86</v>
      </c>
      <c r="D22" s="11" t="s">
        <v>22</v>
      </c>
      <c r="E22" s="4" t="s">
        <v>81</v>
      </c>
      <c r="F22" s="6" t="s">
        <v>22</v>
      </c>
      <c r="G22" s="6">
        <v>21</v>
      </c>
      <c r="H22" s="120" t="s">
        <v>87</v>
      </c>
      <c r="I22" s="11" t="s">
        <v>22</v>
      </c>
      <c r="J22" s="121"/>
      <c r="K22" s="95" t="s">
        <v>24</v>
      </c>
      <c r="L22" s="95"/>
      <c r="M22" s="7"/>
    </row>
    <row r="23" spans="1:13" ht="14.25" customHeight="1" x14ac:dyDescent="0.25">
      <c r="A23" s="33" t="s">
        <v>88</v>
      </c>
      <c r="B23" s="5" t="s">
        <v>78</v>
      </c>
      <c r="C23" s="4" t="s">
        <v>89</v>
      </c>
      <c r="D23" s="11" t="s">
        <v>22</v>
      </c>
      <c r="E23" s="4" t="s">
        <v>80</v>
      </c>
      <c r="F23" s="6" t="s">
        <v>22</v>
      </c>
      <c r="G23" s="6">
        <v>22</v>
      </c>
      <c r="H23" s="120" t="s">
        <v>90</v>
      </c>
      <c r="I23" s="11" t="s">
        <v>22</v>
      </c>
      <c r="J23" s="121"/>
      <c r="K23" s="95" t="s">
        <v>24</v>
      </c>
      <c r="L23" s="95"/>
      <c r="M23" s="7"/>
    </row>
    <row r="24" spans="1:13" ht="14.25" customHeight="1" x14ac:dyDescent="0.25">
      <c r="A24" s="33" t="s">
        <v>91</v>
      </c>
      <c r="B24" s="5" t="s">
        <v>78</v>
      </c>
      <c r="C24" s="4" t="s">
        <v>92</v>
      </c>
      <c r="D24" s="11" t="s">
        <v>22</v>
      </c>
      <c r="E24" s="4" t="s">
        <v>80</v>
      </c>
      <c r="F24" s="6" t="s">
        <v>22</v>
      </c>
      <c r="G24" s="6">
        <v>23</v>
      </c>
      <c r="H24" s="120" t="s">
        <v>93</v>
      </c>
      <c r="I24" s="11" t="s">
        <v>22</v>
      </c>
      <c r="J24" s="121"/>
      <c r="K24" s="95" t="s">
        <v>24</v>
      </c>
      <c r="L24" s="95"/>
      <c r="M24" s="7"/>
    </row>
    <row r="25" spans="1:13" ht="14.25" customHeight="1" x14ac:dyDescent="0.25">
      <c r="A25" s="33" t="s">
        <v>94</v>
      </c>
      <c r="B25" s="5" t="s">
        <v>95</v>
      </c>
      <c r="C25" s="4" t="s">
        <v>96</v>
      </c>
      <c r="D25" s="11" t="s">
        <v>22</v>
      </c>
      <c r="E25" s="4" t="s">
        <v>54</v>
      </c>
      <c r="F25" s="6" t="s">
        <v>22</v>
      </c>
      <c r="G25" s="6">
        <v>24</v>
      </c>
      <c r="H25" s="120" t="s">
        <v>97</v>
      </c>
      <c r="I25" s="11" t="s">
        <v>22</v>
      </c>
      <c r="J25" s="121"/>
      <c r="K25" s="95" t="s">
        <v>24</v>
      </c>
      <c r="L25" s="95"/>
      <c r="M25" s="7"/>
    </row>
    <row r="26" spans="1:13" ht="14.25" customHeight="1" x14ac:dyDescent="0.25">
      <c r="A26" s="33" t="s">
        <v>98</v>
      </c>
      <c r="B26" s="5" t="s">
        <v>82</v>
      </c>
      <c r="C26" s="4" t="s">
        <v>99</v>
      </c>
      <c r="D26" s="11" t="s">
        <v>22</v>
      </c>
      <c r="E26" s="4" t="s">
        <v>54</v>
      </c>
      <c r="F26" s="6" t="s">
        <v>100</v>
      </c>
      <c r="G26" s="6">
        <v>25</v>
      </c>
      <c r="H26" s="120" t="s">
        <v>55</v>
      </c>
      <c r="I26" s="11" t="s">
        <v>22</v>
      </c>
      <c r="J26" s="121"/>
      <c r="K26" s="95" t="s">
        <v>24</v>
      </c>
      <c r="L26" s="95"/>
      <c r="M26" s="7"/>
    </row>
    <row r="27" spans="1:13" ht="14.25" customHeight="1" x14ac:dyDescent="0.25">
      <c r="A27" s="33" t="s">
        <v>100</v>
      </c>
      <c r="B27" s="5" t="s">
        <v>82</v>
      </c>
      <c r="C27" s="4" t="s">
        <v>101</v>
      </c>
      <c r="D27" s="11" t="s">
        <v>22</v>
      </c>
      <c r="E27" s="4" t="s">
        <v>98</v>
      </c>
      <c r="F27" s="6" t="s">
        <v>22</v>
      </c>
      <c r="G27" s="6">
        <v>26</v>
      </c>
      <c r="H27" s="120" t="s">
        <v>55</v>
      </c>
      <c r="I27" s="11" t="s">
        <v>22</v>
      </c>
      <c r="J27" s="121"/>
      <c r="K27" s="95" t="s">
        <v>24</v>
      </c>
      <c r="L27" s="95"/>
      <c r="M27" s="7"/>
    </row>
    <row r="28" spans="1:13" ht="14.25" customHeight="1" x14ac:dyDescent="0.25">
      <c r="A28" s="33" t="s">
        <v>102</v>
      </c>
      <c r="B28" s="5" t="s">
        <v>82</v>
      </c>
      <c r="C28" s="4" t="s">
        <v>103</v>
      </c>
      <c r="D28" s="11" t="s">
        <v>22</v>
      </c>
      <c r="E28" s="4" t="s">
        <v>54</v>
      </c>
      <c r="F28" s="6" t="s">
        <v>104</v>
      </c>
      <c r="G28" s="6">
        <v>27</v>
      </c>
      <c r="H28" s="120" t="s">
        <v>105</v>
      </c>
      <c r="I28" s="11" t="s">
        <v>22</v>
      </c>
      <c r="J28" s="121"/>
      <c r="K28" s="95" t="s">
        <v>24</v>
      </c>
      <c r="L28" s="95"/>
      <c r="M28" s="7"/>
    </row>
    <row r="29" spans="1:13" ht="14.25" customHeight="1" x14ac:dyDescent="0.25">
      <c r="A29" s="33" t="s">
        <v>104</v>
      </c>
      <c r="B29" s="5" t="s">
        <v>82</v>
      </c>
      <c r="C29" s="4" t="s">
        <v>106</v>
      </c>
      <c r="D29" s="11" t="s">
        <v>22</v>
      </c>
      <c r="E29" s="4" t="s">
        <v>102</v>
      </c>
      <c r="F29" s="6" t="s">
        <v>22</v>
      </c>
      <c r="G29" s="6">
        <v>28</v>
      </c>
      <c r="H29" s="120" t="s">
        <v>107</v>
      </c>
      <c r="I29" s="11" t="s">
        <v>22</v>
      </c>
      <c r="J29" s="121"/>
      <c r="K29" s="95" t="s">
        <v>24</v>
      </c>
      <c r="L29" s="95"/>
      <c r="M29" s="7"/>
    </row>
    <row r="30" spans="1:13" ht="14.25" customHeight="1" x14ac:dyDescent="0.25">
      <c r="A30" s="33" t="s">
        <v>108</v>
      </c>
      <c r="B30" s="5" t="s">
        <v>78</v>
      </c>
      <c r="C30" s="4" t="s">
        <v>109</v>
      </c>
      <c r="D30" s="11" t="s">
        <v>22</v>
      </c>
      <c r="E30" s="4" t="s">
        <v>80</v>
      </c>
      <c r="F30" s="6" t="s">
        <v>22</v>
      </c>
      <c r="G30" s="6">
        <v>29</v>
      </c>
      <c r="H30" s="120" t="s">
        <v>110</v>
      </c>
      <c r="I30" s="11" t="s">
        <v>22</v>
      </c>
      <c r="J30" s="121"/>
      <c r="K30" s="95" t="s">
        <v>24</v>
      </c>
      <c r="L30" s="95"/>
      <c r="M30" s="7"/>
    </row>
    <row r="31" spans="1:13" ht="14.25" customHeight="1" x14ac:dyDescent="0.25">
      <c r="A31" s="33" t="s">
        <v>111</v>
      </c>
      <c r="B31" s="5" t="s">
        <v>82</v>
      </c>
      <c r="C31" s="4" t="s">
        <v>112</v>
      </c>
      <c r="D31" s="11" t="s">
        <v>113</v>
      </c>
      <c r="E31" s="4" t="s">
        <v>114</v>
      </c>
      <c r="F31" s="33" t="s">
        <v>115</v>
      </c>
      <c r="G31" s="6">
        <v>30</v>
      </c>
      <c r="H31" s="120" t="s">
        <v>55</v>
      </c>
      <c r="I31" s="11" t="s">
        <v>22</v>
      </c>
      <c r="J31" s="121"/>
      <c r="K31" s="122">
        <v>4.0999999999999996</v>
      </c>
      <c r="L31" s="122"/>
    </row>
    <row r="32" spans="1:13" ht="14.25" customHeight="1" x14ac:dyDescent="0.25">
      <c r="A32" s="33" t="s">
        <v>116</v>
      </c>
      <c r="B32" s="5" t="s">
        <v>82</v>
      </c>
      <c r="C32" s="4" t="s">
        <v>117</v>
      </c>
      <c r="D32" s="11" t="s">
        <v>113</v>
      </c>
      <c r="E32" s="33" t="s">
        <v>115</v>
      </c>
      <c r="F32" s="6" t="s">
        <v>22</v>
      </c>
      <c r="G32" s="6">
        <v>31</v>
      </c>
      <c r="H32" s="120" t="s">
        <v>118</v>
      </c>
      <c r="I32" s="11" t="s">
        <v>22</v>
      </c>
      <c r="J32" s="121"/>
      <c r="K32" s="122">
        <v>4.0999999999999996</v>
      </c>
      <c r="L32" s="122"/>
    </row>
    <row r="33" spans="1:13" ht="14.25" customHeight="1" x14ac:dyDescent="0.25">
      <c r="A33" s="33" t="s">
        <v>114</v>
      </c>
      <c r="B33" s="5" t="s">
        <v>82</v>
      </c>
      <c r="C33" s="4" t="s">
        <v>119</v>
      </c>
      <c r="D33" s="11" t="s">
        <v>113</v>
      </c>
      <c r="E33" s="4" t="s">
        <v>54</v>
      </c>
      <c r="F33" s="33" t="s">
        <v>120</v>
      </c>
      <c r="G33" s="6">
        <v>32</v>
      </c>
      <c r="H33" s="120" t="s">
        <v>121</v>
      </c>
      <c r="I33" s="11" t="s">
        <v>22</v>
      </c>
      <c r="J33" s="121"/>
      <c r="K33" s="122">
        <v>4.0999999999999996</v>
      </c>
      <c r="L33" s="122"/>
    </row>
    <row r="34" spans="1:13" ht="14.25" customHeight="1" x14ac:dyDescent="0.25">
      <c r="A34" s="33" t="s">
        <v>115</v>
      </c>
      <c r="B34" s="5" t="s">
        <v>82</v>
      </c>
      <c r="C34" s="4" t="s">
        <v>122</v>
      </c>
      <c r="D34" s="11" t="s">
        <v>113</v>
      </c>
      <c r="E34" s="33" t="s">
        <v>111</v>
      </c>
      <c r="F34" s="33" t="s">
        <v>116</v>
      </c>
      <c r="G34" s="6">
        <v>33</v>
      </c>
      <c r="H34" s="120" t="s">
        <v>55</v>
      </c>
      <c r="I34" s="11" t="s">
        <v>22</v>
      </c>
      <c r="J34" s="121"/>
      <c r="K34" s="122">
        <v>4.0999999999999996</v>
      </c>
      <c r="L34" s="122"/>
    </row>
    <row r="35" spans="1:13" ht="14.25" customHeight="1" x14ac:dyDescent="0.25">
      <c r="A35" s="33" t="s">
        <v>123</v>
      </c>
      <c r="B35" s="5" t="s">
        <v>82</v>
      </c>
      <c r="C35" s="4" t="s">
        <v>124</v>
      </c>
      <c r="D35" s="11" t="s">
        <v>113</v>
      </c>
      <c r="E35" s="4" t="s">
        <v>114</v>
      </c>
      <c r="F35" s="6" t="s">
        <v>22</v>
      </c>
      <c r="G35" s="6">
        <v>34</v>
      </c>
      <c r="H35" s="120" t="s">
        <v>55</v>
      </c>
      <c r="I35" s="11" t="s">
        <v>22</v>
      </c>
      <c r="J35" s="121"/>
      <c r="K35" s="122">
        <v>4.0999999999999996</v>
      </c>
      <c r="L35" s="122"/>
    </row>
    <row r="36" spans="1:13" ht="75" customHeight="1" x14ac:dyDescent="0.25">
      <c r="A36" s="33" t="s">
        <v>125</v>
      </c>
      <c r="B36" s="5" t="s">
        <v>126</v>
      </c>
      <c r="C36" s="4" t="s">
        <v>127</v>
      </c>
      <c r="D36" s="11" t="s">
        <v>22</v>
      </c>
      <c r="E36" s="4" t="s">
        <v>80</v>
      </c>
      <c r="F36" s="6" t="s">
        <v>128</v>
      </c>
      <c r="G36" s="6">
        <v>35</v>
      </c>
      <c r="H36" s="8" t="s">
        <v>129</v>
      </c>
      <c r="I36" s="11" t="s">
        <v>22</v>
      </c>
      <c r="J36" s="128" t="s">
        <v>130</v>
      </c>
      <c r="K36" s="95" t="s">
        <v>24</v>
      </c>
      <c r="L36" s="95"/>
      <c r="M36" s="7"/>
    </row>
    <row r="37" spans="1:13" ht="14.25" customHeight="1" x14ac:dyDescent="0.25">
      <c r="A37" s="33" t="s">
        <v>128</v>
      </c>
      <c r="B37" s="5" t="s">
        <v>126</v>
      </c>
      <c r="C37" s="4" t="s">
        <v>131</v>
      </c>
      <c r="D37" s="11" t="s">
        <v>22</v>
      </c>
      <c r="E37" s="4" t="s">
        <v>125</v>
      </c>
      <c r="F37" s="6" t="s">
        <v>22</v>
      </c>
      <c r="G37" s="6">
        <v>36</v>
      </c>
      <c r="H37" s="120" t="s">
        <v>55</v>
      </c>
      <c r="I37" s="11" t="s">
        <v>22</v>
      </c>
      <c r="J37" s="121" t="s">
        <v>132</v>
      </c>
      <c r="K37" s="95" t="s">
        <v>24</v>
      </c>
      <c r="L37" s="95"/>
      <c r="M37" s="7"/>
    </row>
    <row r="38" spans="1:13" ht="125" x14ac:dyDescent="0.25">
      <c r="A38" s="33" t="s">
        <v>133</v>
      </c>
      <c r="B38" s="5" t="s">
        <v>134</v>
      </c>
      <c r="C38" s="4" t="s">
        <v>135</v>
      </c>
      <c r="D38" s="11" t="s">
        <v>22</v>
      </c>
      <c r="E38" s="4" t="s">
        <v>80</v>
      </c>
      <c r="F38" s="6" t="s">
        <v>22</v>
      </c>
      <c r="G38" s="6">
        <v>37</v>
      </c>
      <c r="H38" s="120" t="s">
        <v>136</v>
      </c>
      <c r="I38" s="11" t="s">
        <v>22</v>
      </c>
      <c r="J38" s="123" t="s">
        <v>8834</v>
      </c>
      <c r="K38" s="95" t="s">
        <v>24</v>
      </c>
      <c r="L38" s="95"/>
      <c r="M38" s="7"/>
    </row>
    <row r="39" spans="1:13" ht="380.15" customHeight="1" x14ac:dyDescent="0.25">
      <c r="A39" s="33" t="s">
        <v>137</v>
      </c>
      <c r="B39" s="5" t="s">
        <v>134</v>
      </c>
      <c r="C39" s="4" t="s">
        <v>138</v>
      </c>
      <c r="D39" s="11" t="s">
        <v>22</v>
      </c>
      <c r="E39" s="4" t="s">
        <v>80</v>
      </c>
      <c r="F39" s="6" t="s">
        <v>22</v>
      </c>
      <c r="G39" s="6">
        <v>38</v>
      </c>
      <c r="H39" s="124" t="s">
        <v>139</v>
      </c>
      <c r="I39" s="9" t="s">
        <v>140</v>
      </c>
      <c r="J39" s="16" t="s">
        <v>141</v>
      </c>
      <c r="K39" s="95" t="s">
        <v>24</v>
      </c>
      <c r="L39" s="120"/>
      <c r="M39" s="7"/>
    </row>
    <row r="40" spans="1:13" ht="25" x14ac:dyDescent="0.25">
      <c r="A40" s="33" t="s">
        <v>142</v>
      </c>
      <c r="B40" s="5" t="s">
        <v>134</v>
      </c>
      <c r="C40" s="4" t="s">
        <v>143</v>
      </c>
      <c r="D40" s="11" t="s">
        <v>113</v>
      </c>
      <c r="E40" s="4" t="s">
        <v>80</v>
      </c>
      <c r="F40" s="6" t="s">
        <v>22</v>
      </c>
      <c r="G40" s="6">
        <v>39</v>
      </c>
      <c r="H40" s="120" t="s">
        <v>144</v>
      </c>
      <c r="I40" s="11" t="s">
        <v>22</v>
      </c>
      <c r="J40" s="125"/>
      <c r="K40" s="122">
        <v>4.0999999999999996</v>
      </c>
      <c r="L40" s="122"/>
    </row>
    <row r="41" spans="1:13" ht="14.25" customHeight="1" x14ac:dyDescent="0.25">
      <c r="A41" s="33" t="s">
        <v>145</v>
      </c>
      <c r="B41" s="5" t="s">
        <v>78</v>
      </c>
      <c r="C41" s="4" t="s">
        <v>146</v>
      </c>
      <c r="D41" s="11" t="s">
        <v>22</v>
      </c>
      <c r="E41" s="4" t="s">
        <v>80</v>
      </c>
      <c r="F41" s="6" t="s">
        <v>22</v>
      </c>
      <c r="G41" s="6">
        <v>40</v>
      </c>
      <c r="H41" s="8" t="s">
        <v>147</v>
      </c>
      <c r="I41" s="11" t="s">
        <v>22</v>
      </c>
      <c r="J41" s="121"/>
      <c r="K41" s="95" t="s">
        <v>24</v>
      </c>
      <c r="L41" s="95"/>
      <c r="M41" s="7"/>
    </row>
    <row r="42" spans="1:13" ht="25" x14ac:dyDescent="0.25">
      <c r="A42" s="33" t="s">
        <v>148</v>
      </c>
      <c r="B42" s="5" t="s">
        <v>126</v>
      </c>
      <c r="C42" s="4" t="s">
        <v>149</v>
      </c>
      <c r="D42" s="11" t="s">
        <v>22</v>
      </c>
      <c r="E42" s="4" t="s">
        <v>150</v>
      </c>
      <c r="F42" s="6" t="s">
        <v>22</v>
      </c>
      <c r="G42" s="6">
        <v>41</v>
      </c>
      <c r="H42" s="120" t="s">
        <v>55</v>
      </c>
      <c r="I42" s="11" t="s">
        <v>22</v>
      </c>
      <c r="J42" s="126" t="s">
        <v>151</v>
      </c>
      <c r="K42" s="95" t="s">
        <v>24</v>
      </c>
      <c r="L42" s="95"/>
      <c r="M42" s="7"/>
    </row>
    <row r="43" spans="1:13" ht="14.25" customHeight="1" x14ac:dyDescent="0.25">
      <c r="A43" s="33" t="s">
        <v>150</v>
      </c>
      <c r="B43" s="5" t="s">
        <v>126</v>
      </c>
      <c r="C43" s="4" t="s">
        <v>152</v>
      </c>
      <c r="D43" s="11" t="s">
        <v>22</v>
      </c>
      <c r="E43" s="4" t="s">
        <v>80</v>
      </c>
      <c r="F43" s="6" t="s">
        <v>148</v>
      </c>
      <c r="G43" s="6">
        <v>42</v>
      </c>
      <c r="H43" s="120" t="s">
        <v>153</v>
      </c>
      <c r="I43" s="11" t="s">
        <v>22</v>
      </c>
      <c r="J43" s="126" t="s">
        <v>154</v>
      </c>
      <c r="K43" s="95" t="s">
        <v>24</v>
      </c>
      <c r="L43" s="95"/>
      <c r="M43" s="7"/>
    </row>
    <row r="44" spans="1:13" ht="14.25" customHeight="1" x14ac:dyDescent="0.25">
      <c r="A44" s="33" t="s">
        <v>155</v>
      </c>
      <c r="B44" s="5" t="s">
        <v>78</v>
      </c>
      <c r="C44" s="4" t="s">
        <v>156</v>
      </c>
      <c r="D44" s="11" t="s">
        <v>22</v>
      </c>
      <c r="E44" s="4" t="s">
        <v>80</v>
      </c>
      <c r="F44" s="6" t="s">
        <v>22</v>
      </c>
      <c r="G44" s="6">
        <v>43</v>
      </c>
      <c r="H44" s="120" t="s">
        <v>157</v>
      </c>
      <c r="I44" s="11" t="s">
        <v>22</v>
      </c>
      <c r="J44" s="121"/>
      <c r="K44" s="95" t="s">
        <v>24</v>
      </c>
      <c r="L44" s="95"/>
      <c r="M44" s="7"/>
    </row>
    <row r="45" spans="1:13" ht="14.25" customHeight="1" x14ac:dyDescent="0.25">
      <c r="A45" s="33" t="s">
        <v>158</v>
      </c>
      <c r="B45" s="5" t="s">
        <v>159</v>
      </c>
      <c r="C45" s="4" t="s">
        <v>160</v>
      </c>
      <c r="D45" s="11" t="s">
        <v>113</v>
      </c>
      <c r="E45" s="4" t="s">
        <v>54</v>
      </c>
      <c r="F45" s="6" t="s">
        <v>22</v>
      </c>
      <c r="G45" s="6">
        <v>44</v>
      </c>
      <c r="H45" s="120" t="s">
        <v>161</v>
      </c>
      <c r="I45" s="9" t="s">
        <v>162</v>
      </c>
      <c r="J45" s="16"/>
      <c r="K45" s="122">
        <v>4.0999999999999996</v>
      </c>
      <c r="L45" s="122"/>
    </row>
    <row r="46" spans="1:13" ht="14.25" customHeight="1" x14ac:dyDescent="0.25">
      <c r="A46" s="33" t="s">
        <v>163</v>
      </c>
      <c r="B46" s="5" t="s">
        <v>159</v>
      </c>
      <c r="C46" s="4" t="s">
        <v>164</v>
      </c>
      <c r="D46" s="11" t="s">
        <v>113</v>
      </c>
      <c r="E46" s="4" t="s">
        <v>54</v>
      </c>
      <c r="F46" s="6" t="s">
        <v>22</v>
      </c>
      <c r="G46" s="6">
        <v>45</v>
      </c>
      <c r="H46" s="120" t="s">
        <v>165</v>
      </c>
      <c r="I46" s="9" t="s">
        <v>166</v>
      </c>
      <c r="J46" s="16"/>
      <c r="K46" s="122">
        <v>4.0999999999999996</v>
      </c>
      <c r="L46" s="122"/>
    </row>
    <row r="47" spans="1:13" ht="14.25" customHeight="1" x14ac:dyDescent="0.25">
      <c r="A47" s="33" t="s">
        <v>167</v>
      </c>
      <c r="B47" s="5" t="s">
        <v>82</v>
      </c>
      <c r="C47" s="4" t="s">
        <v>168</v>
      </c>
      <c r="D47" s="11" t="s">
        <v>22</v>
      </c>
      <c r="E47" s="4" t="s">
        <v>54</v>
      </c>
      <c r="F47" s="6" t="s">
        <v>169</v>
      </c>
      <c r="G47" s="6">
        <v>47</v>
      </c>
      <c r="H47" s="120" t="s">
        <v>170</v>
      </c>
      <c r="I47" s="11" t="s">
        <v>22</v>
      </c>
      <c r="J47" s="121"/>
      <c r="K47" s="95" t="s">
        <v>24</v>
      </c>
      <c r="L47" s="95"/>
      <c r="M47" s="7"/>
    </row>
    <row r="48" spans="1:13" ht="14.25" customHeight="1" x14ac:dyDescent="0.25">
      <c r="A48" s="33" t="s">
        <v>169</v>
      </c>
      <c r="B48" s="5" t="s">
        <v>82</v>
      </c>
      <c r="C48" s="4" t="s">
        <v>171</v>
      </c>
      <c r="D48" s="11" t="s">
        <v>22</v>
      </c>
      <c r="E48" s="4" t="s">
        <v>167</v>
      </c>
      <c r="F48" s="6" t="s">
        <v>22</v>
      </c>
      <c r="G48" s="6">
        <v>48</v>
      </c>
      <c r="H48" s="120" t="s">
        <v>172</v>
      </c>
      <c r="I48" s="9" t="s">
        <v>173</v>
      </c>
      <c r="J48" s="16"/>
      <c r="K48" s="95" t="s">
        <v>24</v>
      </c>
      <c r="L48" s="95"/>
      <c r="M48" s="7"/>
    </row>
    <row r="49" spans="1:13" ht="14.25" customHeight="1" x14ac:dyDescent="0.25">
      <c r="A49" s="33" t="s">
        <v>174</v>
      </c>
      <c r="B49" s="5" t="s">
        <v>126</v>
      </c>
      <c r="C49" s="4" t="s">
        <v>175</v>
      </c>
      <c r="D49" s="11" t="s">
        <v>113</v>
      </c>
      <c r="E49" s="4" t="s">
        <v>80</v>
      </c>
      <c r="F49" s="6" t="s">
        <v>176</v>
      </c>
      <c r="G49" s="6">
        <v>49</v>
      </c>
      <c r="H49" s="120" t="s">
        <v>177</v>
      </c>
      <c r="I49" s="11" t="s">
        <v>22</v>
      </c>
      <c r="J49" s="121"/>
      <c r="K49" s="122">
        <v>4.0999999999999996</v>
      </c>
      <c r="L49" s="122"/>
    </row>
    <row r="50" spans="1:13" ht="14.25" customHeight="1" x14ac:dyDescent="0.25">
      <c r="A50" s="33" t="s">
        <v>178</v>
      </c>
      <c r="B50" s="5" t="s">
        <v>126</v>
      </c>
      <c r="C50" s="4" t="s">
        <v>179</v>
      </c>
      <c r="D50" s="11" t="s">
        <v>113</v>
      </c>
      <c r="E50" s="6" t="s">
        <v>174</v>
      </c>
      <c r="F50" s="6" t="s">
        <v>180</v>
      </c>
      <c r="G50" s="6">
        <v>50</v>
      </c>
      <c r="H50" s="120" t="s">
        <v>181</v>
      </c>
      <c r="I50" s="11" t="s">
        <v>22</v>
      </c>
      <c r="J50" s="121"/>
      <c r="K50" s="122">
        <v>4.0999999999999996</v>
      </c>
      <c r="L50" s="122"/>
    </row>
    <row r="51" spans="1:13" ht="14.25" customHeight="1" x14ac:dyDescent="0.25">
      <c r="A51" s="33" t="s">
        <v>182</v>
      </c>
      <c r="B51" s="5" t="s">
        <v>126</v>
      </c>
      <c r="C51" s="4" t="s">
        <v>183</v>
      </c>
      <c r="D51" s="11" t="s">
        <v>113</v>
      </c>
      <c r="E51" s="4" t="s">
        <v>174</v>
      </c>
      <c r="F51" s="67" t="s">
        <v>22</v>
      </c>
      <c r="G51" s="6">
        <v>51</v>
      </c>
      <c r="H51" s="120" t="s">
        <v>184</v>
      </c>
      <c r="I51" s="11" t="s">
        <v>22</v>
      </c>
      <c r="J51" s="121"/>
      <c r="K51" s="122">
        <v>4.0999999999999996</v>
      </c>
      <c r="L51" s="122"/>
    </row>
    <row r="52" spans="1:13" ht="14.25" customHeight="1" x14ac:dyDescent="0.25">
      <c r="A52" s="33" t="s">
        <v>180</v>
      </c>
      <c r="B52" s="5" t="s">
        <v>126</v>
      </c>
      <c r="C52" s="4" t="s">
        <v>185</v>
      </c>
      <c r="D52" s="11" t="s">
        <v>113</v>
      </c>
      <c r="E52" s="4" t="s">
        <v>178</v>
      </c>
      <c r="F52" s="67" t="s">
        <v>22</v>
      </c>
      <c r="G52" s="6">
        <v>52</v>
      </c>
      <c r="H52" s="120" t="s">
        <v>55</v>
      </c>
      <c r="I52" s="11" t="s">
        <v>22</v>
      </c>
      <c r="J52" s="121"/>
      <c r="K52" s="122">
        <v>4.0999999999999996</v>
      </c>
      <c r="L52" s="122"/>
    </row>
    <row r="53" spans="1:13" ht="12.5" x14ac:dyDescent="0.25">
      <c r="A53" s="33" t="s">
        <v>186</v>
      </c>
      <c r="B53" s="5" t="s">
        <v>78</v>
      </c>
      <c r="C53" s="4" t="s">
        <v>187</v>
      </c>
      <c r="D53" s="11" t="s">
        <v>22</v>
      </c>
      <c r="E53" s="4" t="s">
        <v>80</v>
      </c>
      <c r="F53" s="6" t="s">
        <v>22</v>
      </c>
      <c r="G53" s="6">
        <v>53</v>
      </c>
      <c r="H53" s="120" t="s">
        <v>55</v>
      </c>
      <c r="I53" s="11" t="s">
        <v>22</v>
      </c>
      <c r="J53" s="16"/>
      <c r="K53" s="95" t="s">
        <v>24</v>
      </c>
      <c r="L53" s="95"/>
      <c r="M53" s="7"/>
    </row>
    <row r="54" spans="1:13" ht="212.5" x14ac:dyDescent="0.25">
      <c r="A54" s="33" t="s">
        <v>188</v>
      </c>
      <c r="B54" s="5" t="s">
        <v>134</v>
      </c>
      <c r="C54" s="4" t="s">
        <v>189</v>
      </c>
      <c r="D54" s="11" t="s">
        <v>22</v>
      </c>
      <c r="E54" s="4" t="s">
        <v>80</v>
      </c>
      <c r="F54" s="6" t="s">
        <v>22</v>
      </c>
      <c r="G54" s="6">
        <v>54</v>
      </c>
      <c r="H54" s="120" t="s">
        <v>190</v>
      </c>
      <c r="I54" s="9" t="s">
        <v>191</v>
      </c>
      <c r="J54" s="16"/>
      <c r="K54" s="95" t="s">
        <v>24</v>
      </c>
      <c r="L54" s="95"/>
      <c r="M54" s="7"/>
    </row>
    <row r="55" spans="1:13" ht="14.25" customHeight="1" x14ac:dyDescent="0.25">
      <c r="A55" s="33" t="s">
        <v>192</v>
      </c>
      <c r="B55" s="5" t="s">
        <v>82</v>
      </c>
      <c r="C55" s="4" t="s">
        <v>193</v>
      </c>
      <c r="D55" s="11" t="s">
        <v>22</v>
      </c>
      <c r="E55" s="4" t="s">
        <v>54</v>
      </c>
      <c r="F55" s="6" t="s">
        <v>22</v>
      </c>
      <c r="G55" s="6">
        <v>55</v>
      </c>
      <c r="H55" s="120" t="s">
        <v>194</v>
      </c>
      <c r="I55" s="11" t="s">
        <v>22</v>
      </c>
      <c r="J55" s="121"/>
      <c r="K55" s="95" t="s">
        <v>24</v>
      </c>
      <c r="L55" s="95"/>
      <c r="M55" s="7"/>
    </row>
    <row r="56" spans="1:13" ht="14.25" customHeight="1" x14ac:dyDescent="0.25">
      <c r="A56" s="33" t="s">
        <v>195</v>
      </c>
      <c r="B56" s="5" t="s">
        <v>82</v>
      </c>
      <c r="C56" s="4" t="s">
        <v>196</v>
      </c>
      <c r="D56" s="9" t="s">
        <v>197</v>
      </c>
      <c r="E56" s="4" t="s">
        <v>54</v>
      </c>
      <c r="F56" s="6" t="s">
        <v>22</v>
      </c>
      <c r="G56" s="6">
        <v>56</v>
      </c>
      <c r="H56" s="9" t="s">
        <v>198</v>
      </c>
      <c r="I56" s="9" t="s">
        <v>199</v>
      </c>
      <c r="J56" s="16"/>
      <c r="K56" s="95" t="s">
        <v>24</v>
      </c>
      <c r="L56" s="95"/>
      <c r="M56" s="7"/>
    </row>
    <row r="57" spans="1:13" ht="409.5" x14ac:dyDescent="0.25">
      <c r="A57" s="33" t="s">
        <v>200</v>
      </c>
      <c r="B57" s="5" t="s">
        <v>134</v>
      </c>
      <c r="C57" s="4" t="s">
        <v>201</v>
      </c>
      <c r="D57" s="11" t="s">
        <v>22</v>
      </c>
      <c r="E57" s="4" t="s">
        <v>80</v>
      </c>
      <c r="F57" s="6" t="s">
        <v>22</v>
      </c>
      <c r="G57" s="6">
        <v>57</v>
      </c>
      <c r="H57" s="124" t="s">
        <v>202</v>
      </c>
      <c r="I57" s="11" t="s">
        <v>22</v>
      </c>
      <c r="J57" s="126" t="s">
        <v>203</v>
      </c>
      <c r="K57" s="95" t="s">
        <v>24</v>
      </c>
      <c r="L57" s="127" t="s">
        <v>204</v>
      </c>
      <c r="M57" s="7"/>
    </row>
    <row r="58" spans="1:13" ht="14.25" customHeight="1" x14ac:dyDescent="0.25">
      <c r="A58" s="33" t="s">
        <v>205</v>
      </c>
      <c r="B58" s="5" t="s">
        <v>82</v>
      </c>
      <c r="C58" s="4" t="s">
        <v>206</v>
      </c>
      <c r="D58" s="11" t="s">
        <v>22</v>
      </c>
      <c r="E58" s="4" t="s">
        <v>54</v>
      </c>
      <c r="F58" s="6" t="s">
        <v>207</v>
      </c>
      <c r="G58" s="6">
        <v>58</v>
      </c>
      <c r="H58" s="120" t="s">
        <v>208</v>
      </c>
      <c r="I58" s="11" t="s">
        <v>22</v>
      </c>
      <c r="J58" s="121"/>
      <c r="K58" s="95" t="s">
        <v>24</v>
      </c>
      <c r="L58" s="95"/>
      <c r="M58" s="7"/>
    </row>
    <row r="59" spans="1:13" ht="14.25" customHeight="1" x14ac:dyDescent="0.25">
      <c r="A59" s="33" t="s">
        <v>207</v>
      </c>
      <c r="B59" s="5" t="s">
        <v>82</v>
      </c>
      <c r="C59" s="4" t="s">
        <v>209</v>
      </c>
      <c r="D59" s="11" t="s">
        <v>22</v>
      </c>
      <c r="E59" s="4" t="s">
        <v>205</v>
      </c>
      <c r="F59" s="6" t="s">
        <v>22</v>
      </c>
      <c r="G59" s="6">
        <v>59</v>
      </c>
      <c r="H59" s="120" t="s">
        <v>210</v>
      </c>
      <c r="I59" s="11" t="s">
        <v>22</v>
      </c>
      <c r="J59" s="121"/>
      <c r="K59" s="95" t="s">
        <v>24</v>
      </c>
      <c r="L59" s="95"/>
      <c r="M59" s="7"/>
    </row>
    <row r="60" spans="1:13" ht="14.25" customHeight="1" x14ac:dyDescent="0.25">
      <c r="A60" s="33" t="s">
        <v>211</v>
      </c>
      <c r="B60" s="5" t="s">
        <v>78</v>
      </c>
      <c r="C60" s="4" t="s">
        <v>212</v>
      </c>
      <c r="D60" s="11" t="s">
        <v>22</v>
      </c>
      <c r="E60" s="4" t="s">
        <v>80</v>
      </c>
      <c r="F60" s="6" t="s">
        <v>22</v>
      </c>
      <c r="G60" s="6">
        <v>60</v>
      </c>
      <c r="H60" s="120" t="s">
        <v>213</v>
      </c>
      <c r="I60" s="11" t="s">
        <v>22</v>
      </c>
      <c r="J60" s="121"/>
      <c r="K60" s="95" t="s">
        <v>24</v>
      </c>
      <c r="L60" s="95"/>
      <c r="M60" s="7"/>
    </row>
    <row r="61" spans="1:13" ht="14.25" customHeight="1" x14ac:dyDescent="0.25">
      <c r="A61" s="33" t="s">
        <v>214</v>
      </c>
      <c r="B61" s="5" t="s">
        <v>78</v>
      </c>
      <c r="C61" s="4" t="s">
        <v>215</v>
      </c>
      <c r="D61" s="11" t="s">
        <v>22</v>
      </c>
      <c r="E61" s="4" t="s">
        <v>80</v>
      </c>
      <c r="F61" s="6" t="s">
        <v>22</v>
      </c>
      <c r="G61" s="6">
        <v>61</v>
      </c>
      <c r="H61" s="120" t="s">
        <v>216</v>
      </c>
      <c r="I61" s="11" t="s">
        <v>22</v>
      </c>
      <c r="J61" s="121"/>
      <c r="K61" s="95" t="s">
        <v>24</v>
      </c>
      <c r="L61" s="95"/>
      <c r="M61" s="7"/>
    </row>
    <row r="62" spans="1:13" ht="14.25" customHeight="1" x14ac:dyDescent="0.25">
      <c r="A62" s="33" t="s">
        <v>217</v>
      </c>
      <c r="B62" s="5" t="s">
        <v>78</v>
      </c>
      <c r="C62" s="10" t="s">
        <v>218</v>
      </c>
      <c r="D62" s="11" t="s">
        <v>22</v>
      </c>
      <c r="E62" s="4" t="s">
        <v>80</v>
      </c>
      <c r="F62" s="6" t="s">
        <v>22</v>
      </c>
      <c r="G62" s="6">
        <v>62</v>
      </c>
      <c r="H62" s="120" t="s">
        <v>219</v>
      </c>
      <c r="I62" s="11" t="s">
        <v>22</v>
      </c>
      <c r="J62" s="121"/>
      <c r="K62" s="95" t="s">
        <v>24</v>
      </c>
      <c r="L62" s="95"/>
      <c r="M62" s="7"/>
    </row>
    <row r="63" spans="1:13" ht="14.25" customHeight="1" x14ac:dyDescent="0.25">
      <c r="A63" s="33" t="s">
        <v>220</v>
      </c>
      <c r="B63" s="5" t="s">
        <v>126</v>
      </c>
      <c r="C63" s="4" t="s">
        <v>221</v>
      </c>
      <c r="D63" s="11" t="s">
        <v>22</v>
      </c>
      <c r="E63" s="4" t="s">
        <v>80</v>
      </c>
      <c r="F63" s="6" t="s">
        <v>22</v>
      </c>
      <c r="G63" s="6">
        <v>63</v>
      </c>
      <c r="H63" s="120" t="s">
        <v>222</v>
      </c>
      <c r="I63" s="11" t="s">
        <v>22</v>
      </c>
      <c r="J63" s="121"/>
      <c r="K63" s="95" t="s">
        <v>24</v>
      </c>
      <c r="L63" s="95"/>
      <c r="M63" s="7"/>
    </row>
    <row r="64" spans="1:13" ht="14.25" customHeight="1" x14ac:dyDescent="0.25">
      <c r="A64" s="33" t="s">
        <v>223</v>
      </c>
      <c r="B64" s="5" t="s">
        <v>126</v>
      </c>
      <c r="C64" s="4" t="s">
        <v>224</v>
      </c>
      <c r="D64" s="11" t="s">
        <v>22</v>
      </c>
      <c r="E64" s="4" t="s">
        <v>80</v>
      </c>
      <c r="F64" s="6" t="s">
        <v>22</v>
      </c>
      <c r="G64" s="6">
        <v>64</v>
      </c>
      <c r="H64" s="120" t="s">
        <v>225</v>
      </c>
      <c r="I64" s="11" t="s">
        <v>22</v>
      </c>
      <c r="J64" s="121"/>
      <c r="K64" s="95" t="s">
        <v>24</v>
      </c>
      <c r="L64" s="95"/>
      <c r="M64" s="7"/>
    </row>
    <row r="65" spans="1:13" ht="14.25" customHeight="1" x14ac:dyDescent="0.25">
      <c r="A65" s="33" t="s">
        <v>226</v>
      </c>
      <c r="B65" s="5" t="s">
        <v>227</v>
      </c>
      <c r="C65" s="4" t="s">
        <v>228</v>
      </c>
      <c r="D65" s="11" t="s">
        <v>22</v>
      </c>
      <c r="E65" s="4" t="s">
        <v>80</v>
      </c>
      <c r="F65" s="6" t="s">
        <v>22</v>
      </c>
      <c r="G65" s="6">
        <v>65</v>
      </c>
      <c r="H65" s="120" t="s">
        <v>229</v>
      </c>
      <c r="I65" s="9" t="s">
        <v>230</v>
      </c>
      <c r="J65" s="16"/>
      <c r="K65" s="95" t="s">
        <v>24</v>
      </c>
      <c r="L65" s="95"/>
      <c r="M65" s="7"/>
    </row>
    <row r="66" spans="1:13" ht="24.75" customHeight="1" x14ac:dyDescent="0.25">
      <c r="A66" s="33" t="s">
        <v>231</v>
      </c>
      <c r="B66" s="5" t="s">
        <v>126</v>
      </c>
      <c r="C66" s="4" t="s">
        <v>232</v>
      </c>
      <c r="D66" s="11" t="s">
        <v>22</v>
      </c>
      <c r="E66" s="4" t="s">
        <v>80</v>
      </c>
      <c r="F66" s="6" t="s">
        <v>22</v>
      </c>
      <c r="G66" s="6">
        <v>66</v>
      </c>
      <c r="H66" s="120" t="s">
        <v>55</v>
      </c>
      <c r="I66" s="9" t="s">
        <v>233</v>
      </c>
      <c r="J66" s="16" t="s">
        <v>234</v>
      </c>
      <c r="K66" s="95" t="s">
        <v>24</v>
      </c>
      <c r="L66" s="95"/>
      <c r="M66" s="7"/>
    </row>
    <row r="67" spans="1:13" ht="14.25" customHeight="1" x14ac:dyDescent="0.25">
      <c r="A67" s="33" t="s">
        <v>235</v>
      </c>
      <c r="B67" s="5" t="s">
        <v>227</v>
      </c>
      <c r="C67" s="4" t="s">
        <v>236</v>
      </c>
      <c r="D67" s="11" t="s">
        <v>22</v>
      </c>
      <c r="E67" s="4" t="s">
        <v>80</v>
      </c>
      <c r="F67" s="6" t="s">
        <v>22</v>
      </c>
      <c r="G67" s="6">
        <v>67</v>
      </c>
      <c r="H67" s="120" t="s">
        <v>237</v>
      </c>
      <c r="I67" s="9" t="s">
        <v>238</v>
      </c>
      <c r="J67" s="16"/>
      <c r="K67" s="95" t="s">
        <v>24</v>
      </c>
      <c r="L67" s="95"/>
      <c r="M67" s="7"/>
    </row>
    <row r="68" spans="1:13" ht="14.25" customHeight="1" x14ac:dyDescent="0.25">
      <c r="A68" s="33" t="s">
        <v>239</v>
      </c>
      <c r="B68" s="5" t="s">
        <v>126</v>
      </c>
      <c r="C68" s="4" t="s">
        <v>240</v>
      </c>
      <c r="D68" s="11" t="s">
        <v>22</v>
      </c>
      <c r="E68" s="4" t="s">
        <v>80</v>
      </c>
      <c r="F68" s="6" t="s">
        <v>22</v>
      </c>
      <c r="G68" s="6">
        <v>70</v>
      </c>
      <c r="H68" s="120" t="s">
        <v>210</v>
      </c>
      <c r="I68" s="11" t="s">
        <v>22</v>
      </c>
      <c r="J68" s="121"/>
      <c r="K68" s="95" t="s">
        <v>24</v>
      </c>
      <c r="L68" s="95"/>
      <c r="M68" s="7"/>
    </row>
    <row r="69" spans="1:13" ht="14.25" customHeight="1" x14ac:dyDescent="0.25">
      <c r="A69" s="33" t="s">
        <v>241</v>
      </c>
      <c r="B69" s="5" t="s">
        <v>126</v>
      </c>
      <c r="C69" s="4" t="s">
        <v>242</v>
      </c>
      <c r="D69" s="11" t="s">
        <v>22</v>
      </c>
      <c r="E69" s="4" t="s">
        <v>80</v>
      </c>
      <c r="F69" s="6" t="s">
        <v>22</v>
      </c>
      <c r="G69" s="6">
        <v>71</v>
      </c>
      <c r="H69" s="120" t="s">
        <v>210</v>
      </c>
      <c r="I69" s="11" t="s">
        <v>22</v>
      </c>
      <c r="J69" s="121"/>
      <c r="K69" s="95" t="s">
        <v>24</v>
      </c>
      <c r="L69" s="95"/>
      <c r="M69" s="7"/>
    </row>
    <row r="70" spans="1:13" ht="14.25" customHeight="1" x14ac:dyDescent="0.25">
      <c r="A70" s="33" t="s">
        <v>243</v>
      </c>
      <c r="B70" s="5" t="s">
        <v>126</v>
      </c>
      <c r="C70" s="4" t="s">
        <v>244</v>
      </c>
      <c r="D70" s="11" t="s">
        <v>22</v>
      </c>
      <c r="E70" s="4" t="s">
        <v>80</v>
      </c>
      <c r="F70" s="6" t="s">
        <v>245</v>
      </c>
      <c r="G70" s="6">
        <v>72</v>
      </c>
      <c r="H70" s="120" t="s">
        <v>55</v>
      </c>
      <c r="I70" s="11" t="s">
        <v>22</v>
      </c>
      <c r="J70" s="121"/>
      <c r="K70" s="95" t="s">
        <v>24</v>
      </c>
      <c r="L70" s="95"/>
      <c r="M70" s="7"/>
    </row>
    <row r="71" spans="1:13" ht="14.25" customHeight="1" x14ac:dyDescent="0.25">
      <c r="A71" s="33" t="s">
        <v>245</v>
      </c>
      <c r="B71" s="5" t="s">
        <v>126</v>
      </c>
      <c r="C71" s="4" t="s">
        <v>246</v>
      </c>
      <c r="D71" s="11" t="s">
        <v>22</v>
      </c>
      <c r="E71" s="4" t="s">
        <v>243</v>
      </c>
      <c r="F71" s="6" t="s">
        <v>22</v>
      </c>
      <c r="G71" s="6">
        <v>73</v>
      </c>
      <c r="H71" s="120" t="s">
        <v>55</v>
      </c>
      <c r="I71" s="11" t="s">
        <v>22</v>
      </c>
      <c r="J71" s="121"/>
      <c r="K71" s="95" t="s">
        <v>24</v>
      </c>
      <c r="L71" s="95"/>
      <c r="M71" s="7"/>
    </row>
    <row r="72" spans="1:13" ht="57" customHeight="1" x14ac:dyDescent="0.25">
      <c r="A72" s="33" t="s">
        <v>247</v>
      </c>
      <c r="B72" s="5" t="s">
        <v>126</v>
      </c>
      <c r="C72" s="4" t="s">
        <v>248</v>
      </c>
      <c r="D72" s="11" t="s">
        <v>22</v>
      </c>
      <c r="E72" s="4" t="s">
        <v>80</v>
      </c>
      <c r="F72" s="6" t="s">
        <v>22</v>
      </c>
      <c r="G72" s="6">
        <v>74</v>
      </c>
      <c r="H72" s="120" t="s">
        <v>249</v>
      </c>
      <c r="I72" s="9" t="s">
        <v>250</v>
      </c>
      <c r="J72" s="16" t="s">
        <v>251</v>
      </c>
      <c r="K72" s="95" t="s">
        <v>24</v>
      </c>
      <c r="L72" s="95"/>
      <c r="M72" s="7"/>
    </row>
    <row r="73" spans="1:13" ht="14.25" customHeight="1" x14ac:dyDescent="0.25">
      <c r="A73" s="33" t="s">
        <v>252</v>
      </c>
      <c r="B73" s="5" t="s">
        <v>126</v>
      </c>
      <c r="C73" s="4" t="s">
        <v>253</v>
      </c>
      <c r="D73" s="11" t="s">
        <v>22</v>
      </c>
      <c r="E73" s="4" t="s">
        <v>80</v>
      </c>
      <c r="F73" s="6" t="s">
        <v>22</v>
      </c>
      <c r="G73" s="6">
        <v>75</v>
      </c>
      <c r="H73" s="120" t="s">
        <v>254</v>
      </c>
      <c r="I73" s="9" t="s">
        <v>255</v>
      </c>
      <c r="J73" s="16"/>
      <c r="K73" s="95" t="s">
        <v>24</v>
      </c>
      <c r="L73" s="95"/>
      <c r="M73" s="7"/>
    </row>
    <row r="74" spans="1:13" ht="14.25" customHeight="1" x14ac:dyDescent="0.25">
      <c r="A74" s="33" t="s">
        <v>256</v>
      </c>
      <c r="B74" s="5" t="s">
        <v>95</v>
      </c>
      <c r="C74" s="5" t="s">
        <v>257</v>
      </c>
      <c r="D74" s="11" t="s">
        <v>22</v>
      </c>
      <c r="E74" s="4" t="s">
        <v>22</v>
      </c>
      <c r="F74" s="6" t="s">
        <v>258</v>
      </c>
      <c r="G74" s="6">
        <v>76</v>
      </c>
      <c r="H74" s="120" t="s">
        <v>259</v>
      </c>
      <c r="I74" s="11" t="s">
        <v>22</v>
      </c>
      <c r="J74" s="121"/>
      <c r="K74" s="95" t="s">
        <v>24</v>
      </c>
      <c r="L74" s="95"/>
      <c r="M74" s="7"/>
    </row>
    <row r="75" spans="1:13" ht="14.25" customHeight="1" x14ac:dyDescent="0.25">
      <c r="A75" s="33" t="s">
        <v>258</v>
      </c>
      <c r="B75" s="5" t="s">
        <v>95</v>
      </c>
      <c r="C75" s="4" t="s">
        <v>260</v>
      </c>
      <c r="D75" s="11" t="s">
        <v>22</v>
      </c>
      <c r="E75" s="4" t="s">
        <v>256</v>
      </c>
      <c r="F75" s="6" t="s">
        <v>22</v>
      </c>
      <c r="G75" s="6">
        <v>77</v>
      </c>
      <c r="H75" s="120" t="s">
        <v>261</v>
      </c>
      <c r="I75" s="11" t="s">
        <v>22</v>
      </c>
      <c r="J75" s="121"/>
      <c r="K75" s="95" t="s">
        <v>24</v>
      </c>
      <c r="L75" s="95"/>
      <c r="M75" s="7"/>
    </row>
    <row r="76" spans="1:13" ht="14.25" customHeight="1" x14ac:dyDescent="0.25">
      <c r="A76" s="33" t="s">
        <v>262</v>
      </c>
      <c r="B76" s="5" t="s">
        <v>82</v>
      </c>
      <c r="C76" s="4" t="s">
        <v>263</v>
      </c>
      <c r="D76" s="11" t="s">
        <v>22</v>
      </c>
      <c r="E76" s="4" t="s">
        <v>54</v>
      </c>
      <c r="F76" s="6" t="s">
        <v>22</v>
      </c>
      <c r="G76" s="6">
        <v>78</v>
      </c>
      <c r="H76" s="120" t="s">
        <v>264</v>
      </c>
      <c r="I76" s="11" t="s">
        <v>22</v>
      </c>
      <c r="J76" s="121"/>
      <c r="K76" s="95" t="s">
        <v>24</v>
      </c>
      <c r="L76" s="95"/>
      <c r="M76" s="7"/>
    </row>
    <row r="77" spans="1:13" ht="14.25" customHeight="1" x14ac:dyDescent="0.25">
      <c r="A77" s="33" t="s">
        <v>265</v>
      </c>
      <c r="B77" s="5" t="s">
        <v>82</v>
      </c>
      <c r="C77" s="4" t="s">
        <v>266</v>
      </c>
      <c r="D77" s="11" t="s">
        <v>22</v>
      </c>
      <c r="E77" s="4" t="s">
        <v>54</v>
      </c>
      <c r="F77" s="6" t="s">
        <v>22</v>
      </c>
      <c r="G77" s="6">
        <v>79</v>
      </c>
      <c r="H77" s="120" t="s">
        <v>267</v>
      </c>
      <c r="I77" s="11" t="s">
        <v>22</v>
      </c>
      <c r="J77" s="121"/>
      <c r="K77" s="95" t="s">
        <v>24</v>
      </c>
      <c r="L77" s="95"/>
      <c r="M77" s="7"/>
    </row>
    <row r="78" spans="1:13" ht="14.25" customHeight="1" x14ac:dyDescent="0.25">
      <c r="A78" s="33" t="s">
        <v>268</v>
      </c>
      <c r="B78" s="5" t="s">
        <v>82</v>
      </c>
      <c r="C78" s="4" t="s">
        <v>269</v>
      </c>
      <c r="D78" s="11" t="s">
        <v>113</v>
      </c>
      <c r="E78" s="4" t="s">
        <v>54</v>
      </c>
      <c r="F78" s="6" t="s">
        <v>22</v>
      </c>
      <c r="G78" s="6">
        <v>80</v>
      </c>
      <c r="H78" s="120" t="s">
        <v>55</v>
      </c>
      <c r="I78" s="11" t="s">
        <v>22</v>
      </c>
      <c r="J78" s="121"/>
      <c r="K78" s="122">
        <v>4.0999999999999996</v>
      </c>
      <c r="L78" s="122"/>
    </row>
    <row r="79" spans="1:13" ht="14.25" customHeight="1" x14ac:dyDescent="0.25">
      <c r="A79" s="33" t="s">
        <v>270</v>
      </c>
      <c r="B79" s="5" t="s">
        <v>82</v>
      </c>
      <c r="C79" s="4" t="s">
        <v>271</v>
      </c>
      <c r="D79" s="11" t="s">
        <v>22</v>
      </c>
      <c r="E79" s="4" t="s">
        <v>54</v>
      </c>
      <c r="F79" s="6" t="s">
        <v>22</v>
      </c>
      <c r="G79" s="6">
        <v>81</v>
      </c>
      <c r="H79" s="120" t="s">
        <v>272</v>
      </c>
      <c r="I79" s="11" t="s">
        <v>22</v>
      </c>
      <c r="J79" s="121"/>
      <c r="K79" s="95" t="s">
        <v>24</v>
      </c>
      <c r="L79" s="95"/>
      <c r="M79" s="7"/>
    </row>
    <row r="80" spans="1:13" ht="14.25" customHeight="1" x14ac:dyDescent="0.25">
      <c r="A80" s="33" t="s">
        <v>273</v>
      </c>
      <c r="B80" s="5" t="s">
        <v>82</v>
      </c>
      <c r="C80" s="4" t="s">
        <v>274</v>
      </c>
      <c r="D80" s="11" t="s">
        <v>22</v>
      </c>
      <c r="E80" s="4" t="s">
        <v>54</v>
      </c>
      <c r="F80" s="6" t="s">
        <v>22</v>
      </c>
      <c r="G80" s="6">
        <v>82</v>
      </c>
      <c r="H80" s="120" t="s">
        <v>55</v>
      </c>
      <c r="I80" s="11" t="s">
        <v>22</v>
      </c>
      <c r="J80" s="121"/>
      <c r="K80" s="95" t="s">
        <v>24</v>
      </c>
      <c r="L80" s="95"/>
      <c r="M80" s="7"/>
    </row>
    <row r="81" spans="1:13" ht="14.25" customHeight="1" x14ac:dyDescent="0.25">
      <c r="A81" s="33" t="s">
        <v>275</v>
      </c>
      <c r="B81" s="5" t="s">
        <v>82</v>
      </c>
      <c r="C81" s="4" t="s">
        <v>276</v>
      </c>
      <c r="D81" s="11" t="s">
        <v>22</v>
      </c>
      <c r="E81" s="4" t="s">
        <v>54</v>
      </c>
      <c r="F81" s="6" t="s">
        <v>22</v>
      </c>
      <c r="G81" s="6">
        <v>83</v>
      </c>
      <c r="H81" s="120" t="s">
        <v>277</v>
      </c>
      <c r="I81" s="11" t="s">
        <v>22</v>
      </c>
      <c r="J81" s="121"/>
      <c r="K81" s="95" t="s">
        <v>24</v>
      </c>
      <c r="L81" s="95"/>
      <c r="M81" s="7"/>
    </row>
    <row r="82" spans="1:13" ht="28.5" customHeight="1" x14ac:dyDescent="0.25">
      <c r="A82" s="33" t="s">
        <v>80</v>
      </c>
      <c r="B82" s="5" t="s">
        <v>78</v>
      </c>
      <c r="C82" s="4" t="s">
        <v>278</v>
      </c>
      <c r="D82" s="11" t="s">
        <v>22</v>
      </c>
      <c r="E82" s="4" t="s">
        <v>18</v>
      </c>
      <c r="F82" s="6" t="s">
        <v>22</v>
      </c>
      <c r="G82" s="6">
        <v>84</v>
      </c>
      <c r="H82" s="120" t="s">
        <v>279</v>
      </c>
      <c r="I82" s="9" t="s">
        <v>280</v>
      </c>
      <c r="J82" s="16" t="s">
        <v>281</v>
      </c>
      <c r="K82" s="95" t="s">
        <v>24</v>
      </c>
      <c r="L82" s="95"/>
      <c r="M82" s="7"/>
    </row>
    <row r="83" spans="1:13" ht="14.25" customHeight="1" x14ac:dyDescent="0.25">
      <c r="A83" s="33" t="s">
        <v>282</v>
      </c>
      <c r="B83" s="5" t="s">
        <v>82</v>
      </c>
      <c r="C83" s="4" t="s">
        <v>283</v>
      </c>
      <c r="D83" s="11" t="s">
        <v>22</v>
      </c>
      <c r="E83" s="4" t="s">
        <v>54</v>
      </c>
      <c r="F83" s="6" t="s">
        <v>22</v>
      </c>
      <c r="G83" s="6">
        <v>85</v>
      </c>
      <c r="H83" s="120" t="s">
        <v>55</v>
      </c>
      <c r="I83" s="11" t="s">
        <v>22</v>
      </c>
      <c r="J83" s="121"/>
      <c r="K83" s="95" t="s">
        <v>24</v>
      </c>
      <c r="L83" s="95"/>
      <c r="M83" s="7"/>
    </row>
    <row r="84" spans="1:13" ht="14.25" customHeight="1" x14ac:dyDescent="0.25">
      <c r="A84" s="33" t="s">
        <v>284</v>
      </c>
      <c r="B84" s="5" t="s">
        <v>82</v>
      </c>
      <c r="C84" s="4" t="s">
        <v>285</v>
      </c>
      <c r="D84" s="11" t="s">
        <v>22</v>
      </c>
      <c r="E84" s="4" t="s">
        <v>54</v>
      </c>
      <c r="F84" s="6" t="s">
        <v>22</v>
      </c>
      <c r="G84" s="6">
        <v>86</v>
      </c>
      <c r="H84" s="120" t="s">
        <v>55</v>
      </c>
      <c r="I84" s="11" t="s">
        <v>22</v>
      </c>
      <c r="J84" s="121"/>
      <c r="K84" s="95" t="s">
        <v>24</v>
      </c>
      <c r="L84" s="95"/>
      <c r="M84" s="7"/>
    </row>
    <row r="85" spans="1:13" ht="14.25" customHeight="1" x14ac:dyDescent="0.25">
      <c r="A85" s="33" t="s">
        <v>286</v>
      </c>
      <c r="B85" s="5" t="s">
        <v>82</v>
      </c>
      <c r="C85" s="4" t="s">
        <v>287</v>
      </c>
      <c r="D85" s="11" t="s">
        <v>22</v>
      </c>
      <c r="E85" s="4" t="s">
        <v>54</v>
      </c>
      <c r="F85" s="6" t="s">
        <v>22</v>
      </c>
      <c r="G85" s="6">
        <v>87</v>
      </c>
      <c r="H85" s="120" t="s">
        <v>288</v>
      </c>
      <c r="I85" s="11" t="s">
        <v>22</v>
      </c>
      <c r="J85" s="121"/>
      <c r="K85" s="95" t="s">
        <v>24</v>
      </c>
      <c r="L85" s="95"/>
      <c r="M85" s="7"/>
    </row>
    <row r="86" spans="1:13" ht="14.25" customHeight="1" x14ac:dyDescent="0.25">
      <c r="A86" s="33" t="s">
        <v>289</v>
      </c>
      <c r="B86" s="5" t="s">
        <v>82</v>
      </c>
      <c r="C86" s="4" t="s">
        <v>290</v>
      </c>
      <c r="D86" s="11" t="s">
        <v>22</v>
      </c>
      <c r="E86" s="4" t="s">
        <v>54</v>
      </c>
      <c r="F86" s="6" t="s">
        <v>22</v>
      </c>
      <c r="G86" s="6">
        <v>88</v>
      </c>
      <c r="H86" s="120" t="s">
        <v>291</v>
      </c>
      <c r="I86" s="11" t="s">
        <v>22</v>
      </c>
      <c r="J86" s="121"/>
      <c r="K86" s="95" t="s">
        <v>24</v>
      </c>
      <c r="L86" s="95"/>
      <c r="M86" s="7"/>
    </row>
    <row r="87" spans="1:13" ht="14.25" customHeight="1" x14ac:dyDescent="0.25">
      <c r="A87" s="33" t="s">
        <v>292</v>
      </c>
      <c r="B87" s="5" t="s">
        <v>82</v>
      </c>
      <c r="C87" s="4" t="s">
        <v>293</v>
      </c>
      <c r="D87" s="11" t="s">
        <v>22</v>
      </c>
      <c r="E87" s="4" t="s">
        <v>54</v>
      </c>
      <c r="F87" s="6" t="s">
        <v>294</v>
      </c>
      <c r="G87" s="6">
        <v>89</v>
      </c>
      <c r="H87" s="120" t="s">
        <v>55</v>
      </c>
      <c r="I87" s="11" t="s">
        <v>22</v>
      </c>
      <c r="J87" s="121"/>
      <c r="K87" s="95" t="s">
        <v>24</v>
      </c>
      <c r="L87" s="95"/>
      <c r="M87" s="7"/>
    </row>
    <row r="88" spans="1:13" ht="14.25" customHeight="1" x14ac:dyDescent="0.25">
      <c r="A88" s="33" t="s">
        <v>294</v>
      </c>
      <c r="B88" s="5" t="s">
        <v>82</v>
      </c>
      <c r="C88" s="4" t="s">
        <v>295</v>
      </c>
      <c r="D88" s="11" t="s">
        <v>22</v>
      </c>
      <c r="E88" s="4" t="s">
        <v>292</v>
      </c>
      <c r="F88" s="6" t="s">
        <v>22</v>
      </c>
      <c r="G88" s="6">
        <v>90</v>
      </c>
      <c r="H88" s="120" t="s">
        <v>55</v>
      </c>
      <c r="I88" s="11" t="s">
        <v>22</v>
      </c>
      <c r="J88" s="121"/>
      <c r="K88" s="95" t="s">
        <v>24</v>
      </c>
      <c r="L88" s="95"/>
      <c r="M88" s="7"/>
    </row>
    <row r="89" spans="1:13" ht="14.25" customHeight="1" x14ac:dyDescent="0.25">
      <c r="A89" s="33" t="s">
        <v>296</v>
      </c>
      <c r="B89" s="5" t="s">
        <v>82</v>
      </c>
      <c r="C89" s="4" t="s">
        <v>297</v>
      </c>
      <c r="D89" s="11" t="s">
        <v>22</v>
      </c>
      <c r="E89" s="4" t="s">
        <v>54</v>
      </c>
      <c r="F89" s="6" t="s">
        <v>22</v>
      </c>
      <c r="G89" s="6">
        <v>91</v>
      </c>
      <c r="H89" s="120" t="s">
        <v>298</v>
      </c>
      <c r="I89" s="11" t="s">
        <v>22</v>
      </c>
      <c r="J89" s="121"/>
      <c r="K89" s="95" t="s">
        <v>24</v>
      </c>
      <c r="L89" s="95"/>
      <c r="M89" s="7"/>
    </row>
    <row r="90" spans="1:13" ht="14.25" customHeight="1" x14ac:dyDescent="0.25">
      <c r="A90" s="33" t="s">
        <v>299</v>
      </c>
      <c r="B90" s="5" t="s">
        <v>82</v>
      </c>
      <c r="C90" s="4" t="s">
        <v>300</v>
      </c>
      <c r="D90" s="11" t="s">
        <v>113</v>
      </c>
      <c r="E90" s="4" t="s">
        <v>54</v>
      </c>
      <c r="F90" s="6" t="s">
        <v>22</v>
      </c>
      <c r="G90" s="6">
        <v>92</v>
      </c>
      <c r="H90" s="120" t="s">
        <v>55</v>
      </c>
      <c r="I90" s="11" t="s">
        <v>22</v>
      </c>
      <c r="J90" s="121"/>
      <c r="K90" s="122">
        <v>4.0999999999999996</v>
      </c>
      <c r="L90" s="122"/>
    </row>
    <row r="91" spans="1:13" ht="14.25" customHeight="1" x14ac:dyDescent="0.25">
      <c r="A91" s="33" t="s">
        <v>301</v>
      </c>
      <c r="B91" s="5" t="s">
        <v>82</v>
      </c>
      <c r="C91" s="4" t="s">
        <v>302</v>
      </c>
      <c r="D91" s="11" t="s">
        <v>113</v>
      </c>
      <c r="E91" s="4" t="s">
        <v>54</v>
      </c>
      <c r="F91" s="6" t="s">
        <v>22</v>
      </c>
      <c r="G91" s="6">
        <v>93</v>
      </c>
      <c r="H91" s="120" t="s">
        <v>303</v>
      </c>
      <c r="I91" s="11" t="s">
        <v>22</v>
      </c>
      <c r="J91" s="121"/>
      <c r="K91" s="122">
        <v>4.0999999999999996</v>
      </c>
      <c r="L91" s="122"/>
    </row>
    <row r="92" spans="1:13" ht="14.25" customHeight="1" x14ac:dyDescent="0.25">
      <c r="A92" s="33" t="s">
        <v>304</v>
      </c>
      <c r="B92" s="5" t="s">
        <v>82</v>
      </c>
      <c r="C92" s="4" t="s">
        <v>305</v>
      </c>
      <c r="D92" s="11" t="s">
        <v>22</v>
      </c>
      <c r="E92" s="4" t="s">
        <v>54</v>
      </c>
      <c r="F92" s="6" t="s">
        <v>22</v>
      </c>
      <c r="G92" s="6">
        <v>94</v>
      </c>
      <c r="H92" s="120" t="s">
        <v>306</v>
      </c>
      <c r="I92" s="9" t="s">
        <v>307</v>
      </c>
      <c r="J92" s="16"/>
      <c r="K92" s="95" t="s">
        <v>24</v>
      </c>
      <c r="L92" s="95"/>
      <c r="M92" s="7"/>
    </row>
    <row r="93" spans="1:13" ht="14.25" customHeight="1" x14ac:dyDescent="0.25">
      <c r="A93" s="33" t="s">
        <v>308</v>
      </c>
      <c r="B93" s="5" t="s">
        <v>82</v>
      </c>
      <c r="C93" s="4" t="s">
        <v>309</v>
      </c>
      <c r="D93" s="11" t="s">
        <v>22</v>
      </c>
      <c r="E93" s="4" t="s">
        <v>54</v>
      </c>
      <c r="F93" s="6" t="s">
        <v>310</v>
      </c>
      <c r="G93" s="6">
        <v>95</v>
      </c>
      <c r="H93" s="120" t="s">
        <v>55</v>
      </c>
      <c r="I93" s="11" t="s">
        <v>22</v>
      </c>
      <c r="J93" s="121"/>
      <c r="K93" s="95" t="s">
        <v>24</v>
      </c>
      <c r="L93" s="95"/>
      <c r="M93" s="7"/>
    </row>
    <row r="94" spans="1:13" ht="14.25" customHeight="1" x14ac:dyDescent="0.25">
      <c r="A94" s="33" t="s">
        <v>310</v>
      </c>
      <c r="B94" s="5" t="s">
        <v>82</v>
      </c>
      <c r="C94" s="4" t="s">
        <v>311</v>
      </c>
      <c r="D94" s="11" t="s">
        <v>22</v>
      </c>
      <c r="E94" s="4" t="s">
        <v>308</v>
      </c>
      <c r="F94" s="6" t="s">
        <v>22</v>
      </c>
      <c r="G94" s="6">
        <v>96</v>
      </c>
      <c r="H94" s="120" t="s">
        <v>312</v>
      </c>
      <c r="I94" s="11" t="s">
        <v>22</v>
      </c>
      <c r="J94" s="121"/>
      <c r="K94" s="95" t="s">
        <v>24</v>
      </c>
      <c r="L94" s="95"/>
      <c r="M94" s="7"/>
    </row>
    <row r="95" spans="1:13" ht="14.25" customHeight="1" x14ac:dyDescent="0.25">
      <c r="A95" s="33" t="s">
        <v>313</v>
      </c>
      <c r="B95" s="5" t="s">
        <v>314</v>
      </c>
      <c r="C95" s="4" t="s">
        <v>315</v>
      </c>
      <c r="D95" s="11" t="s">
        <v>22</v>
      </c>
      <c r="E95" s="4" t="s">
        <v>316</v>
      </c>
      <c r="F95" s="6" t="s">
        <v>22</v>
      </c>
      <c r="G95" s="6">
        <v>97</v>
      </c>
      <c r="H95" s="120" t="s">
        <v>317</v>
      </c>
      <c r="I95" s="9" t="s">
        <v>318</v>
      </c>
      <c r="J95" s="16"/>
      <c r="K95" s="95" t="s">
        <v>24</v>
      </c>
      <c r="L95" s="95"/>
      <c r="M95" s="7"/>
    </row>
    <row r="96" spans="1:13" ht="14.25" customHeight="1" x14ac:dyDescent="0.25">
      <c r="A96" s="33" t="s">
        <v>316</v>
      </c>
      <c r="B96" s="5" t="s">
        <v>314</v>
      </c>
      <c r="C96" s="4" t="s">
        <v>319</v>
      </c>
      <c r="D96" s="11" t="s">
        <v>22</v>
      </c>
      <c r="E96" s="4" t="s">
        <v>80</v>
      </c>
      <c r="F96" s="6" t="s">
        <v>313</v>
      </c>
      <c r="G96" s="6">
        <v>98</v>
      </c>
      <c r="H96" s="120" t="s">
        <v>320</v>
      </c>
      <c r="I96" s="11" t="s">
        <v>22</v>
      </c>
      <c r="J96" s="121"/>
      <c r="K96" s="95" t="s">
        <v>24</v>
      </c>
      <c r="L96" s="95"/>
      <c r="M96" s="7"/>
    </row>
    <row r="97" spans="1:13" ht="14.25" customHeight="1" x14ac:dyDescent="0.25">
      <c r="A97" s="33" t="s">
        <v>321</v>
      </c>
      <c r="B97" s="5" t="s">
        <v>314</v>
      </c>
      <c r="C97" s="4" t="s">
        <v>322</v>
      </c>
      <c r="D97" s="11" t="s">
        <v>22</v>
      </c>
      <c r="E97" s="4" t="s">
        <v>80</v>
      </c>
      <c r="F97" s="6" t="s">
        <v>22</v>
      </c>
      <c r="G97" s="6">
        <v>99</v>
      </c>
      <c r="H97" s="120" t="s">
        <v>323</v>
      </c>
      <c r="I97" s="11" t="s">
        <v>22</v>
      </c>
      <c r="J97" s="121"/>
      <c r="K97" s="95" t="s">
        <v>24</v>
      </c>
      <c r="L97" s="95"/>
      <c r="M97" s="7"/>
    </row>
    <row r="98" spans="1:13" ht="14.25" customHeight="1" x14ac:dyDescent="0.25">
      <c r="A98" s="33" t="s">
        <v>324</v>
      </c>
      <c r="B98" s="5" t="s">
        <v>126</v>
      </c>
      <c r="C98" s="4" t="s">
        <v>325</v>
      </c>
      <c r="D98" s="11" t="s">
        <v>22</v>
      </c>
      <c r="E98" s="4" t="s">
        <v>80</v>
      </c>
      <c r="F98" s="6" t="s">
        <v>326</v>
      </c>
      <c r="G98" s="6">
        <v>100</v>
      </c>
      <c r="H98" s="120" t="s">
        <v>327</v>
      </c>
      <c r="I98" s="11" t="s">
        <v>22</v>
      </c>
      <c r="J98" s="121"/>
      <c r="K98" s="95" t="s">
        <v>24</v>
      </c>
      <c r="L98" s="95"/>
      <c r="M98" s="7"/>
    </row>
    <row r="99" spans="1:13" ht="14.25" customHeight="1" x14ac:dyDescent="0.25">
      <c r="A99" s="33" t="s">
        <v>326</v>
      </c>
      <c r="B99" s="5" t="s">
        <v>126</v>
      </c>
      <c r="C99" s="4" t="s">
        <v>328</v>
      </c>
      <c r="D99" s="11" t="s">
        <v>22</v>
      </c>
      <c r="E99" s="4" t="s">
        <v>324</v>
      </c>
      <c r="F99" s="6" t="s">
        <v>22</v>
      </c>
      <c r="G99" s="6">
        <v>101</v>
      </c>
      <c r="H99" s="120" t="s">
        <v>329</v>
      </c>
      <c r="I99" s="11" t="s">
        <v>22</v>
      </c>
      <c r="J99" s="121"/>
      <c r="K99" s="95" t="s">
        <v>24</v>
      </c>
      <c r="L99" s="95"/>
      <c r="M99" s="7"/>
    </row>
    <row r="100" spans="1:13" ht="14.25" customHeight="1" x14ac:dyDescent="0.25">
      <c r="A100" s="33" t="s">
        <v>330</v>
      </c>
      <c r="B100" s="5" t="s">
        <v>126</v>
      </c>
      <c r="C100" s="4" t="s">
        <v>331</v>
      </c>
      <c r="D100" s="11" t="s">
        <v>22</v>
      </c>
      <c r="E100" s="4" t="s">
        <v>332</v>
      </c>
      <c r="F100" s="6" t="s">
        <v>22</v>
      </c>
      <c r="G100" s="6">
        <v>102</v>
      </c>
      <c r="H100" s="120" t="s">
        <v>333</v>
      </c>
      <c r="I100" s="11" t="s">
        <v>22</v>
      </c>
      <c r="J100" s="121"/>
      <c r="K100" s="95" t="s">
        <v>24</v>
      </c>
      <c r="L100" s="95"/>
      <c r="M100" s="7"/>
    </row>
    <row r="101" spans="1:13" ht="14.25" customHeight="1" x14ac:dyDescent="0.25">
      <c r="A101" s="33" t="s">
        <v>332</v>
      </c>
      <c r="B101" s="5" t="s">
        <v>126</v>
      </c>
      <c r="C101" s="4" t="s">
        <v>334</v>
      </c>
      <c r="D101" s="11" t="s">
        <v>22</v>
      </c>
      <c r="E101" s="4" t="s">
        <v>80</v>
      </c>
      <c r="F101" s="6" t="s">
        <v>335</v>
      </c>
      <c r="G101" s="6">
        <v>103</v>
      </c>
      <c r="H101" s="120" t="s">
        <v>336</v>
      </c>
      <c r="I101" s="11" t="s">
        <v>22</v>
      </c>
      <c r="J101" s="121"/>
      <c r="K101" s="95" t="s">
        <v>24</v>
      </c>
      <c r="L101" s="95"/>
      <c r="M101" s="7"/>
    </row>
    <row r="102" spans="1:13" ht="14.25" customHeight="1" x14ac:dyDescent="0.25">
      <c r="A102" s="33" t="s">
        <v>337</v>
      </c>
      <c r="B102" s="5" t="s">
        <v>126</v>
      </c>
      <c r="C102" s="4" t="s">
        <v>338</v>
      </c>
      <c r="D102" s="11" t="s">
        <v>22</v>
      </c>
      <c r="E102" s="4" t="s">
        <v>332</v>
      </c>
      <c r="F102" s="6" t="s">
        <v>22</v>
      </c>
      <c r="G102" s="6">
        <v>104</v>
      </c>
      <c r="H102" s="120" t="s">
        <v>339</v>
      </c>
      <c r="I102" s="11" t="s">
        <v>22</v>
      </c>
      <c r="J102" s="121"/>
      <c r="K102" s="95" t="s">
        <v>24</v>
      </c>
      <c r="L102" s="95"/>
      <c r="M102" s="7"/>
    </row>
    <row r="103" spans="1:13" ht="14.25" customHeight="1" x14ac:dyDescent="0.25">
      <c r="A103" s="33" t="s">
        <v>340</v>
      </c>
      <c r="B103" s="5" t="s">
        <v>19</v>
      </c>
      <c r="C103" s="4" t="s">
        <v>341</v>
      </c>
      <c r="D103" s="11" t="s">
        <v>22</v>
      </c>
      <c r="E103" s="4" t="s">
        <v>22</v>
      </c>
      <c r="F103" s="6" t="s">
        <v>22</v>
      </c>
      <c r="G103" s="6">
        <v>105</v>
      </c>
      <c r="H103" s="120" t="s">
        <v>342</v>
      </c>
      <c r="I103" s="11" t="s">
        <v>22</v>
      </c>
      <c r="J103" s="121"/>
      <c r="K103" s="95" t="s">
        <v>24</v>
      </c>
      <c r="L103" s="95"/>
      <c r="M103" s="7"/>
    </row>
    <row r="104" spans="1:13" ht="25" x14ac:dyDescent="0.25">
      <c r="A104" s="33" t="s">
        <v>343</v>
      </c>
      <c r="B104" s="5" t="s">
        <v>78</v>
      </c>
      <c r="C104" s="4" t="s">
        <v>344</v>
      </c>
      <c r="D104" s="11" t="s">
        <v>22</v>
      </c>
      <c r="E104" s="4" t="s">
        <v>80</v>
      </c>
      <c r="F104" s="6" t="s">
        <v>22</v>
      </c>
      <c r="G104" s="6">
        <v>106</v>
      </c>
      <c r="H104" s="120" t="s">
        <v>345</v>
      </c>
      <c r="I104" s="11" t="s">
        <v>22</v>
      </c>
      <c r="J104" s="121"/>
      <c r="K104" s="95" t="s">
        <v>24</v>
      </c>
      <c r="L104" s="95"/>
      <c r="M104" s="7"/>
    </row>
    <row r="105" spans="1:13" ht="14.25" customHeight="1" x14ac:dyDescent="0.25">
      <c r="A105" s="33" t="s">
        <v>346</v>
      </c>
      <c r="B105" s="5" t="s">
        <v>82</v>
      </c>
      <c r="C105" s="4" t="s">
        <v>347</v>
      </c>
      <c r="D105" s="11" t="s">
        <v>22</v>
      </c>
      <c r="E105" s="4" t="s">
        <v>54</v>
      </c>
      <c r="F105" s="6" t="s">
        <v>22</v>
      </c>
      <c r="G105" s="6">
        <v>107</v>
      </c>
      <c r="H105" s="120" t="s">
        <v>210</v>
      </c>
      <c r="I105" s="11" t="s">
        <v>22</v>
      </c>
      <c r="J105" s="121"/>
      <c r="K105" s="95" t="s">
        <v>24</v>
      </c>
      <c r="L105" s="95"/>
      <c r="M105" s="7"/>
    </row>
    <row r="106" spans="1:13" ht="13" x14ac:dyDescent="0.25">
      <c r="A106" s="33" t="s">
        <v>348</v>
      </c>
      <c r="B106" s="5" t="s">
        <v>126</v>
      </c>
      <c r="C106" s="4" t="s">
        <v>349</v>
      </c>
      <c r="D106" s="11" t="s">
        <v>22</v>
      </c>
      <c r="E106" s="4" t="s">
        <v>80</v>
      </c>
      <c r="F106" s="6" t="s">
        <v>350</v>
      </c>
      <c r="G106" s="6">
        <v>108</v>
      </c>
      <c r="H106" s="120" t="s">
        <v>351</v>
      </c>
      <c r="I106" s="11" t="s">
        <v>22</v>
      </c>
      <c r="J106" s="121"/>
      <c r="K106" s="95" t="s">
        <v>24</v>
      </c>
      <c r="L106" s="95"/>
      <c r="M106" s="7"/>
    </row>
    <row r="107" spans="1:13" ht="25" x14ac:dyDescent="0.25">
      <c r="A107" s="33" t="s">
        <v>350</v>
      </c>
      <c r="B107" s="5" t="s">
        <v>126</v>
      </c>
      <c r="C107" s="4" t="s">
        <v>352</v>
      </c>
      <c r="D107" s="11" t="s">
        <v>22</v>
      </c>
      <c r="E107" s="4" t="s">
        <v>348</v>
      </c>
      <c r="F107" s="6" t="s">
        <v>22</v>
      </c>
      <c r="G107" s="6">
        <v>109</v>
      </c>
      <c r="H107" s="120" t="s">
        <v>353</v>
      </c>
      <c r="I107" s="11" t="s">
        <v>22</v>
      </c>
      <c r="J107" s="121"/>
      <c r="K107" s="95" t="s">
        <v>24</v>
      </c>
      <c r="L107" s="95"/>
      <c r="M107" s="7"/>
    </row>
    <row r="108" spans="1:13" ht="14.25" customHeight="1" x14ac:dyDescent="0.25">
      <c r="A108" s="33" t="s">
        <v>354</v>
      </c>
      <c r="B108" s="5" t="s">
        <v>82</v>
      </c>
      <c r="C108" s="5" t="s">
        <v>355</v>
      </c>
      <c r="D108" s="11" t="s">
        <v>113</v>
      </c>
      <c r="E108" s="4" t="s">
        <v>54</v>
      </c>
      <c r="F108" s="6" t="s">
        <v>356</v>
      </c>
      <c r="G108" s="6">
        <v>110</v>
      </c>
      <c r="H108" s="120" t="s">
        <v>357</v>
      </c>
      <c r="I108" s="11" t="s">
        <v>22</v>
      </c>
      <c r="J108" s="121"/>
      <c r="K108" s="122">
        <v>4.0999999999999996</v>
      </c>
      <c r="L108" s="122"/>
    </row>
    <row r="109" spans="1:13" ht="14.25" customHeight="1" x14ac:dyDescent="0.25">
      <c r="A109" s="33" t="s">
        <v>356</v>
      </c>
      <c r="B109" s="5" t="s">
        <v>82</v>
      </c>
      <c r="C109" s="5" t="s">
        <v>358</v>
      </c>
      <c r="D109" s="11" t="s">
        <v>113</v>
      </c>
      <c r="E109" s="4" t="s">
        <v>354</v>
      </c>
      <c r="F109" s="6" t="s">
        <v>22</v>
      </c>
      <c r="G109" s="6">
        <v>111</v>
      </c>
      <c r="H109" s="120" t="s">
        <v>55</v>
      </c>
      <c r="I109" s="11" t="s">
        <v>22</v>
      </c>
      <c r="J109" s="121"/>
      <c r="K109" s="122">
        <v>4.0999999999999996</v>
      </c>
      <c r="L109" s="122"/>
    </row>
    <row r="110" spans="1:13" ht="14.25" customHeight="1" x14ac:dyDescent="0.25">
      <c r="A110" s="33" t="s">
        <v>359</v>
      </c>
      <c r="B110" s="5" t="s">
        <v>82</v>
      </c>
      <c r="C110" s="4" t="s">
        <v>360</v>
      </c>
      <c r="D110" s="11" t="s">
        <v>22</v>
      </c>
      <c r="E110" s="4" t="s">
        <v>54</v>
      </c>
      <c r="F110" s="6" t="s">
        <v>22</v>
      </c>
      <c r="G110" s="6">
        <v>112</v>
      </c>
      <c r="H110" s="120" t="s">
        <v>361</v>
      </c>
      <c r="I110" s="11" t="s">
        <v>22</v>
      </c>
      <c r="J110" s="121"/>
      <c r="K110" s="95" t="s">
        <v>24</v>
      </c>
      <c r="L110" s="95"/>
      <c r="M110" s="7"/>
    </row>
    <row r="111" spans="1:13" ht="14.25" customHeight="1" x14ac:dyDescent="0.25">
      <c r="A111" s="33" t="s">
        <v>362</v>
      </c>
      <c r="B111" s="5" t="s">
        <v>82</v>
      </c>
      <c r="C111" s="4" t="s">
        <v>363</v>
      </c>
      <c r="D111" s="11" t="s">
        <v>22</v>
      </c>
      <c r="E111" s="4" t="s">
        <v>54</v>
      </c>
      <c r="F111" s="6" t="s">
        <v>22</v>
      </c>
      <c r="G111" s="6">
        <v>113</v>
      </c>
      <c r="H111" s="120" t="s">
        <v>364</v>
      </c>
      <c r="I111" s="11" t="s">
        <v>22</v>
      </c>
      <c r="J111" s="121"/>
      <c r="K111" s="95" t="s">
        <v>24</v>
      </c>
      <c r="L111" s="95"/>
      <c r="M111" s="7"/>
    </row>
    <row r="112" spans="1:13" ht="14.25" customHeight="1" x14ac:dyDescent="0.25">
      <c r="A112" s="33" t="s">
        <v>365</v>
      </c>
      <c r="B112" s="5" t="s">
        <v>82</v>
      </c>
      <c r="C112" s="4" t="s">
        <v>366</v>
      </c>
      <c r="D112" s="11" t="s">
        <v>22</v>
      </c>
      <c r="E112" s="4" t="s">
        <v>54</v>
      </c>
      <c r="F112" s="6" t="s">
        <v>22</v>
      </c>
      <c r="G112" s="6">
        <v>114</v>
      </c>
      <c r="H112" s="120" t="s">
        <v>367</v>
      </c>
      <c r="I112" s="11" t="s">
        <v>22</v>
      </c>
      <c r="J112" s="121"/>
      <c r="K112" s="95" t="s">
        <v>24</v>
      </c>
      <c r="L112" s="95"/>
      <c r="M112" s="7"/>
    </row>
    <row r="113" spans="1:13" ht="14.25" customHeight="1" x14ac:dyDescent="0.25">
      <c r="A113" s="33" t="s">
        <v>368</v>
      </c>
      <c r="B113" s="5" t="s">
        <v>82</v>
      </c>
      <c r="C113" s="4" t="s">
        <v>369</v>
      </c>
      <c r="D113" s="11" t="s">
        <v>113</v>
      </c>
      <c r="E113" s="4" t="s">
        <v>370</v>
      </c>
      <c r="F113" s="6" t="s">
        <v>22</v>
      </c>
      <c r="G113" s="6">
        <v>115</v>
      </c>
      <c r="H113" s="120" t="s">
        <v>55</v>
      </c>
      <c r="I113" s="11" t="s">
        <v>22</v>
      </c>
      <c r="J113" s="121"/>
      <c r="K113" s="122">
        <v>4.0999999999999996</v>
      </c>
      <c r="L113" s="122"/>
    </row>
    <row r="114" spans="1:13" ht="14.25" customHeight="1" x14ac:dyDescent="0.25">
      <c r="A114" s="33" t="s">
        <v>371</v>
      </c>
      <c r="B114" s="5" t="s">
        <v>82</v>
      </c>
      <c r="C114" s="4" t="s">
        <v>372</v>
      </c>
      <c r="D114" s="11" t="s">
        <v>113</v>
      </c>
      <c r="E114" s="4" t="s">
        <v>370</v>
      </c>
      <c r="F114" s="33" t="s">
        <v>373</v>
      </c>
      <c r="G114" s="6">
        <v>116</v>
      </c>
      <c r="H114" s="120" t="s">
        <v>55</v>
      </c>
      <c r="I114" s="11" t="s">
        <v>22</v>
      </c>
      <c r="J114" s="121"/>
      <c r="K114" s="122">
        <v>4.0999999999999996</v>
      </c>
      <c r="L114" s="122"/>
    </row>
    <row r="115" spans="1:13" ht="14.25" customHeight="1" x14ac:dyDescent="0.25">
      <c r="A115" s="33" t="s">
        <v>370</v>
      </c>
      <c r="B115" s="5" t="s">
        <v>82</v>
      </c>
      <c r="C115" s="4" t="s">
        <v>374</v>
      </c>
      <c r="D115" s="11" t="s">
        <v>113</v>
      </c>
      <c r="E115" s="4" t="s">
        <v>54</v>
      </c>
      <c r="F115" s="33" t="s">
        <v>375</v>
      </c>
      <c r="G115" s="6">
        <v>117</v>
      </c>
      <c r="H115" s="120" t="s">
        <v>376</v>
      </c>
      <c r="I115" s="11" t="s">
        <v>22</v>
      </c>
      <c r="J115" s="121"/>
      <c r="K115" s="122">
        <v>4.0999999999999996</v>
      </c>
      <c r="L115" s="122"/>
    </row>
    <row r="116" spans="1:13" ht="14.25" customHeight="1" x14ac:dyDescent="0.25">
      <c r="A116" s="33" t="s">
        <v>373</v>
      </c>
      <c r="B116" s="5" t="s">
        <v>82</v>
      </c>
      <c r="C116" s="4" t="s">
        <v>377</v>
      </c>
      <c r="D116" s="11" t="s">
        <v>113</v>
      </c>
      <c r="E116" s="4" t="s">
        <v>371</v>
      </c>
      <c r="F116" s="6" t="s">
        <v>22</v>
      </c>
      <c r="G116" s="6">
        <v>118</v>
      </c>
      <c r="H116" s="120" t="s">
        <v>55</v>
      </c>
      <c r="I116" s="11" t="s">
        <v>22</v>
      </c>
      <c r="J116" s="121"/>
      <c r="K116" s="122">
        <v>4.0999999999999996</v>
      </c>
      <c r="L116" s="122"/>
    </row>
    <row r="117" spans="1:13" ht="14.25" customHeight="1" x14ac:dyDescent="0.25">
      <c r="A117" s="33" t="s">
        <v>378</v>
      </c>
      <c r="B117" s="5" t="s">
        <v>82</v>
      </c>
      <c r="C117" s="4" t="s">
        <v>379</v>
      </c>
      <c r="D117" s="11" t="s">
        <v>113</v>
      </c>
      <c r="E117" s="4" t="s">
        <v>370</v>
      </c>
      <c r="F117" s="6" t="s">
        <v>22</v>
      </c>
      <c r="G117" s="6">
        <v>119</v>
      </c>
      <c r="H117" s="120" t="s">
        <v>55</v>
      </c>
      <c r="I117" s="11" t="s">
        <v>22</v>
      </c>
      <c r="J117" s="121"/>
      <c r="K117" s="122">
        <v>4.0999999999999996</v>
      </c>
      <c r="L117" s="122"/>
    </row>
    <row r="118" spans="1:13" ht="61.5" customHeight="1" x14ac:dyDescent="0.25">
      <c r="A118" s="33" t="s">
        <v>380</v>
      </c>
      <c r="B118" s="5" t="s">
        <v>82</v>
      </c>
      <c r="C118" s="4" t="s">
        <v>381</v>
      </c>
      <c r="D118" s="11" t="s">
        <v>22</v>
      </c>
      <c r="E118" s="4" t="s">
        <v>54</v>
      </c>
      <c r="F118" s="6" t="s">
        <v>22</v>
      </c>
      <c r="G118" s="6">
        <v>120</v>
      </c>
      <c r="H118" s="120" t="s">
        <v>382</v>
      </c>
      <c r="I118" s="11" t="s">
        <v>22</v>
      </c>
      <c r="J118" s="123" t="s">
        <v>383</v>
      </c>
      <c r="K118" s="95" t="s">
        <v>24</v>
      </c>
      <c r="L118" s="95"/>
      <c r="M118" s="7"/>
    </row>
    <row r="119" spans="1:13" ht="14.25" customHeight="1" x14ac:dyDescent="0.25">
      <c r="A119" s="33" t="s">
        <v>384</v>
      </c>
      <c r="B119" s="5" t="s">
        <v>82</v>
      </c>
      <c r="C119" s="4" t="s">
        <v>385</v>
      </c>
      <c r="D119" s="11" t="s">
        <v>22</v>
      </c>
      <c r="E119" s="4" t="s">
        <v>54</v>
      </c>
      <c r="F119" s="6" t="s">
        <v>22</v>
      </c>
      <c r="G119" s="6">
        <v>121</v>
      </c>
      <c r="H119" s="120" t="s">
        <v>55</v>
      </c>
      <c r="I119" s="11" t="s">
        <v>22</v>
      </c>
      <c r="J119" s="121"/>
      <c r="K119" s="95" t="s">
        <v>24</v>
      </c>
      <c r="L119" s="95"/>
      <c r="M119" s="7"/>
    </row>
    <row r="120" spans="1:13" ht="14.25" customHeight="1" x14ac:dyDescent="0.25">
      <c r="A120" s="33" t="s">
        <v>386</v>
      </c>
      <c r="B120" s="5" t="s">
        <v>82</v>
      </c>
      <c r="C120" s="4" t="s">
        <v>387</v>
      </c>
      <c r="D120" s="11" t="s">
        <v>22</v>
      </c>
      <c r="E120" s="4" t="s">
        <v>54</v>
      </c>
      <c r="F120" s="6" t="s">
        <v>22</v>
      </c>
      <c r="G120" s="6">
        <v>122</v>
      </c>
      <c r="H120" s="120" t="s">
        <v>55</v>
      </c>
      <c r="I120" s="11" t="s">
        <v>22</v>
      </c>
      <c r="J120" s="121"/>
      <c r="K120" s="95" t="s">
        <v>24</v>
      </c>
      <c r="L120" s="95"/>
      <c r="M120" s="7"/>
    </row>
    <row r="121" spans="1:13" ht="14.25" customHeight="1" x14ac:dyDescent="0.25">
      <c r="A121" s="33" t="s">
        <v>388</v>
      </c>
      <c r="B121" s="5" t="s">
        <v>82</v>
      </c>
      <c r="C121" s="4" t="s">
        <v>389</v>
      </c>
      <c r="D121" s="11" t="s">
        <v>22</v>
      </c>
      <c r="E121" s="4" t="s">
        <v>54</v>
      </c>
      <c r="F121" s="6" t="s">
        <v>22</v>
      </c>
      <c r="G121" s="6">
        <v>123</v>
      </c>
      <c r="H121" s="120" t="s">
        <v>55</v>
      </c>
      <c r="I121" s="11" t="s">
        <v>22</v>
      </c>
      <c r="J121" s="121"/>
      <c r="K121" s="95" t="s">
        <v>24</v>
      </c>
      <c r="L121" s="95"/>
      <c r="M121" s="7"/>
    </row>
    <row r="122" spans="1:13" ht="14.25" customHeight="1" x14ac:dyDescent="0.25">
      <c r="A122" s="33" t="s">
        <v>390</v>
      </c>
      <c r="B122" s="5" t="s">
        <v>82</v>
      </c>
      <c r="C122" s="4" t="s">
        <v>391</v>
      </c>
      <c r="D122" s="11" t="s">
        <v>22</v>
      </c>
      <c r="E122" s="4" t="s">
        <v>54</v>
      </c>
      <c r="F122" s="6" t="s">
        <v>22</v>
      </c>
      <c r="G122" s="6">
        <v>124</v>
      </c>
      <c r="H122" s="120" t="s">
        <v>392</v>
      </c>
      <c r="I122" s="11" t="s">
        <v>22</v>
      </c>
      <c r="J122" s="121"/>
      <c r="K122" s="95" t="s">
        <v>24</v>
      </c>
      <c r="L122" s="95"/>
      <c r="M122" s="7"/>
    </row>
    <row r="123" spans="1:13" ht="14.25" customHeight="1" x14ac:dyDescent="0.25">
      <c r="A123" s="33" t="s">
        <v>393</v>
      </c>
      <c r="B123" s="5" t="s">
        <v>82</v>
      </c>
      <c r="C123" s="4" t="s">
        <v>394</v>
      </c>
      <c r="D123" s="11" t="s">
        <v>22</v>
      </c>
      <c r="E123" s="4" t="s">
        <v>54</v>
      </c>
      <c r="F123" s="6" t="s">
        <v>22</v>
      </c>
      <c r="G123" s="6">
        <v>125</v>
      </c>
      <c r="H123" s="120" t="s">
        <v>55</v>
      </c>
      <c r="I123" s="11" t="s">
        <v>22</v>
      </c>
      <c r="J123" s="121"/>
      <c r="K123" s="95" t="s">
        <v>24</v>
      </c>
      <c r="L123" s="95"/>
      <c r="M123" s="7"/>
    </row>
    <row r="124" spans="1:13" ht="14.25" customHeight="1" x14ac:dyDescent="0.25">
      <c r="A124" s="33" t="s">
        <v>54</v>
      </c>
      <c r="B124" s="5" t="s">
        <v>95</v>
      </c>
      <c r="C124" s="4" t="s">
        <v>395</v>
      </c>
      <c r="D124" s="11" t="s">
        <v>22</v>
      </c>
      <c r="E124" s="4" t="s">
        <v>80</v>
      </c>
      <c r="F124" s="6" t="s">
        <v>22</v>
      </c>
      <c r="G124" s="6">
        <v>126</v>
      </c>
      <c r="H124" s="120" t="s">
        <v>396</v>
      </c>
      <c r="I124" s="11" t="s">
        <v>22</v>
      </c>
      <c r="J124" s="123" t="s">
        <v>397</v>
      </c>
      <c r="K124" s="95" t="s">
        <v>24</v>
      </c>
      <c r="L124" s="95"/>
      <c r="M124" s="7"/>
    </row>
    <row r="125" spans="1:13" ht="14.25" customHeight="1" x14ac:dyDescent="0.25">
      <c r="A125" s="33" t="s">
        <v>398</v>
      </c>
      <c r="B125" s="5" t="s">
        <v>126</v>
      </c>
      <c r="C125" s="4" t="s">
        <v>399</v>
      </c>
      <c r="D125" s="11" t="s">
        <v>22</v>
      </c>
      <c r="E125" s="4" t="s">
        <v>400</v>
      </c>
      <c r="F125" s="6" t="s">
        <v>401</v>
      </c>
      <c r="G125" s="6">
        <v>127</v>
      </c>
      <c r="H125" s="120" t="s">
        <v>402</v>
      </c>
      <c r="I125" s="11" t="s">
        <v>22</v>
      </c>
      <c r="J125" s="121"/>
      <c r="K125" s="95" t="s">
        <v>24</v>
      </c>
      <c r="L125" s="95"/>
      <c r="M125" s="7"/>
    </row>
    <row r="126" spans="1:13" ht="14.25" customHeight="1" x14ac:dyDescent="0.25">
      <c r="A126" s="33" t="s">
        <v>401</v>
      </c>
      <c r="B126" s="5" t="s">
        <v>126</v>
      </c>
      <c r="C126" s="4" t="s">
        <v>403</v>
      </c>
      <c r="D126" s="11" t="s">
        <v>22</v>
      </c>
      <c r="E126" s="4" t="s">
        <v>398</v>
      </c>
      <c r="F126" s="6" t="s">
        <v>22</v>
      </c>
      <c r="G126" s="6">
        <v>128</v>
      </c>
      <c r="H126" s="120" t="s">
        <v>404</v>
      </c>
      <c r="I126" s="11" t="s">
        <v>22</v>
      </c>
      <c r="J126" s="121"/>
      <c r="K126" s="95" t="s">
        <v>24</v>
      </c>
      <c r="L126" s="95"/>
      <c r="M126" s="7"/>
    </row>
    <row r="127" spans="1:13" ht="14.25" customHeight="1" x14ac:dyDescent="0.25">
      <c r="A127" s="33" t="s">
        <v>400</v>
      </c>
      <c r="B127" s="5" t="s">
        <v>126</v>
      </c>
      <c r="C127" s="4" t="s">
        <v>405</v>
      </c>
      <c r="D127" s="11" t="s">
        <v>22</v>
      </c>
      <c r="E127" s="4" t="s">
        <v>80</v>
      </c>
      <c r="F127" s="6" t="s">
        <v>406</v>
      </c>
      <c r="G127" s="6">
        <v>129</v>
      </c>
      <c r="H127" s="120" t="s">
        <v>407</v>
      </c>
      <c r="I127" s="11" t="s">
        <v>22</v>
      </c>
      <c r="J127" s="121"/>
      <c r="K127" s="95" t="s">
        <v>24</v>
      </c>
      <c r="L127" s="95"/>
      <c r="M127" s="7"/>
    </row>
    <row r="128" spans="1:13" ht="14.25" customHeight="1" x14ac:dyDescent="0.25">
      <c r="A128" s="33" t="s">
        <v>408</v>
      </c>
      <c r="B128" s="5" t="s">
        <v>126</v>
      </c>
      <c r="C128" s="4" t="s">
        <v>409</v>
      </c>
      <c r="D128" s="11" t="s">
        <v>22</v>
      </c>
      <c r="E128" s="4" t="s">
        <v>400</v>
      </c>
      <c r="F128" s="6" t="s">
        <v>22</v>
      </c>
      <c r="G128" s="6">
        <v>130</v>
      </c>
      <c r="H128" s="120" t="s">
        <v>410</v>
      </c>
      <c r="I128" s="11" t="s">
        <v>22</v>
      </c>
      <c r="J128" s="123" t="s">
        <v>411</v>
      </c>
      <c r="K128" s="95" t="s">
        <v>24</v>
      </c>
      <c r="L128" s="95"/>
      <c r="M128" s="7"/>
    </row>
    <row r="129" spans="1:13" ht="14.25" customHeight="1" x14ac:dyDescent="0.25">
      <c r="A129" s="33" t="s">
        <v>412</v>
      </c>
      <c r="B129" s="5" t="s">
        <v>126</v>
      </c>
      <c r="C129" s="4" t="s">
        <v>413</v>
      </c>
      <c r="D129" s="11" t="s">
        <v>22</v>
      </c>
      <c r="E129" s="4" t="s">
        <v>400</v>
      </c>
      <c r="F129" s="6" t="s">
        <v>22</v>
      </c>
      <c r="G129" s="6">
        <v>131</v>
      </c>
      <c r="H129" s="120" t="s">
        <v>414</v>
      </c>
      <c r="I129" s="11" t="s">
        <v>22</v>
      </c>
      <c r="J129" s="123" t="s">
        <v>415</v>
      </c>
      <c r="K129" s="95" t="s">
        <v>24</v>
      </c>
      <c r="L129" s="95"/>
      <c r="M129" s="7"/>
    </row>
    <row r="130" spans="1:13" ht="14.25" customHeight="1" x14ac:dyDescent="0.25">
      <c r="A130" s="33" t="s">
        <v>416</v>
      </c>
      <c r="B130" s="5" t="s">
        <v>82</v>
      </c>
      <c r="C130" s="4" t="s">
        <v>417</v>
      </c>
      <c r="D130" s="11" t="s">
        <v>22</v>
      </c>
      <c r="E130" s="4" t="s">
        <v>54</v>
      </c>
      <c r="F130" s="6" t="s">
        <v>418</v>
      </c>
      <c r="G130" s="6">
        <v>132</v>
      </c>
      <c r="H130" s="120" t="s">
        <v>419</v>
      </c>
      <c r="I130" s="11" t="s">
        <v>22</v>
      </c>
      <c r="J130" s="121"/>
      <c r="K130" s="95" t="s">
        <v>24</v>
      </c>
      <c r="L130" s="95"/>
      <c r="M130" s="7"/>
    </row>
    <row r="131" spans="1:13" ht="14.25" customHeight="1" x14ac:dyDescent="0.25">
      <c r="A131" s="33" t="s">
        <v>418</v>
      </c>
      <c r="B131" s="5" t="s">
        <v>82</v>
      </c>
      <c r="C131" s="4" t="s">
        <v>420</v>
      </c>
      <c r="D131" s="11" t="s">
        <v>22</v>
      </c>
      <c r="E131" s="4" t="s">
        <v>416</v>
      </c>
      <c r="F131" s="6" t="s">
        <v>22</v>
      </c>
      <c r="G131" s="6">
        <v>133</v>
      </c>
      <c r="H131" s="120" t="s">
        <v>421</v>
      </c>
      <c r="I131" s="11" t="s">
        <v>22</v>
      </c>
      <c r="J131" s="121"/>
      <c r="K131" s="95" t="s">
        <v>24</v>
      </c>
      <c r="L131" s="95"/>
      <c r="M131" s="7"/>
    </row>
    <row r="132" spans="1:13" ht="14.25" customHeight="1" x14ac:dyDescent="0.25">
      <c r="A132" s="33" t="s">
        <v>422</v>
      </c>
      <c r="B132" s="5" t="s">
        <v>19</v>
      </c>
      <c r="C132" s="4" t="s">
        <v>423</v>
      </c>
      <c r="D132" s="11" t="s">
        <v>22</v>
      </c>
      <c r="E132" s="4" t="s">
        <v>22</v>
      </c>
      <c r="F132" s="6" t="s">
        <v>22</v>
      </c>
      <c r="G132" s="6">
        <v>134</v>
      </c>
      <c r="H132" s="120" t="s">
        <v>424</v>
      </c>
      <c r="I132" s="11" t="s">
        <v>22</v>
      </c>
      <c r="J132" s="121"/>
      <c r="K132" s="95" t="s">
        <v>24</v>
      </c>
      <c r="L132" s="95"/>
      <c r="M132" s="7"/>
    </row>
    <row r="133" spans="1:13" ht="14.25" customHeight="1" x14ac:dyDescent="0.25">
      <c r="A133" s="33" t="s">
        <v>425</v>
      </c>
      <c r="B133" s="5" t="s">
        <v>82</v>
      </c>
      <c r="C133" s="4" t="s">
        <v>426</v>
      </c>
      <c r="D133" s="11" t="s">
        <v>22</v>
      </c>
      <c r="E133" s="4" t="s">
        <v>54</v>
      </c>
      <c r="F133" s="6" t="s">
        <v>22</v>
      </c>
      <c r="G133" s="6">
        <v>135</v>
      </c>
      <c r="H133" s="120" t="s">
        <v>210</v>
      </c>
      <c r="I133" s="11" t="s">
        <v>22</v>
      </c>
      <c r="J133" s="121"/>
      <c r="K133" s="95" t="s">
        <v>24</v>
      </c>
      <c r="L133" s="95"/>
      <c r="M133" s="7"/>
    </row>
    <row r="134" spans="1:13" ht="14.25" customHeight="1" x14ac:dyDescent="0.25">
      <c r="A134" s="33" t="s">
        <v>427</v>
      </c>
      <c r="B134" s="5" t="s">
        <v>52</v>
      </c>
      <c r="C134" s="4" t="s">
        <v>428</v>
      </c>
      <c r="D134" s="11" t="s">
        <v>22</v>
      </c>
      <c r="E134" s="4" t="s">
        <v>54</v>
      </c>
      <c r="F134" s="6" t="s">
        <v>22</v>
      </c>
      <c r="G134" s="6">
        <v>136</v>
      </c>
      <c r="H134" s="120" t="s">
        <v>210</v>
      </c>
      <c r="I134" s="11" t="s">
        <v>22</v>
      </c>
      <c r="J134" s="121"/>
      <c r="K134" s="95" t="s">
        <v>24</v>
      </c>
      <c r="L134" s="95"/>
      <c r="M134" s="7"/>
    </row>
    <row r="135" spans="1:13" ht="14.25" customHeight="1" x14ac:dyDescent="0.25">
      <c r="A135" s="33" t="s">
        <v>429</v>
      </c>
      <c r="B135" s="5" t="s">
        <v>82</v>
      </c>
      <c r="C135" s="4" t="s">
        <v>430</v>
      </c>
      <c r="D135" s="11" t="s">
        <v>22</v>
      </c>
      <c r="E135" s="4" t="s">
        <v>54</v>
      </c>
      <c r="F135" s="6" t="s">
        <v>431</v>
      </c>
      <c r="G135" s="6">
        <v>137</v>
      </c>
      <c r="H135" s="120" t="s">
        <v>432</v>
      </c>
      <c r="I135" s="11" t="s">
        <v>22</v>
      </c>
      <c r="J135" s="121"/>
      <c r="K135" s="95" t="s">
        <v>24</v>
      </c>
      <c r="L135" s="95"/>
      <c r="M135" s="7"/>
    </row>
    <row r="136" spans="1:13" ht="14.25" customHeight="1" x14ac:dyDescent="0.25">
      <c r="A136" s="33" t="s">
        <v>433</v>
      </c>
      <c r="B136" s="5" t="s">
        <v>78</v>
      </c>
      <c r="C136" s="4" t="s">
        <v>434</v>
      </c>
      <c r="D136" s="11" t="s">
        <v>22</v>
      </c>
      <c r="E136" s="4" t="s">
        <v>80</v>
      </c>
      <c r="F136" s="6" t="s">
        <v>22</v>
      </c>
      <c r="G136" s="6">
        <v>138</v>
      </c>
      <c r="H136" s="120" t="s">
        <v>435</v>
      </c>
      <c r="I136" s="11" t="s">
        <v>22</v>
      </c>
      <c r="J136" s="121"/>
      <c r="K136" s="95" t="s">
        <v>24</v>
      </c>
      <c r="L136" s="95"/>
      <c r="M136" s="7"/>
    </row>
    <row r="137" spans="1:13" ht="14.25" customHeight="1" x14ac:dyDescent="0.25">
      <c r="A137" s="33" t="s">
        <v>431</v>
      </c>
      <c r="B137" s="5" t="s">
        <v>82</v>
      </c>
      <c r="C137" s="4" t="s">
        <v>436</v>
      </c>
      <c r="D137" s="11" t="s">
        <v>22</v>
      </c>
      <c r="E137" s="4" t="s">
        <v>429</v>
      </c>
      <c r="F137" s="6" t="s">
        <v>22</v>
      </c>
      <c r="G137" s="6">
        <v>139</v>
      </c>
      <c r="H137" s="120" t="s">
        <v>437</v>
      </c>
      <c r="I137" s="11" t="s">
        <v>22</v>
      </c>
      <c r="J137" s="121"/>
      <c r="K137" s="95" t="s">
        <v>24</v>
      </c>
      <c r="L137" s="95"/>
      <c r="M137" s="7"/>
    </row>
    <row r="138" spans="1:13" ht="14.25" customHeight="1" x14ac:dyDescent="0.25">
      <c r="A138" s="33" t="s">
        <v>438</v>
      </c>
      <c r="B138" s="5" t="s">
        <v>82</v>
      </c>
      <c r="C138" s="4" t="s">
        <v>439</v>
      </c>
      <c r="D138" s="11" t="s">
        <v>22</v>
      </c>
      <c r="E138" s="4" t="s">
        <v>54</v>
      </c>
      <c r="F138" s="6" t="s">
        <v>440</v>
      </c>
      <c r="G138" s="6">
        <v>140</v>
      </c>
      <c r="H138" s="120" t="s">
        <v>441</v>
      </c>
      <c r="I138" s="11" t="s">
        <v>22</v>
      </c>
      <c r="J138" s="121"/>
      <c r="K138" s="95" t="s">
        <v>24</v>
      </c>
      <c r="L138" s="95"/>
      <c r="M138" s="7"/>
    </row>
    <row r="139" spans="1:13" ht="14.25" customHeight="1" x14ac:dyDescent="0.25">
      <c r="A139" s="33" t="s">
        <v>440</v>
      </c>
      <c r="B139" s="5" t="s">
        <v>82</v>
      </c>
      <c r="C139" s="4" t="s">
        <v>442</v>
      </c>
      <c r="D139" s="11" t="s">
        <v>22</v>
      </c>
      <c r="E139" s="4" t="s">
        <v>438</v>
      </c>
      <c r="F139" s="6" t="s">
        <v>22</v>
      </c>
      <c r="G139" s="6">
        <v>141</v>
      </c>
      <c r="H139" s="120" t="s">
        <v>443</v>
      </c>
      <c r="I139" s="11" t="s">
        <v>22</v>
      </c>
      <c r="J139" s="121"/>
      <c r="K139" s="95" t="s">
        <v>24</v>
      </c>
      <c r="L139" s="95"/>
      <c r="M139" s="7"/>
    </row>
    <row r="140" spans="1:13" ht="14.25" customHeight="1" x14ac:dyDescent="0.25">
      <c r="A140" s="33" t="s">
        <v>444</v>
      </c>
      <c r="B140" s="5" t="s">
        <v>78</v>
      </c>
      <c r="C140" s="4" t="s">
        <v>445</v>
      </c>
      <c r="D140" s="11" t="s">
        <v>22</v>
      </c>
      <c r="E140" s="4" t="s">
        <v>80</v>
      </c>
      <c r="F140" s="6" t="s">
        <v>22</v>
      </c>
      <c r="G140" s="6">
        <v>142</v>
      </c>
      <c r="H140" s="8" t="s">
        <v>446</v>
      </c>
      <c r="I140" s="11" t="s">
        <v>22</v>
      </c>
      <c r="J140" s="121"/>
      <c r="K140" s="95" t="s">
        <v>24</v>
      </c>
      <c r="L140" s="95"/>
      <c r="M140" s="7"/>
    </row>
    <row r="141" spans="1:13" ht="87.5" x14ac:dyDescent="0.25">
      <c r="A141" s="33" t="s">
        <v>447</v>
      </c>
      <c r="B141" s="5" t="s">
        <v>134</v>
      </c>
      <c r="C141" s="4" t="s">
        <v>448</v>
      </c>
      <c r="D141" s="11" t="s">
        <v>22</v>
      </c>
      <c r="E141" s="4" t="s">
        <v>80</v>
      </c>
      <c r="F141" s="6" t="s">
        <v>22</v>
      </c>
      <c r="G141" s="6">
        <v>143</v>
      </c>
      <c r="H141" s="120" t="s">
        <v>449</v>
      </c>
      <c r="I141" s="11" t="s">
        <v>22</v>
      </c>
      <c r="J141" s="128" t="s">
        <v>450</v>
      </c>
      <c r="K141" s="95" t="s">
        <v>24</v>
      </c>
      <c r="L141" s="129" t="s">
        <v>451</v>
      </c>
      <c r="M141" s="7"/>
    </row>
    <row r="142" spans="1:13" ht="14.25" customHeight="1" x14ac:dyDescent="0.25">
      <c r="A142" s="35" t="s">
        <v>452</v>
      </c>
      <c r="B142" s="65" t="s">
        <v>453</v>
      </c>
      <c r="C142" s="5" t="s">
        <v>454</v>
      </c>
      <c r="D142" s="11" t="s">
        <v>113</v>
      </c>
      <c r="E142" s="4" t="s">
        <v>80</v>
      </c>
      <c r="F142" s="6" t="s">
        <v>455</v>
      </c>
      <c r="G142" s="6">
        <v>144</v>
      </c>
      <c r="H142" s="120" t="s">
        <v>456</v>
      </c>
      <c r="I142" s="11" t="s">
        <v>22</v>
      </c>
      <c r="J142" s="121"/>
      <c r="K142" s="122">
        <v>4.0999999999999996</v>
      </c>
      <c r="L142" s="122"/>
    </row>
    <row r="143" spans="1:13" ht="14.25" customHeight="1" x14ac:dyDescent="0.25">
      <c r="A143" s="35" t="s">
        <v>455</v>
      </c>
      <c r="B143" s="65" t="s">
        <v>453</v>
      </c>
      <c r="C143" s="5" t="s">
        <v>457</v>
      </c>
      <c r="D143" s="11" t="s">
        <v>113</v>
      </c>
      <c r="E143" s="4" t="s">
        <v>452</v>
      </c>
      <c r="F143" s="6" t="s">
        <v>22</v>
      </c>
      <c r="G143" s="6">
        <v>145</v>
      </c>
      <c r="H143" s="120" t="s">
        <v>458</v>
      </c>
      <c r="I143" s="9" t="s">
        <v>459</v>
      </c>
      <c r="J143" s="16"/>
      <c r="K143" s="122">
        <v>4.0999999999999996</v>
      </c>
      <c r="L143" s="122"/>
    </row>
    <row r="144" spans="1:13" ht="14.25" customHeight="1" x14ac:dyDescent="0.25">
      <c r="A144" s="33" t="s">
        <v>460</v>
      </c>
      <c r="B144" s="5" t="s">
        <v>78</v>
      </c>
      <c r="C144" s="4" t="s">
        <v>461</v>
      </c>
      <c r="D144" s="11" t="s">
        <v>22</v>
      </c>
      <c r="E144" s="4" t="s">
        <v>80</v>
      </c>
      <c r="F144" s="6" t="s">
        <v>22</v>
      </c>
      <c r="G144" s="6">
        <v>146</v>
      </c>
      <c r="H144" s="120" t="s">
        <v>462</v>
      </c>
      <c r="I144" s="11" t="s">
        <v>22</v>
      </c>
      <c r="J144" s="121"/>
      <c r="K144" s="95" t="s">
        <v>24</v>
      </c>
      <c r="L144" s="95"/>
      <c r="M144" s="7"/>
    </row>
    <row r="145" spans="1:14" ht="14.25" customHeight="1" x14ac:dyDescent="0.25">
      <c r="A145" s="33" t="s">
        <v>463</v>
      </c>
      <c r="B145" s="5" t="s">
        <v>78</v>
      </c>
      <c r="C145" s="4" t="s">
        <v>464</v>
      </c>
      <c r="D145" s="11" t="s">
        <v>22</v>
      </c>
      <c r="E145" s="4" t="s">
        <v>465</v>
      </c>
      <c r="F145" s="6" t="s">
        <v>22</v>
      </c>
      <c r="G145" s="6">
        <v>147</v>
      </c>
      <c r="H145" s="120" t="s">
        <v>466</v>
      </c>
      <c r="I145" s="11" t="s">
        <v>22</v>
      </c>
      <c r="J145" s="121"/>
      <c r="K145" s="95" t="s">
        <v>24</v>
      </c>
      <c r="L145" s="95"/>
      <c r="M145" s="7"/>
    </row>
    <row r="146" spans="1:14" ht="14.25" customHeight="1" x14ac:dyDescent="0.25">
      <c r="A146" s="33" t="s">
        <v>465</v>
      </c>
      <c r="B146" s="5" t="s">
        <v>78</v>
      </c>
      <c r="C146" s="4" t="s">
        <v>467</v>
      </c>
      <c r="D146" s="11" t="s">
        <v>22</v>
      </c>
      <c r="E146" s="4" t="s">
        <v>80</v>
      </c>
      <c r="F146" s="6" t="s">
        <v>463</v>
      </c>
      <c r="G146" s="6">
        <v>148</v>
      </c>
      <c r="H146" s="120" t="s">
        <v>468</v>
      </c>
      <c r="I146" s="11" t="s">
        <v>22</v>
      </c>
      <c r="J146" s="121" t="s">
        <v>469</v>
      </c>
      <c r="K146" s="95" t="s">
        <v>24</v>
      </c>
      <c r="L146" s="95"/>
      <c r="M146" s="7"/>
    </row>
    <row r="147" spans="1:14" ht="14.25" customHeight="1" x14ac:dyDescent="0.25">
      <c r="A147" s="33" t="s">
        <v>470</v>
      </c>
      <c r="B147" s="5" t="s">
        <v>134</v>
      </c>
      <c r="C147" s="4" t="s">
        <v>471</v>
      </c>
      <c r="D147" s="11" t="s">
        <v>472</v>
      </c>
      <c r="E147" s="4" t="s">
        <v>80</v>
      </c>
      <c r="F147" s="6" t="s">
        <v>22</v>
      </c>
      <c r="G147" s="6">
        <v>149</v>
      </c>
      <c r="H147" s="120"/>
      <c r="I147" s="11"/>
      <c r="J147" s="121"/>
      <c r="K147" s="95" t="s">
        <v>473</v>
      </c>
      <c r="L147" s="95"/>
      <c r="M147" s="7"/>
      <c r="N147" s="7" t="s">
        <v>474</v>
      </c>
    </row>
    <row r="148" spans="1:14" ht="93" customHeight="1" x14ac:dyDescent="0.25">
      <c r="A148" s="33" t="s">
        <v>475</v>
      </c>
      <c r="B148" s="5" t="s">
        <v>134</v>
      </c>
      <c r="C148" s="4" t="s">
        <v>476</v>
      </c>
      <c r="D148" s="11" t="s">
        <v>472</v>
      </c>
      <c r="E148" s="4" t="s">
        <v>80</v>
      </c>
      <c r="F148" s="6" t="s">
        <v>22</v>
      </c>
      <c r="G148" s="6">
        <v>150</v>
      </c>
      <c r="H148" s="120"/>
      <c r="I148" s="11"/>
      <c r="J148" s="128" t="s">
        <v>477</v>
      </c>
      <c r="K148" s="95" t="s">
        <v>478</v>
      </c>
      <c r="L148" s="130" t="s">
        <v>479</v>
      </c>
      <c r="M148" s="7"/>
      <c r="N148" s="7" t="s">
        <v>474</v>
      </c>
    </row>
    <row r="149" spans="1:14" ht="14.25" customHeight="1" x14ac:dyDescent="0.25">
      <c r="A149" s="33" t="s">
        <v>480</v>
      </c>
      <c r="B149" s="5" t="s">
        <v>134</v>
      </c>
      <c r="C149" s="4" t="s">
        <v>481</v>
      </c>
      <c r="D149" s="11" t="s">
        <v>472</v>
      </c>
      <c r="E149" s="4" t="s">
        <v>80</v>
      </c>
      <c r="F149" s="6" t="s">
        <v>22</v>
      </c>
      <c r="G149" s="6">
        <v>151</v>
      </c>
      <c r="H149" s="120"/>
      <c r="I149" s="11"/>
      <c r="J149" s="121"/>
      <c r="K149" s="95" t="s">
        <v>478</v>
      </c>
      <c r="L149" s="95"/>
      <c r="M149" s="7"/>
      <c r="N149" s="7" t="s">
        <v>474</v>
      </c>
    </row>
    <row r="150" spans="1:14" ht="14.25" customHeight="1" x14ac:dyDescent="0.25">
      <c r="A150" s="33" t="s">
        <v>482</v>
      </c>
      <c r="B150" s="5" t="s">
        <v>134</v>
      </c>
      <c r="C150" s="4" t="s">
        <v>483</v>
      </c>
      <c r="D150" s="11" t="s">
        <v>472</v>
      </c>
      <c r="E150" s="4" t="s">
        <v>80</v>
      </c>
      <c r="F150" s="6" t="s">
        <v>22</v>
      </c>
      <c r="G150" s="6">
        <v>152</v>
      </c>
      <c r="H150" s="120"/>
      <c r="I150" s="11"/>
      <c r="J150" s="121"/>
      <c r="K150" s="95" t="s">
        <v>478</v>
      </c>
      <c r="L150" s="95"/>
      <c r="M150" s="7"/>
      <c r="N150" s="7" t="s">
        <v>474</v>
      </c>
    </row>
    <row r="151" spans="1:14" ht="14.25" customHeight="1" x14ac:dyDescent="0.25">
      <c r="A151" s="33" t="s">
        <v>484</v>
      </c>
      <c r="B151" s="5" t="s">
        <v>126</v>
      </c>
      <c r="C151" s="4" t="s">
        <v>485</v>
      </c>
      <c r="D151" s="11" t="s">
        <v>472</v>
      </c>
      <c r="E151" s="4" t="s">
        <v>80</v>
      </c>
      <c r="F151" s="6" t="s">
        <v>22</v>
      </c>
      <c r="G151" s="6">
        <v>153</v>
      </c>
      <c r="H151" s="120"/>
      <c r="I151" s="11"/>
      <c r="J151" s="121" t="s">
        <v>486</v>
      </c>
      <c r="K151" s="95" t="s">
        <v>478</v>
      </c>
      <c r="L151" s="95"/>
      <c r="M151" s="7"/>
      <c r="N151" s="7" t="s">
        <v>474</v>
      </c>
    </row>
    <row r="152" spans="1:14" ht="14.25" customHeight="1" x14ac:dyDescent="0.25">
      <c r="A152" s="33" t="s">
        <v>487</v>
      </c>
      <c r="B152" s="5" t="s">
        <v>126</v>
      </c>
      <c r="C152" s="4" t="s">
        <v>488</v>
      </c>
      <c r="D152" s="11" t="s">
        <v>472</v>
      </c>
      <c r="E152" s="4" t="s">
        <v>80</v>
      </c>
      <c r="F152" s="6" t="s">
        <v>489</v>
      </c>
      <c r="G152" s="6">
        <v>154</v>
      </c>
      <c r="H152" s="120" t="s">
        <v>490</v>
      </c>
      <c r="I152" s="11"/>
      <c r="J152" s="121"/>
      <c r="K152" s="95" t="s">
        <v>491</v>
      </c>
      <c r="L152" s="95"/>
      <c r="M152" s="7" t="s">
        <v>492</v>
      </c>
      <c r="N152" s="7" t="s">
        <v>493</v>
      </c>
    </row>
    <row r="153" spans="1:14" ht="14.25" customHeight="1" x14ac:dyDescent="0.25">
      <c r="A153" s="33" t="s">
        <v>489</v>
      </c>
      <c r="B153" s="5" t="s">
        <v>494</v>
      </c>
      <c r="C153" s="4" t="s">
        <v>495</v>
      </c>
      <c r="D153" s="11" t="s">
        <v>472</v>
      </c>
      <c r="E153" s="4" t="s">
        <v>487</v>
      </c>
      <c r="F153" s="6" t="s">
        <v>22</v>
      </c>
      <c r="G153" s="6">
        <v>155</v>
      </c>
      <c r="H153" s="120" t="s">
        <v>496</v>
      </c>
      <c r="I153" s="11"/>
      <c r="J153" s="121"/>
      <c r="K153" s="95" t="s">
        <v>491</v>
      </c>
      <c r="L153" s="95"/>
      <c r="M153" s="7" t="s">
        <v>492</v>
      </c>
      <c r="N153" s="7" t="s">
        <v>493</v>
      </c>
    </row>
    <row r="154" spans="1:14" ht="14.25" customHeight="1" x14ac:dyDescent="0.25">
      <c r="A154" s="33" t="s">
        <v>497</v>
      </c>
      <c r="B154" s="5" t="s">
        <v>126</v>
      </c>
      <c r="C154" s="4" t="s">
        <v>498</v>
      </c>
      <c r="D154" s="11" t="s">
        <v>472</v>
      </c>
      <c r="E154" s="4" t="s">
        <v>80</v>
      </c>
      <c r="F154" s="6" t="s">
        <v>499</v>
      </c>
      <c r="G154" s="6">
        <v>156</v>
      </c>
      <c r="H154" s="120" t="s">
        <v>500</v>
      </c>
      <c r="I154" s="11"/>
      <c r="J154" s="121"/>
      <c r="K154" s="95" t="s">
        <v>491</v>
      </c>
      <c r="L154" s="95"/>
      <c r="M154" s="7" t="s">
        <v>492</v>
      </c>
      <c r="N154" s="7" t="s">
        <v>493</v>
      </c>
    </row>
    <row r="155" spans="1:14" ht="14.25" customHeight="1" x14ac:dyDescent="0.25">
      <c r="A155" s="33" t="s">
        <v>501</v>
      </c>
      <c r="B155" s="5" t="s">
        <v>494</v>
      </c>
      <c r="C155" s="4" t="s">
        <v>502</v>
      </c>
      <c r="D155" s="11" t="s">
        <v>472</v>
      </c>
      <c r="E155" s="4" t="s">
        <v>503</v>
      </c>
      <c r="F155" s="6" t="s">
        <v>22</v>
      </c>
      <c r="G155" s="6">
        <v>157</v>
      </c>
      <c r="H155" s="120" t="s">
        <v>504</v>
      </c>
      <c r="I155" s="11"/>
      <c r="J155" s="121"/>
      <c r="K155" s="95" t="s">
        <v>491</v>
      </c>
      <c r="L155" s="95"/>
      <c r="M155" s="7" t="s">
        <v>492</v>
      </c>
      <c r="N155" s="7" t="s">
        <v>493</v>
      </c>
    </row>
    <row r="156" spans="1:14" ht="14.25" customHeight="1" x14ac:dyDescent="0.25">
      <c r="A156" s="33" t="s">
        <v>503</v>
      </c>
      <c r="B156" s="5" t="s">
        <v>494</v>
      </c>
      <c r="C156" s="4" t="s">
        <v>505</v>
      </c>
      <c r="D156" s="11" t="s">
        <v>472</v>
      </c>
      <c r="E156" s="4" t="s">
        <v>497</v>
      </c>
      <c r="F156" s="6" t="s">
        <v>22</v>
      </c>
      <c r="G156" s="6">
        <v>158</v>
      </c>
      <c r="H156" s="120" t="s">
        <v>506</v>
      </c>
      <c r="I156" s="11"/>
      <c r="J156" s="121"/>
      <c r="K156" s="95" t="s">
        <v>491</v>
      </c>
      <c r="L156" s="95"/>
      <c r="M156" s="7" t="s">
        <v>492</v>
      </c>
      <c r="N156" s="7" t="s">
        <v>493</v>
      </c>
    </row>
    <row r="157" spans="1:14" ht="14.25" customHeight="1" x14ac:dyDescent="0.25">
      <c r="A157" s="33" t="s">
        <v>507</v>
      </c>
      <c r="B157" s="5" t="s">
        <v>494</v>
      </c>
      <c r="C157" s="4" t="s">
        <v>508</v>
      </c>
      <c r="D157" s="11" t="s">
        <v>472</v>
      </c>
      <c r="E157" s="4" t="s">
        <v>220</v>
      </c>
      <c r="F157" s="6" t="s">
        <v>22</v>
      </c>
      <c r="G157" s="6">
        <v>159</v>
      </c>
      <c r="H157" s="120"/>
      <c r="I157" s="11"/>
      <c r="J157" s="121"/>
      <c r="K157" s="95" t="s">
        <v>478</v>
      </c>
      <c r="L157" s="95"/>
      <c r="M157" s="7"/>
      <c r="N157" s="7" t="s">
        <v>474</v>
      </c>
    </row>
    <row r="158" spans="1:14" ht="13" x14ac:dyDescent="0.25">
      <c r="A158" s="33" t="s">
        <v>509</v>
      </c>
      <c r="B158" s="5" t="s">
        <v>126</v>
      </c>
      <c r="C158" s="4" t="s">
        <v>510</v>
      </c>
      <c r="D158" s="11" t="s">
        <v>472</v>
      </c>
      <c r="E158" s="4" t="s">
        <v>80</v>
      </c>
      <c r="F158" s="6" t="s">
        <v>22</v>
      </c>
      <c r="G158" s="6">
        <v>160</v>
      </c>
      <c r="H158" s="120"/>
      <c r="I158" s="11"/>
      <c r="J158" s="121"/>
      <c r="K158" s="95" t="s">
        <v>478</v>
      </c>
      <c r="L158" s="95"/>
      <c r="M158" s="7"/>
      <c r="N158" s="7" t="s">
        <v>474</v>
      </c>
    </row>
    <row r="159" spans="1:14" ht="12.5" x14ac:dyDescent="0.25">
      <c r="A159" s="33" t="s">
        <v>511</v>
      </c>
      <c r="B159" s="5" t="s">
        <v>494</v>
      </c>
      <c r="C159" s="4" t="s">
        <v>512</v>
      </c>
      <c r="D159" s="11" t="s">
        <v>472</v>
      </c>
      <c r="E159" s="4" t="s">
        <v>223</v>
      </c>
      <c r="F159" s="6" t="s">
        <v>22</v>
      </c>
      <c r="G159" s="6">
        <v>161</v>
      </c>
      <c r="H159" s="120"/>
      <c r="I159" s="11"/>
      <c r="J159" s="121"/>
      <c r="K159" s="95" t="s">
        <v>478</v>
      </c>
      <c r="L159" s="95"/>
      <c r="M159" s="7"/>
      <c r="N159" s="7" t="s">
        <v>474</v>
      </c>
    </row>
    <row r="160" spans="1:14" ht="12.5" x14ac:dyDescent="0.25">
      <c r="A160" s="33" t="s">
        <v>513</v>
      </c>
      <c r="B160" s="5" t="s">
        <v>494</v>
      </c>
      <c r="C160" s="4" t="s">
        <v>514</v>
      </c>
      <c r="D160" s="11" t="s">
        <v>472</v>
      </c>
      <c r="E160" s="4" t="s">
        <v>80</v>
      </c>
      <c r="F160" s="6" t="s">
        <v>22</v>
      </c>
      <c r="G160" s="6">
        <v>162</v>
      </c>
      <c r="H160" s="120"/>
      <c r="I160" s="11"/>
      <c r="J160" s="121"/>
      <c r="K160" s="95" t="s">
        <v>478</v>
      </c>
      <c r="L160" s="95"/>
      <c r="M160" s="7"/>
      <c r="N160" s="7" t="s">
        <v>474</v>
      </c>
    </row>
    <row r="161" spans="1:14" ht="13" x14ac:dyDescent="0.25">
      <c r="A161" s="33" t="s">
        <v>515</v>
      </c>
      <c r="B161" s="5" t="s">
        <v>126</v>
      </c>
      <c r="C161" s="4" t="s">
        <v>516</v>
      </c>
      <c r="D161" s="11" t="s">
        <v>472</v>
      </c>
      <c r="E161" s="4" t="s">
        <v>80</v>
      </c>
      <c r="F161" s="6" t="s">
        <v>22</v>
      </c>
      <c r="G161" s="6">
        <v>163</v>
      </c>
      <c r="H161" s="120"/>
      <c r="I161" s="11"/>
      <c r="J161" s="121"/>
      <c r="K161" s="21" t="s">
        <v>517</v>
      </c>
      <c r="L161" s="95"/>
      <c r="M161" s="7"/>
      <c r="N161" s="7" t="s">
        <v>474</v>
      </c>
    </row>
    <row r="162" spans="1:14" ht="14.25" customHeight="1" x14ac:dyDescent="0.25">
      <c r="A162" s="33" t="s">
        <v>518</v>
      </c>
      <c r="B162" s="5" t="s">
        <v>82</v>
      </c>
      <c r="C162" s="4" t="s">
        <v>519</v>
      </c>
      <c r="D162" s="11" t="s">
        <v>472</v>
      </c>
      <c r="E162" s="4" t="s">
        <v>104</v>
      </c>
      <c r="F162" s="6" t="s">
        <v>22</v>
      </c>
      <c r="G162" s="6">
        <v>164</v>
      </c>
      <c r="H162" s="120"/>
      <c r="I162" s="11"/>
      <c r="J162" s="121"/>
      <c r="K162" s="95" t="s">
        <v>478</v>
      </c>
      <c r="L162" s="95"/>
      <c r="M162" s="7"/>
    </row>
    <row r="163" spans="1:14" ht="14.25" customHeight="1" x14ac:dyDescent="0.25">
      <c r="A163" s="33" t="s">
        <v>520</v>
      </c>
      <c r="B163" s="5" t="s">
        <v>82</v>
      </c>
      <c r="C163" s="4" t="s">
        <v>521</v>
      </c>
      <c r="D163" s="11" t="s">
        <v>472</v>
      </c>
      <c r="E163" s="4" t="s">
        <v>54</v>
      </c>
      <c r="F163" s="6" t="s">
        <v>22</v>
      </c>
      <c r="G163" s="6">
        <v>165</v>
      </c>
      <c r="H163" s="120"/>
      <c r="I163" s="11"/>
      <c r="J163" s="121"/>
      <c r="K163" s="95" t="s">
        <v>478</v>
      </c>
      <c r="L163" s="95"/>
      <c r="M163" s="7"/>
    </row>
    <row r="164" spans="1:14" ht="14.25" customHeight="1" x14ac:dyDescent="0.25">
      <c r="A164" s="33" t="s">
        <v>522</v>
      </c>
      <c r="B164" s="5" t="s">
        <v>82</v>
      </c>
      <c r="C164" s="4" t="s">
        <v>523</v>
      </c>
      <c r="D164" s="11" t="s">
        <v>472</v>
      </c>
      <c r="E164" s="4" t="s">
        <v>54</v>
      </c>
      <c r="F164" s="6" t="s">
        <v>22</v>
      </c>
      <c r="G164" s="6">
        <v>166</v>
      </c>
      <c r="H164" s="120"/>
      <c r="I164" s="11"/>
      <c r="J164" s="121"/>
      <c r="K164" s="95" t="s">
        <v>478</v>
      </c>
      <c r="L164" s="95"/>
      <c r="M164" s="7"/>
    </row>
    <row r="165" spans="1:14" ht="14.25" customHeight="1" x14ac:dyDescent="0.25">
      <c r="A165" s="33" t="s">
        <v>524</v>
      </c>
      <c r="B165" s="5" t="s">
        <v>82</v>
      </c>
      <c r="C165" s="4" t="s">
        <v>525</v>
      </c>
      <c r="D165" s="11" t="s">
        <v>472</v>
      </c>
      <c r="E165" s="4" t="s">
        <v>54</v>
      </c>
      <c r="F165" s="6" t="s">
        <v>526</v>
      </c>
      <c r="G165" s="6">
        <v>167</v>
      </c>
      <c r="H165" s="120"/>
      <c r="I165" s="11"/>
      <c r="J165" s="121"/>
      <c r="K165" s="95" t="s">
        <v>478</v>
      </c>
      <c r="L165" s="95"/>
      <c r="M165" s="7"/>
    </row>
    <row r="166" spans="1:14" ht="14.25" customHeight="1" x14ac:dyDescent="0.25">
      <c r="A166" s="33" t="s">
        <v>526</v>
      </c>
      <c r="B166" s="5" t="s">
        <v>82</v>
      </c>
      <c r="C166" s="4" t="s">
        <v>527</v>
      </c>
      <c r="D166" s="11" t="s">
        <v>472</v>
      </c>
      <c r="E166" s="4" t="s">
        <v>524</v>
      </c>
      <c r="F166" s="6"/>
      <c r="G166" s="6">
        <v>168</v>
      </c>
      <c r="H166" s="120"/>
      <c r="I166" s="11"/>
      <c r="J166" s="121"/>
      <c r="K166" s="95" t="s">
        <v>478</v>
      </c>
      <c r="L166" s="95"/>
      <c r="M166" s="7"/>
    </row>
    <row r="167" spans="1:14" ht="14.25" customHeight="1" x14ac:dyDescent="0.25">
      <c r="A167" s="33" t="s">
        <v>528</v>
      </c>
      <c r="B167" s="5" t="s">
        <v>82</v>
      </c>
      <c r="C167" s="4" t="s">
        <v>529</v>
      </c>
      <c r="D167" s="11" t="s">
        <v>472</v>
      </c>
      <c r="E167" s="4" t="s">
        <v>54</v>
      </c>
      <c r="F167" s="6" t="s">
        <v>22</v>
      </c>
      <c r="G167" s="6">
        <v>169</v>
      </c>
      <c r="H167" s="120"/>
      <c r="I167" s="11"/>
      <c r="J167" s="121"/>
      <c r="K167" s="95" t="s">
        <v>478</v>
      </c>
      <c r="L167" s="95"/>
      <c r="M167" s="7"/>
    </row>
    <row r="168" spans="1:14" ht="14.25" customHeight="1" x14ac:dyDescent="0.25">
      <c r="A168" s="33" t="s">
        <v>530</v>
      </c>
      <c r="B168" s="5" t="s">
        <v>82</v>
      </c>
      <c r="C168" s="4" t="s">
        <v>531</v>
      </c>
      <c r="D168" s="11" t="s">
        <v>472</v>
      </c>
      <c r="E168" s="4" t="s">
        <v>265</v>
      </c>
      <c r="F168" s="6"/>
      <c r="G168" s="6">
        <v>170</v>
      </c>
      <c r="H168" s="120"/>
      <c r="I168" s="11"/>
      <c r="J168" s="121"/>
      <c r="K168" s="95" t="s">
        <v>532</v>
      </c>
      <c r="L168" s="95"/>
      <c r="M168" s="7"/>
    </row>
    <row r="169" spans="1:14" ht="14.25" customHeight="1" x14ac:dyDescent="0.25">
      <c r="A169" s="33" t="s">
        <v>533</v>
      </c>
      <c r="B169" s="5" t="s">
        <v>82</v>
      </c>
      <c r="C169" s="4" t="s">
        <v>534</v>
      </c>
      <c r="D169" s="11" t="s">
        <v>472</v>
      </c>
      <c r="E169" s="4" t="s">
        <v>54</v>
      </c>
      <c r="F169" s="6" t="s">
        <v>22</v>
      </c>
      <c r="G169" s="6">
        <v>171</v>
      </c>
      <c r="H169" s="120"/>
      <c r="I169" s="11"/>
      <c r="J169" s="121"/>
      <c r="K169" s="95" t="s">
        <v>478</v>
      </c>
      <c r="L169" s="95"/>
      <c r="M169" s="7"/>
    </row>
    <row r="170" spans="1:14" ht="14.25" customHeight="1" x14ac:dyDescent="0.25">
      <c r="A170" s="33" t="s">
        <v>535</v>
      </c>
      <c r="B170" s="5" t="s">
        <v>82</v>
      </c>
      <c r="C170" s="4" t="s">
        <v>536</v>
      </c>
      <c r="D170" s="11" t="s">
        <v>472</v>
      </c>
      <c r="E170" s="4" t="s">
        <v>54</v>
      </c>
      <c r="F170" s="6" t="s">
        <v>22</v>
      </c>
      <c r="G170" s="6">
        <v>172</v>
      </c>
      <c r="H170" s="120"/>
      <c r="I170" s="11"/>
      <c r="J170" s="121"/>
      <c r="K170" s="95" t="s">
        <v>478</v>
      </c>
      <c r="L170" s="95"/>
      <c r="M170" s="7"/>
    </row>
    <row r="171" spans="1:14" ht="14.25" customHeight="1" x14ac:dyDescent="0.25">
      <c r="A171" s="33" t="s">
        <v>537</v>
      </c>
      <c r="B171" s="5" t="s">
        <v>82</v>
      </c>
      <c r="C171" s="4" t="s">
        <v>538</v>
      </c>
      <c r="D171" s="11" t="s">
        <v>472</v>
      </c>
      <c r="E171" s="4" t="s">
        <v>54</v>
      </c>
      <c r="F171" s="6" t="s">
        <v>22</v>
      </c>
      <c r="G171" s="6">
        <v>173</v>
      </c>
      <c r="H171" s="120"/>
      <c r="I171" s="11"/>
      <c r="J171" s="121"/>
      <c r="K171" s="95" t="s">
        <v>478</v>
      </c>
      <c r="L171" s="95"/>
      <c r="M171" s="7"/>
    </row>
    <row r="172" spans="1:14" ht="14.25" customHeight="1" x14ac:dyDescent="0.25">
      <c r="A172" s="33" t="s">
        <v>539</v>
      </c>
      <c r="B172" s="5" t="s">
        <v>82</v>
      </c>
      <c r="C172" s="4" t="s">
        <v>540</v>
      </c>
      <c r="D172" s="11" t="s">
        <v>472</v>
      </c>
      <c r="E172" s="4" t="s">
        <v>54</v>
      </c>
      <c r="F172" s="6" t="s">
        <v>22</v>
      </c>
      <c r="G172" s="6">
        <v>174</v>
      </c>
      <c r="H172" s="120"/>
      <c r="I172" s="11"/>
      <c r="J172" s="121"/>
      <c r="K172" s="95" t="s">
        <v>478</v>
      </c>
      <c r="L172" s="95"/>
      <c r="M172" s="7"/>
    </row>
    <row r="173" spans="1:14" ht="14.25" customHeight="1" x14ac:dyDescent="0.25">
      <c r="A173" s="33" t="s">
        <v>541</v>
      </c>
      <c r="B173" s="5" t="s">
        <v>82</v>
      </c>
      <c r="C173" s="4" t="s">
        <v>542</v>
      </c>
      <c r="D173" s="11" t="s">
        <v>472</v>
      </c>
      <c r="E173" s="4" t="s">
        <v>54</v>
      </c>
      <c r="F173" s="6" t="s">
        <v>22</v>
      </c>
      <c r="G173" s="6">
        <v>175</v>
      </c>
      <c r="H173" s="120"/>
      <c r="I173" s="11"/>
      <c r="J173" s="121"/>
      <c r="K173" s="95" t="s">
        <v>478</v>
      </c>
      <c r="L173" s="95"/>
      <c r="M173" s="7"/>
    </row>
    <row r="174" spans="1:14" ht="14.25" customHeight="1" x14ac:dyDescent="0.25">
      <c r="A174" s="33" t="s">
        <v>543</v>
      </c>
      <c r="B174" s="5" t="s">
        <v>82</v>
      </c>
      <c r="C174" s="4" t="s">
        <v>544</v>
      </c>
      <c r="D174" s="11" t="s">
        <v>472</v>
      </c>
      <c r="E174" s="4" t="s">
        <v>54</v>
      </c>
      <c r="F174" s="6" t="s">
        <v>22</v>
      </c>
      <c r="G174" s="6">
        <v>176</v>
      </c>
      <c r="H174" s="120"/>
      <c r="I174" s="11"/>
      <c r="J174" s="121"/>
      <c r="K174" s="95" t="s">
        <v>478</v>
      </c>
      <c r="L174" s="95"/>
      <c r="M174" s="7"/>
    </row>
    <row r="175" spans="1:14" ht="14.25" customHeight="1" x14ac:dyDescent="0.25">
      <c r="A175" s="33" t="s">
        <v>545</v>
      </c>
      <c r="B175" s="5" t="s">
        <v>546</v>
      </c>
      <c r="C175" s="4" t="s">
        <v>547</v>
      </c>
      <c r="D175" s="11" t="s">
        <v>472</v>
      </c>
      <c r="E175" s="4" t="s">
        <v>54</v>
      </c>
      <c r="F175" s="6"/>
      <c r="G175" s="6">
        <v>177</v>
      </c>
      <c r="H175" s="120"/>
      <c r="I175" s="11"/>
      <c r="J175" s="121"/>
      <c r="K175" s="95" t="s">
        <v>532</v>
      </c>
      <c r="L175" s="95"/>
      <c r="M175" s="7"/>
    </row>
    <row r="176" spans="1:14" ht="14.25" customHeight="1" x14ac:dyDescent="0.25">
      <c r="A176" s="33" t="s">
        <v>548</v>
      </c>
      <c r="B176" s="5" t="s">
        <v>546</v>
      </c>
      <c r="C176" s="4" t="s">
        <v>549</v>
      </c>
      <c r="D176" s="11" t="s">
        <v>472</v>
      </c>
      <c r="E176" s="4" t="s">
        <v>54</v>
      </c>
      <c r="F176" s="6"/>
      <c r="G176" s="6">
        <v>178</v>
      </c>
      <c r="H176" s="120"/>
      <c r="I176" s="11"/>
      <c r="J176" s="121"/>
      <c r="K176" s="95" t="s">
        <v>532</v>
      </c>
      <c r="L176" s="95"/>
      <c r="M176" s="7"/>
    </row>
    <row r="177" spans="1:14" ht="14.25" customHeight="1" x14ac:dyDescent="0.25">
      <c r="A177" s="33" t="s">
        <v>550</v>
      </c>
      <c r="B177" s="5" t="s">
        <v>546</v>
      </c>
      <c r="C177" s="4" t="s">
        <v>551</v>
      </c>
      <c r="D177" s="11" t="s">
        <v>472</v>
      </c>
      <c r="E177" s="4" t="s">
        <v>54</v>
      </c>
      <c r="F177" s="6"/>
      <c r="G177" s="6">
        <v>179</v>
      </c>
      <c r="H177" s="120"/>
      <c r="I177" s="11"/>
      <c r="J177" s="121"/>
      <c r="K177" s="95" t="s">
        <v>532</v>
      </c>
      <c r="L177" s="95"/>
      <c r="M177" s="7"/>
    </row>
    <row r="178" spans="1:14" ht="14.25" customHeight="1" x14ac:dyDescent="0.25">
      <c r="A178" s="33" t="s">
        <v>552</v>
      </c>
      <c r="B178" s="5" t="s">
        <v>82</v>
      </c>
      <c r="C178" s="4" t="s">
        <v>553</v>
      </c>
      <c r="D178" s="11" t="s">
        <v>472</v>
      </c>
      <c r="E178" s="4" t="s">
        <v>418</v>
      </c>
      <c r="F178" s="6" t="s">
        <v>22</v>
      </c>
      <c r="G178" s="6">
        <v>180</v>
      </c>
      <c r="H178" s="120"/>
      <c r="I178" s="11"/>
      <c r="J178" s="121"/>
      <c r="K178" s="95" t="s">
        <v>478</v>
      </c>
      <c r="L178" s="95"/>
      <c r="M178" s="7"/>
    </row>
    <row r="179" spans="1:14" ht="14.25" customHeight="1" x14ac:dyDescent="0.25">
      <c r="A179" s="33" t="s">
        <v>554</v>
      </c>
      <c r="B179" s="5" t="s">
        <v>82</v>
      </c>
      <c r="C179" s="4" t="s">
        <v>555</v>
      </c>
      <c r="D179" s="11" t="s">
        <v>472</v>
      </c>
      <c r="E179" s="4" t="s">
        <v>425</v>
      </c>
      <c r="F179" s="6" t="s">
        <v>22</v>
      </c>
      <c r="G179" s="6">
        <v>181</v>
      </c>
      <c r="H179" s="120"/>
      <c r="I179" s="11"/>
      <c r="J179" s="121"/>
      <c r="K179" s="95" t="s">
        <v>478</v>
      </c>
      <c r="L179" s="95"/>
      <c r="M179" s="7"/>
    </row>
    <row r="180" spans="1:14" ht="14.25" customHeight="1" x14ac:dyDescent="0.25">
      <c r="A180" s="33" t="s">
        <v>556</v>
      </c>
      <c r="B180" s="5" t="s">
        <v>82</v>
      </c>
      <c r="C180" s="4" t="s">
        <v>557</v>
      </c>
      <c r="D180" s="11" t="s">
        <v>472</v>
      </c>
      <c r="E180" s="4" t="s">
        <v>431</v>
      </c>
      <c r="F180" s="6" t="s">
        <v>22</v>
      </c>
      <c r="G180" s="6">
        <v>182</v>
      </c>
      <c r="H180" s="120"/>
      <c r="I180" s="11"/>
      <c r="J180" s="121"/>
      <c r="K180" s="95" t="s">
        <v>558</v>
      </c>
      <c r="L180" s="95"/>
      <c r="M180" s="7"/>
    </row>
    <row r="181" spans="1:14" ht="14.25" customHeight="1" x14ac:dyDescent="0.25">
      <c r="A181" s="33" t="s">
        <v>559</v>
      </c>
      <c r="B181" s="5" t="s">
        <v>82</v>
      </c>
      <c r="C181" s="4" t="s">
        <v>560</v>
      </c>
      <c r="D181" s="11" t="s">
        <v>472</v>
      </c>
      <c r="E181" s="4" t="s">
        <v>440</v>
      </c>
      <c r="F181" s="6" t="s">
        <v>22</v>
      </c>
      <c r="G181" s="6">
        <v>183</v>
      </c>
      <c r="H181" s="120"/>
      <c r="I181" s="11"/>
      <c r="J181" s="121"/>
      <c r="K181" s="95" t="s">
        <v>558</v>
      </c>
      <c r="L181" s="95"/>
      <c r="M181" s="7"/>
    </row>
    <row r="182" spans="1:14" ht="12.5" x14ac:dyDescent="0.25">
      <c r="A182" s="33" t="s">
        <v>561</v>
      </c>
      <c r="B182" s="5" t="s">
        <v>78</v>
      </c>
      <c r="C182" s="4" t="s">
        <v>562</v>
      </c>
      <c r="D182" s="11" t="s">
        <v>472</v>
      </c>
      <c r="E182" s="4" t="s">
        <v>80</v>
      </c>
      <c r="F182" s="6" t="s">
        <v>22</v>
      </c>
      <c r="G182" s="6">
        <v>184</v>
      </c>
      <c r="H182" s="120"/>
      <c r="I182" s="11"/>
      <c r="J182" s="121"/>
      <c r="K182" s="95" t="s">
        <v>478</v>
      </c>
      <c r="L182" s="95"/>
      <c r="M182" s="7"/>
      <c r="N182" s="7" t="s">
        <v>474</v>
      </c>
    </row>
    <row r="183" spans="1:14" ht="14.25" customHeight="1" x14ac:dyDescent="0.25">
      <c r="A183" s="33" t="s">
        <v>563</v>
      </c>
      <c r="B183" s="5" t="s">
        <v>52</v>
      </c>
      <c r="C183" s="4" t="s">
        <v>564</v>
      </c>
      <c r="D183" s="11" t="s">
        <v>472</v>
      </c>
      <c r="E183" s="4" t="s">
        <v>54</v>
      </c>
      <c r="F183" s="6"/>
      <c r="G183" s="6">
        <v>185</v>
      </c>
      <c r="H183" s="120"/>
      <c r="I183" s="11"/>
      <c r="J183" s="121" t="s">
        <v>565</v>
      </c>
      <c r="K183" s="95" t="s">
        <v>532</v>
      </c>
      <c r="L183" s="95"/>
      <c r="M183" s="7"/>
    </row>
    <row r="184" spans="1:14" ht="14.25" customHeight="1" x14ac:dyDescent="0.25">
      <c r="A184" s="33" t="s">
        <v>566</v>
      </c>
      <c r="B184" s="5" t="s">
        <v>52</v>
      </c>
      <c r="C184" s="4" t="s">
        <v>567</v>
      </c>
      <c r="D184" s="11" t="s">
        <v>472</v>
      </c>
      <c r="E184" s="4" t="s">
        <v>54</v>
      </c>
      <c r="F184" s="6"/>
      <c r="G184" s="6">
        <v>186</v>
      </c>
      <c r="H184" s="120"/>
      <c r="I184" s="11"/>
      <c r="J184" s="121" t="s">
        <v>568</v>
      </c>
      <c r="K184" s="95" t="s">
        <v>532</v>
      </c>
      <c r="L184" s="95"/>
      <c r="M184" s="7"/>
    </row>
    <row r="185" spans="1:14" ht="14.25" customHeight="1" x14ac:dyDescent="0.25">
      <c r="A185" s="33" t="s">
        <v>569</v>
      </c>
      <c r="B185" s="5" t="s">
        <v>52</v>
      </c>
      <c r="C185" s="4" t="s">
        <v>570</v>
      </c>
      <c r="D185" s="11" t="s">
        <v>472</v>
      </c>
      <c r="E185" s="4" t="s">
        <v>54</v>
      </c>
      <c r="F185" s="6"/>
      <c r="G185" s="6">
        <v>187</v>
      </c>
      <c r="H185" s="120"/>
      <c r="I185" s="11"/>
      <c r="J185" s="121" t="s">
        <v>565</v>
      </c>
      <c r="K185" s="95" t="s">
        <v>532</v>
      </c>
      <c r="L185" s="95"/>
      <c r="M185" s="7"/>
    </row>
    <row r="186" spans="1:14" ht="14.25" customHeight="1" x14ac:dyDescent="0.25">
      <c r="A186" s="33" t="s">
        <v>571</v>
      </c>
      <c r="B186" s="5" t="s">
        <v>52</v>
      </c>
      <c r="C186" s="4" t="s">
        <v>572</v>
      </c>
      <c r="D186" s="11" t="s">
        <v>472</v>
      </c>
      <c r="E186" s="4" t="s">
        <v>54</v>
      </c>
      <c r="F186" s="6"/>
      <c r="G186" s="6">
        <v>188</v>
      </c>
      <c r="H186" s="120"/>
      <c r="I186" s="11"/>
      <c r="J186" s="121" t="s">
        <v>565</v>
      </c>
      <c r="K186" s="95" t="s">
        <v>532</v>
      </c>
      <c r="L186" s="95"/>
      <c r="M186" s="7"/>
    </row>
    <row r="187" spans="1:14" ht="14.25" customHeight="1" x14ac:dyDescent="0.25">
      <c r="A187" s="33" t="s">
        <v>573</v>
      </c>
      <c r="B187" s="5" t="s">
        <v>82</v>
      </c>
      <c r="C187" s="4" t="s">
        <v>574</v>
      </c>
      <c r="D187" s="11" t="s">
        <v>472</v>
      </c>
      <c r="E187" s="4" t="s">
        <v>54</v>
      </c>
      <c r="F187" s="6" t="s">
        <v>22</v>
      </c>
      <c r="G187" s="6">
        <v>189</v>
      </c>
      <c r="H187" s="120"/>
      <c r="I187" s="11"/>
      <c r="J187" s="121"/>
      <c r="K187" s="95" t="s">
        <v>473</v>
      </c>
      <c r="L187" s="95"/>
      <c r="M187" s="7"/>
    </row>
    <row r="188" spans="1:14" ht="12.5" x14ac:dyDescent="0.25">
      <c r="A188" s="16" t="s">
        <v>575</v>
      </c>
      <c r="B188" s="5" t="s">
        <v>82</v>
      </c>
      <c r="C188" s="95" t="s">
        <v>576</v>
      </c>
      <c r="D188" s="11" t="s">
        <v>472</v>
      </c>
      <c r="E188" s="33" t="s">
        <v>299</v>
      </c>
      <c r="F188" s="95"/>
      <c r="G188" s="6">
        <v>190</v>
      </c>
      <c r="H188" s="95"/>
      <c r="I188" s="9"/>
      <c r="J188" s="16"/>
      <c r="K188" s="95" t="s">
        <v>532</v>
      </c>
      <c r="L188" s="122"/>
    </row>
    <row r="189" spans="1:14" ht="13" x14ac:dyDescent="0.25">
      <c r="A189" s="16" t="s">
        <v>577</v>
      </c>
      <c r="B189" s="5" t="s">
        <v>126</v>
      </c>
      <c r="C189" s="4" t="s">
        <v>578</v>
      </c>
      <c r="D189" s="11" t="s">
        <v>472</v>
      </c>
      <c r="E189" s="33" t="s">
        <v>80</v>
      </c>
      <c r="F189" s="95"/>
      <c r="G189" s="6">
        <v>191</v>
      </c>
      <c r="H189" s="95"/>
      <c r="I189" s="9"/>
      <c r="J189" s="16" t="s">
        <v>579</v>
      </c>
      <c r="K189" s="95" t="s">
        <v>473</v>
      </c>
      <c r="L189" s="122"/>
    </row>
    <row r="190" spans="1:14" ht="25" x14ac:dyDescent="0.25">
      <c r="A190" s="16" t="s">
        <v>8917</v>
      </c>
      <c r="B190" s="5" t="s">
        <v>126</v>
      </c>
      <c r="C190" s="4" t="s">
        <v>8942</v>
      </c>
      <c r="D190" s="11" t="s">
        <v>472</v>
      </c>
      <c r="E190" s="33" t="s">
        <v>80</v>
      </c>
      <c r="F190" s="95"/>
      <c r="G190" s="6">
        <v>192</v>
      </c>
      <c r="H190" s="95"/>
      <c r="I190" s="9"/>
      <c r="J190" s="201" t="s">
        <v>8943</v>
      </c>
      <c r="K190" s="95" t="s">
        <v>473</v>
      </c>
      <c r="L190" s="122"/>
    </row>
    <row r="191" spans="1:14" ht="12.5" x14ac:dyDescent="0.25">
      <c r="A191" s="16" t="s">
        <v>580</v>
      </c>
      <c r="B191" s="5" t="s">
        <v>82</v>
      </c>
      <c r="C191" s="4" t="s">
        <v>581</v>
      </c>
      <c r="D191" s="11" t="s">
        <v>472</v>
      </c>
      <c r="E191" s="33" t="s">
        <v>84</v>
      </c>
      <c r="F191" s="95"/>
      <c r="G191" s="6">
        <v>193</v>
      </c>
      <c r="H191" s="95"/>
      <c r="I191" s="9"/>
      <c r="J191" s="16"/>
      <c r="K191" s="95" t="s">
        <v>478</v>
      </c>
      <c r="L191" s="122"/>
    </row>
    <row r="192" spans="1:14" ht="13" x14ac:dyDescent="0.25">
      <c r="A192" s="16" t="s">
        <v>582</v>
      </c>
      <c r="B192" s="5" t="s">
        <v>126</v>
      </c>
      <c r="C192" s="4" t="s">
        <v>583</v>
      </c>
      <c r="D192" s="11" t="s">
        <v>472</v>
      </c>
      <c r="E192" s="33" t="s">
        <v>400</v>
      </c>
      <c r="F192" s="95"/>
      <c r="G192" s="6">
        <v>194</v>
      </c>
      <c r="H192" s="95"/>
      <c r="I192" s="9"/>
      <c r="J192" s="16"/>
      <c r="K192" s="95" t="s">
        <v>473</v>
      </c>
      <c r="L192" s="122"/>
    </row>
    <row r="193" spans="1:12" ht="14.25" customHeight="1" x14ac:dyDescent="0.25">
      <c r="A193" s="194" t="s">
        <v>8816</v>
      </c>
      <c r="B193" s="5" t="s">
        <v>134</v>
      </c>
      <c r="C193" s="4" t="s">
        <v>8819</v>
      </c>
      <c r="D193" s="11" t="s">
        <v>472</v>
      </c>
      <c r="E193" s="4" t="s">
        <v>80</v>
      </c>
      <c r="F193" s="6" t="s">
        <v>22</v>
      </c>
      <c r="G193" s="6">
        <v>195</v>
      </c>
      <c r="H193" s="95"/>
      <c r="I193" s="9"/>
      <c r="J193" s="16"/>
      <c r="K193" s="95" t="s">
        <v>473</v>
      </c>
      <c r="L193" s="122"/>
    </row>
    <row r="194" spans="1:12" ht="14.25" customHeight="1" x14ac:dyDescent="0.25">
      <c r="A194" s="194" t="s">
        <v>8817</v>
      </c>
      <c r="B194" s="5" t="s">
        <v>134</v>
      </c>
      <c r="C194" s="4" t="s">
        <v>8820</v>
      </c>
      <c r="D194" s="11" t="s">
        <v>472</v>
      </c>
      <c r="E194" s="4" t="s">
        <v>80</v>
      </c>
      <c r="F194" s="6" t="s">
        <v>22</v>
      </c>
      <c r="G194" s="6">
        <v>196</v>
      </c>
      <c r="H194" s="95"/>
      <c r="I194" s="9"/>
      <c r="J194" s="16"/>
      <c r="K194" s="95" t="s">
        <v>473</v>
      </c>
      <c r="L194" s="122"/>
    </row>
    <row r="195" spans="1:12" ht="25" x14ac:dyDescent="0.25">
      <c r="A195" s="194" t="s">
        <v>8944</v>
      </c>
      <c r="B195" s="5" t="s">
        <v>134</v>
      </c>
      <c r="C195" s="4" t="s">
        <v>8965</v>
      </c>
      <c r="D195" s="11" t="s">
        <v>472</v>
      </c>
      <c r="E195" s="4" t="s">
        <v>80</v>
      </c>
      <c r="F195" s="6" t="s">
        <v>22</v>
      </c>
      <c r="G195" s="6">
        <v>197</v>
      </c>
      <c r="H195" s="95"/>
      <c r="I195" s="9"/>
      <c r="J195" s="16" t="s">
        <v>8966</v>
      </c>
      <c r="K195" s="95" t="s">
        <v>473</v>
      </c>
      <c r="L195" s="122"/>
    </row>
  </sheetData>
  <autoFilter ref="A1:N194" xr:uid="{00000000-0001-0000-0000-000000000000}"/>
  <sortState xmlns:xlrd2="http://schemas.microsoft.com/office/spreadsheetml/2017/richdata2" ref="A9:I146">
    <sortCondition ref="A9:A146"/>
  </sortState>
  <customSheetViews>
    <customSheetView guid="{8BEC7B35-1120-4355-8562-5F01AA824295}" showPageBreaks="1" fitToPage="1" showAutoFilter="1" hiddenColumns="1">
      <pane xSplit="1" ySplit="1" topLeftCell="D65" activePane="bottomRight" state="frozen"/>
      <selection pane="bottomRight" activeCell="G42" sqref="G42"/>
      <pageMargins left="0" right="0" top="0" bottom="0" header="0" footer="0"/>
      <pageSetup paperSize="9" scale="57" fitToHeight="0" orientation="landscape" r:id="rId1"/>
      <headerFooter alignWithMargins="0">
        <oddHeader>&amp;C&amp;"Arial,Bold"&amp;14AGS 4 DATA DICTIONARY - GROUPS</oddHeader>
        <oddFooter>&amp;L&amp;D, &amp;T&amp;C&amp;F, &amp;A&amp;RPage &amp;P of &amp;N</oddFooter>
      </headerFooter>
      <autoFilter ref="A1:G132" xr:uid="{C26A98A4-2AED-4E78-A893-6D53B57AE4F0}"/>
    </customSheetView>
  </customSheetViews>
  <conditionalFormatting sqref="A2:A26 A28:A31 A33:A146 A159:A187">
    <cfRule type="expression" dxfId="219" priority="44" stopIfTrue="1">
      <formula>ISERROR(MATCH(A2,GroupHeadings,FALSE))</formula>
    </cfRule>
  </conditionalFormatting>
  <conditionalFormatting sqref="E50 E52 F2:F30 F35:F113 F32 F116:F187">
    <cfRule type="expression" dxfId="218" priority="43" stopIfTrue="1">
      <formula>IF(OR(E2="",E2="-"),FALSE,ISERROR(MATCH(E2,$A:$A,FALSE)))</formula>
    </cfRule>
  </conditionalFormatting>
  <conditionalFormatting sqref="A27">
    <cfRule type="expression" dxfId="217" priority="42" stopIfTrue="1">
      <formula>ISERROR(MATCH(A27,GroupHeadings,FALSE))</formula>
    </cfRule>
  </conditionalFormatting>
  <conditionalFormatting sqref="A32">
    <cfRule type="expression" dxfId="216" priority="38" stopIfTrue="1">
      <formula>ISERROR(MATCH(A32,GroupHeadings,FALSE))</formula>
    </cfRule>
  </conditionalFormatting>
  <conditionalFormatting sqref="F33">
    <cfRule type="expression" dxfId="215" priority="34" stopIfTrue="1">
      <formula>ISERROR(MATCH(F33,GroupHeadings,FALSE))</formula>
    </cfRule>
  </conditionalFormatting>
  <conditionalFormatting sqref="F31">
    <cfRule type="expression" dxfId="214" priority="33" stopIfTrue="1">
      <formula>ISERROR(MATCH(F31,GroupHeadings,FALSE))</formula>
    </cfRule>
  </conditionalFormatting>
  <conditionalFormatting sqref="E34">
    <cfRule type="expression" dxfId="213" priority="30" stopIfTrue="1">
      <formula>ISERROR(MATCH(E34,GroupHeadings,FALSE))</formula>
    </cfRule>
  </conditionalFormatting>
  <conditionalFormatting sqref="E32">
    <cfRule type="expression" dxfId="212" priority="29" stopIfTrue="1">
      <formula>ISERROR(MATCH(E32,GroupHeadings,FALSE))</formula>
    </cfRule>
  </conditionalFormatting>
  <conditionalFormatting sqref="F34">
    <cfRule type="expression" dxfId="211" priority="28" stopIfTrue="1">
      <formula>ISERROR(MATCH(F34,GroupHeadings,FALSE))</formula>
    </cfRule>
  </conditionalFormatting>
  <conditionalFormatting sqref="F114">
    <cfRule type="expression" dxfId="210" priority="26" stopIfTrue="1">
      <formula>ISERROR(MATCH(F114,GroupHeadings,FALSE))</formula>
    </cfRule>
  </conditionalFormatting>
  <conditionalFormatting sqref="F115">
    <cfRule type="expression" dxfId="209" priority="25" stopIfTrue="1">
      <formula>ISERROR(MATCH(F115,GroupHeadings,FALSE))</formula>
    </cfRule>
  </conditionalFormatting>
  <conditionalFormatting sqref="A147:A158">
    <cfRule type="expression" dxfId="208" priority="16" stopIfTrue="1">
      <formula>ISERROR(MATCH(A147,GroupHeadings,FALSE))</formula>
    </cfRule>
  </conditionalFormatting>
  <conditionalFormatting sqref="A188">
    <cfRule type="expression" dxfId="207" priority="13" stopIfTrue="1">
      <formula>ISERROR(MATCH(A188,GroupNames,FALSE))</formula>
    </cfRule>
  </conditionalFormatting>
  <conditionalFormatting sqref="E188">
    <cfRule type="expression" dxfId="206" priority="12" stopIfTrue="1">
      <formula>ISERROR(MATCH(E188,GroupHeadings,FALSE))</formula>
    </cfRule>
  </conditionalFormatting>
  <conditionalFormatting sqref="A189">
    <cfRule type="expression" dxfId="205" priority="11" stopIfTrue="1">
      <formula>ISERROR(MATCH(A189,GroupNames,FALSE))</formula>
    </cfRule>
  </conditionalFormatting>
  <conditionalFormatting sqref="E189">
    <cfRule type="expression" dxfId="204" priority="10" stopIfTrue="1">
      <formula>ISERROR(MATCH(E189,GroupHeadings,FALSE))</formula>
    </cfRule>
  </conditionalFormatting>
  <conditionalFormatting sqref="A190">
    <cfRule type="expression" dxfId="203" priority="9" stopIfTrue="1">
      <formula>ISERROR(MATCH(A190,GroupNames,FALSE))</formula>
    </cfRule>
  </conditionalFormatting>
  <conditionalFormatting sqref="E190">
    <cfRule type="expression" dxfId="202" priority="8" stopIfTrue="1">
      <formula>ISERROR(MATCH(E190,GroupHeadings,FALSE))</formula>
    </cfRule>
  </conditionalFormatting>
  <conditionalFormatting sqref="A191">
    <cfRule type="expression" dxfId="201" priority="7" stopIfTrue="1">
      <formula>ISERROR(MATCH(A191,GroupNames,FALSE))</formula>
    </cfRule>
  </conditionalFormatting>
  <conditionalFormatting sqref="E191">
    <cfRule type="expression" dxfId="200" priority="6" stopIfTrue="1">
      <formula>ISERROR(MATCH(E191,GroupHeadings,FALSE))</formula>
    </cfRule>
  </conditionalFormatting>
  <conditionalFormatting sqref="E192">
    <cfRule type="expression" dxfId="199" priority="4" stopIfTrue="1">
      <formula>ISERROR(MATCH(E192,GroupHeadings,FALSE))</formula>
    </cfRule>
  </conditionalFormatting>
  <conditionalFormatting sqref="A192">
    <cfRule type="expression" dxfId="198" priority="5" stopIfTrue="1">
      <formula>ISERROR(MATCH(A192,GroupNames,FALSE))</formula>
    </cfRule>
  </conditionalFormatting>
  <conditionalFormatting sqref="F193">
    <cfRule type="expression" dxfId="197" priority="3" stopIfTrue="1">
      <formula>IF(OR(F193="",F193="-"),FALSE,ISERROR(MATCH(F193,$A:$A,FALSE)))</formula>
    </cfRule>
  </conditionalFormatting>
  <conditionalFormatting sqref="F194">
    <cfRule type="expression" dxfId="196" priority="2" stopIfTrue="1">
      <formula>IF(OR(F194="",F194="-"),FALSE,ISERROR(MATCH(F194,$A:$A,FALSE)))</formula>
    </cfRule>
  </conditionalFormatting>
  <conditionalFormatting sqref="F195">
    <cfRule type="expression" dxfId="0" priority="1" stopIfTrue="1">
      <formula>IF(OR(F195="",F195="-"),FALSE,ISERROR(MATCH(F195,$A:$A,FALSE)))</formula>
    </cfRule>
  </conditionalFormatting>
  <pageMargins left="0.75" right="0.75" top="0.62" bottom="0.5" header="0.35" footer="0.22"/>
  <pageSetup paperSize="9" scale="57" fitToHeight="0" orientation="landscape" r:id="rId2"/>
  <headerFooter alignWithMargins="0">
    <oddHeader>&amp;C&amp;"Arial,Bold"&amp;14AGS 4 DATA DICTIONARY - GROUPS</oddHeader>
    <oddFooter>&amp;L&amp;D, &amp;T&amp;C&amp;F, &amp;A&amp;RPage &amp;P of &amp;N</oddFooter>
  </headerFooter>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C98D2-1514-4DE8-A11E-1C71CD126671}">
  <sheetPr codeName="Sheet7"/>
  <dimension ref="A3:M88"/>
  <sheetViews>
    <sheetView topLeftCell="A35" zoomScale="115" zoomScaleNormal="115" workbookViewId="0">
      <selection activeCell="H34" sqref="H34"/>
    </sheetView>
  </sheetViews>
  <sheetFormatPr defaultRowHeight="12.5" x14ac:dyDescent="0.25"/>
  <cols>
    <col min="3" max="3" width="19.26953125" customWidth="1"/>
    <col min="4" max="4" width="14" customWidth="1"/>
    <col min="5" max="5" width="6.1796875" customWidth="1"/>
    <col min="6" max="6" width="29.54296875" customWidth="1"/>
    <col min="7" max="7" width="15.26953125" customWidth="1"/>
    <col min="8" max="8" width="26.54296875" style="138" customWidth="1"/>
    <col min="9" max="9" width="26.54296875" style="139" customWidth="1"/>
    <col min="10" max="10" width="26.54296875" style="140" customWidth="1"/>
    <col min="11" max="11" width="26.54296875" style="141" customWidth="1"/>
    <col min="12" max="12" width="26.54296875" style="142" customWidth="1"/>
    <col min="13" max="13" width="26.7265625" style="143" customWidth="1"/>
  </cols>
  <sheetData>
    <row r="3" spans="1:13" x14ac:dyDescent="0.25">
      <c r="B3" t="s">
        <v>584</v>
      </c>
    </row>
    <row r="7" spans="1:13" ht="39" x14ac:dyDescent="0.25">
      <c r="A7" s="12" t="s">
        <v>585</v>
      </c>
      <c r="B7" s="13" t="s">
        <v>8</v>
      </c>
      <c r="C7" s="13" t="s">
        <v>586</v>
      </c>
      <c r="D7" s="13" t="s">
        <v>587</v>
      </c>
      <c r="E7" s="13" t="s">
        <v>588</v>
      </c>
      <c r="F7" s="14" t="s">
        <v>589</v>
      </c>
      <c r="G7" s="135" t="s">
        <v>590</v>
      </c>
      <c r="H7" s="131" t="s">
        <v>590</v>
      </c>
      <c r="I7" s="132" t="s">
        <v>591</v>
      </c>
      <c r="J7" s="133" t="s">
        <v>592</v>
      </c>
      <c r="K7" s="134" t="s">
        <v>593</v>
      </c>
      <c r="L7" s="185" t="s">
        <v>8788</v>
      </c>
      <c r="M7" s="186" t="s">
        <v>8789</v>
      </c>
    </row>
    <row r="8" spans="1:13" x14ac:dyDescent="0.25">
      <c r="A8" s="16" t="s">
        <v>200</v>
      </c>
      <c r="B8" s="17" t="s">
        <v>594</v>
      </c>
      <c r="C8" s="16" t="s">
        <v>595</v>
      </c>
      <c r="D8" s="17"/>
      <c r="E8" s="17" t="s">
        <v>596</v>
      </c>
      <c r="F8" s="18" t="s">
        <v>597</v>
      </c>
      <c r="G8" s="187" t="s">
        <v>598</v>
      </c>
      <c r="H8" s="144" t="s">
        <v>598</v>
      </c>
      <c r="I8" s="139" t="s">
        <v>598</v>
      </c>
      <c r="J8" s="140" t="s">
        <v>598</v>
      </c>
      <c r="K8" s="141" t="s">
        <v>598</v>
      </c>
      <c r="L8" s="142" t="s">
        <v>598</v>
      </c>
      <c r="M8" s="143" t="s">
        <v>598</v>
      </c>
    </row>
    <row r="9" spans="1:13" x14ac:dyDescent="0.25">
      <c r="A9" s="16" t="s">
        <v>200</v>
      </c>
      <c r="B9" s="17" t="s">
        <v>594</v>
      </c>
      <c r="C9" s="16" t="s">
        <v>599</v>
      </c>
      <c r="D9" s="17" t="s">
        <v>600</v>
      </c>
      <c r="E9" s="17" t="s">
        <v>601</v>
      </c>
      <c r="F9" s="18" t="s">
        <v>602</v>
      </c>
      <c r="G9" s="187" t="s">
        <v>603</v>
      </c>
      <c r="H9" s="144" t="s">
        <v>603</v>
      </c>
      <c r="I9" s="188">
        <f>H9+1</f>
        <v>17.21</v>
      </c>
      <c r="J9" s="189">
        <f t="shared" ref="J9:M9" si="0">I9+1</f>
        <v>18.21</v>
      </c>
      <c r="K9" s="190">
        <f t="shared" si="0"/>
        <v>19.21</v>
      </c>
      <c r="L9" s="191">
        <f t="shared" si="0"/>
        <v>20.21</v>
      </c>
      <c r="M9" s="192">
        <f t="shared" si="0"/>
        <v>21.21</v>
      </c>
    </row>
    <row r="10" spans="1:13" x14ac:dyDescent="0.25">
      <c r="A10" s="16" t="s">
        <v>200</v>
      </c>
      <c r="B10" s="17" t="s">
        <v>594</v>
      </c>
      <c r="C10" s="16" t="s">
        <v>604</v>
      </c>
      <c r="D10" s="17" t="s">
        <v>600</v>
      </c>
      <c r="E10" s="17" t="s">
        <v>601</v>
      </c>
      <c r="F10" s="18" t="s">
        <v>605</v>
      </c>
      <c r="G10" s="187" t="s">
        <v>606</v>
      </c>
      <c r="H10" s="144" t="s">
        <v>606</v>
      </c>
      <c r="I10" s="188">
        <f t="shared" ref="I10:M10" si="1">H10+1</f>
        <v>18.25</v>
      </c>
      <c r="J10" s="189">
        <f t="shared" si="1"/>
        <v>19.25</v>
      </c>
      <c r="K10" s="190">
        <f t="shared" si="1"/>
        <v>20.25</v>
      </c>
      <c r="L10" s="191">
        <f t="shared" si="1"/>
        <v>21.25</v>
      </c>
      <c r="M10" s="192">
        <f t="shared" si="1"/>
        <v>22.25</v>
      </c>
    </row>
    <row r="11" spans="1:13" ht="142.5" customHeight="1" x14ac:dyDescent="0.25">
      <c r="A11" s="16" t="s">
        <v>200</v>
      </c>
      <c r="B11" s="17"/>
      <c r="C11" s="16" t="s">
        <v>607</v>
      </c>
      <c r="D11" s="17"/>
      <c r="E11" s="17" t="s">
        <v>608</v>
      </c>
      <c r="F11" s="18" t="s">
        <v>609</v>
      </c>
      <c r="G11" s="136" t="s">
        <v>610</v>
      </c>
      <c r="H11" s="145" t="s">
        <v>611</v>
      </c>
      <c r="I11" s="146" t="s">
        <v>612</v>
      </c>
      <c r="J11" s="147" t="s">
        <v>613</v>
      </c>
      <c r="K11" s="148" t="s">
        <v>614</v>
      </c>
      <c r="L11" s="149" t="s">
        <v>615</v>
      </c>
      <c r="M11" s="169" t="s">
        <v>616</v>
      </c>
    </row>
    <row r="12" spans="1:13" x14ac:dyDescent="0.25">
      <c r="A12" s="16" t="s">
        <v>200</v>
      </c>
      <c r="B12" s="17"/>
      <c r="C12" s="16" t="s">
        <v>617</v>
      </c>
      <c r="D12" s="17"/>
      <c r="E12" s="17" t="s">
        <v>618</v>
      </c>
      <c r="F12" s="18" t="s">
        <v>619</v>
      </c>
      <c r="G12" s="136">
        <v>102</v>
      </c>
      <c r="H12" s="144" t="s">
        <v>620</v>
      </c>
      <c r="I12" s="139">
        <v>401</v>
      </c>
      <c r="J12" s="140" t="s">
        <v>621</v>
      </c>
      <c r="K12" s="141">
        <v>803</v>
      </c>
      <c r="L12" s="142">
        <v>803</v>
      </c>
      <c r="M12" s="169">
        <v>203</v>
      </c>
    </row>
    <row r="13" spans="1:13" x14ac:dyDescent="0.25">
      <c r="A13" s="16" t="s">
        <v>200</v>
      </c>
      <c r="B13" s="17"/>
      <c r="C13" s="16" t="s">
        <v>622</v>
      </c>
      <c r="D13" s="17"/>
      <c r="E13" s="17" t="s">
        <v>618</v>
      </c>
      <c r="F13" s="18" t="s">
        <v>623</v>
      </c>
      <c r="G13" s="136" t="s">
        <v>624</v>
      </c>
      <c r="M13" s="169" t="s">
        <v>625</v>
      </c>
    </row>
    <row r="14" spans="1:13" x14ac:dyDescent="0.25">
      <c r="A14" s="16" t="s">
        <v>200</v>
      </c>
      <c r="B14" s="17"/>
      <c r="C14" s="16" t="s">
        <v>626</v>
      </c>
      <c r="D14" s="17"/>
      <c r="E14" s="17" t="s">
        <v>618</v>
      </c>
      <c r="F14" s="18" t="s">
        <v>627</v>
      </c>
      <c r="G14" s="136" t="s">
        <v>628</v>
      </c>
      <c r="M14" s="169" t="s">
        <v>625</v>
      </c>
    </row>
    <row r="15" spans="1:13" ht="25" x14ac:dyDescent="0.25">
      <c r="A15" s="16" t="s">
        <v>200</v>
      </c>
      <c r="B15" s="17"/>
      <c r="C15" s="16" t="s">
        <v>629</v>
      </c>
      <c r="D15" s="17"/>
      <c r="E15" s="17" t="s">
        <v>608</v>
      </c>
      <c r="F15" s="18" t="s">
        <v>630</v>
      </c>
      <c r="G15" s="136" t="s">
        <v>631</v>
      </c>
      <c r="H15" s="144"/>
      <c r="M15" s="169" t="s">
        <v>625</v>
      </c>
    </row>
    <row r="16" spans="1:13" x14ac:dyDescent="0.25">
      <c r="A16" s="108" t="s">
        <v>200</v>
      </c>
      <c r="B16" s="109"/>
      <c r="C16" s="108" t="s">
        <v>632</v>
      </c>
      <c r="D16" s="109"/>
      <c r="E16" s="109" t="s">
        <v>618</v>
      </c>
      <c r="F16" s="110" t="s">
        <v>633</v>
      </c>
      <c r="G16" s="137" t="s">
        <v>634</v>
      </c>
      <c r="H16" s="150"/>
      <c r="M16" s="169" t="s">
        <v>625</v>
      </c>
    </row>
    <row r="17" spans="1:13" ht="37.5" x14ac:dyDescent="0.25">
      <c r="A17" s="16" t="s">
        <v>200</v>
      </c>
      <c r="B17" s="17"/>
      <c r="C17" s="16" t="s">
        <v>635</v>
      </c>
      <c r="D17" s="17"/>
      <c r="E17" s="17" t="s">
        <v>608</v>
      </c>
      <c r="F17" s="18" t="s">
        <v>636</v>
      </c>
      <c r="G17" s="136" t="s">
        <v>637</v>
      </c>
      <c r="H17" s="144"/>
      <c r="I17" s="146" t="s">
        <v>638</v>
      </c>
      <c r="J17" s="147" t="s">
        <v>639</v>
      </c>
      <c r="K17" s="148" t="s">
        <v>640</v>
      </c>
      <c r="M17" s="169" t="s">
        <v>625</v>
      </c>
    </row>
    <row r="18" spans="1:13" x14ac:dyDescent="0.25">
      <c r="A18" s="16" t="s">
        <v>200</v>
      </c>
      <c r="B18" s="17"/>
      <c r="C18" s="16" t="s">
        <v>641</v>
      </c>
      <c r="D18" s="17"/>
      <c r="E18" s="17" t="s">
        <v>608</v>
      </c>
      <c r="F18" s="18" t="s">
        <v>642</v>
      </c>
      <c r="G18" s="136" t="s">
        <v>16</v>
      </c>
      <c r="H18" s="144"/>
      <c r="M18" s="169" t="s">
        <v>625</v>
      </c>
    </row>
    <row r="19" spans="1:13" ht="37.5" x14ac:dyDescent="0.25">
      <c r="A19" s="16" t="s">
        <v>200</v>
      </c>
      <c r="B19" s="17"/>
      <c r="C19" s="16" t="s">
        <v>643</v>
      </c>
      <c r="D19" s="17"/>
      <c r="E19" s="17" t="s">
        <v>608</v>
      </c>
      <c r="F19" s="18" t="s">
        <v>644</v>
      </c>
      <c r="G19" s="136" t="s">
        <v>645</v>
      </c>
      <c r="H19" s="144"/>
      <c r="M19" s="169" t="s">
        <v>625</v>
      </c>
    </row>
    <row r="20" spans="1:13" x14ac:dyDescent="0.25">
      <c r="A20" s="16" t="s">
        <v>200</v>
      </c>
      <c r="B20" s="17"/>
      <c r="C20" s="16" t="s">
        <v>646</v>
      </c>
      <c r="D20" s="17"/>
      <c r="E20" s="17" t="s">
        <v>618</v>
      </c>
      <c r="F20" s="18" t="s">
        <v>647</v>
      </c>
      <c r="G20" s="136" t="s">
        <v>648</v>
      </c>
      <c r="H20" s="144"/>
      <c r="M20" s="169" t="s">
        <v>625</v>
      </c>
    </row>
    <row r="21" spans="1:13" ht="25" x14ac:dyDescent="0.25">
      <c r="A21" s="16" t="s">
        <v>200</v>
      </c>
      <c r="B21" s="17"/>
      <c r="C21" s="16" t="s">
        <v>649</v>
      </c>
      <c r="D21" s="17"/>
      <c r="E21" s="17" t="s">
        <v>618</v>
      </c>
      <c r="F21" s="18" t="s">
        <v>650</v>
      </c>
      <c r="G21" s="136" t="s">
        <v>651</v>
      </c>
      <c r="H21" s="144"/>
      <c r="K21" s="141">
        <v>801</v>
      </c>
      <c r="L21" s="142">
        <v>802</v>
      </c>
      <c r="M21" s="169">
        <v>725</v>
      </c>
    </row>
    <row r="22" spans="1:13" s="168" customFormat="1" ht="50.5" thickBot="1" x14ac:dyDescent="0.3">
      <c r="A22" s="159" t="s">
        <v>200</v>
      </c>
      <c r="B22" s="160"/>
      <c r="C22" s="159" t="s">
        <v>652</v>
      </c>
      <c r="D22" s="160"/>
      <c r="E22" s="160" t="s">
        <v>618</v>
      </c>
      <c r="F22" s="161" t="s">
        <v>653</v>
      </c>
      <c r="G22" s="162" t="s">
        <v>654</v>
      </c>
      <c r="H22" s="163"/>
      <c r="I22" s="164"/>
      <c r="J22" s="165"/>
      <c r="K22" s="166"/>
      <c r="L22" s="167"/>
      <c r="M22" s="171" t="s">
        <v>625</v>
      </c>
    </row>
    <row r="23" spans="1:13" x14ac:dyDescent="0.25">
      <c r="A23" s="48" t="s">
        <v>200</v>
      </c>
      <c r="B23" s="57"/>
      <c r="C23" s="48" t="s">
        <v>655</v>
      </c>
      <c r="D23" s="57"/>
      <c r="E23" s="57" t="s">
        <v>618</v>
      </c>
      <c r="F23" s="58" t="s">
        <v>656</v>
      </c>
      <c r="G23" s="153" t="s">
        <v>657</v>
      </c>
      <c r="H23" s="154"/>
      <c r="I23" s="155"/>
      <c r="J23" s="156"/>
      <c r="K23" s="157"/>
      <c r="L23" s="158"/>
      <c r="M23" s="170" t="s">
        <v>625</v>
      </c>
    </row>
    <row r="24" spans="1:13" x14ac:dyDescent="0.25">
      <c r="A24" s="16" t="s">
        <v>200</v>
      </c>
      <c r="B24" s="17"/>
      <c r="C24" s="16" t="s">
        <v>658</v>
      </c>
      <c r="D24" s="17"/>
      <c r="E24" s="17" t="s">
        <v>618</v>
      </c>
      <c r="F24" s="18" t="s">
        <v>659</v>
      </c>
      <c r="G24" s="136" t="s">
        <v>660</v>
      </c>
      <c r="H24" s="144" t="s">
        <v>661</v>
      </c>
      <c r="I24" s="151" t="s">
        <v>662</v>
      </c>
      <c r="M24" s="169" t="s">
        <v>625</v>
      </c>
    </row>
    <row r="25" spans="1:13" x14ac:dyDescent="0.25">
      <c r="A25" s="16" t="s">
        <v>200</v>
      </c>
      <c r="B25" s="17"/>
      <c r="C25" s="16" t="s">
        <v>663</v>
      </c>
      <c r="D25" s="17"/>
      <c r="E25" s="17" t="s">
        <v>618</v>
      </c>
      <c r="F25" s="18" t="s">
        <v>664</v>
      </c>
      <c r="G25" s="136" t="s">
        <v>665</v>
      </c>
      <c r="H25" s="144"/>
      <c r="M25" s="169" t="s">
        <v>625</v>
      </c>
    </row>
    <row r="26" spans="1:13" x14ac:dyDescent="0.25">
      <c r="A26" s="16" t="s">
        <v>200</v>
      </c>
      <c r="B26" s="17"/>
      <c r="C26" s="16" t="s">
        <v>666</v>
      </c>
      <c r="D26" s="17"/>
      <c r="E26" s="17" t="s">
        <v>618</v>
      </c>
      <c r="F26" s="18" t="s">
        <v>667</v>
      </c>
      <c r="G26" s="136" t="s">
        <v>657</v>
      </c>
      <c r="H26" s="144"/>
      <c r="M26" s="169" t="s">
        <v>625</v>
      </c>
    </row>
    <row r="27" spans="1:13" x14ac:dyDescent="0.25">
      <c r="A27" s="16" t="s">
        <v>200</v>
      </c>
      <c r="B27" s="17"/>
      <c r="C27" s="16" t="s">
        <v>668</v>
      </c>
      <c r="D27" s="17"/>
      <c r="E27" s="17" t="s">
        <v>618</v>
      </c>
      <c r="F27" s="18" t="s">
        <v>669</v>
      </c>
      <c r="G27" s="136" t="s">
        <v>670</v>
      </c>
      <c r="H27" s="144"/>
      <c r="M27" s="169" t="s">
        <v>625</v>
      </c>
    </row>
    <row r="28" spans="1:13" s="72" customFormat="1" ht="25" x14ac:dyDescent="0.25">
      <c r="A28" s="16" t="s">
        <v>200</v>
      </c>
      <c r="B28" s="17"/>
      <c r="C28" s="16" t="s">
        <v>671</v>
      </c>
      <c r="D28" s="17"/>
      <c r="E28" s="17" t="s">
        <v>618</v>
      </c>
      <c r="F28" s="18" t="s">
        <v>672</v>
      </c>
      <c r="G28" s="49"/>
      <c r="H28" s="144"/>
      <c r="I28" s="139"/>
      <c r="J28" s="140"/>
      <c r="K28" s="141"/>
      <c r="L28" s="142"/>
      <c r="M28" s="169" t="s">
        <v>625</v>
      </c>
    </row>
    <row r="29" spans="1:13" ht="25" x14ac:dyDescent="0.25">
      <c r="A29" s="16" t="s">
        <v>200</v>
      </c>
      <c r="B29" s="17"/>
      <c r="C29" s="16" t="s">
        <v>673</v>
      </c>
      <c r="D29" s="17"/>
      <c r="E29" s="17" t="s">
        <v>674</v>
      </c>
      <c r="F29" s="18" t="s">
        <v>675</v>
      </c>
      <c r="G29" s="49" t="s">
        <v>676</v>
      </c>
      <c r="H29" s="144" t="s">
        <v>676</v>
      </c>
      <c r="I29" s="139" t="s">
        <v>676</v>
      </c>
      <c r="J29" s="140" t="s">
        <v>677</v>
      </c>
      <c r="K29" s="141" t="s">
        <v>677</v>
      </c>
      <c r="L29" s="142" t="s">
        <v>677</v>
      </c>
      <c r="M29" s="169" t="s">
        <v>625</v>
      </c>
    </row>
    <row r="30" spans="1:13" x14ac:dyDescent="0.25">
      <c r="A30" s="16" t="s">
        <v>200</v>
      </c>
      <c r="B30" s="17"/>
      <c r="C30" s="16" t="s">
        <v>678</v>
      </c>
      <c r="D30" s="17"/>
      <c r="E30" s="17" t="s">
        <v>618</v>
      </c>
      <c r="F30" s="18" t="s">
        <v>679</v>
      </c>
      <c r="G30" s="136" t="s">
        <v>680</v>
      </c>
      <c r="H30" s="144" t="s">
        <v>681</v>
      </c>
      <c r="I30" s="139" t="s">
        <v>682</v>
      </c>
      <c r="M30" s="169" t="s">
        <v>625</v>
      </c>
    </row>
    <row r="31" spans="1:13" x14ac:dyDescent="0.25">
      <c r="A31" s="16" t="s">
        <v>200</v>
      </c>
      <c r="B31" s="17"/>
      <c r="C31" s="16" t="s">
        <v>683</v>
      </c>
      <c r="D31" s="17"/>
      <c r="E31" s="17" t="s">
        <v>618</v>
      </c>
      <c r="F31" s="18" t="s">
        <v>684</v>
      </c>
      <c r="G31" s="136" t="s">
        <v>685</v>
      </c>
      <c r="H31" s="144"/>
      <c r="M31" s="169" t="s">
        <v>625</v>
      </c>
    </row>
    <row r="32" spans="1:13" ht="25" x14ac:dyDescent="0.25">
      <c r="A32" s="16" t="s">
        <v>200</v>
      </c>
      <c r="B32" s="17"/>
      <c r="C32" s="16" t="s">
        <v>686</v>
      </c>
      <c r="D32" s="17"/>
      <c r="E32" s="17" t="s">
        <v>618</v>
      </c>
      <c r="F32" s="18" t="s">
        <v>687</v>
      </c>
      <c r="G32" s="136" t="s">
        <v>688</v>
      </c>
      <c r="H32" s="144"/>
      <c r="M32" s="169" t="s">
        <v>625</v>
      </c>
    </row>
    <row r="33" spans="1:13" ht="25" x14ac:dyDescent="0.25">
      <c r="A33" s="16" t="s">
        <v>200</v>
      </c>
      <c r="B33" s="17"/>
      <c r="C33" s="16" t="s">
        <v>689</v>
      </c>
      <c r="D33" s="17"/>
      <c r="E33" s="17" t="s">
        <v>618</v>
      </c>
      <c r="F33" s="18" t="s">
        <v>690</v>
      </c>
      <c r="G33" s="136" t="s">
        <v>691</v>
      </c>
      <c r="H33" s="144" t="s">
        <v>692</v>
      </c>
      <c r="I33" s="139" t="s">
        <v>693</v>
      </c>
      <c r="M33" s="169" t="s">
        <v>693</v>
      </c>
    </row>
    <row r="34" spans="1:13" ht="25" x14ac:dyDescent="0.25">
      <c r="A34" s="16" t="s">
        <v>200</v>
      </c>
      <c r="B34" s="17"/>
      <c r="C34" s="16" t="s">
        <v>694</v>
      </c>
      <c r="D34" s="17"/>
      <c r="E34" s="17" t="s">
        <v>608</v>
      </c>
      <c r="F34" s="18" t="s">
        <v>695</v>
      </c>
      <c r="G34" s="136"/>
      <c r="H34" s="144" t="s">
        <v>8812</v>
      </c>
      <c r="M34" s="169" t="s">
        <v>625</v>
      </c>
    </row>
    <row r="35" spans="1:13" x14ac:dyDescent="0.25">
      <c r="A35" s="16" t="s">
        <v>200</v>
      </c>
      <c r="B35" s="17"/>
      <c r="C35" s="16" t="s">
        <v>696</v>
      </c>
      <c r="D35" s="17"/>
      <c r="E35" s="17" t="s">
        <v>618</v>
      </c>
      <c r="F35" s="18" t="s">
        <v>697</v>
      </c>
      <c r="G35" s="136" t="s">
        <v>698</v>
      </c>
      <c r="H35" s="144"/>
      <c r="M35" s="169" t="s">
        <v>625</v>
      </c>
    </row>
    <row r="36" spans="1:13" x14ac:dyDescent="0.25">
      <c r="A36" s="16" t="s">
        <v>200</v>
      </c>
      <c r="B36" s="17"/>
      <c r="C36" s="16" t="s">
        <v>699</v>
      </c>
      <c r="D36" s="17"/>
      <c r="E36" s="17" t="s">
        <v>618</v>
      </c>
      <c r="F36" s="18" t="s">
        <v>700</v>
      </c>
      <c r="G36" s="136" t="s">
        <v>701</v>
      </c>
      <c r="H36" s="144"/>
      <c r="J36" s="140" t="s">
        <v>702</v>
      </c>
      <c r="K36" s="141" t="s">
        <v>701</v>
      </c>
      <c r="L36" s="142" t="s">
        <v>701</v>
      </c>
      <c r="M36" s="169" t="s">
        <v>625</v>
      </c>
    </row>
    <row r="37" spans="1:13" x14ac:dyDescent="0.25">
      <c r="A37" s="16" t="s">
        <v>200</v>
      </c>
      <c r="B37" s="17"/>
      <c r="C37" s="16" t="s">
        <v>703</v>
      </c>
      <c r="D37" s="17"/>
      <c r="E37" s="17" t="s">
        <v>608</v>
      </c>
      <c r="F37" s="18" t="s">
        <v>704</v>
      </c>
      <c r="G37" s="136"/>
      <c r="H37" s="144"/>
      <c r="M37" s="169" t="s">
        <v>625</v>
      </c>
    </row>
    <row r="38" spans="1:13" x14ac:dyDescent="0.25">
      <c r="A38" s="16" t="s">
        <v>200</v>
      </c>
      <c r="B38" s="17"/>
      <c r="C38" s="16" t="s">
        <v>705</v>
      </c>
      <c r="D38" s="17"/>
      <c r="E38" s="17" t="s">
        <v>608</v>
      </c>
      <c r="F38" s="18" t="s">
        <v>706</v>
      </c>
      <c r="G38" s="136" t="s">
        <v>707</v>
      </c>
      <c r="H38" s="144" t="s">
        <v>708</v>
      </c>
      <c r="I38" s="139" t="s">
        <v>709</v>
      </c>
      <c r="J38" s="140" t="s">
        <v>710</v>
      </c>
      <c r="K38" s="141" t="s">
        <v>709</v>
      </c>
      <c r="L38" s="142" t="s">
        <v>711</v>
      </c>
      <c r="M38" s="169" t="s">
        <v>625</v>
      </c>
    </row>
    <row r="39" spans="1:13" x14ac:dyDescent="0.25">
      <c r="A39" s="16" t="s">
        <v>200</v>
      </c>
      <c r="B39" s="17"/>
      <c r="C39" s="16" t="s">
        <v>712</v>
      </c>
      <c r="D39" s="17"/>
      <c r="E39" s="17" t="s">
        <v>618</v>
      </c>
      <c r="F39" s="18" t="s">
        <v>713</v>
      </c>
      <c r="G39" s="136" t="s">
        <v>714</v>
      </c>
      <c r="H39" s="144"/>
      <c r="I39" s="139" t="s">
        <v>715</v>
      </c>
      <c r="M39" s="169" t="s">
        <v>625</v>
      </c>
    </row>
    <row r="40" spans="1:13" x14ac:dyDescent="0.25">
      <c r="A40" s="16" t="s">
        <v>200</v>
      </c>
      <c r="B40" s="17"/>
      <c r="C40" s="16" t="s">
        <v>716</v>
      </c>
      <c r="D40" s="17"/>
      <c r="E40" s="17" t="s">
        <v>618</v>
      </c>
      <c r="F40" s="18" t="s">
        <v>717</v>
      </c>
      <c r="G40" s="136" t="s">
        <v>718</v>
      </c>
      <c r="H40" s="144"/>
      <c r="M40" s="169" t="s">
        <v>625</v>
      </c>
    </row>
    <row r="41" spans="1:13" x14ac:dyDescent="0.25">
      <c r="A41" s="16" t="s">
        <v>200</v>
      </c>
      <c r="B41" s="17"/>
      <c r="C41" s="16" t="s">
        <v>719</v>
      </c>
      <c r="D41" s="17"/>
      <c r="E41" s="17" t="s">
        <v>618</v>
      </c>
      <c r="F41" s="18" t="s">
        <v>720</v>
      </c>
      <c r="G41" s="136" t="s">
        <v>715</v>
      </c>
      <c r="H41" s="144"/>
      <c r="M41" s="169" t="s">
        <v>625</v>
      </c>
    </row>
    <row r="42" spans="1:13" ht="25" x14ac:dyDescent="0.25">
      <c r="A42" s="16" t="s">
        <v>200</v>
      </c>
      <c r="B42" s="17"/>
      <c r="C42" s="16" t="s">
        <v>721</v>
      </c>
      <c r="D42" s="17" t="s">
        <v>722</v>
      </c>
      <c r="E42" s="17" t="s">
        <v>723</v>
      </c>
      <c r="F42" s="18" t="s">
        <v>724</v>
      </c>
      <c r="G42" s="136" t="s">
        <v>725</v>
      </c>
      <c r="H42" s="144"/>
      <c r="M42" s="169" t="s">
        <v>625</v>
      </c>
    </row>
    <row r="43" spans="1:13" ht="25" x14ac:dyDescent="0.25">
      <c r="A43" s="16" t="s">
        <v>200</v>
      </c>
      <c r="B43" s="17"/>
      <c r="C43" s="16" t="s">
        <v>726</v>
      </c>
      <c r="D43" s="17"/>
      <c r="E43" s="17" t="s">
        <v>618</v>
      </c>
      <c r="F43" s="18" t="s">
        <v>727</v>
      </c>
      <c r="G43" s="136" t="s">
        <v>728</v>
      </c>
      <c r="H43" s="144"/>
      <c r="M43" s="169" t="s">
        <v>625</v>
      </c>
    </row>
    <row r="44" spans="1:13" x14ac:dyDescent="0.25">
      <c r="A44" s="16" t="s">
        <v>200</v>
      </c>
      <c r="B44" s="17"/>
      <c r="C44" s="16" t="s">
        <v>729</v>
      </c>
      <c r="D44" s="17"/>
      <c r="E44" s="17" t="s">
        <v>618</v>
      </c>
      <c r="F44" s="18" t="s">
        <v>730</v>
      </c>
      <c r="G44" s="136" t="s">
        <v>731</v>
      </c>
      <c r="H44" s="144"/>
      <c r="M44" s="169" t="s">
        <v>625</v>
      </c>
    </row>
    <row r="45" spans="1:13" ht="25" x14ac:dyDescent="0.25">
      <c r="A45" s="16" t="s">
        <v>200</v>
      </c>
      <c r="B45" s="17"/>
      <c r="C45" s="16" t="s">
        <v>732</v>
      </c>
      <c r="D45" s="17"/>
      <c r="E45" s="17" t="s">
        <v>618</v>
      </c>
      <c r="F45" s="18" t="s">
        <v>733</v>
      </c>
      <c r="G45" s="136" t="s">
        <v>734</v>
      </c>
      <c r="H45" s="144" t="s">
        <v>715</v>
      </c>
      <c r="M45" s="169" t="s">
        <v>625</v>
      </c>
    </row>
    <row r="46" spans="1:13" ht="25" x14ac:dyDescent="0.25">
      <c r="A46" s="16" t="s">
        <v>200</v>
      </c>
      <c r="B46" s="17"/>
      <c r="C46" s="16" t="s">
        <v>735</v>
      </c>
      <c r="D46" s="17"/>
      <c r="E46" s="17" t="s">
        <v>618</v>
      </c>
      <c r="F46" s="18" t="s">
        <v>736</v>
      </c>
      <c r="G46" s="136" t="s">
        <v>693</v>
      </c>
      <c r="H46" s="144"/>
      <c r="M46" s="169" t="s">
        <v>625</v>
      </c>
    </row>
    <row r="47" spans="1:13" ht="37.5" x14ac:dyDescent="0.25">
      <c r="A47" s="16" t="s">
        <v>200</v>
      </c>
      <c r="B47" s="17"/>
      <c r="C47" s="16" t="s">
        <v>737</v>
      </c>
      <c r="D47" s="17"/>
      <c r="E47" s="17" t="s">
        <v>608</v>
      </c>
      <c r="F47" s="18" t="s">
        <v>738</v>
      </c>
      <c r="G47" s="136" t="s">
        <v>739</v>
      </c>
      <c r="H47" s="144"/>
      <c r="M47" s="169" t="s">
        <v>692</v>
      </c>
    </row>
    <row r="48" spans="1:13" ht="25" x14ac:dyDescent="0.25">
      <c r="A48" s="16" t="s">
        <v>200</v>
      </c>
      <c r="B48" s="17"/>
      <c r="C48" s="16" t="s">
        <v>740</v>
      </c>
      <c r="D48" s="17"/>
      <c r="E48" s="17" t="s">
        <v>618</v>
      </c>
      <c r="F48" s="18" t="s">
        <v>741</v>
      </c>
      <c r="G48" s="136" t="s">
        <v>692</v>
      </c>
      <c r="H48" s="144"/>
      <c r="M48" s="169" t="s">
        <v>625</v>
      </c>
    </row>
    <row r="49" spans="1:13" ht="37.5" x14ac:dyDescent="0.25">
      <c r="A49" s="16" t="s">
        <v>200</v>
      </c>
      <c r="B49" s="17"/>
      <c r="C49" s="16" t="s">
        <v>742</v>
      </c>
      <c r="D49" s="17"/>
      <c r="E49" s="17" t="s">
        <v>608</v>
      </c>
      <c r="F49" s="18" t="s">
        <v>743</v>
      </c>
      <c r="G49" s="136" t="s">
        <v>739</v>
      </c>
      <c r="H49" s="144"/>
      <c r="M49" s="169" t="s">
        <v>625</v>
      </c>
    </row>
    <row r="50" spans="1:13" ht="37.5" x14ac:dyDescent="0.25">
      <c r="A50" s="16" t="s">
        <v>200</v>
      </c>
      <c r="B50" s="17"/>
      <c r="C50" s="16" t="s">
        <v>744</v>
      </c>
      <c r="D50" s="17"/>
      <c r="E50" s="17" t="s">
        <v>608</v>
      </c>
      <c r="F50" s="18" t="s">
        <v>745</v>
      </c>
      <c r="G50" s="136" t="s">
        <v>746</v>
      </c>
      <c r="H50" s="144"/>
      <c r="J50" s="152" t="s">
        <v>747</v>
      </c>
      <c r="M50" s="169" t="s">
        <v>625</v>
      </c>
    </row>
    <row r="51" spans="1:13" x14ac:dyDescent="0.25">
      <c r="A51" s="16" t="s">
        <v>200</v>
      </c>
      <c r="B51" s="17"/>
      <c r="C51" s="16" t="s">
        <v>748</v>
      </c>
      <c r="D51" s="17"/>
      <c r="E51" s="17" t="s">
        <v>618</v>
      </c>
      <c r="F51" s="18" t="s">
        <v>749</v>
      </c>
      <c r="G51" s="136" t="s">
        <v>750</v>
      </c>
      <c r="H51" s="144"/>
      <c r="M51" s="169" t="s">
        <v>625</v>
      </c>
    </row>
    <row r="52" spans="1:13" ht="25" x14ac:dyDescent="0.25">
      <c r="A52" s="16" t="s">
        <v>200</v>
      </c>
      <c r="B52" s="17"/>
      <c r="C52" s="16" t="s">
        <v>751</v>
      </c>
      <c r="D52" s="17"/>
      <c r="E52" s="17" t="s">
        <v>608</v>
      </c>
      <c r="F52" s="18" t="s">
        <v>752</v>
      </c>
      <c r="G52" s="136" t="s">
        <v>753</v>
      </c>
      <c r="H52" s="144"/>
      <c r="M52" s="169" t="s">
        <v>625</v>
      </c>
    </row>
    <row r="53" spans="1:13" ht="25" x14ac:dyDescent="0.25">
      <c r="A53" s="16" t="s">
        <v>200</v>
      </c>
      <c r="B53" s="17"/>
      <c r="C53" s="16" t="s">
        <v>754</v>
      </c>
      <c r="D53" s="17"/>
      <c r="E53" s="17" t="s">
        <v>608</v>
      </c>
      <c r="F53" s="18" t="s">
        <v>755</v>
      </c>
      <c r="G53" s="136" t="s">
        <v>756</v>
      </c>
      <c r="H53" s="144" t="s">
        <v>8813</v>
      </c>
      <c r="I53" s="139" t="s">
        <v>757</v>
      </c>
      <c r="M53" s="169" t="s">
        <v>625</v>
      </c>
    </row>
    <row r="54" spans="1:13" x14ac:dyDescent="0.25">
      <c r="A54" s="16" t="s">
        <v>200</v>
      </c>
      <c r="B54" s="17"/>
      <c r="C54" s="16" t="s">
        <v>758</v>
      </c>
      <c r="D54" s="17"/>
      <c r="E54" s="17" t="s">
        <v>608</v>
      </c>
      <c r="F54" s="18" t="s">
        <v>759</v>
      </c>
      <c r="G54" s="136" t="s">
        <v>760</v>
      </c>
      <c r="H54" s="144" t="s">
        <v>761</v>
      </c>
      <c r="M54" s="169" t="s">
        <v>625</v>
      </c>
    </row>
    <row r="55" spans="1:13" ht="37.5" x14ac:dyDescent="0.25">
      <c r="A55" s="16" t="s">
        <v>200</v>
      </c>
      <c r="B55" s="17"/>
      <c r="C55" s="16" t="s">
        <v>762</v>
      </c>
      <c r="D55" s="17"/>
      <c r="E55" s="17" t="s">
        <v>608</v>
      </c>
      <c r="F55" s="18" t="s">
        <v>763</v>
      </c>
      <c r="G55" s="136" t="s">
        <v>764</v>
      </c>
      <c r="H55" s="144"/>
      <c r="M55" s="169" t="s">
        <v>625</v>
      </c>
    </row>
    <row r="56" spans="1:13" ht="25" x14ac:dyDescent="0.25">
      <c r="A56" s="16" t="s">
        <v>200</v>
      </c>
      <c r="B56" s="17"/>
      <c r="C56" s="16" t="s">
        <v>765</v>
      </c>
      <c r="D56" s="17" t="s">
        <v>766</v>
      </c>
      <c r="E56" s="17" t="s">
        <v>767</v>
      </c>
      <c r="F56" s="18" t="s">
        <v>768</v>
      </c>
      <c r="G56" s="136" t="s">
        <v>769</v>
      </c>
      <c r="H56" s="144"/>
      <c r="L56" s="142">
        <v>60</v>
      </c>
      <c r="M56" s="169">
        <v>70</v>
      </c>
    </row>
    <row r="57" spans="1:13" ht="25" x14ac:dyDescent="0.25">
      <c r="A57" s="16" t="s">
        <v>200</v>
      </c>
      <c r="B57" s="17"/>
      <c r="C57" s="113" t="s">
        <v>770</v>
      </c>
      <c r="D57" s="17"/>
      <c r="E57" s="17" t="s">
        <v>618</v>
      </c>
      <c r="F57" s="18" t="s">
        <v>771</v>
      </c>
      <c r="G57" s="136" t="s">
        <v>772</v>
      </c>
      <c r="H57" s="144"/>
      <c r="K57" s="141" t="s">
        <v>772</v>
      </c>
      <c r="L57" s="142" t="s">
        <v>773</v>
      </c>
      <c r="M57" s="169" t="s">
        <v>774</v>
      </c>
    </row>
    <row r="58" spans="1:13" x14ac:dyDescent="0.25">
      <c r="A58" s="16" t="s">
        <v>200</v>
      </c>
      <c r="B58" s="17"/>
      <c r="C58" s="16" t="s">
        <v>775</v>
      </c>
      <c r="D58" s="17"/>
      <c r="E58" s="17" t="s">
        <v>618</v>
      </c>
      <c r="F58" s="18" t="s">
        <v>776</v>
      </c>
      <c r="G58" s="136" t="s">
        <v>718</v>
      </c>
      <c r="H58" s="144"/>
      <c r="K58" s="141" t="s">
        <v>777</v>
      </c>
      <c r="L58" s="142" t="s">
        <v>665</v>
      </c>
      <c r="M58" s="169" t="s">
        <v>665</v>
      </c>
    </row>
    <row r="59" spans="1:13" x14ac:dyDescent="0.25">
      <c r="A59" s="16" t="s">
        <v>200</v>
      </c>
      <c r="B59" s="17"/>
      <c r="C59" s="16" t="s">
        <v>778</v>
      </c>
      <c r="D59" s="17"/>
      <c r="E59" s="17" t="s">
        <v>618</v>
      </c>
      <c r="F59" s="18" t="s">
        <v>679</v>
      </c>
      <c r="G59" s="136" t="s">
        <v>680</v>
      </c>
      <c r="H59" s="144"/>
      <c r="M59" s="169" t="s">
        <v>625</v>
      </c>
    </row>
    <row r="60" spans="1:13" x14ac:dyDescent="0.25">
      <c r="A60" s="16" t="s">
        <v>200</v>
      </c>
      <c r="B60" s="17"/>
      <c r="C60" s="16" t="s">
        <v>779</v>
      </c>
      <c r="D60" s="17"/>
      <c r="E60" s="17" t="s">
        <v>618</v>
      </c>
      <c r="F60" s="18" t="s">
        <v>684</v>
      </c>
      <c r="G60" s="136" t="s">
        <v>685</v>
      </c>
      <c r="H60" s="144"/>
      <c r="M60" s="169" t="s">
        <v>625</v>
      </c>
    </row>
    <row r="61" spans="1:13" ht="25" x14ac:dyDescent="0.25">
      <c r="A61" s="16" t="s">
        <v>200</v>
      </c>
      <c r="B61" s="17"/>
      <c r="C61" s="16" t="s">
        <v>780</v>
      </c>
      <c r="D61" s="17"/>
      <c r="E61" s="17" t="s">
        <v>618</v>
      </c>
      <c r="F61" s="18" t="s">
        <v>781</v>
      </c>
      <c r="G61" s="136" t="s">
        <v>688</v>
      </c>
      <c r="H61" s="144"/>
      <c r="M61" s="169" t="s">
        <v>625</v>
      </c>
    </row>
    <row r="62" spans="1:13" ht="25" x14ac:dyDescent="0.25">
      <c r="A62" s="16" t="s">
        <v>200</v>
      </c>
      <c r="B62" s="17"/>
      <c r="C62" s="16" t="s">
        <v>782</v>
      </c>
      <c r="D62" s="17"/>
      <c r="E62" s="17" t="s">
        <v>618</v>
      </c>
      <c r="F62" s="18" t="s">
        <v>783</v>
      </c>
      <c r="G62" s="136" t="s">
        <v>784</v>
      </c>
      <c r="H62" s="144"/>
      <c r="M62" s="169" t="s">
        <v>785</v>
      </c>
    </row>
    <row r="63" spans="1:13" ht="25" x14ac:dyDescent="0.25">
      <c r="A63" s="16" t="s">
        <v>200</v>
      </c>
      <c r="B63" s="17"/>
      <c r="C63" s="16" t="s">
        <v>786</v>
      </c>
      <c r="D63" s="17"/>
      <c r="E63" s="17" t="s">
        <v>608</v>
      </c>
      <c r="F63" s="18" t="s">
        <v>787</v>
      </c>
      <c r="G63" s="136"/>
      <c r="H63" s="144"/>
      <c r="M63" s="169" t="s">
        <v>625</v>
      </c>
    </row>
    <row r="64" spans="1:13" x14ac:dyDescent="0.25">
      <c r="A64" s="16" t="s">
        <v>200</v>
      </c>
      <c r="B64" s="17"/>
      <c r="C64" s="16" t="s">
        <v>788</v>
      </c>
      <c r="D64" s="17"/>
      <c r="E64" s="17" t="s">
        <v>618</v>
      </c>
      <c r="F64" s="18" t="s">
        <v>789</v>
      </c>
      <c r="G64" s="136" t="s">
        <v>698</v>
      </c>
      <c r="H64" s="144"/>
      <c r="M64" s="169" t="s">
        <v>625</v>
      </c>
    </row>
    <row r="65" spans="1:13" x14ac:dyDescent="0.25">
      <c r="A65" s="16" t="s">
        <v>200</v>
      </c>
      <c r="B65" s="17"/>
      <c r="C65" s="16" t="s">
        <v>790</v>
      </c>
      <c r="D65" s="17"/>
      <c r="E65" s="17" t="s">
        <v>618</v>
      </c>
      <c r="F65" s="18" t="s">
        <v>791</v>
      </c>
      <c r="G65" s="136" t="s">
        <v>701</v>
      </c>
      <c r="H65" s="144"/>
      <c r="L65" s="142" t="s">
        <v>792</v>
      </c>
      <c r="M65" s="169" t="s">
        <v>625</v>
      </c>
    </row>
    <row r="66" spans="1:13" x14ac:dyDescent="0.25">
      <c r="A66" s="16" t="s">
        <v>200</v>
      </c>
      <c r="B66" s="17"/>
      <c r="C66" s="16" t="s">
        <v>793</v>
      </c>
      <c r="D66" s="17"/>
      <c r="E66" s="17" t="s">
        <v>608</v>
      </c>
      <c r="F66" s="18" t="s">
        <v>794</v>
      </c>
      <c r="G66" s="136"/>
      <c r="H66" s="144"/>
      <c r="M66" s="169" t="s">
        <v>625</v>
      </c>
    </row>
    <row r="67" spans="1:13" x14ac:dyDescent="0.25">
      <c r="A67" s="16" t="s">
        <v>200</v>
      </c>
      <c r="B67" s="17"/>
      <c r="C67" s="16" t="s">
        <v>795</v>
      </c>
      <c r="D67" s="17"/>
      <c r="E67" s="17" t="s">
        <v>608</v>
      </c>
      <c r="F67" s="18" t="s">
        <v>796</v>
      </c>
      <c r="G67" s="136" t="s">
        <v>707</v>
      </c>
      <c r="H67" s="144"/>
      <c r="L67" s="142" t="s">
        <v>797</v>
      </c>
      <c r="M67" s="169" t="s">
        <v>625</v>
      </c>
    </row>
    <row r="68" spans="1:13" ht="25" x14ac:dyDescent="0.25">
      <c r="A68" s="16" t="s">
        <v>200</v>
      </c>
      <c r="B68" s="17"/>
      <c r="C68" s="16" t="s">
        <v>798</v>
      </c>
      <c r="D68" s="17"/>
      <c r="E68" s="17" t="s">
        <v>618</v>
      </c>
      <c r="F68" s="18" t="s">
        <v>799</v>
      </c>
      <c r="G68" s="136" t="s">
        <v>714</v>
      </c>
      <c r="H68" s="144"/>
      <c r="M68" s="169" t="s">
        <v>625</v>
      </c>
    </row>
    <row r="69" spans="1:13" x14ac:dyDescent="0.25">
      <c r="A69" s="16" t="s">
        <v>200</v>
      </c>
      <c r="B69" s="17"/>
      <c r="C69" s="16" t="s">
        <v>800</v>
      </c>
      <c r="D69" s="17"/>
      <c r="E69" s="17" t="s">
        <v>618</v>
      </c>
      <c r="F69" s="18" t="s">
        <v>717</v>
      </c>
      <c r="G69" s="136" t="s">
        <v>718</v>
      </c>
      <c r="H69" s="144"/>
      <c r="M69" s="169" t="s">
        <v>625</v>
      </c>
    </row>
    <row r="70" spans="1:13" ht="25" x14ac:dyDescent="0.25">
      <c r="A70" s="16" t="s">
        <v>200</v>
      </c>
      <c r="B70" s="17"/>
      <c r="C70" s="16" t="s">
        <v>801</v>
      </c>
      <c r="D70" s="17"/>
      <c r="E70" s="17" t="s">
        <v>618</v>
      </c>
      <c r="F70" s="18" t="s">
        <v>802</v>
      </c>
      <c r="G70" s="136" t="s">
        <v>715</v>
      </c>
      <c r="H70" s="144"/>
      <c r="M70" s="169" t="s">
        <v>625</v>
      </c>
    </row>
    <row r="71" spans="1:13" ht="37.5" x14ac:dyDescent="0.25">
      <c r="A71" s="16" t="s">
        <v>200</v>
      </c>
      <c r="B71" s="17"/>
      <c r="C71" s="16" t="s">
        <v>803</v>
      </c>
      <c r="D71" s="17" t="s">
        <v>722</v>
      </c>
      <c r="E71" s="17" t="s">
        <v>723</v>
      </c>
      <c r="F71" s="18" t="s">
        <v>804</v>
      </c>
      <c r="G71" s="136" t="s">
        <v>725</v>
      </c>
      <c r="H71" s="144"/>
      <c r="M71" s="169" t="s">
        <v>625</v>
      </c>
    </row>
    <row r="72" spans="1:13" ht="25" x14ac:dyDescent="0.25">
      <c r="A72" s="16" t="s">
        <v>200</v>
      </c>
      <c r="B72" s="17"/>
      <c r="C72" s="16" t="s">
        <v>805</v>
      </c>
      <c r="D72" s="17"/>
      <c r="E72" s="17" t="s">
        <v>618</v>
      </c>
      <c r="F72" s="18" t="s">
        <v>806</v>
      </c>
      <c r="G72" s="136" t="s">
        <v>728</v>
      </c>
      <c r="H72" s="144"/>
      <c r="M72" s="169" t="s">
        <v>625</v>
      </c>
    </row>
    <row r="73" spans="1:13" ht="25" x14ac:dyDescent="0.25">
      <c r="A73" s="16" t="s">
        <v>200</v>
      </c>
      <c r="B73" s="17"/>
      <c r="C73" s="16" t="s">
        <v>807</v>
      </c>
      <c r="D73" s="17"/>
      <c r="E73" s="17" t="s">
        <v>618</v>
      </c>
      <c r="F73" s="18" t="s">
        <v>808</v>
      </c>
      <c r="G73" s="136" t="s">
        <v>731</v>
      </c>
      <c r="H73" s="144"/>
      <c r="M73" s="169" t="s">
        <v>625</v>
      </c>
    </row>
    <row r="74" spans="1:13" ht="25" x14ac:dyDescent="0.25">
      <c r="A74" s="16" t="s">
        <v>200</v>
      </c>
      <c r="B74" s="17"/>
      <c r="C74" s="16" t="s">
        <v>809</v>
      </c>
      <c r="D74" s="17"/>
      <c r="E74" s="17" t="s">
        <v>618</v>
      </c>
      <c r="F74" s="18" t="s">
        <v>810</v>
      </c>
      <c r="G74" s="136" t="s">
        <v>734</v>
      </c>
      <c r="H74" s="144"/>
      <c r="M74" s="169" t="s">
        <v>625</v>
      </c>
    </row>
    <row r="75" spans="1:13" ht="25" x14ac:dyDescent="0.25">
      <c r="A75" s="16" t="s">
        <v>200</v>
      </c>
      <c r="B75" s="17"/>
      <c r="C75" s="16" t="s">
        <v>811</v>
      </c>
      <c r="D75" s="17"/>
      <c r="E75" s="17" t="s">
        <v>618</v>
      </c>
      <c r="F75" s="18" t="s">
        <v>812</v>
      </c>
      <c r="G75" s="136" t="s">
        <v>693</v>
      </c>
      <c r="H75" s="144"/>
      <c r="M75" s="169" t="s">
        <v>625</v>
      </c>
    </row>
    <row r="76" spans="1:13" ht="37.5" x14ac:dyDescent="0.25">
      <c r="A76" s="16" t="s">
        <v>200</v>
      </c>
      <c r="B76" s="17"/>
      <c r="C76" s="16" t="s">
        <v>813</v>
      </c>
      <c r="D76" s="17"/>
      <c r="E76" s="17" t="s">
        <v>608</v>
      </c>
      <c r="F76" s="18" t="s">
        <v>814</v>
      </c>
      <c r="G76" s="136" t="s">
        <v>739</v>
      </c>
      <c r="H76" s="144"/>
      <c r="M76" s="169" t="s">
        <v>625</v>
      </c>
    </row>
    <row r="77" spans="1:13" ht="25" x14ac:dyDescent="0.25">
      <c r="A77" s="16" t="s">
        <v>200</v>
      </c>
      <c r="B77" s="17"/>
      <c r="C77" s="16" t="s">
        <v>815</v>
      </c>
      <c r="D77" s="17"/>
      <c r="E77" s="17" t="s">
        <v>618</v>
      </c>
      <c r="F77" s="18" t="s">
        <v>816</v>
      </c>
      <c r="G77" s="136" t="s">
        <v>692</v>
      </c>
      <c r="H77" s="144"/>
      <c r="M77" s="169" t="s">
        <v>625</v>
      </c>
    </row>
    <row r="78" spans="1:13" ht="37.5" x14ac:dyDescent="0.25">
      <c r="A78" s="16" t="s">
        <v>200</v>
      </c>
      <c r="B78" s="17"/>
      <c r="C78" s="16" t="s">
        <v>817</v>
      </c>
      <c r="D78" s="17"/>
      <c r="E78" s="17" t="s">
        <v>608</v>
      </c>
      <c r="F78" s="18" t="s">
        <v>818</v>
      </c>
      <c r="G78" s="136" t="s">
        <v>739</v>
      </c>
      <c r="H78" s="144"/>
      <c r="M78" s="169" t="s">
        <v>625</v>
      </c>
    </row>
    <row r="79" spans="1:13" x14ac:dyDescent="0.25">
      <c r="A79" s="16" t="s">
        <v>200</v>
      </c>
      <c r="B79" s="17"/>
      <c r="C79" s="16" t="s">
        <v>819</v>
      </c>
      <c r="D79" s="17"/>
      <c r="E79" s="17" t="s">
        <v>608</v>
      </c>
      <c r="F79" s="18" t="s">
        <v>820</v>
      </c>
      <c r="G79" s="136" t="s">
        <v>821</v>
      </c>
      <c r="H79" s="144"/>
      <c r="M79" s="169" t="s">
        <v>625</v>
      </c>
    </row>
    <row r="80" spans="1:13" x14ac:dyDescent="0.25">
      <c r="A80" s="16" t="s">
        <v>200</v>
      </c>
      <c r="B80" s="17"/>
      <c r="C80" s="16" t="s">
        <v>822</v>
      </c>
      <c r="D80" s="17"/>
      <c r="E80" s="17" t="s">
        <v>618</v>
      </c>
      <c r="F80" s="18" t="s">
        <v>823</v>
      </c>
      <c r="G80" s="136" t="s">
        <v>750</v>
      </c>
      <c r="H80" s="144"/>
      <c r="M80" s="169" t="s">
        <v>625</v>
      </c>
    </row>
    <row r="81" spans="1:13" ht="25" x14ac:dyDescent="0.25">
      <c r="A81" s="16" t="s">
        <v>200</v>
      </c>
      <c r="B81" s="17"/>
      <c r="C81" s="16" t="s">
        <v>824</v>
      </c>
      <c r="D81" s="17"/>
      <c r="E81" s="17" t="s">
        <v>608</v>
      </c>
      <c r="F81" s="18" t="s">
        <v>825</v>
      </c>
      <c r="G81" s="136" t="s">
        <v>753</v>
      </c>
      <c r="H81" s="144"/>
      <c r="M81" s="169" t="s">
        <v>625</v>
      </c>
    </row>
    <row r="82" spans="1:13" x14ac:dyDescent="0.25">
      <c r="A82" s="16" t="s">
        <v>200</v>
      </c>
      <c r="B82" s="17"/>
      <c r="C82" s="16" t="s">
        <v>826</v>
      </c>
      <c r="D82" s="17"/>
      <c r="E82" s="17" t="s">
        <v>608</v>
      </c>
      <c r="F82" s="18" t="s">
        <v>755</v>
      </c>
      <c r="G82" s="136" t="s">
        <v>756</v>
      </c>
      <c r="H82" s="144"/>
      <c r="M82" s="169" t="s">
        <v>625</v>
      </c>
    </row>
    <row r="83" spans="1:13" x14ac:dyDescent="0.25">
      <c r="A83" s="16" t="s">
        <v>200</v>
      </c>
      <c r="B83" s="17"/>
      <c r="C83" s="16" t="s">
        <v>827</v>
      </c>
      <c r="D83" s="17"/>
      <c r="E83" s="17" t="s">
        <v>608</v>
      </c>
      <c r="F83" s="18" t="s">
        <v>828</v>
      </c>
      <c r="G83" s="136" t="s">
        <v>760</v>
      </c>
      <c r="H83" s="144"/>
      <c r="M83" s="169" t="s">
        <v>625</v>
      </c>
    </row>
    <row r="84" spans="1:13" ht="37.5" x14ac:dyDescent="0.25">
      <c r="A84" s="16" t="s">
        <v>200</v>
      </c>
      <c r="B84" s="17"/>
      <c r="C84" s="16" t="s">
        <v>829</v>
      </c>
      <c r="D84" s="17"/>
      <c r="E84" s="17" t="s">
        <v>608</v>
      </c>
      <c r="F84" s="18" t="s">
        <v>830</v>
      </c>
      <c r="G84" s="136" t="s">
        <v>764</v>
      </c>
      <c r="H84" s="144"/>
      <c r="M84" s="169" t="s">
        <v>831</v>
      </c>
    </row>
    <row r="85" spans="1:13" x14ac:dyDescent="0.25">
      <c r="A85" s="16" t="s">
        <v>200</v>
      </c>
      <c r="B85" s="17"/>
      <c r="C85" s="16" t="s">
        <v>832</v>
      </c>
      <c r="D85" s="17"/>
      <c r="E85" s="17" t="s">
        <v>608</v>
      </c>
      <c r="F85" s="18" t="s">
        <v>833</v>
      </c>
      <c r="G85" s="136" t="s">
        <v>834</v>
      </c>
      <c r="H85" s="144"/>
      <c r="M85" s="169" t="s">
        <v>625</v>
      </c>
    </row>
    <row r="86" spans="1:13" x14ac:dyDescent="0.25">
      <c r="A86" s="16" t="s">
        <v>200</v>
      </c>
      <c r="B86" s="17"/>
      <c r="C86" s="16" t="s">
        <v>835</v>
      </c>
      <c r="D86" s="17"/>
      <c r="E86" s="17" t="s">
        <v>608</v>
      </c>
      <c r="F86" s="18" t="s">
        <v>836</v>
      </c>
      <c r="G86" s="136" t="s">
        <v>837</v>
      </c>
      <c r="H86" s="144"/>
      <c r="M86" s="169" t="s">
        <v>625</v>
      </c>
    </row>
    <row r="87" spans="1:13" ht="25" x14ac:dyDescent="0.25">
      <c r="A87" s="16" t="s">
        <v>200</v>
      </c>
      <c r="B87" s="17"/>
      <c r="C87" s="16" t="s">
        <v>838</v>
      </c>
      <c r="D87" s="17"/>
      <c r="E87" s="17" t="s">
        <v>608</v>
      </c>
      <c r="F87" s="114" t="s">
        <v>839</v>
      </c>
      <c r="G87" s="136" t="s">
        <v>840</v>
      </c>
      <c r="H87" s="144"/>
      <c r="K87" s="148" t="s">
        <v>841</v>
      </c>
      <c r="L87" s="142" t="s">
        <v>842</v>
      </c>
      <c r="M87" s="169" t="s">
        <v>625</v>
      </c>
    </row>
    <row r="88" spans="1:13" ht="37.5" x14ac:dyDescent="0.25">
      <c r="A88" s="16" t="s">
        <v>200</v>
      </c>
      <c r="B88" s="17"/>
      <c r="C88" s="16" t="s">
        <v>843</v>
      </c>
      <c r="D88" s="17"/>
      <c r="E88" s="17" t="s">
        <v>608</v>
      </c>
      <c r="F88" s="18" t="s">
        <v>844</v>
      </c>
      <c r="G88" s="136" t="s">
        <v>764</v>
      </c>
      <c r="H88" s="144"/>
      <c r="M88" s="169" t="s">
        <v>625</v>
      </c>
    </row>
  </sheetData>
  <conditionalFormatting sqref="A8:A12 A15:A27 A29:A65 A68:A88">
    <cfRule type="expression" dxfId="195" priority="24" stopIfTrue="1">
      <formula>ISERROR(MATCH(A8,GroupNames,FALSE))</formula>
    </cfRule>
  </conditionalFormatting>
  <conditionalFormatting sqref="C8:C88">
    <cfRule type="expression" dxfId="194" priority="22" stopIfTrue="1">
      <formula>MID(C8,1,4)&lt;&gt;A8</formula>
    </cfRule>
    <cfRule type="expression" dxfId="193" priority="23" stopIfTrue="1">
      <formula>COUNTIF(C:C,C8)&gt;1</formula>
    </cfRule>
  </conditionalFormatting>
  <conditionalFormatting sqref="A14">
    <cfRule type="expression" dxfId="192" priority="21" stopIfTrue="1">
      <formula>ISERROR(MATCH(A14,GroupNames,FALSE))</formula>
    </cfRule>
  </conditionalFormatting>
  <conditionalFormatting sqref="A37">
    <cfRule type="expression" dxfId="191" priority="20" stopIfTrue="1">
      <formula>ISERROR(MATCH(A37,GroupNames,FALSE))</formula>
    </cfRule>
  </conditionalFormatting>
  <conditionalFormatting sqref="A67">
    <cfRule type="expression" dxfId="190" priority="19" stopIfTrue="1">
      <formula>ISERROR(MATCH(A67,GroupNames,FALSE))</formula>
    </cfRule>
  </conditionalFormatting>
  <conditionalFormatting sqref="A13">
    <cfRule type="expression" dxfId="189" priority="18" stopIfTrue="1">
      <formula>ISERROR(MATCH(A13,GroupNames,FALSE))</formula>
    </cfRule>
  </conditionalFormatting>
  <conditionalFormatting sqref="A36">
    <cfRule type="expression" dxfId="188" priority="17" stopIfTrue="1">
      <formula>ISERROR(MATCH(A36,GroupNames,FALSE))</formula>
    </cfRule>
  </conditionalFormatting>
  <conditionalFormatting sqref="A66">
    <cfRule type="expression" dxfId="187" priority="16" stopIfTrue="1">
      <formula>ISERROR(MATCH(A66,GroupNames,FALSE))</formula>
    </cfRule>
  </conditionalFormatting>
  <conditionalFormatting sqref="A87">
    <cfRule type="expression" dxfId="186" priority="15" stopIfTrue="1">
      <formula>ISERROR(MATCH(A87,GroupNames,FALSE))</formula>
    </cfRule>
  </conditionalFormatting>
  <conditionalFormatting sqref="A28">
    <cfRule type="expression" dxfId="185" priority="1" stopIfTrue="1">
      <formula>ISERROR(MATCH(A28,GroupNames,FALSE))</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pageSetUpPr fitToPage="1"/>
  </sheetPr>
  <dimension ref="A1:Q4049"/>
  <sheetViews>
    <sheetView zoomScale="120" zoomScaleNormal="120" workbookViewId="0">
      <pane xSplit="1" ySplit="1" topLeftCell="B1314" activePane="bottomRight" state="frozen"/>
      <selection pane="topRight" activeCell="B1" sqref="B1"/>
      <selection pane="bottomLeft" activeCell="A2" sqref="A2"/>
      <selection pane="bottomRight" activeCell="A4043" sqref="A4043"/>
    </sheetView>
  </sheetViews>
  <sheetFormatPr defaultColWidth="9.1796875" defaultRowHeight="12.5" x14ac:dyDescent="0.25"/>
  <cols>
    <col min="1" max="1" width="8.81640625" style="19" bestFit="1" customWidth="1"/>
    <col min="2" max="2" width="8" style="30" customWidth="1"/>
    <col min="3" max="3" width="14.81640625" style="19" bestFit="1" customWidth="1"/>
    <col min="4" max="4" width="14.1796875" style="30" customWidth="1"/>
    <col min="5" max="5" width="10.453125" style="30" customWidth="1"/>
    <col min="6" max="6" width="45.54296875" style="31" customWidth="1"/>
    <col min="7" max="7" width="19.26953125" style="56" customWidth="1"/>
    <col min="8" max="8" width="7.26953125" style="30" customWidth="1"/>
    <col min="9" max="9" width="15.54296875" style="30" bestFit="1" customWidth="1"/>
    <col min="10" max="10" width="25" customWidth="1"/>
    <col min="11" max="11" width="12.26953125" bestFit="1" customWidth="1"/>
    <col min="12" max="12" width="19.54296875" customWidth="1"/>
    <col min="13" max="13" width="12.81640625" bestFit="1" customWidth="1"/>
  </cols>
  <sheetData>
    <row r="1" spans="1:17" s="62" customFormat="1" ht="39" x14ac:dyDescent="0.25">
      <c r="A1" s="12" t="s">
        <v>585</v>
      </c>
      <c r="B1" s="13" t="s">
        <v>8</v>
      </c>
      <c r="C1" s="13" t="s">
        <v>586</v>
      </c>
      <c r="D1" s="13" t="s">
        <v>587</v>
      </c>
      <c r="E1" s="13" t="s">
        <v>588</v>
      </c>
      <c r="F1" s="14" t="s">
        <v>589</v>
      </c>
      <c r="G1" s="53" t="s">
        <v>845</v>
      </c>
      <c r="H1" s="15" t="s">
        <v>846</v>
      </c>
      <c r="I1" s="53" t="s">
        <v>847</v>
      </c>
      <c r="J1" s="53" t="s">
        <v>15</v>
      </c>
      <c r="K1" s="53" t="s">
        <v>848</v>
      </c>
      <c r="L1" s="53" t="s">
        <v>14</v>
      </c>
      <c r="M1" s="53" t="s">
        <v>16</v>
      </c>
      <c r="O1" s="105" t="s">
        <v>849</v>
      </c>
      <c r="P1" s="104" t="s">
        <v>9</v>
      </c>
      <c r="Q1" s="104" t="s">
        <v>850</v>
      </c>
    </row>
    <row r="2" spans="1:17" hidden="1" x14ac:dyDescent="0.25">
      <c r="A2" s="16" t="s">
        <v>563</v>
      </c>
      <c r="B2" s="17" t="s">
        <v>594</v>
      </c>
      <c r="C2" s="16" t="s">
        <v>595</v>
      </c>
      <c r="D2" s="17"/>
      <c r="E2" s="17" t="s">
        <v>596</v>
      </c>
      <c r="F2" s="18" t="s">
        <v>597</v>
      </c>
      <c r="G2" s="49" t="s">
        <v>598</v>
      </c>
      <c r="H2" s="17">
        <v>1</v>
      </c>
      <c r="J2" s="62" t="s">
        <v>532</v>
      </c>
      <c r="K2" s="62"/>
      <c r="L2" s="62"/>
      <c r="M2" s="62"/>
      <c r="N2" s="62"/>
      <c r="O2" s="62" t="str">
        <f>IF(E2="PA",IF(K2&lt;&gt;"",ISERROR(VLOOKUP(K2,ABBR!A:D,1,FALSE)),ISERROR(VLOOKUP(C2,ABBR!A:D,1,FALSE))),"")</f>
        <v/>
      </c>
      <c r="P2" t="str">
        <f>VLOOKUP(A2,Groups!A:L,5,FALSE)</f>
        <v>SAMP</v>
      </c>
    </row>
    <row r="3" spans="1:17" hidden="1" x14ac:dyDescent="0.25">
      <c r="A3" s="16" t="s">
        <v>563</v>
      </c>
      <c r="B3" s="17" t="s">
        <v>594</v>
      </c>
      <c r="C3" s="16" t="s">
        <v>851</v>
      </c>
      <c r="D3" s="17" t="s">
        <v>600</v>
      </c>
      <c r="E3" s="17" t="s">
        <v>601</v>
      </c>
      <c r="F3" s="18" t="s">
        <v>852</v>
      </c>
      <c r="G3" s="49" t="s">
        <v>853</v>
      </c>
      <c r="H3" s="17">
        <v>2</v>
      </c>
      <c r="J3" s="62" t="s">
        <v>532</v>
      </c>
      <c r="K3" s="62"/>
      <c r="L3" s="62"/>
      <c r="M3" s="62"/>
      <c r="N3" s="62"/>
      <c r="O3" s="62" t="str">
        <f>IF(E3="PA",IF(K3&lt;&gt;"",ISERROR(VLOOKUP(K3,ABBR!A:D,1,FALSE)),ISERROR(VLOOKUP(C3,ABBR!A:D,1,FALSE))),"")</f>
        <v/>
      </c>
      <c r="P3" t="str">
        <f>VLOOKUP(A3,Groups!A:L,5,FALSE)</f>
        <v>SAMP</v>
      </c>
      <c r="Q3" s="62" t="str">
        <f>IF(G3="PA",IF(M3&lt;&gt;"",ISERROR(VLOOKUP(M3,ABBR!C:F,1,FALSE)),ISERROR(VLOOKUP(E3,ABBR!C:F,1,FALSE))),"")</f>
        <v/>
      </c>
    </row>
    <row r="4" spans="1:17" hidden="1" x14ac:dyDescent="0.25">
      <c r="A4" s="16" t="s">
        <v>563</v>
      </c>
      <c r="B4" s="17" t="s">
        <v>594</v>
      </c>
      <c r="C4" s="16" t="s">
        <v>854</v>
      </c>
      <c r="D4" s="17"/>
      <c r="E4" s="17" t="s">
        <v>608</v>
      </c>
      <c r="F4" s="18" t="s">
        <v>855</v>
      </c>
      <c r="G4" s="49" t="s">
        <v>856</v>
      </c>
      <c r="H4" s="17">
        <v>3</v>
      </c>
      <c r="J4" s="62" t="s">
        <v>532</v>
      </c>
      <c r="K4" s="62"/>
      <c r="L4" s="62"/>
      <c r="M4" s="62"/>
      <c r="N4" s="62"/>
      <c r="O4" s="62" t="str">
        <f>IF(E4="PA",IF(K4&lt;&gt;"",ISERROR(VLOOKUP(K4,ABBR!A:D,1,FALSE)),ISERROR(VLOOKUP(C4,ABBR!A:D,1,FALSE))),"")</f>
        <v/>
      </c>
      <c r="P4" t="str">
        <f>VLOOKUP(A4,Groups!A:L,5,FALSE)</f>
        <v>SAMP</v>
      </c>
      <c r="Q4" s="62" t="str">
        <f>IF(G4="PA",IF(M4&lt;&gt;"",ISERROR(VLOOKUP(M4,ABBR!C:F,1,FALSE)),ISERROR(VLOOKUP(E4,ABBR!C:F,1,FALSE))),"")</f>
        <v/>
      </c>
    </row>
    <row r="5" spans="1:17" hidden="1" x14ac:dyDescent="0.25">
      <c r="A5" s="16" t="s">
        <v>563</v>
      </c>
      <c r="B5" s="17" t="s">
        <v>594</v>
      </c>
      <c r="C5" s="16" t="s">
        <v>857</v>
      </c>
      <c r="D5" s="17"/>
      <c r="E5" s="17" t="s">
        <v>618</v>
      </c>
      <c r="F5" s="18" t="s">
        <v>858</v>
      </c>
      <c r="G5" s="49" t="s">
        <v>859</v>
      </c>
      <c r="H5" s="17">
        <v>4</v>
      </c>
      <c r="J5" s="62" t="s">
        <v>532</v>
      </c>
      <c r="K5" s="62"/>
      <c r="L5" s="62"/>
      <c r="M5" s="62"/>
      <c r="N5" s="62"/>
      <c r="O5" s="62" t="b">
        <f>IF(E5="PA",IF(K5&lt;&gt;"",ISERROR(VLOOKUP(K5,ABBR!A:D,1,FALSE)),ISERROR(VLOOKUP(C5,ABBR!A:D,1,FALSE))),"")</f>
        <v>0</v>
      </c>
      <c r="P5" t="str">
        <f>VLOOKUP(A5,Groups!A:L,5,FALSE)</f>
        <v>SAMP</v>
      </c>
      <c r="Q5" s="62" t="str">
        <f>IF(G5="PA",IF(M5&lt;&gt;"",ISERROR(VLOOKUP(M5,ABBR!C:F,1,FALSE)),ISERROR(VLOOKUP(E5,ABBR!C:F,1,FALSE))),"")</f>
        <v/>
      </c>
    </row>
    <row r="6" spans="1:17" hidden="1" x14ac:dyDescent="0.25">
      <c r="A6" s="16" t="s">
        <v>563</v>
      </c>
      <c r="B6" s="17" t="s">
        <v>594</v>
      </c>
      <c r="C6" s="16" t="s">
        <v>860</v>
      </c>
      <c r="D6" s="17"/>
      <c r="E6" s="17" t="s">
        <v>596</v>
      </c>
      <c r="F6" s="18" t="s">
        <v>861</v>
      </c>
      <c r="G6" s="49" t="s">
        <v>862</v>
      </c>
      <c r="H6" s="17">
        <v>5</v>
      </c>
      <c r="J6" s="62" t="s">
        <v>532</v>
      </c>
      <c r="K6" s="62"/>
      <c r="L6" s="62"/>
      <c r="M6" s="62"/>
      <c r="N6" s="62"/>
      <c r="O6" s="62" t="str">
        <f>IF(E6="PA",IF(K6&lt;&gt;"",ISERROR(VLOOKUP(K6,ABBR!A:D,1,FALSE)),ISERROR(VLOOKUP(C6,ABBR!A:D,1,FALSE))),"")</f>
        <v/>
      </c>
      <c r="P6" t="str">
        <f>VLOOKUP(A6,Groups!A:L,5,FALSE)</f>
        <v>SAMP</v>
      </c>
      <c r="Q6" s="62" t="str">
        <f>IF(G6="PA",IF(M6&lt;&gt;"",ISERROR(VLOOKUP(M6,ABBR!C:F,1,FALSE)),ISERROR(VLOOKUP(E6,ABBR!C:F,1,FALSE))),"")</f>
        <v/>
      </c>
    </row>
    <row r="7" spans="1:17" hidden="1" x14ac:dyDescent="0.25">
      <c r="A7" s="16" t="s">
        <v>563</v>
      </c>
      <c r="B7" s="17" t="s">
        <v>594</v>
      </c>
      <c r="C7" s="16" t="s">
        <v>863</v>
      </c>
      <c r="D7" s="17"/>
      <c r="E7" s="17" t="s">
        <v>608</v>
      </c>
      <c r="F7" s="18" t="s">
        <v>864</v>
      </c>
      <c r="G7" s="49" t="s">
        <v>865</v>
      </c>
      <c r="H7" s="17">
        <v>6</v>
      </c>
      <c r="J7" s="62" t="s">
        <v>532</v>
      </c>
      <c r="K7" s="62"/>
      <c r="L7" s="62"/>
      <c r="M7" s="62"/>
      <c r="N7" s="62"/>
      <c r="O7" s="62" t="str">
        <f>IF(E7="PA",IF(K7&lt;&gt;"",ISERROR(VLOOKUP(K7,ABBR!A:D,1,FALSE)),ISERROR(VLOOKUP(C7,ABBR!A:D,1,FALSE))),"")</f>
        <v/>
      </c>
      <c r="P7" t="str">
        <f>VLOOKUP(A7,Groups!A:L,5,FALSE)</f>
        <v>SAMP</v>
      </c>
      <c r="Q7" s="62" t="str">
        <f>IF(G7="PA",IF(M7&lt;&gt;"",ISERROR(VLOOKUP(M7,ABBR!C:F,1,FALSE)),ISERROR(VLOOKUP(E7,ABBR!C:F,1,FALSE))),"")</f>
        <v/>
      </c>
    </row>
    <row r="8" spans="1:17" hidden="1" x14ac:dyDescent="0.25">
      <c r="A8" s="16" t="s">
        <v>563</v>
      </c>
      <c r="B8" s="17" t="s">
        <v>594</v>
      </c>
      <c r="C8" s="16" t="s">
        <v>866</v>
      </c>
      <c r="D8" s="17" t="s">
        <v>600</v>
      </c>
      <c r="E8" s="17" t="s">
        <v>601</v>
      </c>
      <c r="F8" s="18" t="s">
        <v>867</v>
      </c>
      <c r="G8" s="49" t="s">
        <v>853</v>
      </c>
      <c r="H8" s="17">
        <v>7</v>
      </c>
      <c r="J8" s="62" t="s">
        <v>532</v>
      </c>
      <c r="K8" s="62"/>
      <c r="L8" s="62"/>
      <c r="M8" s="62"/>
      <c r="N8" s="62"/>
      <c r="O8" s="62" t="str">
        <f>IF(E8="PA",IF(K8&lt;&gt;"",ISERROR(VLOOKUP(K8,ABBR!A:D,1,FALSE)),ISERROR(VLOOKUP(C8,ABBR!A:D,1,FALSE))),"")</f>
        <v/>
      </c>
      <c r="P8" t="str">
        <f>VLOOKUP(A8,Groups!A:L,5,FALSE)</f>
        <v>SAMP</v>
      </c>
      <c r="Q8" s="62" t="str">
        <f>IF(G8="PA",IF(M8&lt;&gt;"",ISERROR(VLOOKUP(M8,ABBR!C:F,1,FALSE)),ISERROR(VLOOKUP(E8,ABBR!C:F,1,FALSE))),"")</f>
        <v/>
      </c>
    </row>
    <row r="9" spans="1:17" ht="25" hidden="1" x14ac:dyDescent="0.25">
      <c r="A9" s="16" t="s">
        <v>563</v>
      </c>
      <c r="B9" s="17"/>
      <c r="C9" s="16" t="s">
        <v>868</v>
      </c>
      <c r="D9" s="17"/>
      <c r="E9" s="17" t="s">
        <v>608</v>
      </c>
      <c r="F9" s="18" t="s">
        <v>869</v>
      </c>
      <c r="G9" s="49" t="s">
        <v>870</v>
      </c>
      <c r="H9" s="17">
        <v>8</v>
      </c>
      <c r="J9" s="62" t="s">
        <v>532</v>
      </c>
      <c r="K9" s="62"/>
      <c r="L9" s="62"/>
      <c r="M9" s="62"/>
      <c r="N9" s="62"/>
      <c r="O9" s="62" t="str">
        <f>IF(E9="PA",IF(K9&lt;&gt;"",ISERROR(VLOOKUP(K9,ABBR!A:D,1,FALSE)),ISERROR(VLOOKUP(C9,ABBR!A:D,1,FALSE))),"")</f>
        <v/>
      </c>
      <c r="P9" t="str">
        <f>VLOOKUP(A9,Groups!A:L,5,FALSE)</f>
        <v>SAMP</v>
      </c>
      <c r="Q9" s="62" t="str">
        <f>IF(G9="PA",IF(M9&lt;&gt;"",ISERROR(VLOOKUP(M9,ABBR!C:F,1,FALSE)),ISERROR(VLOOKUP(E9,ABBR!C:F,1,FALSE))),"")</f>
        <v/>
      </c>
    </row>
    <row r="10" spans="1:17" ht="25" hidden="1" x14ac:dyDescent="0.25">
      <c r="A10" s="16" t="s">
        <v>563</v>
      </c>
      <c r="B10" s="17"/>
      <c r="C10" s="16" t="s">
        <v>871</v>
      </c>
      <c r="D10" s="17"/>
      <c r="E10" s="17" t="s">
        <v>608</v>
      </c>
      <c r="F10" s="18" t="s">
        <v>872</v>
      </c>
      <c r="G10" s="49" t="s">
        <v>873</v>
      </c>
      <c r="H10" s="17">
        <v>9</v>
      </c>
      <c r="J10" s="62" t="s">
        <v>532</v>
      </c>
      <c r="K10" s="62"/>
      <c r="L10" s="62"/>
      <c r="M10" s="62"/>
      <c r="N10" s="62"/>
      <c r="O10" s="62" t="str">
        <f>IF(E10="PA",IF(K10&lt;&gt;"",ISERROR(VLOOKUP(K10,ABBR!A:D,1,FALSE)),ISERROR(VLOOKUP(C10,ABBR!A:D,1,FALSE))),"")</f>
        <v/>
      </c>
      <c r="P10" t="str">
        <f>VLOOKUP(A10,Groups!A:L,5,FALSE)</f>
        <v>SAMP</v>
      </c>
      <c r="Q10" s="62" t="str">
        <f>IF(G10="PA",IF(M10&lt;&gt;"",ISERROR(VLOOKUP(M10,ABBR!C:F,1,FALSE)),ISERROR(VLOOKUP(E10,ABBR!C:F,1,FALSE))),"")</f>
        <v/>
      </c>
    </row>
    <row r="11" spans="1:17" hidden="1" x14ac:dyDescent="0.25">
      <c r="A11" s="16" t="s">
        <v>563</v>
      </c>
      <c r="B11" s="17"/>
      <c r="C11" s="16" t="s">
        <v>874</v>
      </c>
      <c r="D11" s="17"/>
      <c r="E11" s="17" t="s">
        <v>608</v>
      </c>
      <c r="F11" s="18" t="s">
        <v>875</v>
      </c>
      <c r="G11" s="49" t="s">
        <v>876</v>
      </c>
      <c r="H11" s="17">
        <v>10</v>
      </c>
      <c r="J11" s="62" t="s">
        <v>473</v>
      </c>
      <c r="K11" s="62"/>
      <c r="L11" s="62"/>
      <c r="M11" s="62"/>
      <c r="N11" s="62"/>
      <c r="O11" s="62" t="str">
        <f>IF(E11="PA",IF(K11&lt;&gt;"",ISERROR(VLOOKUP(K11,ABBR!A:D,1,FALSE)),ISERROR(VLOOKUP(C11,ABBR!A:D,1,FALSE))),"")</f>
        <v/>
      </c>
      <c r="P11" t="str">
        <f>VLOOKUP(A11,Groups!A:L,5,FALSE)</f>
        <v>SAMP</v>
      </c>
      <c r="Q11" s="62" t="str">
        <f>IF(G11="PA",IF(M11&lt;&gt;"",ISERROR(VLOOKUP(M11,ABBR!C:F,1,FALSE)),ISERROR(VLOOKUP(E11,ABBR!C:F,1,FALSE))),"")</f>
        <v/>
      </c>
    </row>
    <row r="12" spans="1:17" hidden="1" x14ac:dyDescent="0.25">
      <c r="A12" s="16" t="s">
        <v>563</v>
      </c>
      <c r="B12" s="17"/>
      <c r="C12" s="16" t="s">
        <v>877</v>
      </c>
      <c r="D12" s="17" t="s">
        <v>600</v>
      </c>
      <c r="E12" s="17" t="s">
        <v>601</v>
      </c>
      <c r="F12" s="18" t="s">
        <v>878</v>
      </c>
      <c r="G12" s="49" t="s">
        <v>879</v>
      </c>
      <c r="H12" s="17">
        <v>11</v>
      </c>
      <c r="J12" s="80" t="s">
        <v>473</v>
      </c>
      <c r="O12" s="62" t="str">
        <f>IF(E12="PA",IF(K12&lt;&gt;"",ISERROR(VLOOKUP(K12,ABBR!A:D,1,FALSE)),ISERROR(VLOOKUP(C12,ABBR!A:D,1,FALSE))),"")</f>
        <v/>
      </c>
      <c r="P12" t="str">
        <f>VLOOKUP(A12,Groups!A:L,5,FALSE)</f>
        <v>SAMP</v>
      </c>
      <c r="Q12" s="62" t="str">
        <f>IF(G12="PA",IF(M12&lt;&gt;"",ISERROR(VLOOKUP(M12,ABBR!C:F,1,FALSE)),ISERROR(VLOOKUP(E12,ABBR!C:F,1,FALSE))),"")</f>
        <v/>
      </c>
    </row>
    <row r="13" spans="1:17" hidden="1" x14ac:dyDescent="0.25">
      <c r="A13" s="16" t="s">
        <v>563</v>
      </c>
      <c r="B13" s="17"/>
      <c r="C13" s="16" t="s">
        <v>880</v>
      </c>
      <c r="D13" s="17" t="s">
        <v>881</v>
      </c>
      <c r="E13" s="17" t="s">
        <v>882</v>
      </c>
      <c r="F13" s="18" t="s">
        <v>883</v>
      </c>
      <c r="G13" s="49" t="s">
        <v>884</v>
      </c>
      <c r="H13" s="17">
        <v>12</v>
      </c>
      <c r="J13" s="62" t="s">
        <v>532</v>
      </c>
      <c r="K13" s="62"/>
      <c r="L13" s="62"/>
      <c r="M13" s="62"/>
      <c r="N13" s="62"/>
      <c r="O13" s="62" t="str">
        <f>IF(E13="PA",IF(K13&lt;&gt;"",ISERROR(VLOOKUP(K13,ABBR!A:D,1,FALSE)),ISERROR(VLOOKUP(C13,ABBR!A:D,1,FALSE))),"")</f>
        <v/>
      </c>
      <c r="P13" t="str">
        <f>VLOOKUP(A13,Groups!A:L,5,FALSE)</f>
        <v>SAMP</v>
      </c>
      <c r="Q13" s="62" t="str">
        <f>IF(G13="PA",IF(M13&lt;&gt;"",ISERROR(VLOOKUP(M13,ABBR!C:F,1,FALSE)),ISERROR(VLOOKUP(E13,ABBR!C:F,1,FALSE))),"")</f>
        <v/>
      </c>
    </row>
    <row r="14" spans="1:17" hidden="1" x14ac:dyDescent="0.25">
      <c r="A14" s="16" t="s">
        <v>563</v>
      </c>
      <c r="B14" s="17"/>
      <c r="C14" s="16" t="s">
        <v>885</v>
      </c>
      <c r="D14" s="17" t="s">
        <v>881</v>
      </c>
      <c r="E14" s="17" t="s">
        <v>886</v>
      </c>
      <c r="F14" s="18" t="s">
        <v>887</v>
      </c>
      <c r="G14" s="49" t="s">
        <v>888</v>
      </c>
      <c r="H14" s="17">
        <v>13</v>
      </c>
      <c r="J14" s="62" t="s">
        <v>532</v>
      </c>
      <c r="K14" s="62"/>
      <c r="L14" s="62"/>
      <c r="M14" s="62"/>
      <c r="N14" s="62"/>
      <c r="O14" s="62" t="str">
        <f>IF(E14="PA",IF(K14&lt;&gt;"",ISERROR(VLOOKUP(K14,ABBR!A:D,1,FALSE)),ISERROR(VLOOKUP(C14,ABBR!A:D,1,FALSE))),"")</f>
        <v/>
      </c>
      <c r="P14" t="str">
        <f>VLOOKUP(A14,Groups!A:L,5,FALSE)</f>
        <v>SAMP</v>
      </c>
      <c r="Q14" s="62" t="str">
        <f>IF(G14="PA",IF(M14&lt;&gt;"",ISERROR(VLOOKUP(M14,ABBR!C:F,1,FALSE)),ISERROR(VLOOKUP(E14,ABBR!C:F,1,FALSE))),"")</f>
        <v/>
      </c>
    </row>
    <row r="15" spans="1:17" ht="25" hidden="1" x14ac:dyDescent="0.25">
      <c r="A15" s="16" t="s">
        <v>563</v>
      </c>
      <c r="B15" s="17"/>
      <c r="C15" s="16" t="s">
        <v>889</v>
      </c>
      <c r="D15" s="17"/>
      <c r="E15" s="17" t="s">
        <v>608</v>
      </c>
      <c r="F15" s="18" t="s">
        <v>890</v>
      </c>
      <c r="G15" s="49" t="s">
        <v>891</v>
      </c>
      <c r="H15" s="17">
        <v>14</v>
      </c>
      <c r="J15" s="62" t="s">
        <v>532</v>
      </c>
      <c r="K15" s="62"/>
      <c r="L15" s="62"/>
      <c r="M15" s="62"/>
      <c r="N15" s="62"/>
      <c r="O15" s="62" t="str">
        <f>IF(E15="PA",IF(K15&lt;&gt;"",ISERROR(VLOOKUP(K15,ABBR!A:D,1,FALSE)),ISERROR(VLOOKUP(C15,ABBR!A:D,1,FALSE))),"")</f>
        <v/>
      </c>
      <c r="P15" t="str">
        <f>VLOOKUP(A15,Groups!A:L,5,FALSE)</f>
        <v>SAMP</v>
      </c>
      <c r="Q15" s="62" t="str">
        <f>IF(G15="PA",IF(M15&lt;&gt;"",ISERROR(VLOOKUP(M15,ABBR!C:F,1,FALSE)),ISERROR(VLOOKUP(E15,ABBR!C:F,1,FALSE))),"")</f>
        <v/>
      </c>
    </row>
    <row r="16" spans="1:17" hidden="1" x14ac:dyDescent="0.25">
      <c r="A16" s="16" t="s">
        <v>563</v>
      </c>
      <c r="B16" s="17"/>
      <c r="C16" s="16" t="s">
        <v>892</v>
      </c>
      <c r="D16" s="17" t="s">
        <v>893</v>
      </c>
      <c r="E16" s="17" t="s">
        <v>767</v>
      </c>
      <c r="F16" s="18" t="s">
        <v>894</v>
      </c>
      <c r="G16" s="49" t="s">
        <v>631</v>
      </c>
      <c r="H16" s="17">
        <v>15</v>
      </c>
      <c r="J16" s="62" t="s">
        <v>532</v>
      </c>
      <c r="K16" s="62"/>
      <c r="L16" s="62"/>
      <c r="M16" s="62"/>
      <c r="N16" s="62"/>
      <c r="O16" s="62" t="str">
        <f>IF(E16="PA",IF(K16&lt;&gt;"",ISERROR(VLOOKUP(K16,ABBR!A:D,1,FALSE)),ISERROR(VLOOKUP(C16,ABBR!A:D,1,FALSE))),"")</f>
        <v/>
      </c>
      <c r="P16" t="str">
        <f>VLOOKUP(A16,Groups!A:L,5,FALSE)</f>
        <v>SAMP</v>
      </c>
      <c r="Q16" s="62" t="str">
        <f>IF(G16="PA",IF(M16&lt;&gt;"",ISERROR(VLOOKUP(M16,ABBR!C:F,1,FALSE)),ISERROR(VLOOKUP(E16,ABBR!C:F,1,FALSE))),"")</f>
        <v/>
      </c>
    </row>
    <row r="17" spans="1:17" ht="15" hidden="1" customHeight="1" x14ac:dyDescent="0.25">
      <c r="A17" s="16" t="s">
        <v>563</v>
      </c>
      <c r="B17" s="17"/>
      <c r="C17" s="16" t="s">
        <v>895</v>
      </c>
      <c r="D17" s="17"/>
      <c r="E17" s="17" t="s">
        <v>767</v>
      </c>
      <c r="F17" s="18" t="s">
        <v>896</v>
      </c>
      <c r="G17" s="49" t="s">
        <v>897</v>
      </c>
      <c r="H17" s="17">
        <v>16</v>
      </c>
      <c r="J17" s="62" t="s">
        <v>532</v>
      </c>
      <c r="K17" s="62"/>
      <c r="L17" s="62"/>
      <c r="M17" s="62"/>
      <c r="N17" s="62"/>
      <c r="O17" s="62" t="str">
        <f>IF(E17="PA",IF(K17&lt;&gt;"",ISERROR(VLOOKUP(K17,ABBR!A:D,1,FALSE)),ISERROR(VLOOKUP(C17,ABBR!A:D,1,FALSE))),"")</f>
        <v/>
      </c>
      <c r="P17" t="str">
        <f>VLOOKUP(A17,Groups!A:L,5,FALSE)</f>
        <v>SAMP</v>
      </c>
      <c r="Q17" s="62" t="str">
        <f>IF(G17="PA",IF(M17&lt;&gt;"",ISERROR(VLOOKUP(M17,ABBR!C:F,1,FALSE)),ISERROR(VLOOKUP(E17,ABBR!C:F,1,FALSE))),"")</f>
        <v/>
      </c>
    </row>
    <row r="18" spans="1:17" hidden="1" x14ac:dyDescent="0.25">
      <c r="A18" s="16" t="s">
        <v>563</v>
      </c>
      <c r="B18" s="17"/>
      <c r="C18" s="16" t="s">
        <v>898</v>
      </c>
      <c r="D18" s="17" t="s">
        <v>899</v>
      </c>
      <c r="E18" s="17" t="s">
        <v>767</v>
      </c>
      <c r="F18" s="18" t="s">
        <v>900</v>
      </c>
      <c r="G18" s="49" t="s">
        <v>897</v>
      </c>
      <c r="H18" s="17">
        <v>17</v>
      </c>
      <c r="J18" s="62" t="s">
        <v>532</v>
      </c>
      <c r="K18" s="62"/>
      <c r="L18" s="62"/>
      <c r="M18" s="62"/>
      <c r="N18" s="62"/>
      <c r="O18" s="62" t="str">
        <f>IF(E18="PA",IF(K18&lt;&gt;"",ISERROR(VLOOKUP(K18,ABBR!A:D,1,FALSE)),ISERROR(VLOOKUP(C18,ABBR!A:D,1,FALSE))),"")</f>
        <v/>
      </c>
      <c r="P18" t="str">
        <f>VLOOKUP(A18,Groups!A:L,5,FALSE)</f>
        <v>SAMP</v>
      </c>
      <c r="Q18" s="62" t="str">
        <f>IF(G18="PA",IF(M18&lt;&gt;"",ISERROR(VLOOKUP(M18,ABBR!C:F,1,FALSE)),ISERROR(VLOOKUP(E18,ABBR!C:F,1,FALSE))),"")</f>
        <v/>
      </c>
    </row>
    <row r="19" spans="1:17" hidden="1" x14ac:dyDescent="0.25">
      <c r="A19" s="16" t="s">
        <v>563</v>
      </c>
      <c r="B19" s="17"/>
      <c r="C19" s="16" t="s">
        <v>901</v>
      </c>
      <c r="D19" s="17"/>
      <c r="E19" s="17" t="s">
        <v>608</v>
      </c>
      <c r="F19" s="18" t="s">
        <v>902</v>
      </c>
      <c r="G19" s="49" t="s">
        <v>903</v>
      </c>
      <c r="H19" s="17">
        <v>18</v>
      </c>
      <c r="J19" s="62" t="s">
        <v>532</v>
      </c>
      <c r="K19" s="62"/>
      <c r="L19" s="62"/>
      <c r="M19" s="62"/>
      <c r="N19" s="62"/>
      <c r="O19" s="62" t="str">
        <f>IF(E19="PA",IF(K19&lt;&gt;"",ISERROR(VLOOKUP(K19,ABBR!A:D,1,FALSE)),ISERROR(VLOOKUP(C19,ABBR!A:D,1,FALSE))),"")</f>
        <v/>
      </c>
      <c r="P19" t="str">
        <f>VLOOKUP(A19,Groups!A:L,5,FALSE)</f>
        <v>SAMP</v>
      </c>
      <c r="Q19" s="62" t="str">
        <f>IF(G19="PA",IF(M19&lt;&gt;"",ISERROR(VLOOKUP(M19,ABBR!C:F,1,FALSE)),ISERROR(VLOOKUP(E19,ABBR!C:F,1,FALSE))),"")</f>
        <v/>
      </c>
    </row>
    <row r="20" spans="1:17" ht="38.25" hidden="1" customHeight="1" x14ac:dyDescent="0.35">
      <c r="A20" s="16" t="s">
        <v>563</v>
      </c>
      <c r="B20" s="17"/>
      <c r="C20" s="16" t="s">
        <v>904</v>
      </c>
      <c r="D20" s="17"/>
      <c r="E20" s="17" t="s">
        <v>767</v>
      </c>
      <c r="F20" s="18" t="s">
        <v>905</v>
      </c>
      <c r="G20" s="49" t="s">
        <v>906</v>
      </c>
      <c r="H20" s="17">
        <v>19</v>
      </c>
      <c r="J20" s="62" t="s">
        <v>532</v>
      </c>
      <c r="K20" s="62"/>
      <c r="L20" s="62"/>
      <c r="M20" s="103"/>
      <c r="N20" s="62"/>
      <c r="O20" s="62" t="str">
        <f>IF(E20="PA",IF(K20&lt;&gt;"",ISERROR(VLOOKUP(K20,ABBR!A:D,1,FALSE)),ISERROR(VLOOKUP(C20,ABBR!A:D,1,FALSE))),"")</f>
        <v/>
      </c>
      <c r="P20" t="str">
        <f>VLOOKUP(A20,Groups!A:L,5,FALSE)</f>
        <v>SAMP</v>
      </c>
      <c r="Q20" s="62" t="str">
        <f>IF(G20="PA",IF(M20&lt;&gt;"",ISERROR(VLOOKUP(M20,ABBR!C:F,1,FALSE)),ISERROR(VLOOKUP(E20,ABBR!C:F,1,FALSE))),"")</f>
        <v/>
      </c>
    </row>
    <row r="21" spans="1:17" ht="12.75" hidden="1" customHeight="1" x14ac:dyDescent="0.25">
      <c r="A21" s="16" t="s">
        <v>563</v>
      </c>
      <c r="B21" s="17"/>
      <c r="C21" s="16" t="s">
        <v>907</v>
      </c>
      <c r="D21" s="17" t="s">
        <v>908</v>
      </c>
      <c r="E21" s="17" t="s">
        <v>767</v>
      </c>
      <c r="F21" s="18" t="s">
        <v>909</v>
      </c>
      <c r="G21" s="49" t="s">
        <v>910</v>
      </c>
      <c r="H21" s="17">
        <v>20</v>
      </c>
      <c r="J21" s="62" t="s">
        <v>532</v>
      </c>
      <c r="K21" s="62"/>
      <c r="L21" s="62"/>
      <c r="M21" s="62"/>
      <c r="N21" s="62"/>
      <c r="O21" s="62" t="str">
        <f>IF(E21="PA",IF(K21&lt;&gt;"",ISERROR(VLOOKUP(K21,ABBR!A:D,1,FALSE)),ISERROR(VLOOKUP(C21,ABBR!A:D,1,FALSE))),"")</f>
        <v/>
      </c>
      <c r="P21" t="str">
        <f>VLOOKUP(A21,Groups!A:L,5,FALSE)</f>
        <v>SAMP</v>
      </c>
      <c r="Q21" s="62" t="str">
        <f>IF(G21="PA",IF(M21&lt;&gt;"",ISERROR(VLOOKUP(M21,ABBR!C:F,1,FALSE)),ISERROR(VLOOKUP(E21,ABBR!C:F,1,FALSE))),"")</f>
        <v/>
      </c>
    </row>
    <row r="22" spans="1:17" hidden="1" x14ac:dyDescent="0.25">
      <c r="A22" s="16" t="s">
        <v>563</v>
      </c>
      <c r="B22" s="17"/>
      <c r="C22" s="16" t="s">
        <v>911</v>
      </c>
      <c r="D22" s="17" t="s">
        <v>912</v>
      </c>
      <c r="E22" s="17" t="s">
        <v>767</v>
      </c>
      <c r="F22" s="18" t="s">
        <v>913</v>
      </c>
      <c r="G22" s="49" t="s">
        <v>914</v>
      </c>
      <c r="H22" s="17">
        <v>21</v>
      </c>
      <c r="J22" s="62" t="s">
        <v>532</v>
      </c>
      <c r="K22" s="62"/>
      <c r="L22" s="62"/>
      <c r="M22" s="62"/>
      <c r="N22" s="62"/>
      <c r="O22" s="62" t="str">
        <f>IF(E22="PA",IF(K22&lt;&gt;"",ISERROR(VLOOKUP(K22,ABBR!A:D,1,FALSE)),ISERROR(VLOOKUP(C22,ABBR!A:D,1,FALSE))),"")</f>
        <v/>
      </c>
      <c r="P22" t="str">
        <f>VLOOKUP(A22,Groups!A:L,5,FALSE)</f>
        <v>SAMP</v>
      </c>
      <c r="Q22" s="62" t="str">
        <f>IF(G22="PA",IF(M22&lt;&gt;"",ISERROR(VLOOKUP(M22,ABBR!C:F,1,FALSE)),ISERROR(VLOOKUP(E22,ABBR!C:F,1,FALSE))),"")</f>
        <v/>
      </c>
    </row>
    <row r="23" spans="1:17" ht="37.5" hidden="1" x14ac:dyDescent="0.25">
      <c r="A23" s="16" t="s">
        <v>563</v>
      </c>
      <c r="B23" s="17"/>
      <c r="C23" s="16" t="s">
        <v>915</v>
      </c>
      <c r="D23" s="17"/>
      <c r="E23" s="17" t="s">
        <v>608</v>
      </c>
      <c r="F23" s="18" t="s">
        <v>642</v>
      </c>
      <c r="G23" s="49" t="s">
        <v>916</v>
      </c>
      <c r="H23" s="17">
        <v>22</v>
      </c>
      <c r="J23" s="62" t="s">
        <v>532</v>
      </c>
      <c r="K23" s="62"/>
      <c r="L23" s="62"/>
      <c r="M23" s="62"/>
      <c r="N23" s="62"/>
      <c r="O23" s="62" t="str">
        <f>IF(E23="PA",IF(K23&lt;&gt;"",ISERROR(VLOOKUP(K23,ABBR!A:D,1,FALSE)),ISERROR(VLOOKUP(C23,ABBR!A:D,1,FALSE))),"")</f>
        <v/>
      </c>
      <c r="P23" t="str">
        <f>VLOOKUP(A23,Groups!A:L,5,FALSE)</f>
        <v>SAMP</v>
      </c>
      <c r="Q23" s="62" t="str">
        <f>IF(G23="PA",IF(M23&lt;&gt;"",ISERROR(VLOOKUP(M23,ABBR!C:F,1,FALSE)),ISERROR(VLOOKUP(E23,ABBR!C:F,1,FALSE))),"")</f>
        <v/>
      </c>
    </row>
    <row r="24" spans="1:17" ht="25" hidden="1" x14ac:dyDescent="0.25">
      <c r="A24" s="16" t="s">
        <v>563</v>
      </c>
      <c r="B24" s="17"/>
      <c r="C24" s="16" t="s">
        <v>917</v>
      </c>
      <c r="D24" s="17"/>
      <c r="E24" s="17" t="s">
        <v>608</v>
      </c>
      <c r="F24" s="18" t="s">
        <v>918</v>
      </c>
      <c r="G24" s="49" t="s">
        <v>919</v>
      </c>
      <c r="H24" s="17">
        <v>23</v>
      </c>
      <c r="J24" s="62" t="s">
        <v>532</v>
      </c>
      <c r="K24" s="62"/>
      <c r="L24" s="62"/>
      <c r="M24" s="62"/>
      <c r="N24" s="62"/>
      <c r="O24" s="62" t="str">
        <f>IF(E24="PA",IF(K24&lt;&gt;"",ISERROR(VLOOKUP(K24,ABBR!A:D,1,FALSE)),ISERROR(VLOOKUP(C24,ABBR!A:D,1,FALSE))),"")</f>
        <v/>
      </c>
      <c r="P24" t="str">
        <f>VLOOKUP(A24,Groups!A:L,5,FALSE)</f>
        <v>SAMP</v>
      </c>
      <c r="Q24" s="62" t="str">
        <f>IF(G24="PA",IF(M24&lt;&gt;"",ISERROR(VLOOKUP(M24,ABBR!C:F,1,FALSE)),ISERROR(VLOOKUP(E24,ABBR!C:F,1,FALSE))),"")</f>
        <v/>
      </c>
    </row>
    <row r="25" spans="1:17" hidden="1" x14ac:dyDescent="0.25">
      <c r="A25" s="16" t="s">
        <v>563</v>
      </c>
      <c r="B25" s="17"/>
      <c r="C25" s="16" t="s">
        <v>920</v>
      </c>
      <c r="D25" s="17"/>
      <c r="E25" s="17" t="s">
        <v>608</v>
      </c>
      <c r="F25" s="18" t="s">
        <v>921</v>
      </c>
      <c r="G25" s="94" t="s">
        <v>922</v>
      </c>
      <c r="H25" s="17">
        <v>24</v>
      </c>
      <c r="J25" s="80" t="s">
        <v>473</v>
      </c>
      <c r="M25" s="101"/>
      <c r="O25" s="62" t="str">
        <f>IF(E25="PA",IF(K25&lt;&gt;"",ISERROR(VLOOKUP(K25,ABBR!A:D,1,FALSE)),ISERROR(VLOOKUP(C25,ABBR!A:D,1,FALSE))),"")</f>
        <v/>
      </c>
      <c r="P25" t="str">
        <f>VLOOKUP(A25,Groups!A:L,5,FALSE)</f>
        <v>SAMP</v>
      </c>
      <c r="Q25" s="62" t="str">
        <f>IF(G25="PA",IF(M25&lt;&gt;"",ISERROR(VLOOKUP(M25,ABBR!C:F,1,FALSE)),ISERROR(VLOOKUP(E25,ABBR!C:F,1,FALSE))),"")</f>
        <v/>
      </c>
    </row>
    <row r="26" spans="1:17" hidden="1" x14ac:dyDescent="0.25">
      <c r="A26" s="16" t="s">
        <v>563</v>
      </c>
      <c r="B26" s="17"/>
      <c r="C26" s="16" t="s">
        <v>923</v>
      </c>
      <c r="D26" s="17" t="s">
        <v>924</v>
      </c>
      <c r="E26" s="17" t="s">
        <v>925</v>
      </c>
      <c r="F26" s="18" t="s">
        <v>926</v>
      </c>
      <c r="G26" s="49" t="s">
        <v>927</v>
      </c>
      <c r="H26" s="17">
        <v>25</v>
      </c>
      <c r="J26" s="62" t="s">
        <v>473</v>
      </c>
      <c r="O26" s="62" t="str">
        <f>IF(E26="PA",IF(K26&lt;&gt;"",ISERROR(VLOOKUP(K26,ABBR!A:D,1,FALSE)),ISERROR(VLOOKUP(C26,ABBR!A:D,1,FALSE))),"")</f>
        <v/>
      </c>
      <c r="P26" t="str">
        <f>VLOOKUP(A26,Groups!A:L,5,FALSE)</f>
        <v>SAMP</v>
      </c>
      <c r="Q26" s="62" t="str">
        <f>IF(G26="PA",IF(M26&lt;&gt;"",ISERROR(VLOOKUP(M26,ABBR!C:F,1,FALSE)),ISERROR(VLOOKUP(E26,ABBR!C:F,1,FALSE))),"")</f>
        <v/>
      </c>
    </row>
    <row r="27" spans="1:17" hidden="1" x14ac:dyDescent="0.25">
      <c r="A27" s="16" t="s">
        <v>563</v>
      </c>
      <c r="B27" s="17"/>
      <c r="C27" s="16" t="s">
        <v>928</v>
      </c>
      <c r="D27" s="17"/>
      <c r="E27" s="17" t="s">
        <v>608</v>
      </c>
      <c r="F27" s="18" t="s">
        <v>929</v>
      </c>
      <c r="G27" s="49" t="s">
        <v>876</v>
      </c>
      <c r="H27" s="17">
        <v>26</v>
      </c>
      <c r="J27" s="62" t="s">
        <v>473</v>
      </c>
      <c r="K27" s="62"/>
      <c r="L27" s="62"/>
      <c r="M27" s="62"/>
      <c r="N27" s="62"/>
      <c r="O27" s="62" t="str">
        <f>IF(E27="PA",IF(K27&lt;&gt;"",ISERROR(VLOOKUP(K27,ABBR!A:D,1,FALSE)),ISERROR(VLOOKUP(C27,ABBR!A:D,1,FALSE))),"")</f>
        <v/>
      </c>
      <c r="P27" t="str">
        <f>VLOOKUP(A27,Groups!A:L,5,FALSE)</f>
        <v>SAMP</v>
      </c>
      <c r="Q27" s="62" t="str">
        <f>IF(G27="PA",IF(M27&lt;&gt;"",ISERROR(VLOOKUP(M27,ABBR!C:F,1,FALSE)),ISERROR(VLOOKUP(E27,ABBR!C:F,1,FALSE))),"")</f>
        <v/>
      </c>
    </row>
    <row r="28" spans="1:17" hidden="1" x14ac:dyDescent="0.25">
      <c r="A28" s="16" t="s">
        <v>563</v>
      </c>
      <c r="B28" s="17"/>
      <c r="C28" s="16" t="s">
        <v>930</v>
      </c>
      <c r="D28" s="17"/>
      <c r="E28" s="17" t="s">
        <v>608</v>
      </c>
      <c r="F28" s="18" t="s">
        <v>931</v>
      </c>
      <c r="G28" s="49" t="s">
        <v>932</v>
      </c>
      <c r="H28" s="17">
        <v>27</v>
      </c>
      <c r="J28" s="62" t="s">
        <v>532</v>
      </c>
      <c r="K28" s="62"/>
      <c r="L28" s="62"/>
      <c r="M28" s="62"/>
      <c r="N28" s="62"/>
      <c r="O28" s="62" t="str">
        <f>IF(E28="PA",IF(K28&lt;&gt;"",ISERROR(VLOOKUP(K28,ABBR!A:D,1,FALSE)),ISERROR(VLOOKUP(C28,ABBR!A:D,1,FALSE))),"")</f>
        <v/>
      </c>
      <c r="P28" t="str">
        <f>VLOOKUP(A28,Groups!A:L,5,FALSE)</f>
        <v>SAMP</v>
      </c>
      <c r="Q28" s="62" t="str">
        <f>IF(G28="PA",IF(M28&lt;&gt;"",ISERROR(VLOOKUP(M28,ABBR!C:F,1,FALSE)),ISERROR(VLOOKUP(E28,ABBR!C:F,1,FALSE))),"")</f>
        <v/>
      </c>
    </row>
    <row r="29" spans="1:17" ht="25" hidden="1" x14ac:dyDescent="0.25">
      <c r="A29" s="16" t="s">
        <v>563</v>
      </c>
      <c r="B29" s="17"/>
      <c r="C29" s="16" t="s">
        <v>933</v>
      </c>
      <c r="D29" s="17"/>
      <c r="E29" s="17" t="s">
        <v>608</v>
      </c>
      <c r="F29" s="18" t="s">
        <v>934</v>
      </c>
      <c r="G29" s="49" t="s">
        <v>935</v>
      </c>
      <c r="H29" s="17">
        <v>28</v>
      </c>
      <c r="J29" s="62" t="s">
        <v>532</v>
      </c>
      <c r="K29" s="62"/>
      <c r="L29" s="62"/>
      <c r="M29" s="62"/>
      <c r="N29" s="62"/>
      <c r="O29" s="62" t="str">
        <f>IF(E29="PA",IF(K29&lt;&gt;"",ISERROR(VLOOKUP(K29,ABBR!A:D,1,FALSE)),ISERROR(VLOOKUP(C29,ABBR!A:D,1,FALSE))),"")</f>
        <v/>
      </c>
      <c r="P29" t="str">
        <f>VLOOKUP(A29,Groups!A:L,5,FALSE)</f>
        <v>SAMP</v>
      </c>
      <c r="Q29" s="62" t="str">
        <f>IF(G29="PA",IF(M29&lt;&gt;"",ISERROR(VLOOKUP(M29,ABBR!C:F,1,FALSE)),ISERROR(VLOOKUP(E29,ABBR!C:F,1,FALSE))),"")</f>
        <v/>
      </c>
    </row>
    <row r="30" spans="1:17" hidden="1" x14ac:dyDescent="0.25">
      <c r="A30" s="16" t="s">
        <v>563</v>
      </c>
      <c r="B30" s="17"/>
      <c r="C30" s="16" t="s">
        <v>936</v>
      </c>
      <c r="D30" s="17"/>
      <c r="E30" s="17" t="s">
        <v>608</v>
      </c>
      <c r="F30" s="18" t="s">
        <v>937</v>
      </c>
      <c r="G30" s="49" t="s">
        <v>938</v>
      </c>
      <c r="H30" s="17">
        <v>29</v>
      </c>
      <c r="J30" s="62" t="s">
        <v>532</v>
      </c>
      <c r="K30" s="62"/>
      <c r="L30" s="62"/>
      <c r="M30" s="62"/>
      <c r="N30" s="62"/>
      <c r="O30" s="62" t="str">
        <f>IF(E30="PA",IF(K30&lt;&gt;"",ISERROR(VLOOKUP(K30,ABBR!A:D,1,FALSE)),ISERROR(VLOOKUP(C30,ABBR!A:D,1,FALSE))),"")</f>
        <v/>
      </c>
      <c r="P30" t="str">
        <f>VLOOKUP(A30,Groups!A:L,5,FALSE)</f>
        <v>SAMP</v>
      </c>
      <c r="Q30" s="62" t="str">
        <f>IF(G30="PA",IF(M30&lt;&gt;"",ISERROR(VLOOKUP(M30,ABBR!C:F,1,FALSE)),ISERROR(VLOOKUP(E30,ABBR!C:F,1,FALSE))),"")</f>
        <v/>
      </c>
    </row>
    <row r="31" spans="1:17" hidden="1" x14ac:dyDescent="0.25">
      <c r="A31" s="16" t="s">
        <v>563</v>
      </c>
      <c r="B31" s="17"/>
      <c r="C31" s="16" t="s">
        <v>643</v>
      </c>
      <c r="D31" s="17"/>
      <c r="E31" s="17" t="s">
        <v>608</v>
      </c>
      <c r="F31" s="18" t="s">
        <v>939</v>
      </c>
      <c r="G31" s="49" t="s">
        <v>940</v>
      </c>
      <c r="H31" s="17">
        <v>30</v>
      </c>
      <c r="J31" s="62" t="s">
        <v>532</v>
      </c>
      <c r="K31" s="62"/>
      <c r="L31" s="62"/>
      <c r="M31" s="62"/>
      <c r="N31" s="62"/>
      <c r="O31" s="62" t="str">
        <f>IF(E31="PA",IF(K31&lt;&gt;"",ISERROR(VLOOKUP(K31,ABBR!A:D,1,FALSE)),ISERROR(VLOOKUP(C31,ABBR!A:D,1,FALSE))),"")</f>
        <v/>
      </c>
      <c r="P31" t="str">
        <f>VLOOKUP(A31,Groups!A:L,5,FALSE)</f>
        <v>SAMP</v>
      </c>
      <c r="Q31" s="62" t="str">
        <f>IF(G31="PA",IF(M31&lt;&gt;"",ISERROR(VLOOKUP(M31,ABBR!C:F,1,FALSE)),ISERROR(VLOOKUP(E31,ABBR!C:F,1,FALSE))),"")</f>
        <v/>
      </c>
    </row>
    <row r="32" spans="1:17" hidden="1" x14ac:dyDescent="0.25">
      <c r="A32" s="16" t="s">
        <v>51</v>
      </c>
      <c r="B32" s="17" t="s">
        <v>594</v>
      </c>
      <c r="C32" s="16" t="s">
        <v>595</v>
      </c>
      <c r="D32" s="17"/>
      <c r="E32" s="17" t="s">
        <v>596</v>
      </c>
      <c r="F32" s="18" t="s">
        <v>597</v>
      </c>
      <c r="G32" s="49" t="s">
        <v>598</v>
      </c>
      <c r="H32" s="17">
        <v>1</v>
      </c>
      <c r="O32" s="62" t="str">
        <f>IF(E32="PA",IF(K32&lt;&gt;"",ISERROR(VLOOKUP(K32,ABBR!A:D,1,FALSE)),ISERROR(VLOOKUP(C32,ABBR!A:D,1,FALSE))),"")</f>
        <v/>
      </c>
      <c r="P32" t="str">
        <f>VLOOKUP(A32,Groups!A:L,5,FALSE)</f>
        <v>SAMP</v>
      </c>
      <c r="Q32" s="62" t="str">
        <f>IF(G32="PA",IF(M32&lt;&gt;"",ISERROR(VLOOKUP(M32,ABBR!C:F,1,FALSE)),ISERROR(VLOOKUP(E32,ABBR!C:F,1,FALSE))),"")</f>
        <v/>
      </c>
    </row>
    <row r="33" spans="1:17" hidden="1" x14ac:dyDescent="0.25">
      <c r="A33" s="16" t="s">
        <v>51</v>
      </c>
      <c r="B33" s="17" t="s">
        <v>594</v>
      </c>
      <c r="C33" s="16" t="s">
        <v>851</v>
      </c>
      <c r="D33" s="17" t="s">
        <v>600</v>
      </c>
      <c r="E33" s="17" t="s">
        <v>601</v>
      </c>
      <c r="F33" s="18" t="s">
        <v>852</v>
      </c>
      <c r="G33" s="49" t="s">
        <v>853</v>
      </c>
      <c r="H33" s="17">
        <v>2</v>
      </c>
      <c r="O33" s="62" t="str">
        <f>IF(E33="PA",IF(K33&lt;&gt;"",ISERROR(VLOOKUP(K33,ABBR!A:D,1,FALSE)),ISERROR(VLOOKUP(C33,ABBR!A:D,1,FALSE))),"")</f>
        <v/>
      </c>
      <c r="P33" t="str">
        <f>VLOOKUP(A33,Groups!A:L,5,FALSE)</f>
        <v>SAMP</v>
      </c>
      <c r="Q33" s="62" t="str">
        <f>IF(G33="PA",IF(M33&lt;&gt;"",ISERROR(VLOOKUP(M33,ABBR!C:F,1,FALSE)),ISERROR(VLOOKUP(E33,ABBR!C:F,1,FALSE))),"")</f>
        <v/>
      </c>
    </row>
    <row r="34" spans="1:17" hidden="1" x14ac:dyDescent="0.25">
      <c r="A34" s="16" t="s">
        <v>51</v>
      </c>
      <c r="B34" s="17" t="s">
        <v>594</v>
      </c>
      <c r="C34" s="16" t="s">
        <v>854</v>
      </c>
      <c r="D34" s="17"/>
      <c r="E34" s="17" t="s">
        <v>608</v>
      </c>
      <c r="F34" s="18" t="s">
        <v>855</v>
      </c>
      <c r="G34" s="49" t="s">
        <v>941</v>
      </c>
      <c r="H34" s="17">
        <v>3</v>
      </c>
      <c r="O34" s="62" t="str">
        <f>IF(E34="PA",IF(K34&lt;&gt;"",ISERROR(VLOOKUP(K34,ABBR!A:D,1,FALSE)),ISERROR(VLOOKUP(C34,ABBR!A:D,1,FALSE))),"")</f>
        <v/>
      </c>
      <c r="P34" t="str">
        <f>VLOOKUP(A34,Groups!A:L,5,FALSE)</f>
        <v>SAMP</v>
      </c>
      <c r="Q34" s="62" t="str">
        <f>IF(G34="PA",IF(M34&lt;&gt;"",ISERROR(VLOOKUP(M34,ABBR!C:F,1,FALSE)),ISERROR(VLOOKUP(E34,ABBR!C:F,1,FALSE))),"")</f>
        <v/>
      </c>
    </row>
    <row r="35" spans="1:17" hidden="1" x14ac:dyDescent="0.25">
      <c r="A35" s="16" t="s">
        <v>51</v>
      </c>
      <c r="B35" s="17" t="s">
        <v>594</v>
      </c>
      <c r="C35" s="16" t="s">
        <v>857</v>
      </c>
      <c r="D35" s="17"/>
      <c r="E35" s="17" t="s">
        <v>618</v>
      </c>
      <c r="F35" s="18" t="s">
        <v>858</v>
      </c>
      <c r="G35" s="49" t="s">
        <v>859</v>
      </c>
      <c r="H35" s="17">
        <v>4</v>
      </c>
      <c r="O35" s="62" t="b">
        <f>IF(E35="PA",IF(K35&lt;&gt;"",ISERROR(VLOOKUP(K35,ABBR!A:D,1,FALSE)),ISERROR(VLOOKUP(C35,ABBR!A:D,1,FALSE))),"")</f>
        <v>0</v>
      </c>
      <c r="P35" t="str">
        <f>VLOOKUP(A35,Groups!A:L,5,FALSE)</f>
        <v>SAMP</v>
      </c>
      <c r="Q35" s="62" t="str">
        <f>IF(G35="PA",IF(M35&lt;&gt;"",ISERROR(VLOOKUP(M35,ABBR!C:F,1,FALSE)),ISERROR(VLOOKUP(E35,ABBR!C:F,1,FALSE))),"")</f>
        <v/>
      </c>
    </row>
    <row r="36" spans="1:17" hidden="1" x14ac:dyDescent="0.25">
      <c r="A36" s="16" t="s">
        <v>51</v>
      </c>
      <c r="B36" s="17" t="s">
        <v>594</v>
      </c>
      <c r="C36" s="16" t="s">
        <v>860</v>
      </c>
      <c r="D36" s="17"/>
      <c r="E36" s="17" t="s">
        <v>596</v>
      </c>
      <c r="F36" s="18" t="s">
        <v>942</v>
      </c>
      <c r="G36" s="49" t="s">
        <v>862</v>
      </c>
      <c r="H36" s="17">
        <v>5</v>
      </c>
      <c r="O36" s="62" t="str">
        <f>IF(E36="PA",IF(K36&lt;&gt;"",ISERROR(VLOOKUP(K36,ABBR!A:D,1,FALSE)),ISERROR(VLOOKUP(C36,ABBR!A:D,1,FALSE))),"")</f>
        <v/>
      </c>
      <c r="P36" t="str">
        <f>VLOOKUP(A36,Groups!A:L,5,FALSE)</f>
        <v>SAMP</v>
      </c>
      <c r="Q36" s="62" t="str">
        <f>IF(G36="PA",IF(M36&lt;&gt;"",ISERROR(VLOOKUP(M36,ABBR!C:F,1,FALSE)),ISERROR(VLOOKUP(E36,ABBR!C:F,1,FALSE))),"")</f>
        <v/>
      </c>
    </row>
    <row r="37" spans="1:17" hidden="1" x14ac:dyDescent="0.25">
      <c r="A37" s="16" t="s">
        <v>51</v>
      </c>
      <c r="B37" s="17" t="s">
        <v>594</v>
      </c>
      <c r="C37" s="16" t="s">
        <v>863</v>
      </c>
      <c r="D37" s="17"/>
      <c r="E37" s="17" t="s">
        <v>608</v>
      </c>
      <c r="F37" s="18" t="s">
        <v>864</v>
      </c>
      <c r="G37" s="49" t="s">
        <v>865</v>
      </c>
      <c r="H37" s="17">
        <v>6</v>
      </c>
      <c r="O37" s="62" t="str">
        <f>IF(E37="PA",IF(K37&lt;&gt;"",ISERROR(VLOOKUP(K37,ABBR!A:D,1,FALSE)),ISERROR(VLOOKUP(C37,ABBR!A:D,1,FALSE))),"")</f>
        <v/>
      </c>
      <c r="P37" t="str">
        <f>VLOOKUP(A37,Groups!A:L,5,FALSE)</f>
        <v>SAMP</v>
      </c>
      <c r="Q37" s="62" t="str">
        <f>IF(G37="PA",IF(M37&lt;&gt;"",ISERROR(VLOOKUP(M37,ABBR!C:F,1,FALSE)),ISERROR(VLOOKUP(E37,ABBR!C:F,1,FALSE))),"")</f>
        <v/>
      </c>
    </row>
    <row r="38" spans="1:17" hidden="1" x14ac:dyDescent="0.25">
      <c r="A38" s="16" t="s">
        <v>51</v>
      </c>
      <c r="B38" s="17" t="s">
        <v>594</v>
      </c>
      <c r="C38" s="16" t="s">
        <v>866</v>
      </c>
      <c r="D38" s="17" t="s">
        <v>600</v>
      </c>
      <c r="E38" s="17" t="s">
        <v>601</v>
      </c>
      <c r="F38" s="18" t="s">
        <v>867</v>
      </c>
      <c r="G38" s="49" t="s">
        <v>853</v>
      </c>
      <c r="H38" s="17">
        <v>7</v>
      </c>
      <c r="O38" s="62" t="str">
        <f>IF(E38="PA",IF(K38&lt;&gt;"",ISERROR(VLOOKUP(K38,ABBR!A:D,1,FALSE)),ISERROR(VLOOKUP(C38,ABBR!A:D,1,FALSE))),"")</f>
        <v/>
      </c>
      <c r="P38" t="str">
        <f>VLOOKUP(A38,Groups!A:L,5,FALSE)</f>
        <v>SAMP</v>
      </c>
      <c r="Q38" s="62" t="str">
        <f>IF(G38="PA",IF(M38&lt;&gt;"",ISERROR(VLOOKUP(M38,ABBR!C:F,1,FALSE)),ISERROR(VLOOKUP(E38,ABBR!C:F,1,FALSE))),"")</f>
        <v/>
      </c>
    </row>
    <row r="39" spans="1:17" hidden="1" x14ac:dyDescent="0.25">
      <c r="A39" s="16" t="s">
        <v>51</v>
      </c>
      <c r="B39" s="17"/>
      <c r="C39" s="16" t="s">
        <v>868</v>
      </c>
      <c r="D39" s="17"/>
      <c r="E39" s="17" t="s">
        <v>608</v>
      </c>
      <c r="F39" s="18" t="s">
        <v>869</v>
      </c>
      <c r="G39" s="51" t="s">
        <v>870</v>
      </c>
      <c r="H39" s="17">
        <v>8</v>
      </c>
      <c r="O39" s="62" t="str">
        <f>IF(E39="PA",IF(K39&lt;&gt;"",ISERROR(VLOOKUP(K39,ABBR!A:D,1,FALSE)),ISERROR(VLOOKUP(C39,ABBR!A:D,1,FALSE))),"")</f>
        <v/>
      </c>
      <c r="P39" t="str">
        <f>VLOOKUP(A39,Groups!A:L,5,FALSE)</f>
        <v>SAMP</v>
      </c>
      <c r="Q39" s="62" t="str">
        <f>IF(G39="PA",IF(M39&lt;&gt;"",ISERROR(VLOOKUP(M39,ABBR!C:F,1,FALSE)),ISERROR(VLOOKUP(E39,ABBR!C:F,1,FALSE))),"")</f>
        <v/>
      </c>
    </row>
    <row r="40" spans="1:17" ht="25" hidden="1" x14ac:dyDescent="0.25">
      <c r="A40" s="16" t="s">
        <v>51</v>
      </c>
      <c r="B40" s="17"/>
      <c r="C40" s="16" t="s">
        <v>871</v>
      </c>
      <c r="D40" s="17"/>
      <c r="E40" s="17" t="s">
        <v>608</v>
      </c>
      <c r="F40" s="18" t="s">
        <v>872</v>
      </c>
      <c r="G40" s="49" t="s">
        <v>873</v>
      </c>
      <c r="H40" s="17">
        <v>9</v>
      </c>
      <c r="O40" s="62" t="str">
        <f>IF(E40="PA",IF(K40&lt;&gt;"",ISERROR(VLOOKUP(K40,ABBR!A:D,1,FALSE)),ISERROR(VLOOKUP(C40,ABBR!A:D,1,FALSE))),"")</f>
        <v/>
      </c>
      <c r="P40" t="str">
        <f>VLOOKUP(A40,Groups!A:L,5,FALSE)</f>
        <v>SAMP</v>
      </c>
      <c r="Q40" s="62" t="str">
        <f>IF(G40="PA",IF(M40&lt;&gt;"",ISERROR(VLOOKUP(M40,ABBR!C:F,1,FALSE)),ISERROR(VLOOKUP(E40,ABBR!C:F,1,FALSE))),"")</f>
        <v/>
      </c>
    </row>
    <row r="41" spans="1:17" hidden="1" x14ac:dyDescent="0.25">
      <c r="A41" s="16" t="s">
        <v>51</v>
      </c>
      <c r="B41" s="17"/>
      <c r="C41" s="16" t="s">
        <v>943</v>
      </c>
      <c r="D41" s="17"/>
      <c r="E41" s="17" t="s">
        <v>882</v>
      </c>
      <c r="F41" s="18" t="s">
        <v>944</v>
      </c>
      <c r="G41" s="49" t="s">
        <v>945</v>
      </c>
      <c r="H41" s="17">
        <v>10</v>
      </c>
      <c r="O41" s="62" t="str">
        <f>IF(E41="PA",IF(K41&lt;&gt;"",ISERROR(VLOOKUP(K41,ABBR!A:D,1,FALSE)),ISERROR(VLOOKUP(C41,ABBR!A:D,1,FALSE))),"")</f>
        <v/>
      </c>
      <c r="P41" t="str">
        <f>VLOOKUP(A41,Groups!A:L,5,FALSE)</f>
        <v>SAMP</v>
      </c>
      <c r="Q41" s="62" t="str">
        <f>IF(G41="PA",IF(M41&lt;&gt;"",ISERROR(VLOOKUP(M41,ABBR!C:F,1,FALSE)),ISERROR(VLOOKUP(E41,ABBR!C:F,1,FALSE))),"")</f>
        <v/>
      </c>
    </row>
    <row r="42" spans="1:17" hidden="1" x14ac:dyDescent="0.25">
      <c r="A42" s="16" t="s">
        <v>51</v>
      </c>
      <c r="B42" s="17"/>
      <c r="C42" s="16" t="s">
        <v>946</v>
      </c>
      <c r="D42" s="17"/>
      <c r="E42" s="17" t="s">
        <v>608</v>
      </c>
      <c r="F42" s="18" t="s">
        <v>642</v>
      </c>
      <c r="G42" s="49" t="s">
        <v>16</v>
      </c>
      <c r="H42" s="17">
        <v>11</v>
      </c>
      <c r="M42" s="101"/>
      <c r="O42" s="62" t="str">
        <f>IF(E42="PA",IF(K42&lt;&gt;"",ISERROR(VLOOKUP(K42,ABBR!A:D,1,FALSE)),ISERROR(VLOOKUP(C42,ABBR!A:D,1,FALSE))),"")</f>
        <v/>
      </c>
      <c r="P42" t="str">
        <f>VLOOKUP(A42,Groups!A:L,5,FALSE)</f>
        <v>SAMP</v>
      </c>
      <c r="Q42" s="62" t="str">
        <f>IF(G42="PA",IF(M42&lt;&gt;"",ISERROR(VLOOKUP(M42,ABBR!C:F,1,FALSE)),ISERROR(VLOOKUP(E42,ABBR!C:F,1,FALSE))),"")</f>
        <v/>
      </c>
    </row>
    <row r="43" spans="1:17" ht="25" hidden="1" x14ac:dyDescent="0.25">
      <c r="A43" s="16" t="s">
        <v>51</v>
      </c>
      <c r="B43" s="17"/>
      <c r="C43" s="16" t="s">
        <v>947</v>
      </c>
      <c r="D43" s="17"/>
      <c r="E43" s="17" t="s">
        <v>608</v>
      </c>
      <c r="F43" s="18" t="s">
        <v>918</v>
      </c>
      <c r="G43" s="49" t="s">
        <v>948</v>
      </c>
      <c r="H43" s="17">
        <v>12</v>
      </c>
      <c r="O43" s="62" t="str">
        <f>IF(E43="PA",IF(K43&lt;&gt;"",ISERROR(VLOOKUP(K43,ABBR!A:D,1,FALSE)),ISERROR(VLOOKUP(C43,ABBR!A:D,1,FALSE))),"")</f>
        <v/>
      </c>
      <c r="P43" t="str">
        <f>VLOOKUP(A43,Groups!A:L,5,FALSE)</f>
        <v>SAMP</v>
      </c>
      <c r="Q43" s="62" t="str">
        <f>IF(G43="PA",IF(M43&lt;&gt;"",ISERROR(VLOOKUP(M43,ABBR!C:F,1,FALSE)),ISERROR(VLOOKUP(E43,ABBR!C:F,1,FALSE))),"")</f>
        <v/>
      </c>
    </row>
    <row r="44" spans="1:17" hidden="1" x14ac:dyDescent="0.25">
      <c r="A44" s="16" t="s">
        <v>51</v>
      </c>
      <c r="B44" s="17"/>
      <c r="C44" s="16" t="s">
        <v>949</v>
      </c>
      <c r="D44" s="17"/>
      <c r="E44" s="17" t="s">
        <v>608</v>
      </c>
      <c r="F44" s="18" t="s">
        <v>950</v>
      </c>
      <c r="G44" s="51" t="s">
        <v>951</v>
      </c>
      <c r="H44" s="17">
        <v>13</v>
      </c>
      <c r="O44" s="62" t="str">
        <f>IF(E44="PA",IF(K44&lt;&gt;"",ISERROR(VLOOKUP(K44,ABBR!A:D,1,FALSE)),ISERROR(VLOOKUP(C44,ABBR!A:D,1,FALSE))),"")</f>
        <v/>
      </c>
      <c r="P44" t="str">
        <f>VLOOKUP(A44,Groups!A:L,5,FALSE)</f>
        <v>SAMP</v>
      </c>
      <c r="Q44" s="62" t="str">
        <f>IF(G44="PA",IF(M44&lt;&gt;"",ISERROR(VLOOKUP(M44,ABBR!C:F,1,FALSE)),ISERROR(VLOOKUP(E44,ABBR!C:F,1,FALSE))),"")</f>
        <v/>
      </c>
    </row>
    <row r="45" spans="1:17" ht="25" hidden="1" x14ac:dyDescent="0.25">
      <c r="A45" s="16" t="s">
        <v>51</v>
      </c>
      <c r="B45" s="17"/>
      <c r="C45" s="16" t="s">
        <v>952</v>
      </c>
      <c r="D45" s="17"/>
      <c r="E45" s="17" t="s">
        <v>608</v>
      </c>
      <c r="F45" s="18" t="s">
        <v>934</v>
      </c>
      <c r="G45" s="49" t="s">
        <v>953</v>
      </c>
      <c r="H45" s="17">
        <v>14</v>
      </c>
      <c r="O45" s="62" t="str">
        <f>IF(E45="PA",IF(K45&lt;&gt;"",ISERROR(VLOOKUP(K45,ABBR!A:D,1,FALSE)),ISERROR(VLOOKUP(C45,ABBR!A:D,1,FALSE))),"")</f>
        <v/>
      </c>
      <c r="P45" t="str">
        <f>VLOOKUP(A45,Groups!A:L,5,FALSE)</f>
        <v>SAMP</v>
      </c>
      <c r="Q45" s="62" t="str">
        <f>IF(G45="PA",IF(M45&lt;&gt;"",ISERROR(VLOOKUP(M45,ABBR!C:F,1,FALSE)),ISERROR(VLOOKUP(E45,ABBR!C:F,1,FALSE))),"")</f>
        <v/>
      </c>
    </row>
    <row r="46" spans="1:17" hidden="1" x14ac:dyDescent="0.25">
      <c r="A46" s="16" t="s">
        <v>51</v>
      </c>
      <c r="B46" s="17"/>
      <c r="C46" s="16" t="s">
        <v>936</v>
      </c>
      <c r="D46" s="17"/>
      <c r="E46" s="22" t="s">
        <v>608</v>
      </c>
      <c r="F46" s="18" t="s">
        <v>937</v>
      </c>
      <c r="G46" s="49" t="s">
        <v>938</v>
      </c>
      <c r="H46" s="17">
        <v>15</v>
      </c>
      <c r="O46" s="62" t="str">
        <f>IF(E46="PA",IF(K46&lt;&gt;"",ISERROR(VLOOKUP(K46,ABBR!A:D,1,FALSE)),ISERROR(VLOOKUP(C46,ABBR!A:D,1,FALSE))),"")</f>
        <v/>
      </c>
      <c r="P46" t="str">
        <f>VLOOKUP(A46,Groups!A:L,5,FALSE)</f>
        <v>SAMP</v>
      </c>
      <c r="Q46" s="62" t="str">
        <f>IF(G46="PA",IF(M46&lt;&gt;"",ISERROR(VLOOKUP(M46,ABBR!C:F,1,FALSE)),ISERROR(VLOOKUP(E46,ABBR!C:F,1,FALSE))),"")</f>
        <v/>
      </c>
    </row>
    <row r="47" spans="1:17" hidden="1" x14ac:dyDescent="0.25">
      <c r="A47" s="16" t="s">
        <v>51</v>
      </c>
      <c r="B47" s="17"/>
      <c r="C47" s="16" t="s">
        <v>643</v>
      </c>
      <c r="D47" s="17"/>
      <c r="E47" s="17" t="s">
        <v>608</v>
      </c>
      <c r="F47" s="18" t="s">
        <v>954</v>
      </c>
      <c r="G47" s="49" t="s">
        <v>940</v>
      </c>
      <c r="H47" s="17">
        <v>16</v>
      </c>
      <c r="O47" s="62" t="str">
        <f>IF(E47="PA",IF(K47&lt;&gt;"",ISERROR(VLOOKUP(K47,ABBR!A:D,1,FALSE)),ISERROR(VLOOKUP(C47,ABBR!A:D,1,FALSE))),"")</f>
        <v/>
      </c>
      <c r="P47" t="str">
        <f>VLOOKUP(A47,Groups!A:L,5,FALSE)</f>
        <v>SAMP</v>
      </c>
      <c r="Q47" s="62" t="str">
        <f>IF(G47="PA",IF(M47&lt;&gt;"",ISERROR(VLOOKUP(M47,ABBR!C:F,1,FALSE)),ISERROR(VLOOKUP(E47,ABBR!C:F,1,FALSE))),"")</f>
        <v/>
      </c>
    </row>
    <row r="48" spans="1:17" hidden="1" x14ac:dyDescent="0.25">
      <c r="A48" s="16" t="s">
        <v>51</v>
      </c>
      <c r="B48" s="17"/>
      <c r="C48" s="16" t="s">
        <v>877</v>
      </c>
      <c r="D48" s="17" t="s">
        <v>600</v>
      </c>
      <c r="E48" s="17" t="s">
        <v>601</v>
      </c>
      <c r="F48" s="18" t="s">
        <v>878</v>
      </c>
      <c r="G48" s="49" t="s">
        <v>879</v>
      </c>
      <c r="H48" s="17">
        <v>17</v>
      </c>
      <c r="I48" s="30" t="s">
        <v>955</v>
      </c>
      <c r="J48" s="80">
        <v>4.0999999999999996</v>
      </c>
      <c r="O48" s="62" t="str">
        <f>IF(E48="PA",IF(K48&lt;&gt;"",ISERROR(VLOOKUP(K48,ABBR!A:D,1,FALSE)),ISERROR(VLOOKUP(C48,ABBR!A:D,1,FALSE))),"")</f>
        <v/>
      </c>
      <c r="P48" t="str">
        <f>VLOOKUP(A48,Groups!A:L,5,FALSE)</f>
        <v>SAMP</v>
      </c>
      <c r="Q48" s="62" t="str">
        <f>IF(G48="PA",IF(M48&lt;&gt;"",ISERROR(VLOOKUP(M48,ABBR!C:F,1,FALSE)),ISERROR(VLOOKUP(E48,ABBR!C:F,1,FALSE))),"")</f>
        <v/>
      </c>
    </row>
    <row r="49" spans="1:17" hidden="1" x14ac:dyDescent="0.25">
      <c r="A49" s="16" t="s">
        <v>51</v>
      </c>
      <c r="B49" s="17"/>
      <c r="C49" s="16" t="s">
        <v>956</v>
      </c>
      <c r="D49" s="17"/>
      <c r="E49" s="17" t="s">
        <v>608</v>
      </c>
      <c r="F49" s="18" t="s">
        <v>921</v>
      </c>
      <c r="G49" s="94" t="s">
        <v>922</v>
      </c>
      <c r="H49" s="17">
        <v>18</v>
      </c>
      <c r="I49" s="30" t="s">
        <v>955</v>
      </c>
      <c r="J49" s="80">
        <v>4.0999999999999996</v>
      </c>
      <c r="M49" s="101"/>
      <c r="O49" s="62" t="str">
        <f>IF(E49="PA",IF(K49&lt;&gt;"",ISERROR(VLOOKUP(K49,ABBR!A:D,1,FALSE)),ISERROR(VLOOKUP(C49,ABBR!A:D,1,FALSE))),"")</f>
        <v/>
      </c>
      <c r="P49" t="str">
        <f>VLOOKUP(A49,Groups!A:L,5,FALSE)</f>
        <v>SAMP</v>
      </c>
      <c r="Q49" s="62" t="str">
        <f>IF(G49="PA",IF(M49&lt;&gt;"",ISERROR(VLOOKUP(M49,ABBR!C:F,1,FALSE)),ISERROR(VLOOKUP(E49,ABBR!C:F,1,FALSE))),"")</f>
        <v/>
      </c>
    </row>
    <row r="50" spans="1:17" hidden="1" x14ac:dyDescent="0.25">
      <c r="A50" s="16" t="s">
        <v>51</v>
      </c>
      <c r="B50" s="17"/>
      <c r="C50" s="16" t="s">
        <v>957</v>
      </c>
      <c r="D50" s="17" t="s">
        <v>924</v>
      </c>
      <c r="E50" s="17" t="s">
        <v>925</v>
      </c>
      <c r="F50" s="18" t="s">
        <v>926</v>
      </c>
      <c r="G50" s="49" t="s">
        <v>927</v>
      </c>
      <c r="H50" s="17">
        <v>19</v>
      </c>
      <c r="J50" s="62" t="s">
        <v>473</v>
      </c>
      <c r="K50" s="62"/>
      <c r="L50" s="62"/>
      <c r="M50" s="62"/>
      <c r="N50" s="62"/>
      <c r="O50" s="62" t="str">
        <f>IF(E50="PA",IF(K50&lt;&gt;"",ISERROR(VLOOKUP(K50,ABBR!A:D,1,FALSE)),ISERROR(VLOOKUP(C50,ABBR!A:D,1,FALSE))),"")</f>
        <v/>
      </c>
      <c r="P50" t="str">
        <f>VLOOKUP(A50,Groups!A:L,5,FALSE)</f>
        <v>SAMP</v>
      </c>
      <c r="Q50" s="62" t="str">
        <f>IF(G50="PA",IF(M50&lt;&gt;"",ISERROR(VLOOKUP(M50,ABBR!C:F,1,FALSE)),ISERROR(VLOOKUP(E50,ABBR!C:F,1,FALSE))),"")</f>
        <v/>
      </c>
    </row>
    <row r="51" spans="1:17" hidden="1" x14ac:dyDescent="0.25">
      <c r="A51" s="16" t="s">
        <v>51</v>
      </c>
      <c r="B51" s="17"/>
      <c r="C51" s="16" t="s">
        <v>958</v>
      </c>
      <c r="D51" s="17"/>
      <c r="E51" s="17" t="s">
        <v>608</v>
      </c>
      <c r="F51" s="18" t="s">
        <v>875</v>
      </c>
      <c r="G51" s="49" t="s">
        <v>876</v>
      </c>
      <c r="H51" s="17">
        <v>20</v>
      </c>
      <c r="J51" s="62" t="s">
        <v>473</v>
      </c>
      <c r="K51" s="62"/>
      <c r="L51" s="62"/>
      <c r="M51" s="62"/>
      <c r="N51" s="62"/>
      <c r="O51" s="62" t="str">
        <f>IF(E51="PA",IF(K51&lt;&gt;"",ISERROR(VLOOKUP(K51,ABBR!A:D,1,FALSE)),ISERROR(VLOOKUP(C51,ABBR!A:D,1,FALSE))),"")</f>
        <v/>
      </c>
      <c r="P51" t="str">
        <f>VLOOKUP(A51,Groups!A:L,5,FALSE)</f>
        <v>SAMP</v>
      </c>
      <c r="Q51" s="62" t="str">
        <f>IF(G51="PA",IF(M51&lt;&gt;"",ISERROR(VLOOKUP(M51,ABBR!C:F,1,FALSE)),ISERROR(VLOOKUP(E51,ABBR!C:F,1,FALSE))),"")</f>
        <v/>
      </c>
    </row>
    <row r="52" spans="1:17" hidden="1" x14ac:dyDescent="0.25">
      <c r="A52" s="16" t="s">
        <v>51</v>
      </c>
      <c r="B52" s="17"/>
      <c r="C52" s="16" t="s">
        <v>959</v>
      </c>
      <c r="D52" s="17"/>
      <c r="E52" s="17" t="s">
        <v>608</v>
      </c>
      <c r="F52" s="18" t="s">
        <v>929</v>
      </c>
      <c r="G52" s="49" t="s">
        <v>876</v>
      </c>
      <c r="H52" s="17">
        <v>21</v>
      </c>
      <c r="J52" s="62" t="s">
        <v>473</v>
      </c>
      <c r="K52" s="62"/>
      <c r="L52" s="62"/>
      <c r="M52" s="62"/>
      <c r="N52" s="62"/>
      <c r="O52" s="62" t="str">
        <f>IF(E52="PA",IF(K52&lt;&gt;"",ISERROR(VLOOKUP(K52,ABBR!A:D,1,FALSE)),ISERROR(VLOOKUP(C52,ABBR!A:D,1,FALSE))),"")</f>
        <v/>
      </c>
      <c r="P52" t="str">
        <f>VLOOKUP(A52,Groups!A:L,5,FALSE)</f>
        <v>SAMP</v>
      </c>
      <c r="Q52" s="62" t="str">
        <f>IF(G52="PA",IF(M52&lt;&gt;"",ISERROR(VLOOKUP(M52,ABBR!C:F,1,FALSE)),ISERROR(VLOOKUP(E52,ABBR!C:F,1,FALSE))),"")</f>
        <v/>
      </c>
    </row>
    <row r="53" spans="1:17" hidden="1" x14ac:dyDescent="0.25">
      <c r="A53" s="16" t="s">
        <v>25</v>
      </c>
      <c r="B53" s="17" t="s">
        <v>960</v>
      </c>
      <c r="C53" s="16" t="s">
        <v>848</v>
      </c>
      <c r="D53" s="17"/>
      <c r="E53" s="17" t="s">
        <v>608</v>
      </c>
      <c r="F53" s="18" t="s">
        <v>961</v>
      </c>
      <c r="G53" s="49" t="s">
        <v>962</v>
      </c>
      <c r="H53" s="17">
        <v>1</v>
      </c>
      <c r="O53" s="62" t="str">
        <f>IF(E53="PA",IF(K53&lt;&gt;"",ISERROR(VLOOKUP(K53,ABBR!A:D,1,FALSE)),ISERROR(VLOOKUP(C53,ABBR!A:D,1,FALSE))),"")</f>
        <v/>
      </c>
      <c r="P53" t="str">
        <f>VLOOKUP(A53,Groups!A:L,5,FALSE)</f>
        <v>-</v>
      </c>
      <c r="Q53" s="62" t="str">
        <f>IF(G53="PA",IF(M53&lt;&gt;"",ISERROR(VLOOKUP(M53,ABBR!C:F,1,FALSE)),ISERROR(VLOOKUP(E53,ABBR!C:F,1,FALSE))),"")</f>
        <v/>
      </c>
    </row>
    <row r="54" spans="1:17" hidden="1" x14ac:dyDescent="0.25">
      <c r="A54" s="16" t="s">
        <v>25</v>
      </c>
      <c r="B54" s="17" t="s">
        <v>960</v>
      </c>
      <c r="C54" s="16" t="s">
        <v>963</v>
      </c>
      <c r="D54" s="17"/>
      <c r="E54" s="17" t="s">
        <v>608</v>
      </c>
      <c r="F54" s="18" t="s">
        <v>964</v>
      </c>
      <c r="G54" s="49" t="s">
        <v>965</v>
      </c>
      <c r="H54" s="17">
        <v>2</v>
      </c>
      <c r="O54" s="62" t="str">
        <f>IF(E54="PA",IF(K54&lt;&gt;"",ISERROR(VLOOKUP(K54,ABBR!A:D,1,FALSE)),ISERROR(VLOOKUP(C54,ABBR!A:D,1,FALSE))),"")</f>
        <v/>
      </c>
      <c r="P54" t="str">
        <f>VLOOKUP(A54,Groups!A:L,5,FALSE)</f>
        <v>-</v>
      </c>
      <c r="Q54" s="62" t="str">
        <f>IF(G54="PA",IF(M54&lt;&gt;"",ISERROR(VLOOKUP(M54,ABBR!C:F,1,FALSE)),ISERROR(VLOOKUP(E54,ABBR!C:F,1,FALSE))),"")</f>
        <v/>
      </c>
    </row>
    <row r="55" spans="1:17" hidden="1" x14ac:dyDescent="0.25">
      <c r="A55" s="16" t="s">
        <v>25</v>
      </c>
      <c r="B55" s="17" t="s">
        <v>966</v>
      </c>
      <c r="C55" s="16" t="s">
        <v>967</v>
      </c>
      <c r="D55" s="17"/>
      <c r="E55" s="17" t="s">
        <v>608</v>
      </c>
      <c r="F55" s="18" t="s">
        <v>968</v>
      </c>
      <c r="G55" s="49" t="s">
        <v>969</v>
      </c>
      <c r="H55" s="17">
        <v>3</v>
      </c>
      <c r="O55" s="62" t="str">
        <f>IF(E55="PA",IF(K55&lt;&gt;"",ISERROR(VLOOKUP(K55,ABBR!A:D,1,FALSE)),ISERROR(VLOOKUP(C55,ABBR!A:D,1,FALSE))),"")</f>
        <v/>
      </c>
      <c r="P55" t="str">
        <f>VLOOKUP(A55,Groups!A:L,5,FALSE)</f>
        <v>-</v>
      </c>
      <c r="Q55" s="62" t="str">
        <f>IF(G55="PA",IF(M55&lt;&gt;"",ISERROR(VLOOKUP(M55,ABBR!C:F,1,FALSE)),ISERROR(VLOOKUP(E55,ABBR!C:F,1,FALSE))),"")</f>
        <v/>
      </c>
    </row>
    <row r="56" spans="1:17" hidden="1" x14ac:dyDescent="0.25">
      <c r="A56" s="16" t="s">
        <v>25</v>
      </c>
      <c r="B56" s="17"/>
      <c r="C56" s="16" t="s">
        <v>970</v>
      </c>
      <c r="D56" s="17"/>
      <c r="E56" s="17" t="s">
        <v>608</v>
      </c>
      <c r="F56" s="18" t="s">
        <v>971</v>
      </c>
      <c r="G56" s="49" t="s">
        <v>972</v>
      </c>
      <c r="H56" s="17">
        <v>4</v>
      </c>
      <c r="O56" s="62" t="str">
        <f>IF(E56="PA",IF(K56&lt;&gt;"",ISERROR(VLOOKUP(K56,ABBR!A:D,1,FALSE)),ISERROR(VLOOKUP(C56,ABBR!A:D,1,FALSE))),"")</f>
        <v/>
      </c>
      <c r="P56" t="str">
        <f>VLOOKUP(A56,Groups!A:L,5,FALSE)</f>
        <v>-</v>
      </c>
      <c r="Q56" s="62" t="str">
        <f>IF(G56="PA",IF(M56&lt;&gt;"",ISERROR(VLOOKUP(M56,ABBR!C:F,1,FALSE)),ISERROR(VLOOKUP(E56,ABBR!C:F,1,FALSE))),"")</f>
        <v/>
      </c>
    </row>
    <row r="57" spans="1:17" hidden="1" x14ac:dyDescent="0.25">
      <c r="A57" s="16" t="s">
        <v>25</v>
      </c>
      <c r="B57" s="17"/>
      <c r="C57" s="16" t="s">
        <v>973</v>
      </c>
      <c r="D57" s="17"/>
      <c r="E57" s="17" t="s">
        <v>608</v>
      </c>
      <c r="F57" s="18" t="s">
        <v>642</v>
      </c>
      <c r="G57" s="49" t="s">
        <v>16</v>
      </c>
      <c r="H57" s="17">
        <v>5</v>
      </c>
      <c r="M57" s="101"/>
      <c r="O57" s="62" t="str">
        <f>IF(E57="PA",IF(K57&lt;&gt;"",ISERROR(VLOOKUP(K57,ABBR!A:D,1,FALSE)),ISERROR(VLOOKUP(C57,ABBR!A:D,1,FALSE))),"")</f>
        <v/>
      </c>
      <c r="P57" t="str">
        <f>VLOOKUP(A57,Groups!A:L,5,FALSE)</f>
        <v>-</v>
      </c>
      <c r="Q57" s="62" t="str">
        <f>IF(G57="PA",IF(M57&lt;&gt;"",ISERROR(VLOOKUP(M57,ABBR!C:F,1,FALSE)),ISERROR(VLOOKUP(E57,ABBR!C:F,1,FALSE))),"")</f>
        <v/>
      </c>
    </row>
    <row r="58" spans="1:17" ht="25" hidden="1" x14ac:dyDescent="0.25">
      <c r="A58" s="16" t="s">
        <v>25</v>
      </c>
      <c r="B58" s="17"/>
      <c r="C58" s="16" t="s">
        <v>643</v>
      </c>
      <c r="D58" s="17"/>
      <c r="E58" s="17" t="s">
        <v>608</v>
      </c>
      <c r="F58" s="18" t="s">
        <v>974</v>
      </c>
      <c r="G58" s="49" t="s">
        <v>975</v>
      </c>
      <c r="H58" s="17">
        <v>6</v>
      </c>
      <c r="O58" s="62" t="str">
        <f>IF(E58="PA",IF(K58&lt;&gt;"",ISERROR(VLOOKUP(K58,ABBR!A:D,1,FALSE)),ISERROR(VLOOKUP(C58,ABBR!A:D,1,FALSE))),"")</f>
        <v/>
      </c>
      <c r="P58" t="str">
        <f>VLOOKUP(A58,Groups!A:L,5,FALSE)</f>
        <v>-</v>
      </c>
      <c r="Q58" s="62" t="str">
        <f>IF(G58="PA",IF(M58&lt;&gt;"",ISERROR(VLOOKUP(M58,ABBR!C:F,1,FALSE)),ISERROR(VLOOKUP(E58,ABBR!C:F,1,FALSE))),"")</f>
        <v/>
      </c>
    </row>
    <row r="59" spans="1:17" hidden="1" x14ac:dyDescent="0.25">
      <c r="A59" s="16" t="s">
        <v>56</v>
      </c>
      <c r="B59" s="17" t="s">
        <v>594</v>
      </c>
      <c r="C59" s="16" t="s">
        <v>595</v>
      </c>
      <c r="D59" s="17"/>
      <c r="E59" s="17" t="s">
        <v>596</v>
      </c>
      <c r="F59" s="18" t="s">
        <v>597</v>
      </c>
      <c r="G59" s="49" t="s">
        <v>598</v>
      </c>
      <c r="H59" s="17">
        <v>1</v>
      </c>
      <c r="O59" s="62" t="str">
        <f>IF(E59="PA",IF(K59&lt;&gt;"",ISERROR(VLOOKUP(K59,ABBR!A:D,1,FALSE)),ISERROR(VLOOKUP(C59,ABBR!A:D,1,FALSE))),"")</f>
        <v/>
      </c>
      <c r="P59" t="str">
        <f>VLOOKUP(A59,Groups!A:L,5,FALSE)</f>
        <v>SAMP</v>
      </c>
      <c r="Q59" s="62" t="str">
        <f>IF(G59="PA",IF(M59&lt;&gt;"",ISERROR(VLOOKUP(M59,ABBR!C:F,1,FALSE)),ISERROR(VLOOKUP(E59,ABBR!C:F,1,FALSE))),"")</f>
        <v/>
      </c>
    </row>
    <row r="60" spans="1:17" hidden="1" x14ac:dyDescent="0.25">
      <c r="A60" s="16" t="s">
        <v>56</v>
      </c>
      <c r="B60" s="17" t="s">
        <v>594</v>
      </c>
      <c r="C60" s="16" t="s">
        <v>851</v>
      </c>
      <c r="D60" s="17" t="s">
        <v>600</v>
      </c>
      <c r="E60" s="17" t="s">
        <v>601</v>
      </c>
      <c r="F60" s="18" t="s">
        <v>852</v>
      </c>
      <c r="G60" s="49" t="s">
        <v>853</v>
      </c>
      <c r="H60" s="17">
        <v>2</v>
      </c>
      <c r="O60" s="62" t="str">
        <f>IF(E60="PA",IF(K60&lt;&gt;"",ISERROR(VLOOKUP(K60,ABBR!A:D,1,FALSE)),ISERROR(VLOOKUP(C60,ABBR!A:D,1,FALSE))),"")</f>
        <v/>
      </c>
      <c r="P60" t="str">
        <f>VLOOKUP(A60,Groups!A:L,5,FALSE)</f>
        <v>SAMP</v>
      </c>
      <c r="Q60" s="62" t="str">
        <f>IF(G60="PA",IF(M60&lt;&gt;"",ISERROR(VLOOKUP(M60,ABBR!C:F,1,FALSE)),ISERROR(VLOOKUP(E60,ABBR!C:F,1,FALSE))),"")</f>
        <v/>
      </c>
    </row>
    <row r="61" spans="1:17" hidden="1" x14ac:dyDescent="0.25">
      <c r="A61" s="16" t="s">
        <v>56</v>
      </c>
      <c r="B61" s="17" t="s">
        <v>594</v>
      </c>
      <c r="C61" s="16" t="s">
        <v>854</v>
      </c>
      <c r="D61" s="17"/>
      <c r="E61" s="17" t="s">
        <v>608</v>
      </c>
      <c r="F61" s="18" t="s">
        <v>855</v>
      </c>
      <c r="G61" s="49" t="s">
        <v>941</v>
      </c>
      <c r="H61" s="17">
        <v>3</v>
      </c>
      <c r="O61" s="62" t="str">
        <f>IF(E61="PA",IF(K61&lt;&gt;"",ISERROR(VLOOKUP(K61,ABBR!A:D,1,FALSE)),ISERROR(VLOOKUP(C61,ABBR!A:D,1,FALSE))),"")</f>
        <v/>
      </c>
      <c r="P61" t="str">
        <f>VLOOKUP(A61,Groups!A:L,5,FALSE)</f>
        <v>SAMP</v>
      </c>
      <c r="Q61" s="62" t="str">
        <f>IF(G61="PA",IF(M61&lt;&gt;"",ISERROR(VLOOKUP(M61,ABBR!C:F,1,FALSE)),ISERROR(VLOOKUP(E61,ABBR!C:F,1,FALSE))),"")</f>
        <v/>
      </c>
    </row>
    <row r="62" spans="1:17" hidden="1" x14ac:dyDescent="0.25">
      <c r="A62" s="16" t="s">
        <v>56</v>
      </c>
      <c r="B62" s="17" t="s">
        <v>594</v>
      </c>
      <c r="C62" s="16" t="s">
        <v>857</v>
      </c>
      <c r="D62" s="17"/>
      <c r="E62" s="17" t="s">
        <v>618</v>
      </c>
      <c r="F62" s="18" t="s">
        <v>858</v>
      </c>
      <c r="G62" s="49" t="s">
        <v>859</v>
      </c>
      <c r="H62" s="17">
        <v>4</v>
      </c>
      <c r="O62" s="62" t="b">
        <f>IF(E62="PA",IF(K62&lt;&gt;"",ISERROR(VLOOKUP(K62,ABBR!A:D,1,FALSE)),ISERROR(VLOOKUP(C62,ABBR!A:D,1,FALSE))),"")</f>
        <v>0</v>
      </c>
      <c r="P62" t="str">
        <f>VLOOKUP(A62,Groups!A:L,5,FALSE)</f>
        <v>SAMP</v>
      </c>
      <c r="Q62" s="62" t="str">
        <f>IF(G62="PA",IF(M62&lt;&gt;"",ISERROR(VLOOKUP(M62,ABBR!C:F,1,FALSE)),ISERROR(VLOOKUP(E62,ABBR!C:F,1,FALSE))),"")</f>
        <v/>
      </c>
    </row>
    <row r="63" spans="1:17" hidden="1" x14ac:dyDescent="0.25">
      <c r="A63" s="16" t="s">
        <v>56</v>
      </c>
      <c r="B63" s="17" t="s">
        <v>594</v>
      </c>
      <c r="C63" s="16" t="s">
        <v>860</v>
      </c>
      <c r="D63" s="17"/>
      <c r="E63" s="17" t="s">
        <v>596</v>
      </c>
      <c r="F63" s="18" t="s">
        <v>942</v>
      </c>
      <c r="G63" s="49" t="s">
        <v>862</v>
      </c>
      <c r="H63" s="17">
        <v>5</v>
      </c>
      <c r="O63" s="62" t="str">
        <f>IF(E63="PA",IF(K63&lt;&gt;"",ISERROR(VLOOKUP(K63,ABBR!A:D,1,FALSE)),ISERROR(VLOOKUP(C63,ABBR!A:D,1,FALSE))),"")</f>
        <v/>
      </c>
      <c r="P63" t="str">
        <f>VLOOKUP(A63,Groups!A:L,5,FALSE)</f>
        <v>SAMP</v>
      </c>
      <c r="Q63" s="62" t="str">
        <f>IF(G63="PA",IF(M63&lt;&gt;"",ISERROR(VLOOKUP(M63,ABBR!C:F,1,FALSE)),ISERROR(VLOOKUP(E63,ABBR!C:F,1,FALSE))),"")</f>
        <v/>
      </c>
    </row>
    <row r="64" spans="1:17" hidden="1" x14ac:dyDescent="0.25">
      <c r="A64" s="16" t="s">
        <v>56</v>
      </c>
      <c r="B64" s="17" t="s">
        <v>594</v>
      </c>
      <c r="C64" s="16" t="s">
        <v>863</v>
      </c>
      <c r="D64" s="17"/>
      <c r="E64" s="17" t="s">
        <v>608</v>
      </c>
      <c r="F64" s="18" t="s">
        <v>864</v>
      </c>
      <c r="G64" s="49" t="s">
        <v>865</v>
      </c>
      <c r="H64" s="17">
        <v>6</v>
      </c>
      <c r="O64" s="62" t="str">
        <f>IF(E64="PA",IF(K64&lt;&gt;"",ISERROR(VLOOKUP(K64,ABBR!A:D,1,FALSE)),ISERROR(VLOOKUP(C64,ABBR!A:D,1,FALSE))),"")</f>
        <v/>
      </c>
      <c r="P64" t="str">
        <f>VLOOKUP(A64,Groups!A:L,5,FALSE)</f>
        <v>SAMP</v>
      </c>
      <c r="Q64" s="62" t="str">
        <f>IF(G64="PA",IF(M64&lt;&gt;"",ISERROR(VLOOKUP(M64,ABBR!C:F,1,FALSE)),ISERROR(VLOOKUP(E64,ABBR!C:F,1,FALSE))),"")</f>
        <v/>
      </c>
    </row>
    <row r="65" spans="1:17" hidden="1" x14ac:dyDescent="0.25">
      <c r="A65" s="16" t="s">
        <v>56</v>
      </c>
      <c r="B65" s="17" t="s">
        <v>594</v>
      </c>
      <c r="C65" s="16" t="s">
        <v>866</v>
      </c>
      <c r="D65" s="17" t="s">
        <v>600</v>
      </c>
      <c r="E65" s="17" t="s">
        <v>601</v>
      </c>
      <c r="F65" s="18" t="s">
        <v>867</v>
      </c>
      <c r="G65" s="49" t="s">
        <v>853</v>
      </c>
      <c r="H65" s="17">
        <v>7</v>
      </c>
      <c r="O65" s="62" t="str">
        <f>IF(E65="PA",IF(K65&lt;&gt;"",ISERROR(VLOOKUP(K65,ABBR!A:D,1,FALSE)),ISERROR(VLOOKUP(C65,ABBR!A:D,1,FALSE))),"")</f>
        <v/>
      </c>
      <c r="P65" t="str">
        <f>VLOOKUP(A65,Groups!A:L,5,FALSE)</f>
        <v>SAMP</v>
      </c>
      <c r="Q65" s="62" t="str">
        <f>IF(G65="PA",IF(M65&lt;&gt;"",ISERROR(VLOOKUP(M65,ABBR!C:F,1,FALSE)),ISERROR(VLOOKUP(E65,ABBR!C:F,1,FALSE))),"")</f>
        <v/>
      </c>
    </row>
    <row r="66" spans="1:17" hidden="1" x14ac:dyDescent="0.25">
      <c r="A66" s="16" t="s">
        <v>56</v>
      </c>
      <c r="B66" s="17"/>
      <c r="C66" s="16" t="s">
        <v>868</v>
      </c>
      <c r="D66" s="17"/>
      <c r="E66" s="17" t="s">
        <v>608</v>
      </c>
      <c r="F66" s="18" t="s">
        <v>869</v>
      </c>
      <c r="G66" s="51" t="s">
        <v>870</v>
      </c>
      <c r="H66" s="17">
        <v>8</v>
      </c>
      <c r="O66" s="62" t="str">
        <f>IF(E66="PA",IF(K66&lt;&gt;"",ISERROR(VLOOKUP(K66,ABBR!A:D,1,FALSE)),ISERROR(VLOOKUP(C66,ABBR!A:D,1,FALSE))),"")</f>
        <v/>
      </c>
      <c r="P66" t="str">
        <f>VLOOKUP(A66,Groups!A:L,5,FALSE)</f>
        <v>SAMP</v>
      </c>
      <c r="Q66" s="62" t="str">
        <f>IF(G66="PA",IF(M66&lt;&gt;"",ISERROR(VLOOKUP(M66,ABBR!C:F,1,FALSE)),ISERROR(VLOOKUP(E66,ABBR!C:F,1,FALSE))),"")</f>
        <v/>
      </c>
    </row>
    <row r="67" spans="1:17" ht="25" hidden="1" x14ac:dyDescent="0.25">
      <c r="A67" s="16" t="s">
        <v>56</v>
      </c>
      <c r="B67" s="17"/>
      <c r="C67" s="16" t="s">
        <v>871</v>
      </c>
      <c r="D67" s="17"/>
      <c r="E67" s="17" t="s">
        <v>608</v>
      </c>
      <c r="F67" s="18" t="s">
        <v>872</v>
      </c>
      <c r="G67" s="49" t="s">
        <v>873</v>
      </c>
      <c r="H67" s="17">
        <v>9</v>
      </c>
      <c r="O67" s="62" t="str">
        <f>IF(E67="PA",IF(K67&lt;&gt;"",ISERROR(VLOOKUP(K67,ABBR!A:D,1,FALSE)),ISERROR(VLOOKUP(C67,ABBR!A:D,1,FALSE))),"")</f>
        <v/>
      </c>
      <c r="P67" t="str">
        <f>VLOOKUP(A67,Groups!A:L,5,FALSE)</f>
        <v>SAMP</v>
      </c>
      <c r="Q67" s="62" t="str">
        <f>IF(G67="PA",IF(M67&lt;&gt;"",ISERROR(VLOOKUP(M67,ABBR!C:F,1,FALSE)),ISERROR(VLOOKUP(E67,ABBR!C:F,1,FALSE))),"")</f>
        <v/>
      </c>
    </row>
    <row r="68" spans="1:17" hidden="1" x14ac:dyDescent="0.25">
      <c r="A68" s="16" t="s">
        <v>56</v>
      </c>
      <c r="B68" s="17"/>
      <c r="C68" s="16" t="s">
        <v>976</v>
      </c>
      <c r="D68" s="17" t="s">
        <v>766</v>
      </c>
      <c r="E68" s="17" t="s">
        <v>767</v>
      </c>
      <c r="F68" s="18" t="s">
        <v>977</v>
      </c>
      <c r="G68" s="49" t="s">
        <v>978</v>
      </c>
      <c r="H68" s="17">
        <v>10</v>
      </c>
      <c r="O68" s="62" t="str">
        <f>IF(E68="PA",IF(K68&lt;&gt;"",ISERROR(VLOOKUP(K68,ABBR!A:D,1,FALSE)),ISERROR(VLOOKUP(C68,ABBR!A:D,1,FALSE))),"")</f>
        <v/>
      </c>
      <c r="P68" t="str">
        <f>VLOOKUP(A68,Groups!A:L,5,FALSE)</f>
        <v>SAMP</v>
      </c>
      <c r="Q68" s="62" t="str">
        <f>IF(G68="PA",IF(M68&lt;&gt;"",ISERROR(VLOOKUP(M68,ABBR!C:F,1,FALSE)),ISERROR(VLOOKUP(E68,ABBR!C:F,1,FALSE))),"")</f>
        <v/>
      </c>
    </row>
    <row r="69" spans="1:17" hidden="1" x14ac:dyDescent="0.25">
      <c r="A69" s="16" t="s">
        <v>56</v>
      </c>
      <c r="B69" s="17"/>
      <c r="C69" s="16" t="s">
        <v>979</v>
      </c>
      <c r="D69" s="17"/>
      <c r="E69" s="17" t="s">
        <v>608</v>
      </c>
      <c r="F69" s="18" t="s">
        <v>980</v>
      </c>
      <c r="G69" s="49" t="s">
        <v>981</v>
      </c>
      <c r="H69" s="17">
        <v>11</v>
      </c>
      <c r="O69" s="62" t="str">
        <f>IF(E69="PA",IF(K69&lt;&gt;"",ISERROR(VLOOKUP(K69,ABBR!A:D,1,FALSE)),ISERROR(VLOOKUP(C69,ABBR!A:D,1,FALSE))),"")</f>
        <v/>
      </c>
      <c r="P69" t="str">
        <f>VLOOKUP(A69,Groups!A:L,5,FALSE)</f>
        <v>SAMP</v>
      </c>
      <c r="Q69" s="62" t="str">
        <f>IF(G69="PA",IF(M69&lt;&gt;"",ISERROR(VLOOKUP(M69,ABBR!C:F,1,FALSE)),ISERROR(VLOOKUP(E69,ABBR!C:F,1,FALSE))),"")</f>
        <v/>
      </c>
    </row>
    <row r="70" spans="1:17" hidden="1" x14ac:dyDescent="0.25">
      <c r="A70" s="16" t="s">
        <v>56</v>
      </c>
      <c r="B70" s="17"/>
      <c r="C70" s="16" t="s">
        <v>982</v>
      </c>
      <c r="D70" s="17"/>
      <c r="E70" s="17" t="s">
        <v>608</v>
      </c>
      <c r="F70" s="18" t="s">
        <v>642</v>
      </c>
      <c r="G70" s="49" t="s">
        <v>16</v>
      </c>
      <c r="H70" s="17">
        <v>12</v>
      </c>
      <c r="M70" s="101"/>
      <c r="O70" s="62" t="str">
        <f>IF(E70="PA",IF(K70&lt;&gt;"",ISERROR(VLOOKUP(K70,ABBR!A:D,1,FALSE)),ISERROR(VLOOKUP(C70,ABBR!A:D,1,FALSE))),"")</f>
        <v/>
      </c>
      <c r="P70" t="str">
        <f>VLOOKUP(A70,Groups!A:L,5,FALSE)</f>
        <v>SAMP</v>
      </c>
      <c r="Q70" s="62" t="str">
        <f>IF(G70="PA",IF(M70&lt;&gt;"",ISERROR(VLOOKUP(M70,ABBR!C:F,1,FALSE)),ISERROR(VLOOKUP(E70,ABBR!C:F,1,FALSE))),"")</f>
        <v/>
      </c>
    </row>
    <row r="71" spans="1:17" ht="25" hidden="1" x14ac:dyDescent="0.25">
      <c r="A71" s="16" t="s">
        <v>56</v>
      </c>
      <c r="B71" s="17"/>
      <c r="C71" s="16" t="s">
        <v>983</v>
      </c>
      <c r="D71" s="17"/>
      <c r="E71" s="17" t="s">
        <v>608</v>
      </c>
      <c r="F71" s="18" t="s">
        <v>918</v>
      </c>
      <c r="G71" s="49" t="s">
        <v>984</v>
      </c>
      <c r="H71" s="17">
        <v>13</v>
      </c>
      <c r="O71" s="62" t="str">
        <f>IF(E71="PA",IF(K71&lt;&gt;"",ISERROR(VLOOKUP(K71,ABBR!A:D,1,FALSE)),ISERROR(VLOOKUP(C71,ABBR!A:D,1,FALSE))),"")</f>
        <v/>
      </c>
      <c r="P71" t="str">
        <f>VLOOKUP(A71,Groups!A:L,5,FALSE)</f>
        <v>SAMP</v>
      </c>
      <c r="Q71" s="62" t="str">
        <f>IF(G71="PA",IF(M71&lt;&gt;"",ISERROR(VLOOKUP(M71,ABBR!C:F,1,FALSE)),ISERROR(VLOOKUP(E71,ABBR!C:F,1,FALSE))),"")</f>
        <v/>
      </c>
    </row>
    <row r="72" spans="1:17" hidden="1" x14ac:dyDescent="0.25">
      <c r="A72" s="16" t="s">
        <v>56</v>
      </c>
      <c r="B72" s="17"/>
      <c r="C72" s="16" t="s">
        <v>985</v>
      </c>
      <c r="D72" s="17"/>
      <c r="E72" s="17" t="s">
        <v>608</v>
      </c>
      <c r="F72" s="18" t="s">
        <v>950</v>
      </c>
      <c r="G72" s="27" t="s">
        <v>951</v>
      </c>
      <c r="H72" s="17">
        <v>14</v>
      </c>
      <c r="O72" s="62" t="str">
        <f>IF(E72="PA",IF(K72&lt;&gt;"",ISERROR(VLOOKUP(K72,ABBR!A:D,1,FALSE)),ISERROR(VLOOKUP(C72,ABBR!A:D,1,FALSE))),"")</f>
        <v/>
      </c>
      <c r="P72" t="str">
        <f>VLOOKUP(A72,Groups!A:L,5,FALSE)</f>
        <v>SAMP</v>
      </c>
      <c r="Q72" s="62" t="str">
        <f>IF(G72="PA",IF(M72&lt;&gt;"",ISERROR(VLOOKUP(M72,ABBR!C:F,1,FALSE)),ISERROR(VLOOKUP(E72,ABBR!C:F,1,FALSE))),"")</f>
        <v/>
      </c>
    </row>
    <row r="73" spans="1:17" ht="25" hidden="1" x14ac:dyDescent="0.25">
      <c r="A73" s="16" t="s">
        <v>56</v>
      </c>
      <c r="B73" s="17"/>
      <c r="C73" s="16" t="s">
        <v>986</v>
      </c>
      <c r="D73" s="17"/>
      <c r="E73" s="17" t="s">
        <v>608</v>
      </c>
      <c r="F73" s="18" t="s">
        <v>934</v>
      </c>
      <c r="G73" s="49" t="s">
        <v>953</v>
      </c>
      <c r="H73" s="17">
        <v>15</v>
      </c>
      <c r="O73" s="62" t="str">
        <f>IF(E73="PA",IF(K73&lt;&gt;"",ISERROR(VLOOKUP(K73,ABBR!A:D,1,FALSE)),ISERROR(VLOOKUP(C73,ABBR!A:D,1,FALSE))),"")</f>
        <v/>
      </c>
      <c r="P73" t="str">
        <f>VLOOKUP(A73,Groups!A:L,5,FALSE)</f>
        <v>SAMP</v>
      </c>
      <c r="Q73" s="62" t="str">
        <f>IF(G73="PA",IF(M73&lt;&gt;"",ISERROR(VLOOKUP(M73,ABBR!C:F,1,FALSE)),ISERROR(VLOOKUP(E73,ABBR!C:F,1,FALSE))),"")</f>
        <v/>
      </c>
    </row>
    <row r="74" spans="1:17" hidden="1" x14ac:dyDescent="0.25">
      <c r="A74" s="16" t="s">
        <v>56</v>
      </c>
      <c r="B74" s="17"/>
      <c r="C74" s="16" t="s">
        <v>936</v>
      </c>
      <c r="D74" s="17"/>
      <c r="E74" s="22" t="s">
        <v>608</v>
      </c>
      <c r="F74" s="18" t="s">
        <v>937</v>
      </c>
      <c r="G74" s="49" t="s">
        <v>938</v>
      </c>
      <c r="H74" s="17">
        <v>16</v>
      </c>
      <c r="O74" s="62" t="str">
        <f>IF(E74="PA",IF(K74&lt;&gt;"",ISERROR(VLOOKUP(K74,ABBR!A:D,1,FALSE)),ISERROR(VLOOKUP(C74,ABBR!A:D,1,FALSE))),"")</f>
        <v/>
      </c>
      <c r="P74" t="str">
        <f>VLOOKUP(A74,Groups!A:L,5,FALSE)</f>
        <v>SAMP</v>
      </c>
      <c r="Q74" s="62" t="str">
        <f>IF(G74="PA",IF(M74&lt;&gt;"",ISERROR(VLOOKUP(M74,ABBR!C:F,1,FALSE)),ISERROR(VLOOKUP(E74,ABBR!C:F,1,FALSE))),"")</f>
        <v/>
      </c>
    </row>
    <row r="75" spans="1:17" hidden="1" x14ac:dyDescent="0.25">
      <c r="A75" s="16" t="s">
        <v>56</v>
      </c>
      <c r="B75" s="17"/>
      <c r="C75" s="16" t="s">
        <v>643</v>
      </c>
      <c r="D75" s="17"/>
      <c r="E75" s="17" t="s">
        <v>608</v>
      </c>
      <c r="F75" s="18" t="s">
        <v>954</v>
      </c>
      <c r="G75" s="49" t="s">
        <v>940</v>
      </c>
      <c r="H75" s="17">
        <v>17</v>
      </c>
      <c r="O75" s="62" t="str">
        <f>IF(E75="PA",IF(K75&lt;&gt;"",ISERROR(VLOOKUP(K75,ABBR!A:D,1,FALSE)),ISERROR(VLOOKUP(C75,ABBR!A:D,1,FALSE))),"")</f>
        <v/>
      </c>
      <c r="P75" t="str">
        <f>VLOOKUP(A75,Groups!A:L,5,FALSE)</f>
        <v>SAMP</v>
      </c>
      <c r="Q75" s="62" t="str">
        <f>IF(G75="PA",IF(M75&lt;&gt;"",ISERROR(VLOOKUP(M75,ABBR!C:F,1,FALSE)),ISERROR(VLOOKUP(E75,ABBR!C:F,1,FALSE))),"")</f>
        <v/>
      </c>
    </row>
    <row r="76" spans="1:17" hidden="1" x14ac:dyDescent="0.25">
      <c r="A76" s="16" t="s">
        <v>56</v>
      </c>
      <c r="B76" s="17"/>
      <c r="C76" s="16" t="s">
        <v>877</v>
      </c>
      <c r="D76" s="17" t="s">
        <v>600</v>
      </c>
      <c r="E76" s="17" t="s">
        <v>601</v>
      </c>
      <c r="F76" s="18" t="s">
        <v>878</v>
      </c>
      <c r="G76" s="49" t="s">
        <v>879</v>
      </c>
      <c r="H76" s="17">
        <v>18</v>
      </c>
      <c r="I76" s="30" t="s">
        <v>955</v>
      </c>
      <c r="J76" s="80">
        <v>4.0999999999999996</v>
      </c>
      <c r="O76" s="62" t="str">
        <f>IF(E76="PA",IF(K76&lt;&gt;"",ISERROR(VLOOKUP(K76,ABBR!A:D,1,FALSE)),ISERROR(VLOOKUP(C76,ABBR!A:D,1,FALSE))),"")</f>
        <v/>
      </c>
      <c r="P76" t="str">
        <f>VLOOKUP(A76,Groups!A:L,5,FALSE)</f>
        <v>SAMP</v>
      </c>
      <c r="Q76" s="62" t="str">
        <f>IF(G76="PA",IF(M76&lt;&gt;"",ISERROR(VLOOKUP(M76,ABBR!C:F,1,FALSE)),ISERROR(VLOOKUP(E76,ABBR!C:F,1,FALSE))),"")</f>
        <v/>
      </c>
    </row>
    <row r="77" spans="1:17" hidden="1" x14ac:dyDescent="0.25">
      <c r="A77" s="16" t="s">
        <v>56</v>
      </c>
      <c r="B77" s="17"/>
      <c r="C77" s="16" t="s">
        <v>987</v>
      </c>
      <c r="D77" s="17"/>
      <c r="E77" s="17" t="s">
        <v>608</v>
      </c>
      <c r="F77" s="18" t="s">
        <v>921</v>
      </c>
      <c r="G77" s="94" t="s">
        <v>922</v>
      </c>
      <c r="H77" s="17">
        <v>19</v>
      </c>
      <c r="I77" s="30" t="s">
        <v>955</v>
      </c>
      <c r="J77" s="80">
        <v>4.0999999999999996</v>
      </c>
      <c r="M77" s="101"/>
      <c r="O77" s="62" t="str">
        <f>IF(E77="PA",IF(K77&lt;&gt;"",ISERROR(VLOOKUP(K77,ABBR!A:D,1,FALSE)),ISERROR(VLOOKUP(C77,ABBR!A:D,1,FALSE))),"")</f>
        <v/>
      </c>
      <c r="P77" t="str">
        <f>VLOOKUP(A77,Groups!A:L,5,FALSE)</f>
        <v>SAMP</v>
      </c>
      <c r="Q77" s="62" t="str">
        <f>IF(G77="PA",IF(M77&lt;&gt;"",ISERROR(VLOOKUP(M77,ABBR!C:F,1,FALSE)),ISERROR(VLOOKUP(E77,ABBR!C:F,1,FALSE))),"")</f>
        <v/>
      </c>
    </row>
    <row r="78" spans="1:17" hidden="1" x14ac:dyDescent="0.25">
      <c r="A78" s="16" t="s">
        <v>56</v>
      </c>
      <c r="B78" s="17"/>
      <c r="C78" s="16" t="s">
        <v>988</v>
      </c>
      <c r="D78" s="17" t="s">
        <v>924</v>
      </c>
      <c r="E78" s="17" t="s">
        <v>925</v>
      </c>
      <c r="F78" s="18" t="s">
        <v>926</v>
      </c>
      <c r="G78" s="49" t="s">
        <v>927</v>
      </c>
      <c r="H78" s="17">
        <v>20</v>
      </c>
      <c r="J78" s="62" t="s">
        <v>473</v>
      </c>
      <c r="K78" s="62"/>
      <c r="L78" s="62"/>
      <c r="M78" s="62"/>
      <c r="N78" s="62"/>
      <c r="O78" s="62" t="str">
        <f>IF(E78="PA",IF(K78&lt;&gt;"",ISERROR(VLOOKUP(K78,ABBR!A:D,1,FALSE)),ISERROR(VLOOKUP(C78,ABBR!A:D,1,FALSE))),"")</f>
        <v/>
      </c>
      <c r="P78" t="str">
        <f>VLOOKUP(A78,Groups!A:L,5,FALSE)</f>
        <v>SAMP</v>
      </c>
      <c r="Q78" s="62" t="str">
        <f>IF(G78="PA",IF(M78&lt;&gt;"",ISERROR(VLOOKUP(M78,ABBR!C:F,1,FALSE)),ISERROR(VLOOKUP(E78,ABBR!C:F,1,FALSE))),"")</f>
        <v/>
      </c>
    </row>
    <row r="79" spans="1:17" hidden="1" x14ac:dyDescent="0.25">
      <c r="A79" s="16" t="s">
        <v>56</v>
      </c>
      <c r="B79" s="17"/>
      <c r="C79" s="16" t="s">
        <v>989</v>
      </c>
      <c r="D79" s="17"/>
      <c r="E79" s="17" t="s">
        <v>608</v>
      </c>
      <c r="F79" s="18" t="s">
        <v>875</v>
      </c>
      <c r="G79" s="49" t="s">
        <v>876</v>
      </c>
      <c r="H79" s="17">
        <v>21</v>
      </c>
      <c r="J79" s="62" t="s">
        <v>473</v>
      </c>
      <c r="K79" s="62"/>
      <c r="L79" s="62"/>
      <c r="M79" s="62"/>
      <c r="N79" s="62"/>
      <c r="O79" s="62" t="str">
        <f>IF(E79="PA",IF(K79&lt;&gt;"",ISERROR(VLOOKUP(K79,ABBR!A:D,1,FALSE)),ISERROR(VLOOKUP(C79,ABBR!A:D,1,FALSE))),"")</f>
        <v/>
      </c>
      <c r="P79" t="str">
        <f>VLOOKUP(A79,Groups!A:L,5,FALSE)</f>
        <v>SAMP</v>
      </c>
      <c r="Q79" s="62" t="str">
        <f>IF(G79="PA",IF(M79&lt;&gt;"",ISERROR(VLOOKUP(M79,ABBR!C:F,1,FALSE)),ISERROR(VLOOKUP(E79,ABBR!C:F,1,FALSE))),"")</f>
        <v/>
      </c>
    </row>
    <row r="80" spans="1:17" hidden="1" x14ac:dyDescent="0.25">
      <c r="A80" s="16" t="s">
        <v>56</v>
      </c>
      <c r="B80" s="17"/>
      <c r="C80" s="16" t="s">
        <v>990</v>
      </c>
      <c r="D80" s="17"/>
      <c r="E80" s="17" t="s">
        <v>608</v>
      </c>
      <c r="F80" s="18" t="s">
        <v>929</v>
      </c>
      <c r="G80" s="49" t="s">
        <v>876</v>
      </c>
      <c r="H80" s="17">
        <v>22</v>
      </c>
      <c r="J80" s="62" t="s">
        <v>473</v>
      </c>
      <c r="K80" s="62"/>
      <c r="L80" s="62"/>
      <c r="M80" s="62"/>
      <c r="N80" s="62"/>
      <c r="O80" s="62" t="str">
        <f>IF(E80="PA",IF(K80&lt;&gt;"",ISERROR(VLOOKUP(K80,ABBR!A:D,1,FALSE)),ISERROR(VLOOKUP(C80,ABBR!A:D,1,FALSE))),"")</f>
        <v/>
      </c>
      <c r="P80" t="str">
        <f>VLOOKUP(A80,Groups!A:L,5,FALSE)</f>
        <v>SAMP</v>
      </c>
      <c r="Q80" s="62" t="str">
        <f>IF(G80="PA",IF(M80&lt;&gt;"",ISERROR(VLOOKUP(M80,ABBR!C:F,1,FALSE)),ISERROR(VLOOKUP(E80,ABBR!C:F,1,FALSE))),"")</f>
        <v/>
      </c>
    </row>
    <row r="81" spans="1:17" hidden="1" x14ac:dyDescent="0.25">
      <c r="A81" s="16" t="s">
        <v>566</v>
      </c>
      <c r="B81" s="17" t="s">
        <v>594</v>
      </c>
      <c r="C81" s="16" t="s">
        <v>595</v>
      </c>
      <c r="D81" s="17"/>
      <c r="E81" s="17" t="s">
        <v>596</v>
      </c>
      <c r="F81" s="18" t="s">
        <v>597</v>
      </c>
      <c r="G81" s="49" t="s">
        <v>598</v>
      </c>
      <c r="H81" s="17">
        <v>1</v>
      </c>
      <c r="J81" s="62" t="s">
        <v>532</v>
      </c>
      <c r="K81" s="62"/>
      <c r="L81" s="62"/>
      <c r="M81" s="62"/>
      <c r="N81" s="62"/>
      <c r="O81" s="62" t="str">
        <f>IF(E81="PA",IF(K81&lt;&gt;"",ISERROR(VLOOKUP(K81,ABBR!A:D,1,FALSE)),ISERROR(VLOOKUP(C81,ABBR!A:D,1,FALSE))),"")</f>
        <v/>
      </c>
      <c r="P81" t="str">
        <f>VLOOKUP(A81,Groups!A:L,5,FALSE)</f>
        <v>SAMP</v>
      </c>
      <c r="Q81" s="62" t="str">
        <f>IF(G81="PA",IF(M81&lt;&gt;"",ISERROR(VLOOKUP(M81,ABBR!C:F,1,FALSE)),ISERROR(VLOOKUP(E81,ABBR!C:F,1,FALSE))),"")</f>
        <v/>
      </c>
    </row>
    <row r="82" spans="1:17" hidden="1" x14ac:dyDescent="0.25">
      <c r="A82" s="16" t="s">
        <v>566</v>
      </c>
      <c r="B82" s="17" t="s">
        <v>594</v>
      </c>
      <c r="C82" s="16" t="s">
        <v>851</v>
      </c>
      <c r="D82" s="17" t="s">
        <v>600</v>
      </c>
      <c r="E82" s="17" t="s">
        <v>601</v>
      </c>
      <c r="F82" s="18" t="s">
        <v>852</v>
      </c>
      <c r="G82" s="49" t="s">
        <v>853</v>
      </c>
      <c r="H82" s="17">
        <f t="shared" ref="H82:H114" si="0">H81+1</f>
        <v>2</v>
      </c>
      <c r="J82" s="62" t="s">
        <v>532</v>
      </c>
      <c r="K82" s="62"/>
      <c r="L82" s="62"/>
      <c r="M82" s="62"/>
      <c r="N82" s="62"/>
      <c r="O82" s="62" t="str">
        <f>IF(E82="PA",IF(K82&lt;&gt;"",ISERROR(VLOOKUP(K82,ABBR!A:D,1,FALSE)),ISERROR(VLOOKUP(C82,ABBR!A:D,1,FALSE))),"")</f>
        <v/>
      </c>
      <c r="P82" t="str">
        <f>VLOOKUP(A82,Groups!A:L,5,FALSE)</f>
        <v>SAMP</v>
      </c>
      <c r="Q82" s="62" t="str">
        <f>IF(G82="PA",IF(M82&lt;&gt;"",ISERROR(VLOOKUP(M82,ABBR!C:F,1,FALSE)),ISERROR(VLOOKUP(E82,ABBR!C:F,1,FALSE))),"")</f>
        <v/>
      </c>
    </row>
    <row r="83" spans="1:17" hidden="1" x14ac:dyDescent="0.25">
      <c r="A83" s="16" t="s">
        <v>566</v>
      </c>
      <c r="B83" s="17" t="s">
        <v>594</v>
      </c>
      <c r="C83" s="16" t="s">
        <v>854</v>
      </c>
      <c r="D83" s="17"/>
      <c r="E83" s="17" t="s">
        <v>608</v>
      </c>
      <c r="F83" s="18" t="s">
        <v>855</v>
      </c>
      <c r="G83" s="49" t="s">
        <v>856</v>
      </c>
      <c r="H83" s="17">
        <f t="shared" si="0"/>
        <v>3</v>
      </c>
      <c r="J83" s="62" t="s">
        <v>532</v>
      </c>
      <c r="K83" s="62"/>
      <c r="L83" s="62"/>
      <c r="M83" s="62"/>
      <c r="N83" s="62"/>
      <c r="O83" s="62" t="str">
        <f>IF(E83="PA",IF(K83&lt;&gt;"",ISERROR(VLOOKUP(K83,ABBR!A:D,1,FALSE)),ISERROR(VLOOKUP(C83,ABBR!A:D,1,FALSE))),"")</f>
        <v/>
      </c>
      <c r="P83" t="str">
        <f>VLOOKUP(A83,Groups!A:L,5,FALSE)</f>
        <v>SAMP</v>
      </c>
      <c r="Q83" s="62" t="str">
        <f>IF(G83="PA",IF(M83&lt;&gt;"",ISERROR(VLOOKUP(M83,ABBR!C:F,1,FALSE)),ISERROR(VLOOKUP(E83,ABBR!C:F,1,FALSE))),"")</f>
        <v/>
      </c>
    </row>
    <row r="84" spans="1:17" hidden="1" x14ac:dyDescent="0.25">
      <c r="A84" s="16" t="s">
        <v>566</v>
      </c>
      <c r="B84" s="17" t="s">
        <v>594</v>
      </c>
      <c r="C84" s="16" t="s">
        <v>857</v>
      </c>
      <c r="D84" s="17"/>
      <c r="E84" s="17" t="s">
        <v>618</v>
      </c>
      <c r="F84" s="18" t="s">
        <v>858</v>
      </c>
      <c r="G84" s="49" t="s">
        <v>859</v>
      </c>
      <c r="H84" s="17">
        <f t="shared" si="0"/>
        <v>4</v>
      </c>
      <c r="J84" s="62" t="s">
        <v>532</v>
      </c>
      <c r="K84" s="62"/>
      <c r="L84" s="62"/>
      <c r="M84" s="62"/>
      <c r="N84" s="62"/>
      <c r="O84" s="62" t="b">
        <f>IF(E84="PA",IF(K84&lt;&gt;"",ISERROR(VLOOKUP(K84,ABBR!A:D,1,FALSE)),ISERROR(VLOOKUP(C84,ABBR!A:D,1,FALSE))),"")</f>
        <v>0</v>
      </c>
      <c r="P84" t="str">
        <f>VLOOKUP(A84,Groups!A:L,5,FALSE)</f>
        <v>SAMP</v>
      </c>
      <c r="Q84" s="62" t="str">
        <f>IF(G84="PA",IF(M84&lt;&gt;"",ISERROR(VLOOKUP(M84,ABBR!C:F,1,FALSE)),ISERROR(VLOOKUP(E84,ABBR!C:F,1,FALSE))),"")</f>
        <v/>
      </c>
    </row>
    <row r="85" spans="1:17" hidden="1" x14ac:dyDescent="0.25">
      <c r="A85" s="16" t="s">
        <v>566</v>
      </c>
      <c r="B85" s="17" t="s">
        <v>594</v>
      </c>
      <c r="C85" s="16" t="s">
        <v>860</v>
      </c>
      <c r="D85" s="17"/>
      <c r="E85" s="17" t="s">
        <v>596</v>
      </c>
      <c r="F85" s="18" t="s">
        <v>861</v>
      </c>
      <c r="G85" s="49" t="s">
        <v>862</v>
      </c>
      <c r="H85" s="17">
        <f t="shared" si="0"/>
        <v>5</v>
      </c>
      <c r="J85" s="62" t="s">
        <v>532</v>
      </c>
      <c r="K85" s="62"/>
      <c r="L85" s="62"/>
      <c r="M85" s="62"/>
      <c r="N85" s="62"/>
      <c r="O85" s="62" t="str">
        <f>IF(E85="PA",IF(K85&lt;&gt;"",ISERROR(VLOOKUP(K85,ABBR!A:D,1,FALSE)),ISERROR(VLOOKUP(C85,ABBR!A:D,1,FALSE))),"")</f>
        <v/>
      </c>
      <c r="P85" t="str">
        <f>VLOOKUP(A85,Groups!A:L,5,FALSE)</f>
        <v>SAMP</v>
      </c>
      <c r="Q85" s="62" t="str">
        <f>IF(G85="PA",IF(M85&lt;&gt;"",ISERROR(VLOOKUP(M85,ABBR!C:F,1,FALSE)),ISERROR(VLOOKUP(E85,ABBR!C:F,1,FALSE))),"")</f>
        <v/>
      </c>
    </row>
    <row r="86" spans="1:17" hidden="1" x14ac:dyDescent="0.25">
      <c r="A86" s="16" t="s">
        <v>566</v>
      </c>
      <c r="B86" s="17" t="s">
        <v>594</v>
      </c>
      <c r="C86" s="16" t="s">
        <v>863</v>
      </c>
      <c r="D86" s="17"/>
      <c r="E86" s="17" t="s">
        <v>608</v>
      </c>
      <c r="F86" s="18" t="s">
        <v>864</v>
      </c>
      <c r="G86" s="49" t="s">
        <v>865</v>
      </c>
      <c r="H86" s="17">
        <f t="shared" si="0"/>
        <v>6</v>
      </c>
      <c r="J86" s="62" t="s">
        <v>532</v>
      </c>
      <c r="K86" s="62"/>
      <c r="L86" s="62"/>
      <c r="M86" s="62"/>
      <c r="N86" s="62"/>
      <c r="O86" s="62" t="str">
        <f>IF(E86="PA",IF(K86&lt;&gt;"",ISERROR(VLOOKUP(K86,ABBR!A:D,1,FALSE)),ISERROR(VLOOKUP(C86,ABBR!A:D,1,FALSE))),"")</f>
        <v/>
      </c>
      <c r="P86" t="str">
        <f>VLOOKUP(A86,Groups!A:L,5,FALSE)</f>
        <v>SAMP</v>
      </c>
      <c r="Q86" s="62" t="str">
        <f>IF(G86="PA",IF(M86&lt;&gt;"",ISERROR(VLOOKUP(M86,ABBR!C:F,1,FALSE)),ISERROR(VLOOKUP(E86,ABBR!C:F,1,FALSE))),"")</f>
        <v/>
      </c>
    </row>
    <row r="87" spans="1:17" hidden="1" x14ac:dyDescent="0.25">
      <c r="A87" s="16" t="s">
        <v>566</v>
      </c>
      <c r="B87" s="17" t="s">
        <v>594</v>
      </c>
      <c r="C87" s="16" t="s">
        <v>866</v>
      </c>
      <c r="D87" s="17" t="s">
        <v>600</v>
      </c>
      <c r="E87" s="17" t="s">
        <v>601</v>
      </c>
      <c r="F87" s="18" t="s">
        <v>867</v>
      </c>
      <c r="G87" s="49" t="s">
        <v>853</v>
      </c>
      <c r="H87" s="17">
        <f t="shared" si="0"/>
        <v>7</v>
      </c>
      <c r="J87" s="62" t="s">
        <v>532</v>
      </c>
      <c r="K87" s="62"/>
      <c r="L87" s="62"/>
      <c r="M87" s="62"/>
      <c r="N87" s="62"/>
      <c r="O87" s="62" t="str">
        <f>IF(E87="PA",IF(K87&lt;&gt;"",ISERROR(VLOOKUP(K87,ABBR!A:D,1,FALSE)),ISERROR(VLOOKUP(C87,ABBR!A:D,1,FALSE))),"")</f>
        <v/>
      </c>
      <c r="P87" t="str">
        <f>VLOOKUP(A87,Groups!A:L,5,FALSE)</f>
        <v>SAMP</v>
      </c>
      <c r="Q87" s="62" t="str">
        <f>IF(G87="PA",IF(M87&lt;&gt;"",ISERROR(VLOOKUP(M87,ABBR!C:F,1,FALSE)),ISERROR(VLOOKUP(E87,ABBR!C:F,1,FALSE))),"")</f>
        <v/>
      </c>
    </row>
    <row r="88" spans="1:17" ht="25" hidden="1" x14ac:dyDescent="0.25">
      <c r="A88" s="16" t="s">
        <v>566</v>
      </c>
      <c r="B88" s="17"/>
      <c r="C88" s="16" t="s">
        <v>868</v>
      </c>
      <c r="D88" s="17"/>
      <c r="E88" s="17" t="s">
        <v>608</v>
      </c>
      <c r="F88" s="18" t="s">
        <v>869</v>
      </c>
      <c r="G88" s="49" t="s">
        <v>870</v>
      </c>
      <c r="H88" s="17">
        <f t="shared" si="0"/>
        <v>8</v>
      </c>
      <c r="J88" s="62" t="s">
        <v>532</v>
      </c>
      <c r="K88" s="62"/>
      <c r="L88" s="62"/>
      <c r="M88" s="62"/>
      <c r="N88" s="62"/>
      <c r="O88" s="62" t="str">
        <f>IF(E88="PA",IF(K88&lt;&gt;"",ISERROR(VLOOKUP(K88,ABBR!A:D,1,FALSE)),ISERROR(VLOOKUP(C88,ABBR!A:D,1,FALSE))),"")</f>
        <v/>
      </c>
      <c r="P88" t="str">
        <f>VLOOKUP(A88,Groups!A:L,5,FALSE)</f>
        <v>SAMP</v>
      </c>
      <c r="Q88" s="62" t="str">
        <f>IF(G88="PA",IF(M88&lt;&gt;"",ISERROR(VLOOKUP(M88,ABBR!C:F,1,FALSE)),ISERROR(VLOOKUP(E88,ABBR!C:F,1,FALSE))),"")</f>
        <v/>
      </c>
    </row>
    <row r="89" spans="1:17" ht="25" hidden="1" x14ac:dyDescent="0.25">
      <c r="A89" s="16" t="s">
        <v>566</v>
      </c>
      <c r="B89" s="17"/>
      <c r="C89" s="16" t="s">
        <v>871</v>
      </c>
      <c r="D89" s="17"/>
      <c r="E89" s="17" t="s">
        <v>608</v>
      </c>
      <c r="F89" s="18" t="s">
        <v>872</v>
      </c>
      <c r="G89" s="49" t="s">
        <v>873</v>
      </c>
      <c r="H89" s="17">
        <f t="shared" si="0"/>
        <v>9</v>
      </c>
      <c r="J89" s="62" t="s">
        <v>532</v>
      </c>
      <c r="K89" s="62"/>
      <c r="L89" s="62"/>
      <c r="M89" s="62"/>
      <c r="N89" s="62"/>
      <c r="O89" s="62" t="str">
        <f>IF(E89="PA",IF(K89&lt;&gt;"",ISERROR(VLOOKUP(K89,ABBR!A:D,1,FALSE)),ISERROR(VLOOKUP(C89,ABBR!A:D,1,FALSE))),"")</f>
        <v/>
      </c>
      <c r="P89" t="str">
        <f>VLOOKUP(A89,Groups!A:L,5,FALSE)</f>
        <v>SAMP</v>
      </c>
      <c r="Q89" s="62" t="str">
        <f>IF(G89="PA",IF(M89&lt;&gt;"",ISERROR(VLOOKUP(M89,ABBR!C:F,1,FALSE)),ISERROR(VLOOKUP(E89,ABBR!C:F,1,FALSE))),"")</f>
        <v/>
      </c>
    </row>
    <row r="90" spans="1:17" hidden="1" x14ac:dyDescent="0.25">
      <c r="A90" s="16" t="s">
        <v>566</v>
      </c>
      <c r="B90" s="17"/>
      <c r="C90" s="16" t="s">
        <v>991</v>
      </c>
      <c r="D90" s="17"/>
      <c r="E90" s="17" t="s">
        <v>608</v>
      </c>
      <c r="F90" s="18" t="s">
        <v>875</v>
      </c>
      <c r="G90" s="49" t="s">
        <v>876</v>
      </c>
      <c r="H90" s="17">
        <f t="shared" si="0"/>
        <v>10</v>
      </c>
      <c r="J90" s="62" t="s">
        <v>532</v>
      </c>
      <c r="K90" s="62"/>
      <c r="L90" s="62"/>
      <c r="M90" s="62"/>
      <c r="N90" s="62"/>
      <c r="O90" s="62" t="str">
        <f>IF(E90="PA",IF(K90&lt;&gt;"",ISERROR(VLOOKUP(K90,ABBR!A:D,1,FALSE)),ISERROR(VLOOKUP(C90,ABBR!A:D,1,FALSE))),"")</f>
        <v/>
      </c>
      <c r="P90" t="str">
        <f>VLOOKUP(A90,Groups!A:L,5,FALSE)</f>
        <v>SAMP</v>
      </c>
      <c r="Q90" s="62" t="str">
        <f>IF(G90="PA",IF(M90&lt;&gt;"",ISERROR(VLOOKUP(M90,ABBR!C:F,1,FALSE)),ISERROR(VLOOKUP(E90,ABBR!C:F,1,FALSE))),"")</f>
        <v/>
      </c>
    </row>
    <row r="91" spans="1:17" hidden="1" x14ac:dyDescent="0.25">
      <c r="A91" s="16" t="s">
        <v>566</v>
      </c>
      <c r="B91" s="17"/>
      <c r="C91" s="16" t="s">
        <v>877</v>
      </c>
      <c r="D91" s="17" t="s">
        <v>600</v>
      </c>
      <c r="E91" s="17" t="s">
        <v>601</v>
      </c>
      <c r="F91" s="18" t="s">
        <v>878</v>
      </c>
      <c r="G91" s="49" t="s">
        <v>879</v>
      </c>
      <c r="H91" s="17">
        <f t="shared" si="0"/>
        <v>11</v>
      </c>
      <c r="I91" s="30" t="s">
        <v>955</v>
      </c>
      <c r="J91" s="80">
        <v>4.0999999999999996</v>
      </c>
      <c r="O91" s="62" t="str">
        <f>IF(E91="PA",IF(K91&lt;&gt;"",ISERROR(VLOOKUP(K91,ABBR!A:D,1,FALSE)),ISERROR(VLOOKUP(C91,ABBR!A:D,1,FALSE))),"")</f>
        <v/>
      </c>
      <c r="P91" t="str">
        <f>VLOOKUP(A91,Groups!A:L,5,FALSE)</f>
        <v>SAMP</v>
      </c>
      <c r="Q91" s="62" t="str">
        <f>IF(G91="PA",IF(M91&lt;&gt;"",ISERROR(VLOOKUP(M91,ABBR!C:F,1,FALSE)),ISERROR(VLOOKUP(E91,ABBR!C:F,1,FALSE))),"")</f>
        <v/>
      </c>
    </row>
    <row r="92" spans="1:17" ht="37.5" hidden="1" x14ac:dyDescent="0.25">
      <c r="A92" s="16" t="s">
        <v>566</v>
      </c>
      <c r="B92" s="17"/>
      <c r="C92" s="16" t="s">
        <v>992</v>
      </c>
      <c r="D92" s="17"/>
      <c r="E92" s="17" t="s">
        <v>608</v>
      </c>
      <c r="F92" s="18" t="s">
        <v>993</v>
      </c>
      <c r="G92" s="49" t="s">
        <v>994</v>
      </c>
      <c r="H92" s="17">
        <f t="shared" si="0"/>
        <v>12</v>
      </c>
      <c r="J92" s="62" t="s">
        <v>532</v>
      </c>
      <c r="K92" s="62"/>
      <c r="L92" s="62"/>
      <c r="M92" s="62"/>
      <c r="N92" s="62"/>
      <c r="O92" s="62" t="str">
        <f>IF(E92="PA",IF(K92&lt;&gt;"",ISERROR(VLOOKUP(K92,ABBR!A:D,1,FALSE)),ISERROR(VLOOKUP(C92,ABBR!A:D,1,FALSE))),"")</f>
        <v/>
      </c>
      <c r="P92" t="str">
        <f>VLOOKUP(A92,Groups!A:L,5,FALSE)</f>
        <v>SAMP</v>
      </c>
      <c r="Q92" s="62" t="str">
        <f>IF(G92="PA",IF(M92&lt;&gt;"",ISERROR(VLOOKUP(M92,ABBR!C:F,1,FALSE)),ISERROR(VLOOKUP(E92,ABBR!C:F,1,FALSE))),"")</f>
        <v/>
      </c>
    </row>
    <row r="93" spans="1:17" hidden="1" x14ac:dyDescent="0.25">
      <c r="A93" s="16" t="s">
        <v>566</v>
      </c>
      <c r="B93" s="17"/>
      <c r="C93" s="16" t="s">
        <v>995</v>
      </c>
      <c r="D93" s="17" t="s">
        <v>722</v>
      </c>
      <c r="E93" s="17" t="s">
        <v>723</v>
      </c>
      <c r="F93" s="18" t="s">
        <v>996</v>
      </c>
      <c r="G93" s="49" t="s">
        <v>997</v>
      </c>
      <c r="H93" s="17">
        <f t="shared" si="0"/>
        <v>13</v>
      </c>
      <c r="J93" s="62" t="s">
        <v>532</v>
      </c>
      <c r="K93" s="62"/>
      <c r="L93" s="62"/>
      <c r="M93" s="62"/>
      <c r="N93" s="62"/>
      <c r="O93" s="62" t="str">
        <f>IF(E93="PA",IF(K93&lt;&gt;"",ISERROR(VLOOKUP(K93,ABBR!A:D,1,FALSE)),ISERROR(VLOOKUP(C93,ABBR!A:D,1,FALSE))),"")</f>
        <v/>
      </c>
      <c r="P93" t="str">
        <f>VLOOKUP(A93,Groups!A:L,5,FALSE)</f>
        <v>SAMP</v>
      </c>
      <c r="Q93" s="62" t="str">
        <f>IF(G93="PA",IF(M93&lt;&gt;"",ISERROR(VLOOKUP(M93,ABBR!C:F,1,FALSE)),ISERROR(VLOOKUP(E93,ABBR!C:F,1,FALSE))),"")</f>
        <v/>
      </c>
    </row>
    <row r="94" spans="1:17" hidden="1" x14ac:dyDescent="0.25">
      <c r="A94" s="16" t="s">
        <v>566</v>
      </c>
      <c r="B94" s="17"/>
      <c r="C94" s="16" t="s">
        <v>998</v>
      </c>
      <c r="D94" s="17" t="s">
        <v>722</v>
      </c>
      <c r="E94" s="17" t="s">
        <v>723</v>
      </c>
      <c r="F94" s="18" t="s">
        <v>999</v>
      </c>
      <c r="G94" s="49" t="s">
        <v>1000</v>
      </c>
      <c r="H94" s="17">
        <f t="shared" si="0"/>
        <v>14</v>
      </c>
      <c r="J94" s="62" t="s">
        <v>532</v>
      </c>
      <c r="K94" s="62"/>
      <c r="L94" s="62"/>
      <c r="M94" s="62"/>
      <c r="N94" s="62"/>
      <c r="O94" s="62" t="str">
        <f>IF(E94="PA",IF(K94&lt;&gt;"",ISERROR(VLOOKUP(K94,ABBR!A:D,1,FALSE)),ISERROR(VLOOKUP(C94,ABBR!A:D,1,FALSE))),"")</f>
        <v/>
      </c>
      <c r="P94" t="str">
        <f>VLOOKUP(A94,Groups!A:L,5,FALSE)</f>
        <v>SAMP</v>
      </c>
      <c r="Q94" s="62" t="str">
        <f>IF(G94="PA",IF(M94&lt;&gt;"",ISERROR(VLOOKUP(M94,ABBR!C:F,1,FALSE)),ISERROR(VLOOKUP(E94,ABBR!C:F,1,FALSE))),"")</f>
        <v/>
      </c>
    </row>
    <row r="95" spans="1:17" hidden="1" x14ac:dyDescent="0.25">
      <c r="A95" s="16" t="s">
        <v>566</v>
      </c>
      <c r="B95" s="17"/>
      <c r="C95" s="16" t="s">
        <v>1001</v>
      </c>
      <c r="D95" s="17" t="s">
        <v>1002</v>
      </c>
      <c r="E95" s="17" t="s">
        <v>767</v>
      </c>
      <c r="F95" s="18" t="s">
        <v>1003</v>
      </c>
      <c r="G95" s="49" t="s">
        <v>1004</v>
      </c>
      <c r="H95" s="17">
        <f t="shared" si="0"/>
        <v>15</v>
      </c>
      <c r="J95" s="62" t="s">
        <v>532</v>
      </c>
      <c r="K95" s="62"/>
      <c r="L95" s="62"/>
      <c r="M95" s="62"/>
      <c r="N95" s="62"/>
      <c r="O95" s="62" t="str">
        <f>IF(E95="PA",IF(K95&lt;&gt;"",ISERROR(VLOOKUP(K95,ABBR!A:D,1,FALSE)),ISERROR(VLOOKUP(C95,ABBR!A:D,1,FALSE))),"")</f>
        <v/>
      </c>
      <c r="P95" t="str">
        <f>VLOOKUP(A95,Groups!A:L,5,FALSE)</f>
        <v>SAMP</v>
      </c>
      <c r="Q95" s="62" t="str">
        <f>IF(G95="PA",IF(M95&lt;&gt;"",ISERROR(VLOOKUP(M95,ABBR!C:F,1,FALSE)),ISERROR(VLOOKUP(E95,ABBR!C:F,1,FALSE))),"")</f>
        <v/>
      </c>
    </row>
    <row r="96" spans="1:17" hidden="1" x14ac:dyDescent="0.25">
      <c r="A96" s="16" t="s">
        <v>566</v>
      </c>
      <c r="B96" s="17"/>
      <c r="C96" s="16" t="s">
        <v>1005</v>
      </c>
      <c r="D96" s="17" t="s">
        <v>1002</v>
      </c>
      <c r="E96" s="17" t="s">
        <v>767</v>
      </c>
      <c r="F96" s="18" t="s">
        <v>1006</v>
      </c>
      <c r="G96" s="49" t="s">
        <v>1007</v>
      </c>
      <c r="H96" s="17">
        <f t="shared" si="0"/>
        <v>16</v>
      </c>
      <c r="J96" s="62" t="s">
        <v>532</v>
      </c>
      <c r="K96" s="62"/>
      <c r="L96" s="62"/>
      <c r="M96" s="62"/>
      <c r="N96" s="62"/>
      <c r="O96" s="62" t="str">
        <f>IF(E96="PA",IF(K96&lt;&gt;"",ISERROR(VLOOKUP(K96,ABBR!A:D,1,FALSE)),ISERROR(VLOOKUP(C96,ABBR!A:D,1,FALSE))),"")</f>
        <v/>
      </c>
      <c r="P96" t="str">
        <f>VLOOKUP(A96,Groups!A:L,5,FALSE)</f>
        <v>SAMP</v>
      </c>
      <c r="Q96" s="62" t="str">
        <f>IF(G96="PA",IF(M96&lt;&gt;"",ISERROR(VLOOKUP(M96,ABBR!C:F,1,FALSE)),ISERROR(VLOOKUP(E96,ABBR!C:F,1,FALSE))),"")</f>
        <v/>
      </c>
    </row>
    <row r="97" spans="1:17" hidden="1" x14ac:dyDescent="0.25">
      <c r="A97" s="16" t="s">
        <v>566</v>
      </c>
      <c r="B97" s="17"/>
      <c r="C97" s="16" t="s">
        <v>1008</v>
      </c>
      <c r="D97" s="17" t="s">
        <v>1002</v>
      </c>
      <c r="E97" s="17" t="s">
        <v>767</v>
      </c>
      <c r="F97" s="18" t="s">
        <v>1009</v>
      </c>
      <c r="G97" s="49" t="s">
        <v>1004</v>
      </c>
      <c r="H97" s="17">
        <f t="shared" si="0"/>
        <v>17</v>
      </c>
      <c r="J97" s="62" t="s">
        <v>532</v>
      </c>
      <c r="K97" s="62"/>
      <c r="L97" s="62"/>
      <c r="M97" s="62"/>
      <c r="N97" s="62"/>
      <c r="O97" s="62" t="str">
        <f>IF(E97="PA",IF(K97&lt;&gt;"",ISERROR(VLOOKUP(K97,ABBR!A:D,1,FALSE)),ISERROR(VLOOKUP(C97,ABBR!A:D,1,FALSE))),"")</f>
        <v/>
      </c>
      <c r="P97" t="str">
        <f>VLOOKUP(A97,Groups!A:L,5,FALSE)</f>
        <v>SAMP</v>
      </c>
      <c r="Q97" s="62" t="str">
        <f>IF(G97="PA",IF(M97&lt;&gt;"",ISERROR(VLOOKUP(M97,ABBR!C:F,1,FALSE)),ISERROR(VLOOKUP(E97,ABBR!C:F,1,FALSE))),"")</f>
        <v/>
      </c>
    </row>
    <row r="98" spans="1:17" hidden="1" x14ac:dyDescent="0.25">
      <c r="A98" s="16" t="s">
        <v>566</v>
      </c>
      <c r="B98" s="17"/>
      <c r="C98" s="16" t="s">
        <v>1010</v>
      </c>
      <c r="D98" s="17" t="s">
        <v>1002</v>
      </c>
      <c r="E98" s="17" t="s">
        <v>767</v>
      </c>
      <c r="F98" s="18" t="s">
        <v>1011</v>
      </c>
      <c r="G98" s="49" t="s">
        <v>1004</v>
      </c>
      <c r="H98" s="17">
        <f t="shared" si="0"/>
        <v>18</v>
      </c>
      <c r="J98" s="62" t="s">
        <v>532</v>
      </c>
      <c r="K98" s="62"/>
      <c r="L98" s="62"/>
      <c r="M98" s="62"/>
      <c r="N98" s="62"/>
      <c r="O98" s="62" t="str">
        <f>IF(E98="PA",IF(K98&lt;&gt;"",ISERROR(VLOOKUP(K98,ABBR!A:D,1,FALSE)),ISERROR(VLOOKUP(C98,ABBR!A:D,1,FALSE))),"")</f>
        <v/>
      </c>
      <c r="P98" t="str">
        <f>VLOOKUP(A98,Groups!A:L,5,FALSE)</f>
        <v>SAMP</v>
      </c>
      <c r="Q98" s="62" t="str">
        <f>IF(G98="PA",IF(M98&lt;&gt;"",ISERROR(VLOOKUP(M98,ABBR!C:F,1,FALSE)),ISERROR(VLOOKUP(E98,ABBR!C:F,1,FALSE))),"")</f>
        <v/>
      </c>
    </row>
    <row r="99" spans="1:17" hidden="1" x14ac:dyDescent="0.25">
      <c r="A99" s="16" t="s">
        <v>566</v>
      </c>
      <c r="B99" s="17"/>
      <c r="C99" s="16" t="s">
        <v>1012</v>
      </c>
      <c r="D99" s="17" t="s">
        <v>1002</v>
      </c>
      <c r="E99" s="17" t="s">
        <v>767</v>
      </c>
      <c r="F99" s="18" t="s">
        <v>1013</v>
      </c>
      <c r="G99" s="49" t="s">
        <v>1007</v>
      </c>
      <c r="H99" s="17">
        <f t="shared" si="0"/>
        <v>19</v>
      </c>
      <c r="J99" s="62" t="s">
        <v>532</v>
      </c>
      <c r="K99" s="62"/>
      <c r="L99" s="62"/>
      <c r="M99" s="62"/>
      <c r="N99" s="62"/>
      <c r="O99" s="62" t="str">
        <f>IF(E99="PA",IF(K99&lt;&gt;"",ISERROR(VLOOKUP(K99,ABBR!A:D,1,FALSE)),ISERROR(VLOOKUP(C99,ABBR!A:D,1,FALSE))),"")</f>
        <v/>
      </c>
      <c r="P99" t="str">
        <f>VLOOKUP(A99,Groups!A:L,5,FALSE)</f>
        <v>SAMP</v>
      </c>
      <c r="Q99" s="62" t="str">
        <f>IF(G99="PA",IF(M99&lt;&gt;"",ISERROR(VLOOKUP(M99,ABBR!C:F,1,FALSE)),ISERROR(VLOOKUP(E99,ABBR!C:F,1,FALSE))),"")</f>
        <v/>
      </c>
    </row>
    <row r="100" spans="1:17" hidden="1" x14ac:dyDescent="0.25">
      <c r="A100" s="16" t="s">
        <v>566</v>
      </c>
      <c r="B100" s="17"/>
      <c r="C100" s="16" t="s">
        <v>1014</v>
      </c>
      <c r="D100" s="17" t="s">
        <v>1002</v>
      </c>
      <c r="E100" s="17" t="s">
        <v>767</v>
      </c>
      <c r="F100" s="18" t="s">
        <v>1015</v>
      </c>
      <c r="G100" s="49" t="s">
        <v>1007</v>
      </c>
      <c r="H100" s="17">
        <f t="shared" si="0"/>
        <v>20</v>
      </c>
      <c r="J100" s="62" t="s">
        <v>532</v>
      </c>
      <c r="K100" s="62"/>
      <c r="L100" s="62"/>
      <c r="M100" s="62"/>
      <c r="N100" s="62"/>
      <c r="O100" s="62" t="str">
        <f>IF(E100="PA",IF(K100&lt;&gt;"",ISERROR(VLOOKUP(K100,ABBR!A:D,1,FALSE)),ISERROR(VLOOKUP(C100,ABBR!A:D,1,FALSE))),"")</f>
        <v/>
      </c>
      <c r="P100" t="str">
        <f>VLOOKUP(A100,Groups!A:L,5,FALSE)</f>
        <v>SAMP</v>
      </c>
      <c r="Q100" s="62" t="str">
        <f>IF(G100="PA",IF(M100&lt;&gt;"",ISERROR(VLOOKUP(M100,ABBR!C:F,1,FALSE)),ISERROR(VLOOKUP(E100,ABBR!C:F,1,FALSE))),"")</f>
        <v/>
      </c>
    </row>
    <row r="101" spans="1:17" ht="37.5" hidden="1" x14ac:dyDescent="0.25">
      <c r="A101" s="16" t="s">
        <v>566</v>
      </c>
      <c r="B101" s="17"/>
      <c r="C101" s="16" t="s">
        <v>1016</v>
      </c>
      <c r="D101" s="17"/>
      <c r="E101" s="17" t="s">
        <v>608</v>
      </c>
      <c r="F101" s="18" t="s">
        <v>1017</v>
      </c>
      <c r="G101" s="49" t="s">
        <v>1018</v>
      </c>
      <c r="H101" s="17">
        <f t="shared" si="0"/>
        <v>21</v>
      </c>
      <c r="J101" s="62" t="s">
        <v>532</v>
      </c>
      <c r="K101" s="62"/>
      <c r="L101" s="62"/>
      <c r="M101" s="62"/>
      <c r="N101" s="62"/>
      <c r="O101" s="62" t="str">
        <f>IF(E101="PA",IF(K101&lt;&gt;"",ISERROR(VLOOKUP(K101,ABBR!A:D,1,FALSE)),ISERROR(VLOOKUP(C101,ABBR!A:D,1,FALSE))),"")</f>
        <v/>
      </c>
      <c r="P101" t="str">
        <f>VLOOKUP(A101,Groups!A:L,5,FALSE)</f>
        <v>SAMP</v>
      </c>
      <c r="Q101" s="62" t="str">
        <f>IF(G101="PA",IF(M101&lt;&gt;"",ISERROR(VLOOKUP(M101,ABBR!C:F,1,FALSE)),ISERROR(VLOOKUP(E101,ABBR!C:F,1,FALSE))),"")</f>
        <v/>
      </c>
    </row>
    <row r="102" spans="1:17" hidden="1" x14ac:dyDescent="0.25">
      <c r="A102" s="16" t="s">
        <v>566</v>
      </c>
      <c r="B102" s="17"/>
      <c r="C102" s="16" t="s">
        <v>1019</v>
      </c>
      <c r="D102" s="17" t="s">
        <v>722</v>
      </c>
      <c r="E102" s="17" t="s">
        <v>723</v>
      </c>
      <c r="F102" s="18" t="s">
        <v>1020</v>
      </c>
      <c r="G102" s="49" t="s">
        <v>1021</v>
      </c>
      <c r="H102" s="17">
        <f t="shared" si="0"/>
        <v>22</v>
      </c>
      <c r="J102" s="62" t="s">
        <v>532</v>
      </c>
      <c r="K102" s="62"/>
      <c r="L102" s="62"/>
      <c r="M102" s="62"/>
      <c r="N102" s="62"/>
      <c r="O102" s="62" t="str">
        <f>IF(E102="PA",IF(K102&lt;&gt;"",ISERROR(VLOOKUP(K102,ABBR!A:D,1,FALSE)),ISERROR(VLOOKUP(C102,ABBR!A:D,1,FALSE))),"")</f>
        <v/>
      </c>
      <c r="P102" t="str">
        <f>VLOOKUP(A102,Groups!A:L,5,FALSE)</f>
        <v>SAMP</v>
      </c>
      <c r="Q102" s="62" t="str">
        <f>IF(G102="PA",IF(M102&lt;&gt;"",ISERROR(VLOOKUP(M102,ABBR!C:F,1,FALSE)),ISERROR(VLOOKUP(E102,ABBR!C:F,1,FALSE))),"")</f>
        <v/>
      </c>
    </row>
    <row r="103" spans="1:17" hidden="1" x14ac:dyDescent="0.25">
      <c r="A103" s="16" t="s">
        <v>566</v>
      </c>
      <c r="B103" s="17"/>
      <c r="C103" s="16" t="s">
        <v>1022</v>
      </c>
      <c r="D103" s="17" t="s">
        <v>722</v>
      </c>
      <c r="E103" s="17" t="s">
        <v>723</v>
      </c>
      <c r="F103" s="18" t="s">
        <v>1023</v>
      </c>
      <c r="G103" s="49" t="s">
        <v>1024</v>
      </c>
      <c r="H103" s="17">
        <f t="shared" si="0"/>
        <v>23</v>
      </c>
      <c r="J103" s="62" t="s">
        <v>532</v>
      </c>
      <c r="K103" s="62"/>
      <c r="L103" s="62"/>
      <c r="M103" s="62"/>
      <c r="N103" s="62"/>
      <c r="O103" s="62" t="str">
        <f>IF(E103="PA",IF(K103&lt;&gt;"",ISERROR(VLOOKUP(K103,ABBR!A:D,1,FALSE)),ISERROR(VLOOKUP(C103,ABBR!A:D,1,FALSE))),"")</f>
        <v/>
      </c>
      <c r="P103" t="str">
        <f>VLOOKUP(A103,Groups!A:L,5,FALSE)</f>
        <v>SAMP</v>
      </c>
      <c r="Q103" s="62" t="str">
        <f>IF(G103="PA",IF(M103&lt;&gt;"",ISERROR(VLOOKUP(M103,ABBR!C:F,1,FALSE)),ISERROR(VLOOKUP(E103,ABBR!C:F,1,FALSE))),"")</f>
        <v/>
      </c>
    </row>
    <row r="104" spans="1:17" hidden="1" x14ac:dyDescent="0.25">
      <c r="A104" s="16" t="s">
        <v>566</v>
      </c>
      <c r="B104" s="17"/>
      <c r="C104" s="16" t="s">
        <v>1025</v>
      </c>
      <c r="D104" s="17" t="s">
        <v>722</v>
      </c>
      <c r="E104" s="17" t="s">
        <v>767</v>
      </c>
      <c r="F104" s="18" t="s">
        <v>1026</v>
      </c>
      <c r="G104" s="49" t="s">
        <v>1027</v>
      </c>
      <c r="H104" s="17">
        <f t="shared" si="0"/>
        <v>24</v>
      </c>
      <c r="J104" s="62" t="s">
        <v>532</v>
      </c>
      <c r="K104" s="62"/>
      <c r="L104" s="62"/>
      <c r="M104" s="62"/>
      <c r="N104" s="62"/>
      <c r="O104" s="62" t="str">
        <f>IF(E104="PA",IF(K104&lt;&gt;"",ISERROR(VLOOKUP(K104,ABBR!A:D,1,FALSE)),ISERROR(VLOOKUP(C104,ABBR!A:D,1,FALSE))),"")</f>
        <v/>
      </c>
      <c r="P104" t="str">
        <f>VLOOKUP(A104,Groups!A:L,5,FALSE)</f>
        <v>SAMP</v>
      </c>
      <c r="Q104" s="62" t="str">
        <f>IF(G104="PA",IF(M104&lt;&gt;"",ISERROR(VLOOKUP(M104,ABBR!C:F,1,FALSE)),ISERROR(VLOOKUP(E104,ABBR!C:F,1,FALSE))),"")</f>
        <v/>
      </c>
    </row>
    <row r="105" spans="1:17" hidden="1" x14ac:dyDescent="0.25">
      <c r="A105" s="16" t="s">
        <v>566</v>
      </c>
      <c r="B105" s="17"/>
      <c r="C105" s="16" t="s">
        <v>1028</v>
      </c>
      <c r="D105" s="17" t="s">
        <v>766</v>
      </c>
      <c r="E105" s="17" t="s">
        <v>767</v>
      </c>
      <c r="F105" s="18" t="s">
        <v>1029</v>
      </c>
      <c r="G105" s="49" t="s">
        <v>1030</v>
      </c>
      <c r="H105" s="17">
        <f t="shared" si="0"/>
        <v>25</v>
      </c>
      <c r="J105" s="62" t="s">
        <v>532</v>
      </c>
      <c r="K105" s="62"/>
      <c r="L105" s="62"/>
      <c r="M105" s="62"/>
      <c r="N105" s="62"/>
      <c r="O105" s="62" t="str">
        <f>IF(E105="PA",IF(K105&lt;&gt;"",ISERROR(VLOOKUP(K105,ABBR!A:D,1,FALSE)),ISERROR(VLOOKUP(C105,ABBR!A:D,1,FALSE))),"")</f>
        <v/>
      </c>
      <c r="P105" t="str">
        <f>VLOOKUP(A105,Groups!A:L,5,FALSE)</f>
        <v>SAMP</v>
      </c>
      <c r="Q105" s="62" t="str">
        <f>IF(G105="PA",IF(M105&lt;&gt;"",ISERROR(VLOOKUP(M105,ABBR!C:F,1,FALSE)),ISERROR(VLOOKUP(E105,ABBR!C:F,1,FALSE))),"")</f>
        <v/>
      </c>
    </row>
    <row r="106" spans="1:17" ht="25" hidden="1" x14ac:dyDescent="0.25">
      <c r="A106" s="16" t="s">
        <v>566</v>
      </c>
      <c r="B106" s="17"/>
      <c r="C106" s="16" t="s">
        <v>1031</v>
      </c>
      <c r="D106" s="17"/>
      <c r="E106" s="17" t="s">
        <v>608</v>
      </c>
      <c r="F106" s="18" t="s">
        <v>642</v>
      </c>
      <c r="G106" s="49" t="s">
        <v>1032</v>
      </c>
      <c r="H106" s="17">
        <f t="shared" si="0"/>
        <v>26</v>
      </c>
      <c r="J106" s="62" t="s">
        <v>532</v>
      </c>
      <c r="K106" s="62"/>
      <c r="L106" s="62"/>
      <c r="M106" s="62"/>
      <c r="N106" s="62"/>
      <c r="O106" s="62" t="str">
        <f>IF(E106="PA",IF(K106&lt;&gt;"",ISERROR(VLOOKUP(K106,ABBR!A:D,1,FALSE)),ISERROR(VLOOKUP(C106,ABBR!A:D,1,FALSE))),"")</f>
        <v/>
      </c>
      <c r="P106" t="str">
        <f>VLOOKUP(A106,Groups!A:L,5,FALSE)</f>
        <v>SAMP</v>
      </c>
      <c r="Q106" s="62" t="str">
        <f>IF(G106="PA",IF(M106&lt;&gt;"",ISERROR(VLOOKUP(M106,ABBR!C:F,1,FALSE)),ISERROR(VLOOKUP(E106,ABBR!C:F,1,FALSE))),"")</f>
        <v/>
      </c>
    </row>
    <row r="107" spans="1:17" ht="25" hidden="1" x14ac:dyDescent="0.25">
      <c r="A107" s="16" t="s">
        <v>566</v>
      </c>
      <c r="B107" s="17"/>
      <c r="C107" s="16" t="s">
        <v>1033</v>
      </c>
      <c r="D107" s="17"/>
      <c r="E107" s="17" t="s">
        <v>608</v>
      </c>
      <c r="F107" s="18" t="s">
        <v>918</v>
      </c>
      <c r="G107" s="49" t="s">
        <v>919</v>
      </c>
      <c r="H107" s="17">
        <f t="shared" si="0"/>
        <v>27</v>
      </c>
      <c r="J107" s="62" t="s">
        <v>532</v>
      </c>
      <c r="K107" s="62"/>
      <c r="L107" s="62"/>
      <c r="M107" s="62"/>
      <c r="N107" s="62"/>
      <c r="O107" s="62" t="str">
        <f>IF(E107="PA",IF(K107&lt;&gt;"",ISERROR(VLOOKUP(K107,ABBR!A:D,1,FALSE)),ISERROR(VLOOKUP(C107,ABBR!A:D,1,FALSE))),"")</f>
        <v/>
      </c>
      <c r="P107" t="str">
        <f>VLOOKUP(A107,Groups!A:L,5,FALSE)</f>
        <v>SAMP</v>
      </c>
      <c r="Q107" s="62" t="str">
        <f>IF(G107="PA",IF(M107&lt;&gt;"",ISERROR(VLOOKUP(M107,ABBR!C:F,1,FALSE)),ISERROR(VLOOKUP(E107,ABBR!C:F,1,FALSE))),"")</f>
        <v/>
      </c>
    </row>
    <row r="108" spans="1:17" hidden="1" x14ac:dyDescent="0.25">
      <c r="A108" s="16" t="s">
        <v>566</v>
      </c>
      <c r="B108" s="17"/>
      <c r="C108" s="16" t="s">
        <v>1034</v>
      </c>
      <c r="D108" s="17"/>
      <c r="E108" s="17" t="s">
        <v>608</v>
      </c>
      <c r="F108" s="18" t="s">
        <v>921</v>
      </c>
      <c r="G108" s="94" t="s">
        <v>922</v>
      </c>
      <c r="H108" s="17">
        <f t="shared" si="0"/>
        <v>28</v>
      </c>
      <c r="J108" s="62" t="s">
        <v>473</v>
      </c>
      <c r="M108" s="101"/>
      <c r="O108" s="62" t="str">
        <f>IF(E108="PA",IF(K108&lt;&gt;"",ISERROR(VLOOKUP(K108,ABBR!A:D,1,FALSE)),ISERROR(VLOOKUP(C108,ABBR!A:D,1,FALSE))),"")</f>
        <v/>
      </c>
      <c r="P108" t="str">
        <f>VLOOKUP(A108,Groups!A:L,5,FALSE)</f>
        <v>SAMP</v>
      </c>
      <c r="Q108" s="62" t="str">
        <f>IF(G108="PA",IF(M108&lt;&gt;"",ISERROR(VLOOKUP(M108,ABBR!C:F,1,FALSE)),ISERROR(VLOOKUP(E108,ABBR!C:F,1,FALSE))),"")</f>
        <v/>
      </c>
    </row>
    <row r="109" spans="1:17" hidden="1" x14ac:dyDescent="0.25">
      <c r="A109" s="16" t="s">
        <v>566</v>
      </c>
      <c r="B109" s="17"/>
      <c r="C109" s="16" t="s">
        <v>1035</v>
      </c>
      <c r="D109" s="17"/>
      <c r="E109" s="17" t="s">
        <v>608</v>
      </c>
      <c r="F109" s="18" t="s">
        <v>929</v>
      </c>
      <c r="G109" s="49" t="s">
        <v>876</v>
      </c>
      <c r="H109" s="17">
        <f t="shared" si="0"/>
        <v>29</v>
      </c>
      <c r="J109" s="62" t="s">
        <v>532</v>
      </c>
      <c r="K109" s="62"/>
      <c r="L109" s="62"/>
      <c r="M109" s="62"/>
      <c r="N109" s="62"/>
      <c r="O109" s="62" t="str">
        <f>IF(E109="PA",IF(K109&lt;&gt;"",ISERROR(VLOOKUP(K109,ABBR!A:D,1,FALSE)),ISERROR(VLOOKUP(C109,ABBR!A:D,1,FALSE))),"")</f>
        <v/>
      </c>
      <c r="P109" t="str">
        <f>VLOOKUP(A109,Groups!A:L,5,FALSE)</f>
        <v>SAMP</v>
      </c>
      <c r="Q109" s="62" t="str">
        <f>IF(G109="PA",IF(M109&lt;&gt;"",ISERROR(VLOOKUP(M109,ABBR!C:F,1,FALSE)),ISERROR(VLOOKUP(E109,ABBR!C:F,1,FALSE))),"")</f>
        <v/>
      </c>
    </row>
    <row r="110" spans="1:17" hidden="1" x14ac:dyDescent="0.25">
      <c r="A110" s="16" t="s">
        <v>566</v>
      </c>
      <c r="B110" s="17"/>
      <c r="C110" s="16" t="s">
        <v>1036</v>
      </c>
      <c r="D110" s="17" t="s">
        <v>924</v>
      </c>
      <c r="E110" s="17" t="s">
        <v>925</v>
      </c>
      <c r="F110" s="18" t="s">
        <v>926</v>
      </c>
      <c r="G110" s="49" t="s">
        <v>927</v>
      </c>
      <c r="H110" s="17">
        <f t="shared" si="0"/>
        <v>30</v>
      </c>
      <c r="J110" s="62" t="s">
        <v>532</v>
      </c>
      <c r="K110" s="62"/>
      <c r="L110" s="62"/>
      <c r="M110" s="62"/>
      <c r="N110" s="62"/>
      <c r="O110" s="62" t="str">
        <f>IF(E110="PA",IF(K110&lt;&gt;"",ISERROR(VLOOKUP(K110,ABBR!A:D,1,FALSE)),ISERROR(VLOOKUP(C110,ABBR!A:D,1,FALSE))),"")</f>
        <v/>
      </c>
      <c r="P110" t="str">
        <f>VLOOKUP(A110,Groups!A:L,5,FALSE)</f>
        <v>SAMP</v>
      </c>
      <c r="Q110" s="62" t="str">
        <f>IF(G110="PA",IF(M110&lt;&gt;"",ISERROR(VLOOKUP(M110,ABBR!C:F,1,FALSE)),ISERROR(VLOOKUP(E110,ABBR!C:F,1,FALSE))),"")</f>
        <v/>
      </c>
    </row>
    <row r="111" spans="1:17" hidden="1" x14ac:dyDescent="0.25">
      <c r="A111" s="16" t="s">
        <v>566</v>
      </c>
      <c r="B111" s="17"/>
      <c r="C111" s="16" t="s">
        <v>1037</v>
      </c>
      <c r="D111" s="17"/>
      <c r="E111" s="17" t="s">
        <v>608</v>
      </c>
      <c r="F111" s="18" t="s">
        <v>931</v>
      </c>
      <c r="G111" s="49" t="s">
        <v>932</v>
      </c>
      <c r="H111" s="17">
        <f t="shared" si="0"/>
        <v>31</v>
      </c>
      <c r="J111" s="62" t="s">
        <v>532</v>
      </c>
      <c r="K111" s="62"/>
      <c r="L111" s="62"/>
      <c r="M111" s="62"/>
      <c r="N111" s="62"/>
      <c r="O111" s="62" t="str">
        <f>IF(E111="PA",IF(K111&lt;&gt;"",ISERROR(VLOOKUP(K111,ABBR!A:D,1,FALSE)),ISERROR(VLOOKUP(C111,ABBR!A:D,1,FALSE))),"")</f>
        <v/>
      </c>
      <c r="P111" t="str">
        <f>VLOOKUP(A111,Groups!A:L,5,FALSE)</f>
        <v>SAMP</v>
      </c>
      <c r="Q111" s="62" t="str">
        <f>IF(G111="PA",IF(M111&lt;&gt;"",ISERROR(VLOOKUP(M111,ABBR!C:F,1,FALSE)),ISERROR(VLOOKUP(E111,ABBR!C:F,1,FALSE))),"")</f>
        <v/>
      </c>
    </row>
    <row r="112" spans="1:17" ht="25" hidden="1" x14ac:dyDescent="0.25">
      <c r="A112" s="16" t="s">
        <v>566</v>
      </c>
      <c r="B112" s="17"/>
      <c r="C112" s="16" t="s">
        <v>1038</v>
      </c>
      <c r="D112" s="17"/>
      <c r="E112" s="17" t="s">
        <v>608</v>
      </c>
      <c r="F112" s="18" t="s">
        <v>934</v>
      </c>
      <c r="G112" s="49" t="s">
        <v>935</v>
      </c>
      <c r="H112" s="17">
        <f t="shared" si="0"/>
        <v>32</v>
      </c>
      <c r="J112" s="62" t="s">
        <v>532</v>
      </c>
      <c r="K112" s="62"/>
      <c r="L112" s="62"/>
      <c r="M112" s="62"/>
      <c r="N112" s="62"/>
      <c r="O112" s="62" t="str">
        <f>IF(E112="PA",IF(K112&lt;&gt;"",ISERROR(VLOOKUP(K112,ABBR!A:D,1,FALSE)),ISERROR(VLOOKUP(C112,ABBR!A:D,1,FALSE))),"")</f>
        <v/>
      </c>
      <c r="P112" t="str">
        <f>VLOOKUP(A112,Groups!A:L,5,FALSE)</f>
        <v>SAMP</v>
      </c>
      <c r="Q112" s="62" t="str">
        <f>IF(G112="PA",IF(M112&lt;&gt;"",ISERROR(VLOOKUP(M112,ABBR!C:F,1,FALSE)),ISERROR(VLOOKUP(E112,ABBR!C:F,1,FALSE))),"")</f>
        <v/>
      </c>
    </row>
    <row r="113" spans="1:17" hidden="1" x14ac:dyDescent="0.25">
      <c r="A113" s="16" t="s">
        <v>566</v>
      </c>
      <c r="B113" s="17"/>
      <c r="C113" s="16" t="s">
        <v>936</v>
      </c>
      <c r="D113" s="17"/>
      <c r="E113" s="17" t="s">
        <v>608</v>
      </c>
      <c r="F113" s="18" t="s">
        <v>937</v>
      </c>
      <c r="G113" s="49" t="s">
        <v>938</v>
      </c>
      <c r="H113" s="17">
        <f t="shared" si="0"/>
        <v>33</v>
      </c>
      <c r="J113" s="62" t="s">
        <v>532</v>
      </c>
      <c r="K113" s="62"/>
      <c r="L113" s="62"/>
      <c r="M113" s="62"/>
      <c r="N113" s="62"/>
      <c r="O113" s="62" t="str">
        <f>IF(E113="PA",IF(K113&lt;&gt;"",ISERROR(VLOOKUP(K113,ABBR!A:D,1,FALSE)),ISERROR(VLOOKUP(C113,ABBR!A:D,1,FALSE))),"")</f>
        <v/>
      </c>
      <c r="P113" t="str">
        <f>VLOOKUP(A113,Groups!A:L,5,FALSE)</f>
        <v>SAMP</v>
      </c>
      <c r="Q113" s="62" t="str">
        <f>IF(G113="PA",IF(M113&lt;&gt;"",ISERROR(VLOOKUP(M113,ABBR!C:F,1,FALSE)),ISERROR(VLOOKUP(E113,ABBR!C:F,1,FALSE))),"")</f>
        <v/>
      </c>
    </row>
    <row r="114" spans="1:17" hidden="1" x14ac:dyDescent="0.25">
      <c r="A114" s="16" t="s">
        <v>566</v>
      </c>
      <c r="B114" s="17"/>
      <c r="C114" s="16" t="s">
        <v>643</v>
      </c>
      <c r="D114" s="17"/>
      <c r="E114" s="17" t="s">
        <v>608</v>
      </c>
      <c r="F114" s="18" t="s">
        <v>939</v>
      </c>
      <c r="G114" s="49" t="s">
        <v>940</v>
      </c>
      <c r="H114" s="17">
        <f t="shared" si="0"/>
        <v>34</v>
      </c>
      <c r="J114" s="62" t="s">
        <v>532</v>
      </c>
      <c r="K114" s="62"/>
      <c r="L114" s="62"/>
      <c r="M114" s="62"/>
      <c r="N114" s="62"/>
      <c r="O114" s="62" t="str">
        <f>IF(E114="PA",IF(K114&lt;&gt;"",ISERROR(VLOOKUP(K114,ABBR!A:D,1,FALSE)),ISERROR(VLOOKUP(C114,ABBR!A:D,1,FALSE))),"")</f>
        <v/>
      </c>
      <c r="P114" t="str">
        <f>VLOOKUP(A114,Groups!A:L,5,FALSE)</f>
        <v>SAMP</v>
      </c>
      <c r="Q114" s="62" t="str">
        <f>IF(G114="PA",IF(M114&lt;&gt;"",ISERROR(VLOOKUP(M114,ABBR!C:F,1,FALSE)),ISERROR(VLOOKUP(E114,ABBR!C:F,1,FALSE))),"")</f>
        <v/>
      </c>
    </row>
    <row r="115" spans="1:17" hidden="1" x14ac:dyDescent="0.25">
      <c r="A115" s="16" t="s">
        <v>58</v>
      </c>
      <c r="B115" s="17" t="s">
        <v>594</v>
      </c>
      <c r="C115" s="16" t="s">
        <v>595</v>
      </c>
      <c r="D115" s="17"/>
      <c r="E115" s="17" t="s">
        <v>596</v>
      </c>
      <c r="F115" s="18" t="s">
        <v>597</v>
      </c>
      <c r="G115" s="49" t="s">
        <v>598</v>
      </c>
      <c r="H115" s="17">
        <v>1</v>
      </c>
      <c r="O115" s="62" t="str">
        <f>IF(E115="PA",IF(K115&lt;&gt;"",ISERROR(VLOOKUP(K115,ABBR!A:D,1,FALSE)),ISERROR(VLOOKUP(C115,ABBR!A:D,1,FALSE))),"")</f>
        <v/>
      </c>
      <c r="P115" t="str">
        <f>VLOOKUP(A115,Groups!A:L,5,FALSE)</f>
        <v>SAMP</v>
      </c>
      <c r="Q115" s="62" t="str">
        <f>IF(G115="PA",IF(M115&lt;&gt;"",ISERROR(VLOOKUP(M115,ABBR!C:F,1,FALSE)),ISERROR(VLOOKUP(E115,ABBR!C:F,1,FALSE))),"")</f>
        <v/>
      </c>
    </row>
    <row r="116" spans="1:17" hidden="1" x14ac:dyDescent="0.25">
      <c r="A116" s="16" t="s">
        <v>58</v>
      </c>
      <c r="B116" s="17" t="s">
        <v>594</v>
      </c>
      <c r="C116" s="16" t="s">
        <v>851</v>
      </c>
      <c r="D116" s="17" t="s">
        <v>600</v>
      </c>
      <c r="E116" s="17" t="s">
        <v>601</v>
      </c>
      <c r="F116" s="18" t="s">
        <v>852</v>
      </c>
      <c r="G116" s="49" t="s">
        <v>853</v>
      </c>
      <c r="H116" s="17">
        <v>2</v>
      </c>
      <c r="O116" s="62" t="str">
        <f>IF(E116="PA",IF(K116&lt;&gt;"",ISERROR(VLOOKUP(K116,ABBR!A:D,1,FALSE)),ISERROR(VLOOKUP(C116,ABBR!A:D,1,FALSE))),"")</f>
        <v/>
      </c>
      <c r="P116" t="str">
        <f>VLOOKUP(A116,Groups!A:L,5,FALSE)</f>
        <v>SAMP</v>
      </c>
      <c r="Q116" s="62" t="str">
        <f>IF(G116="PA",IF(M116&lt;&gt;"",ISERROR(VLOOKUP(M116,ABBR!C:F,1,FALSE)),ISERROR(VLOOKUP(E116,ABBR!C:F,1,FALSE))),"")</f>
        <v/>
      </c>
    </row>
    <row r="117" spans="1:17" hidden="1" x14ac:dyDescent="0.25">
      <c r="A117" s="16" t="s">
        <v>58</v>
      </c>
      <c r="B117" s="17" t="s">
        <v>594</v>
      </c>
      <c r="C117" s="16" t="s">
        <v>854</v>
      </c>
      <c r="D117" s="17"/>
      <c r="E117" s="17" t="s">
        <v>608</v>
      </c>
      <c r="F117" s="18" t="s">
        <v>855</v>
      </c>
      <c r="G117" s="49" t="s">
        <v>941</v>
      </c>
      <c r="H117" s="17">
        <v>3</v>
      </c>
      <c r="O117" s="62" t="str">
        <f>IF(E117="PA",IF(K117&lt;&gt;"",ISERROR(VLOOKUP(K117,ABBR!A:D,1,FALSE)),ISERROR(VLOOKUP(C117,ABBR!A:D,1,FALSE))),"")</f>
        <v/>
      </c>
      <c r="P117" t="str">
        <f>VLOOKUP(A117,Groups!A:L,5,FALSE)</f>
        <v>SAMP</v>
      </c>
      <c r="Q117" s="62" t="str">
        <f>IF(G117="PA",IF(M117&lt;&gt;"",ISERROR(VLOOKUP(M117,ABBR!C:F,1,FALSE)),ISERROR(VLOOKUP(E117,ABBR!C:F,1,FALSE))),"")</f>
        <v/>
      </c>
    </row>
    <row r="118" spans="1:17" hidden="1" x14ac:dyDescent="0.25">
      <c r="A118" s="16" t="s">
        <v>58</v>
      </c>
      <c r="B118" s="17" t="s">
        <v>594</v>
      </c>
      <c r="C118" s="16" t="s">
        <v>857</v>
      </c>
      <c r="D118" s="17"/>
      <c r="E118" s="17" t="s">
        <v>618</v>
      </c>
      <c r="F118" s="18" t="s">
        <v>858</v>
      </c>
      <c r="G118" s="49" t="s">
        <v>859</v>
      </c>
      <c r="H118" s="17">
        <v>4</v>
      </c>
      <c r="O118" s="62" t="b">
        <f>IF(E118="PA",IF(K118&lt;&gt;"",ISERROR(VLOOKUP(K118,ABBR!A:D,1,FALSE)),ISERROR(VLOOKUP(C118,ABBR!A:D,1,FALSE))),"")</f>
        <v>0</v>
      </c>
      <c r="P118" t="str">
        <f>VLOOKUP(A118,Groups!A:L,5,FALSE)</f>
        <v>SAMP</v>
      </c>
      <c r="Q118" s="62" t="str">
        <f>IF(G118="PA",IF(M118&lt;&gt;"",ISERROR(VLOOKUP(M118,ABBR!C:F,1,FALSE)),ISERROR(VLOOKUP(E118,ABBR!C:F,1,FALSE))),"")</f>
        <v/>
      </c>
    </row>
    <row r="119" spans="1:17" hidden="1" x14ac:dyDescent="0.25">
      <c r="A119" s="16" t="s">
        <v>58</v>
      </c>
      <c r="B119" s="17" t="s">
        <v>594</v>
      </c>
      <c r="C119" s="16" t="s">
        <v>860</v>
      </c>
      <c r="D119" s="17"/>
      <c r="E119" s="17" t="s">
        <v>596</v>
      </c>
      <c r="F119" s="18" t="s">
        <v>942</v>
      </c>
      <c r="G119" s="49" t="s">
        <v>862</v>
      </c>
      <c r="H119" s="17">
        <v>5</v>
      </c>
      <c r="O119" s="62" t="str">
        <f>IF(E119="PA",IF(K119&lt;&gt;"",ISERROR(VLOOKUP(K119,ABBR!A:D,1,FALSE)),ISERROR(VLOOKUP(C119,ABBR!A:D,1,FALSE))),"")</f>
        <v/>
      </c>
      <c r="P119" t="str">
        <f>VLOOKUP(A119,Groups!A:L,5,FALSE)</f>
        <v>SAMP</v>
      </c>
      <c r="Q119" s="62" t="str">
        <f>IF(G119="PA",IF(M119&lt;&gt;"",ISERROR(VLOOKUP(M119,ABBR!C:F,1,FALSE)),ISERROR(VLOOKUP(E119,ABBR!C:F,1,FALSE))),"")</f>
        <v/>
      </c>
    </row>
    <row r="120" spans="1:17" hidden="1" x14ac:dyDescent="0.25">
      <c r="A120" s="16" t="s">
        <v>58</v>
      </c>
      <c r="B120" s="17" t="s">
        <v>594</v>
      </c>
      <c r="C120" s="16" t="s">
        <v>863</v>
      </c>
      <c r="D120" s="17"/>
      <c r="E120" s="17" t="s">
        <v>608</v>
      </c>
      <c r="F120" s="18" t="s">
        <v>864</v>
      </c>
      <c r="G120" s="49" t="s">
        <v>865</v>
      </c>
      <c r="H120" s="17">
        <v>6</v>
      </c>
      <c r="O120" s="62" t="str">
        <f>IF(E120="PA",IF(K120&lt;&gt;"",ISERROR(VLOOKUP(K120,ABBR!A:D,1,FALSE)),ISERROR(VLOOKUP(C120,ABBR!A:D,1,FALSE))),"")</f>
        <v/>
      </c>
      <c r="P120" t="str">
        <f>VLOOKUP(A120,Groups!A:L,5,FALSE)</f>
        <v>SAMP</v>
      </c>
      <c r="Q120" s="62" t="str">
        <f>IF(G120="PA",IF(M120&lt;&gt;"",ISERROR(VLOOKUP(M120,ABBR!C:F,1,FALSE)),ISERROR(VLOOKUP(E120,ABBR!C:F,1,FALSE))),"")</f>
        <v/>
      </c>
    </row>
    <row r="121" spans="1:17" hidden="1" x14ac:dyDescent="0.25">
      <c r="A121" s="16" t="s">
        <v>58</v>
      </c>
      <c r="B121" s="17" t="s">
        <v>594</v>
      </c>
      <c r="C121" s="16" t="s">
        <v>866</v>
      </c>
      <c r="D121" s="17" t="s">
        <v>600</v>
      </c>
      <c r="E121" s="17" t="s">
        <v>601</v>
      </c>
      <c r="F121" s="18" t="s">
        <v>867</v>
      </c>
      <c r="G121" s="49" t="s">
        <v>853</v>
      </c>
      <c r="H121" s="17">
        <v>7</v>
      </c>
      <c r="O121" s="62" t="str">
        <f>IF(E121="PA",IF(K121&lt;&gt;"",ISERROR(VLOOKUP(K121,ABBR!A:D,1,FALSE)),ISERROR(VLOOKUP(C121,ABBR!A:D,1,FALSE))),"")</f>
        <v/>
      </c>
      <c r="P121" t="str">
        <f>VLOOKUP(A121,Groups!A:L,5,FALSE)</f>
        <v>SAMP</v>
      </c>
      <c r="Q121" s="62" t="str">
        <f>IF(G121="PA",IF(M121&lt;&gt;"",ISERROR(VLOOKUP(M121,ABBR!C:F,1,FALSE)),ISERROR(VLOOKUP(E121,ABBR!C:F,1,FALSE))),"")</f>
        <v/>
      </c>
    </row>
    <row r="122" spans="1:17" hidden="1" x14ac:dyDescent="0.25">
      <c r="A122" s="16" t="s">
        <v>58</v>
      </c>
      <c r="B122" s="17"/>
      <c r="C122" s="16" t="s">
        <v>868</v>
      </c>
      <c r="D122" s="17"/>
      <c r="E122" s="17" t="s">
        <v>608</v>
      </c>
      <c r="F122" s="18" t="s">
        <v>869</v>
      </c>
      <c r="G122" s="51" t="s">
        <v>870</v>
      </c>
      <c r="H122" s="17">
        <v>8</v>
      </c>
      <c r="O122" s="62" t="str">
        <f>IF(E122="PA",IF(K122&lt;&gt;"",ISERROR(VLOOKUP(K122,ABBR!A:D,1,FALSE)),ISERROR(VLOOKUP(C122,ABBR!A:D,1,FALSE))),"")</f>
        <v/>
      </c>
      <c r="P122" t="str">
        <f>VLOOKUP(A122,Groups!A:L,5,FALSE)</f>
        <v>SAMP</v>
      </c>
      <c r="Q122" s="62" t="str">
        <f>IF(G122="PA",IF(M122&lt;&gt;"",ISERROR(VLOOKUP(M122,ABBR!C:F,1,FALSE)),ISERROR(VLOOKUP(E122,ABBR!C:F,1,FALSE))),"")</f>
        <v/>
      </c>
    </row>
    <row r="123" spans="1:17" ht="25" hidden="1" x14ac:dyDescent="0.25">
      <c r="A123" s="16" t="s">
        <v>58</v>
      </c>
      <c r="B123" s="17"/>
      <c r="C123" s="16" t="s">
        <v>871</v>
      </c>
      <c r="D123" s="17"/>
      <c r="E123" s="17" t="s">
        <v>608</v>
      </c>
      <c r="F123" s="18" t="s">
        <v>872</v>
      </c>
      <c r="G123" s="49" t="s">
        <v>873</v>
      </c>
      <c r="H123" s="17">
        <v>9</v>
      </c>
      <c r="O123" s="62" t="str">
        <f>IF(E123="PA",IF(K123&lt;&gt;"",ISERROR(VLOOKUP(K123,ABBR!A:D,1,FALSE)),ISERROR(VLOOKUP(C123,ABBR!A:D,1,FALSE))),"")</f>
        <v/>
      </c>
      <c r="P123" t="str">
        <f>VLOOKUP(A123,Groups!A:L,5,FALSE)</f>
        <v>SAMP</v>
      </c>
      <c r="Q123" s="62" t="str">
        <f>IF(G123="PA",IF(M123&lt;&gt;"",ISERROR(VLOOKUP(M123,ABBR!C:F,1,FALSE)),ISERROR(VLOOKUP(E123,ABBR!C:F,1,FALSE))),"")</f>
        <v/>
      </c>
    </row>
    <row r="124" spans="1:17" hidden="1" x14ac:dyDescent="0.25">
      <c r="A124" s="16" t="s">
        <v>58</v>
      </c>
      <c r="B124" s="17"/>
      <c r="C124" s="16" t="s">
        <v>1039</v>
      </c>
      <c r="D124" s="17"/>
      <c r="E124" s="17" t="s">
        <v>767</v>
      </c>
      <c r="F124" s="18" t="s">
        <v>1040</v>
      </c>
      <c r="G124" s="49" t="s">
        <v>1041</v>
      </c>
      <c r="H124" s="17">
        <v>10</v>
      </c>
      <c r="O124" s="62" t="str">
        <f>IF(E124="PA",IF(K124&lt;&gt;"",ISERROR(VLOOKUP(K124,ABBR!A:D,1,FALSE)),ISERROR(VLOOKUP(C124,ABBR!A:D,1,FALSE))),"")</f>
        <v/>
      </c>
      <c r="P124" t="str">
        <f>VLOOKUP(A124,Groups!A:L,5,FALSE)</f>
        <v>SAMP</v>
      </c>
      <c r="Q124" s="62" t="str">
        <f>IF(G124="PA",IF(M124&lt;&gt;"",ISERROR(VLOOKUP(M124,ABBR!C:F,1,FALSE)),ISERROR(VLOOKUP(E124,ABBR!C:F,1,FALSE))),"")</f>
        <v/>
      </c>
    </row>
    <row r="125" spans="1:17" hidden="1" x14ac:dyDescent="0.25">
      <c r="A125" s="16" t="s">
        <v>58</v>
      </c>
      <c r="B125" s="17"/>
      <c r="C125" s="16" t="s">
        <v>1042</v>
      </c>
      <c r="D125" s="17"/>
      <c r="E125" s="17" t="s">
        <v>608</v>
      </c>
      <c r="F125" s="18" t="s">
        <v>642</v>
      </c>
      <c r="G125" s="49" t="s">
        <v>16</v>
      </c>
      <c r="H125" s="17">
        <v>11</v>
      </c>
      <c r="M125" s="101"/>
      <c r="O125" s="62" t="str">
        <f>IF(E125="PA",IF(K125&lt;&gt;"",ISERROR(VLOOKUP(K125,ABBR!A:D,1,FALSE)),ISERROR(VLOOKUP(C125,ABBR!A:D,1,FALSE))),"")</f>
        <v/>
      </c>
      <c r="P125" t="str">
        <f>VLOOKUP(A125,Groups!A:L,5,FALSE)</f>
        <v>SAMP</v>
      </c>
      <c r="Q125" s="62" t="str">
        <f>IF(G125="PA",IF(M125&lt;&gt;"",ISERROR(VLOOKUP(M125,ABBR!C:F,1,FALSE)),ISERROR(VLOOKUP(E125,ABBR!C:F,1,FALSE))),"")</f>
        <v/>
      </c>
    </row>
    <row r="126" spans="1:17" hidden="1" x14ac:dyDescent="0.25">
      <c r="A126" s="16" t="s">
        <v>58</v>
      </c>
      <c r="B126" s="17"/>
      <c r="C126" s="16" t="s">
        <v>1043</v>
      </c>
      <c r="D126" s="17"/>
      <c r="E126" s="17" t="s">
        <v>608</v>
      </c>
      <c r="F126" s="18" t="s">
        <v>918</v>
      </c>
      <c r="G126" s="49"/>
      <c r="H126" s="17">
        <v>12</v>
      </c>
      <c r="M126" s="101" t="s">
        <v>1044</v>
      </c>
      <c r="O126" s="62" t="str">
        <f>IF(E126="PA",IF(K126&lt;&gt;"",ISERROR(VLOOKUP(K126,ABBR!A:D,1,FALSE)),ISERROR(VLOOKUP(C126,ABBR!A:D,1,FALSE))),"")</f>
        <v/>
      </c>
      <c r="P126" t="str">
        <f>VLOOKUP(A126,Groups!A:L,5,FALSE)</f>
        <v>SAMP</v>
      </c>
      <c r="Q126" s="62" t="str">
        <f>IF(G126="PA",IF(M126&lt;&gt;"",ISERROR(VLOOKUP(M126,ABBR!C:F,1,FALSE)),ISERROR(VLOOKUP(E126,ABBR!C:F,1,FALSE))),"")</f>
        <v/>
      </c>
    </row>
    <row r="127" spans="1:17" hidden="1" x14ac:dyDescent="0.25">
      <c r="A127" s="16" t="s">
        <v>58</v>
      </c>
      <c r="B127" s="17"/>
      <c r="C127" s="16" t="s">
        <v>1045</v>
      </c>
      <c r="D127" s="17"/>
      <c r="E127" s="17" t="s">
        <v>608</v>
      </c>
      <c r="F127" s="18" t="s">
        <v>950</v>
      </c>
      <c r="G127" s="27" t="s">
        <v>951</v>
      </c>
      <c r="H127" s="17">
        <v>13</v>
      </c>
      <c r="O127" s="62" t="str">
        <f>IF(E127="PA",IF(K127&lt;&gt;"",ISERROR(VLOOKUP(K127,ABBR!A:D,1,FALSE)),ISERROR(VLOOKUP(C127,ABBR!A:D,1,FALSE))),"")</f>
        <v/>
      </c>
      <c r="P127" t="str">
        <f>VLOOKUP(A127,Groups!A:L,5,FALSE)</f>
        <v>SAMP</v>
      </c>
      <c r="Q127" s="62" t="str">
        <f>IF(G127="PA",IF(M127&lt;&gt;"",ISERROR(VLOOKUP(M127,ABBR!C:F,1,FALSE)),ISERROR(VLOOKUP(E127,ABBR!C:F,1,FALSE))),"")</f>
        <v/>
      </c>
    </row>
    <row r="128" spans="1:17" ht="25" hidden="1" x14ac:dyDescent="0.25">
      <c r="A128" s="16" t="s">
        <v>58</v>
      </c>
      <c r="B128" s="17"/>
      <c r="C128" s="16" t="s">
        <v>1046</v>
      </c>
      <c r="D128" s="17"/>
      <c r="E128" s="17" t="s">
        <v>608</v>
      </c>
      <c r="F128" s="18" t="s">
        <v>934</v>
      </c>
      <c r="G128" s="49" t="s">
        <v>953</v>
      </c>
      <c r="H128" s="17">
        <v>14</v>
      </c>
      <c r="O128" s="62" t="str">
        <f>IF(E128="PA",IF(K128&lt;&gt;"",ISERROR(VLOOKUP(K128,ABBR!A:D,1,FALSE)),ISERROR(VLOOKUP(C128,ABBR!A:D,1,FALSE))),"")</f>
        <v/>
      </c>
      <c r="P128" t="str">
        <f>VLOOKUP(A128,Groups!A:L,5,FALSE)</f>
        <v>SAMP</v>
      </c>
      <c r="Q128" s="62" t="str">
        <f>IF(G128="PA",IF(M128&lt;&gt;"",ISERROR(VLOOKUP(M128,ABBR!C:F,1,FALSE)),ISERROR(VLOOKUP(E128,ABBR!C:F,1,FALSE))),"")</f>
        <v/>
      </c>
    </row>
    <row r="129" spans="1:17" hidden="1" x14ac:dyDescent="0.25">
      <c r="A129" s="16" t="s">
        <v>58</v>
      </c>
      <c r="B129" s="17"/>
      <c r="C129" s="16" t="s">
        <v>936</v>
      </c>
      <c r="D129" s="17"/>
      <c r="E129" s="22" t="s">
        <v>608</v>
      </c>
      <c r="F129" s="18" t="s">
        <v>937</v>
      </c>
      <c r="G129" s="49" t="s">
        <v>938</v>
      </c>
      <c r="H129" s="17">
        <v>15</v>
      </c>
      <c r="O129" s="62" t="str">
        <f>IF(E129="PA",IF(K129&lt;&gt;"",ISERROR(VLOOKUP(K129,ABBR!A:D,1,FALSE)),ISERROR(VLOOKUP(C129,ABBR!A:D,1,FALSE))),"")</f>
        <v/>
      </c>
      <c r="P129" t="str">
        <f>VLOOKUP(A129,Groups!A:L,5,FALSE)</f>
        <v>SAMP</v>
      </c>
      <c r="Q129" s="62" t="str">
        <f>IF(G129="PA",IF(M129&lt;&gt;"",ISERROR(VLOOKUP(M129,ABBR!C:F,1,FALSE)),ISERROR(VLOOKUP(E129,ABBR!C:F,1,FALSE))),"")</f>
        <v/>
      </c>
    </row>
    <row r="130" spans="1:17" hidden="1" x14ac:dyDescent="0.25">
      <c r="A130" s="16" t="s">
        <v>58</v>
      </c>
      <c r="B130" s="17"/>
      <c r="C130" s="16" t="s">
        <v>643</v>
      </c>
      <c r="D130" s="17"/>
      <c r="E130" s="17" t="s">
        <v>608</v>
      </c>
      <c r="F130" s="18" t="s">
        <v>954</v>
      </c>
      <c r="G130" s="49" t="s">
        <v>940</v>
      </c>
      <c r="H130" s="17">
        <v>16</v>
      </c>
      <c r="O130" s="62" t="str">
        <f>IF(E130="PA",IF(K130&lt;&gt;"",ISERROR(VLOOKUP(K130,ABBR!A:D,1,FALSE)),ISERROR(VLOOKUP(C130,ABBR!A:D,1,FALSE))),"")</f>
        <v/>
      </c>
      <c r="P130" t="str">
        <f>VLOOKUP(A130,Groups!A:L,5,FALSE)</f>
        <v>SAMP</v>
      </c>
      <c r="Q130" s="62" t="str">
        <f>IF(G130="PA",IF(M130&lt;&gt;"",ISERROR(VLOOKUP(M130,ABBR!C:F,1,FALSE)),ISERROR(VLOOKUP(E130,ABBR!C:F,1,FALSE))),"")</f>
        <v/>
      </c>
    </row>
    <row r="131" spans="1:17" hidden="1" x14ac:dyDescent="0.25">
      <c r="A131" s="16" t="s">
        <v>58</v>
      </c>
      <c r="B131" s="17"/>
      <c r="C131" s="16" t="s">
        <v>877</v>
      </c>
      <c r="D131" s="17" t="s">
        <v>600</v>
      </c>
      <c r="E131" s="17" t="s">
        <v>601</v>
      </c>
      <c r="F131" s="18" t="s">
        <v>878</v>
      </c>
      <c r="G131" s="49" t="s">
        <v>879</v>
      </c>
      <c r="H131" s="17">
        <v>17</v>
      </c>
      <c r="I131" s="30" t="s">
        <v>955</v>
      </c>
      <c r="J131" s="80">
        <v>4.0999999999999996</v>
      </c>
      <c r="O131" s="62" t="str">
        <f>IF(E131="PA",IF(K131&lt;&gt;"",ISERROR(VLOOKUP(K131,ABBR!A:D,1,FALSE)),ISERROR(VLOOKUP(C131,ABBR!A:D,1,FALSE))),"")</f>
        <v/>
      </c>
      <c r="P131" t="str">
        <f>VLOOKUP(A131,Groups!A:L,5,FALSE)</f>
        <v>SAMP</v>
      </c>
      <c r="Q131" s="62" t="str">
        <f>IF(G131="PA",IF(M131&lt;&gt;"",ISERROR(VLOOKUP(M131,ABBR!C:F,1,FALSE)),ISERROR(VLOOKUP(E131,ABBR!C:F,1,FALSE))),"")</f>
        <v/>
      </c>
    </row>
    <row r="132" spans="1:17" hidden="1" x14ac:dyDescent="0.25">
      <c r="A132" s="16" t="s">
        <v>58</v>
      </c>
      <c r="B132" s="17"/>
      <c r="C132" s="16" t="s">
        <v>1047</v>
      </c>
      <c r="D132" s="17"/>
      <c r="E132" s="17" t="s">
        <v>608</v>
      </c>
      <c r="F132" s="18" t="s">
        <v>921</v>
      </c>
      <c r="G132" s="94" t="s">
        <v>922</v>
      </c>
      <c r="H132" s="17">
        <v>18</v>
      </c>
      <c r="I132" s="30" t="s">
        <v>955</v>
      </c>
      <c r="J132" s="80">
        <v>4.0999999999999996</v>
      </c>
      <c r="M132" s="101"/>
      <c r="O132" s="62" t="str">
        <f>IF(E132="PA",IF(K132&lt;&gt;"",ISERROR(VLOOKUP(K132,ABBR!A:D,1,FALSE)),ISERROR(VLOOKUP(C132,ABBR!A:D,1,FALSE))),"")</f>
        <v/>
      </c>
      <c r="P132" t="str">
        <f>VLOOKUP(A132,Groups!A:L,5,FALSE)</f>
        <v>SAMP</v>
      </c>
      <c r="Q132" s="62" t="str">
        <f>IF(G132="PA",IF(M132&lt;&gt;"",ISERROR(VLOOKUP(M132,ABBR!C:F,1,FALSE)),ISERROR(VLOOKUP(E132,ABBR!C:F,1,FALSE))),"")</f>
        <v/>
      </c>
    </row>
    <row r="133" spans="1:17" hidden="1" x14ac:dyDescent="0.25">
      <c r="A133" s="16" t="s">
        <v>58</v>
      </c>
      <c r="B133" s="17"/>
      <c r="C133" s="16" t="s">
        <v>1048</v>
      </c>
      <c r="D133" s="17" t="s">
        <v>924</v>
      </c>
      <c r="E133" s="17" t="s">
        <v>925</v>
      </c>
      <c r="F133" s="18" t="s">
        <v>926</v>
      </c>
      <c r="G133" s="49" t="s">
        <v>927</v>
      </c>
      <c r="H133" s="17">
        <v>19</v>
      </c>
      <c r="J133" s="62" t="s">
        <v>473</v>
      </c>
      <c r="K133" s="62"/>
      <c r="L133" s="62"/>
      <c r="M133" s="62"/>
      <c r="N133" s="62"/>
      <c r="O133" s="62" t="str">
        <f>IF(E133="PA",IF(K133&lt;&gt;"",ISERROR(VLOOKUP(K133,ABBR!A:D,1,FALSE)),ISERROR(VLOOKUP(C133,ABBR!A:D,1,FALSE))),"")</f>
        <v/>
      </c>
      <c r="P133" t="str">
        <f>VLOOKUP(A133,Groups!A:L,5,FALSE)</f>
        <v>SAMP</v>
      </c>
      <c r="Q133" s="62" t="str">
        <f>IF(G133="PA",IF(M133&lt;&gt;"",ISERROR(VLOOKUP(M133,ABBR!C:F,1,FALSE)),ISERROR(VLOOKUP(E133,ABBR!C:F,1,FALSE))),"")</f>
        <v/>
      </c>
    </row>
    <row r="134" spans="1:17" hidden="1" x14ac:dyDescent="0.25">
      <c r="A134" s="16" t="s">
        <v>58</v>
      </c>
      <c r="B134" s="17"/>
      <c r="C134" s="16" t="s">
        <v>1049</v>
      </c>
      <c r="D134" s="17"/>
      <c r="E134" s="17" t="s">
        <v>608</v>
      </c>
      <c r="F134" s="18" t="s">
        <v>875</v>
      </c>
      <c r="G134" s="49" t="s">
        <v>876</v>
      </c>
      <c r="H134" s="17">
        <v>20</v>
      </c>
      <c r="J134" s="62" t="s">
        <v>473</v>
      </c>
      <c r="K134" s="62"/>
      <c r="L134" s="62"/>
      <c r="M134" s="62"/>
      <c r="N134" s="62"/>
      <c r="O134" s="62" t="str">
        <f>IF(E134="PA",IF(K134&lt;&gt;"",ISERROR(VLOOKUP(K134,ABBR!A:D,1,FALSE)),ISERROR(VLOOKUP(C134,ABBR!A:D,1,FALSE))),"")</f>
        <v/>
      </c>
      <c r="P134" t="str">
        <f>VLOOKUP(A134,Groups!A:L,5,FALSE)</f>
        <v>SAMP</v>
      </c>
      <c r="Q134" s="62" t="str">
        <f>IF(G134="PA",IF(M134&lt;&gt;"",ISERROR(VLOOKUP(M134,ABBR!C:F,1,FALSE)),ISERROR(VLOOKUP(E134,ABBR!C:F,1,FALSE))),"")</f>
        <v/>
      </c>
    </row>
    <row r="135" spans="1:17" hidden="1" x14ac:dyDescent="0.25">
      <c r="A135" s="16" t="s">
        <v>58</v>
      </c>
      <c r="B135" s="17"/>
      <c r="C135" s="16" t="s">
        <v>1050</v>
      </c>
      <c r="D135" s="17"/>
      <c r="E135" s="17" t="s">
        <v>608</v>
      </c>
      <c r="F135" s="18" t="s">
        <v>929</v>
      </c>
      <c r="G135" s="49" t="s">
        <v>876</v>
      </c>
      <c r="H135" s="17">
        <v>21</v>
      </c>
      <c r="J135" s="62" t="s">
        <v>473</v>
      </c>
      <c r="K135" s="62"/>
      <c r="L135" s="62"/>
      <c r="M135" s="62"/>
      <c r="N135" s="62"/>
      <c r="O135" s="62" t="str">
        <f>IF(E135="PA",IF(K135&lt;&gt;"",ISERROR(VLOOKUP(K135,ABBR!A:D,1,FALSE)),ISERROR(VLOOKUP(C135,ABBR!A:D,1,FALSE))),"")</f>
        <v/>
      </c>
      <c r="P135" t="str">
        <f>VLOOKUP(A135,Groups!A:L,5,FALSE)</f>
        <v>SAMP</v>
      </c>
      <c r="Q135" s="62" t="str">
        <f>IF(G135="PA",IF(M135&lt;&gt;"",ISERROR(VLOOKUP(M135,ABBR!C:F,1,FALSE)),ISERROR(VLOOKUP(E135,ABBR!C:F,1,FALSE))),"")</f>
        <v/>
      </c>
    </row>
    <row r="136" spans="1:17" hidden="1" x14ac:dyDescent="0.25">
      <c r="A136" s="16" t="s">
        <v>60</v>
      </c>
      <c r="B136" s="17" t="s">
        <v>594</v>
      </c>
      <c r="C136" s="16" t="s">
        <v>595</v>
      </c>
      <c r="D136" s="17"/>
      <c r="E136" s="17" t="s">
        <v>596</v>
      </c>
      <c r="F136" s="18" t="s">
        <v>597</v>
      </c>
      <c r="G136" s="49" t="s">
        <v>598</v>
      </c>
      <c r="H136" s="17">
        <v>1</v>
      </c>
      <c r="O136" s="62" t="str">
        <f>IF(E136="PA",IF(K136&lt;&gt;"",ISERROR(VLOOKUP(K136,ABBR!A:D,1,FALSE)),ISERROR(VLOOKUP(C136,ABBR!A:D,1,FALSE))),"")</f>
        <v/>
      </c>
      <c r="P136" t="str">
        <f>VLOOKUP(A136,Groups!A:L,5,FALSE)</f>
        <v>SAMP</v>
      </c>
      <c r="Q136" s="62" t="str">
        <f>IF(G136="PA",IF(M136&lt;&gt;"",ISERROR(VLOOKUP(M136,ABBR!C:F,1,FALSE)),ISERROR(VLOOKUP(E136,ABBR!C:F,1,FALSE))),"")</f>
        <v/>
      </c>
    </row>
    <row r="137" spans="1:17" hidden="1" x14ac:dyDescent="0.25">
      <c r="A137" s="16" t="s">
        <v>60</v>
      </c>
      <c r="B137" s="17" t="s">
        <v>594</v>
      </c>
      <c r="C137" s="16" t="s">
        <v>851</v>
      </c>
      <c r="D137" s="17" t="s">
        <v>600</v>
      </c>
      <c r="E137" s="17" t="s">
        <v>601</v>
      </c>
      <c r="F137" s="18" t="s">
        <v>852</v>
      </c>
      <c r="G137" s="49" t="s">
        <v>853</v>
      </c>
      <c r="H137" s="17">
        <v>2</v>
      </c>
      <c r="O137" s="62" t="str">
        <f>IF(E137="PA",IF(K137&lt;&gt;"",ISERROR(VLOOKUP(K137,ABBR!A:D,1,FALSE)),ISERROR(VLOOKUP(C137,ABBR!A:D,1,FALSE))),"")</f>
        <v/>
      </c>
      <c r="P137" t="str">
        <f>VLOOKUP(A137,Groups!A:L,5,FALSE)</f>
        <v>SAMP</v>
      </c>
      <c r="Q137" s="62" t="str">
        <f>IF(G137="PA",IF(M137&lt;&gt;"",ISERROR(VLOOKUP(M137,ABBR!C:F,1,FALSE)),ISERROR(VLOOKUP(E137,ABBR!C:F,1,FALSE))),"")</f>
        <v/>
      </c>
    </row>
    <row r="138" spans="1:17" hidden="1" x14ac:dyDescent="0.25">
      <c r="A138" s="16" t="s">
        <v>60</v>
      </c>
      <c r="B138" s="17" t="s">
        <v>594</v>
      </c>
      <c r="C138" s="16" t="s">
        <v>854</v>
      </c>
      <c r="D138" s="17"/>
      <c r="E138" s="17" t="s">
        <v>608</v>
      </c>
      <c r="F138" s="18" t="s">
        <v>855</v>
      </c>
      <c r="G138" s="49" t="s">
        <v>941</v>
      </c>
      <c r="H138" s="17">
        <v>3</v>
      </c>
      <c r="O138" s="62" t="str">
        <f>IF(E138="PA",IF(K138&lt;&gt;"",ISERROR(VLOOKUP(K138,ABBR!A:D,1,FALSE)),ISERROR(VLOOKUP(C138,ABBR!A:D,1,FALSE))),"")</f>
        <v/>
      </c>
      <c r="P138" t="str">
        <f>VLOOKUP(A138,Groups!A:L,5,FALSE)</f>
        <v>SAMP</v>
      </c>
      <c r="Q138" s="62" t="str">
        <f>IF(G138="PA",IF(M138&lt;&gt;"",ISERROR(VLOOKUP(M138,ABBR!C:F,1,FALSE)),ISERROR(VLOOKUP(E138,ABBR!C:F,1,FALSE))),"")</f>
        <v/>
      </c>
    </row>
    <row r="139" spans="1:17" hidden="1" x14ac:dyDescent="0.25">
      <c r="A139" s="16" t="s">
        <v>60</v>
      </c>
      <c r="B139" s="17" t="s">
        <v>594</v>
      </c>
      <c r="C139" s="16" t="s">
        <v>857</v>
      </c>
      <c r="D139" s="17"/>
      <c r="E139" s="17" t="s">
        <v>618</v>
      </c>
      <c r="F139" s="18" t="s">
        <v>858</v>
      </c>
      <c r="G139" s="49" t="s">
        <v>859</v>
      </c>
      <c r="H139" s="17">
        <v>4</v>
      </c>
      <c r="O139" s="62" t="b">
        <f>IF(E139="PA",IF(K139&lt;&gt;"",ISERROR(VLOOKUP(K139,ABBR!A:D,1,FALSE)),ISERROR(VLOOKUP(C139,ABBR!A:D,1,FALSE))),"")</f>
        <v>0</v>
      </c>
      <c r="P139" t="str">
        <f>VLOOKUP(A139,Groups!A:L,5,FALSE)</f>
        <v>SAMP</v>
      </c>
      <c r="Q139" s="62" t="str">
        <f>IF(G139="PA",IF(M139&lt;&gt;"",ISERROR(VLOOKUP(M139,ABBR!C:F,1,FALSE)),ISERROR(VLOOKUP(E139,ABBR!C:F,1,FALSE))),"")</f>
        <v/>
      </c>
    </row>
    <row r="140" spans="1:17" hidden="1" x14ac:dyDescent="0.25">
      <c r="A140" s="16" t="s">
        <v>60</v>
      </c>
      <c r="B140" s="17" t="s">
        <v>594</v>
      </c>
      <c r="C140" s="16" t="s">
        <v>860</v>
      </c>
      <c r="D140" s="17"/>
      <c r="E140" s="17" t="s">
        <v>596</v>
      </c>
      <c r="F140" s="18" t="s">
        <v>942</v>
      </c>
      <c r="G140" s="49" t="s">
        <v>862</v>
      </c>
      <c r="H140" s="17">
        <v>5</v>
      </c>
      <c r="O140" s="62" t="str">
        <f>IF(E140="PA",IF(K140&lt;&gt;"",ISERROR(VLOOKUP(K140,ABBR!A:D,1,FALSE)),ISERROR(VLOOKUP(C140,ABBR!A:D,1,FALSE))),"")</f>
        <v/>
      </c>
      <c r="P140" t="str">
        <f>VLOOKUP(A140,Groups!A:L,5,FALSE)</f>
        <v>SAMP</v>
      </c>
      <c r="Q140" s="62" t="str">
        <f>IF(G140="PA",IF(M140&lt;&gt;"",ISERROR(VLOOKUP(M140,ABBR!C:F,1,FALSE)),ISERROR(VLOOKUP(E140,ABBR!C:F,1,FALSE))),"")</f>
        <v/>
      </c>
    </row>
    <row r="141" spans="1:17" hidden="1" x14ac:dyDescent="0.25">
      <c r="A141" s="16" t="s">
        <v>60</v>
      </c>
      <c r="B141" s="17" t="s">
        <v>594</v>
      </c>
      <c r="C141" s="16" t="s">
        <v>863</v>
      </c>
      <c r="D141" s="17"/>
      <c r="E141" s="17" t="s">
        <v>608</v>
      </c>
      <c r="F141" s="18" t="s">
        <v>864</v>
      </c>
      <c r="G141" s="49" t="s">
        <v>865</v>
      </c>
      <c r="H141" s="17">
        <v>6</v>
      </c>
      <c r="O141" s="62" t="str">
        <f>IF(E141="PA",IF(K141&lt;&gt;"",ISERROR(VLOOKUP(K141,ABBR!A:D,1,FALSE)),ISERROR(VLOOKUP(C141,ABBR!A:D,1,FALSE))),"")</f>
        <v/>
      </c>
      <c r="P141" t="str">
        <f>VLOOKUP(A141,Groups!A:L,5,FALSE)</f>
        <v>SAMP</v>
      </c>
      <c r="Q141" s="62" t="str">
        <f>IF(G141="PA",IF(M141&lt;&gt;"",ISERROR(VLOOKUP(M141,ABBR!C:F,1,FALSE)),ISERROR(VLOOKUP(E141,ABBR!C:F,1,FALSE))),"")</f>
        <v/>
      </c>
    </row>
    <row r="142" spans="1:17" hidden="1" x14ac:dyDescent="0.25">
      <c r="A142" s="16" t="s">
        <v>60</v>
      </c>
      <c r="B142" s="17" t="s">
        <v>594</v>
      </c>
      <c r="C142" s="16" t="s">
        <v>866</v>
      </c>
      <c r="D142" s="17" t="s">
        <v>600</v>
      </c>
      <c r="E142" s="17" t="s">
        <v>601</v>
      </c>
      <c r="F142" s="18" t="s">
        <v>867</v>
      </c>
      <c r="G142" s="49" t="s">
        <v>853</v>
      </c>
      <c r="H142" s="17">
        <v>7</v>
      </c>
      <c r="O142" s="62" t="str">
        <f>IF(E142="PA",IF(K142&lt;&gt;"",ISERROR(VLOOKUP(K142,ABBR!A:D,1,FALSE)),ISERROR(VLOOKUP(C142,ABBR!A:D,1,FALSE))),"")</f>
        <v/>
      </c>
      <c r="P142" t="str">
        <f>VLOOKUP(A142,Groups!A:L,5,FALSE)</f>
        <v>SAMP</v>
      </c>
      <c r="Q142" s="62" t="str">
        <f>IF(G142="PA",IF(M142&lt;&gt;"",ISERROR(VLOOKUP(M142,ABBR!C:F,1,FALSE)),ISERROR(VLOOKUP(E142,ABBR!C:F,1,FALSE))),"")</f>
        <v/>
      </c>
    </row>
    <row r="143" spans="1:17" hidden="1" x14ac:dyDescent="0.25">
      <c r="A143" s="16" t="s">
        <v>60</v>
      </c>
      <c r="B143" s="17"/>
      <c r="C143" s="16" t="s">
        <v>868</v>
      </c>
      <c r="D143" s="17"/>
      <c r="E143" s="17" t="s">
        <v>608</v>
      </c>
      <c r="F143" s="18" t="s">
        <v>869</v>
      </c>
      <c r="G143" s="51" t="s">
        <v>870</v>
      </c>
      <c r="H143" s="17">
        <v>8</v>
      </c>
      <c r="O143" s="62" t="str">
        <f>IF(E143="PA",IF(K143&lt;&gt;"",ISERROR(VLOOKUP(K143,ABBR!A:D,1,FALSE)),ISERROR(VLOOKUP(C143,ABBR!A:D,1,FALSE))),"")</f>
        <v/>
      </c>
      <c r="P143" t="str">
        <f>VLOOKUP(A143,Groups!A:L,5,FALSE)</f>
        <v>SAMP</v>
      </c>
      <c r="Q143" s="62" t="str">
        <f>IF(G143="PA",IF(M143&lt;&gt;"",ISERROR(VLOOKUP(M143,ABBR!C:F,1,FALSE)),ISERROR(VLOOKUP(E143,ABBR!C:F,1,FALSE))),"")</f>
        <v/>
      </c>
    </row>
    <row r="144" spans="1:17" ht="25" hidden="1" x14ac:dyDescent="0.25">
      <c r="A144" s="16" t="s">
        <v>60</v>
      </c>
      <c r="B144" s="17"/>
      <c r="C144" s="16" t="s">
        <v>871</v>
      </c>
      <c r="D144" s="17"/>
      <c r="E144" s="17" t="s">
        <v>608</v>
      </c>
      <c r="F144" s="18" t="s">
        <v>872</v>
      </c>
      <c r="G144" s="49" t="s">
        <v>873</v>
      </c>
      <c r="H144" s="17">
        <v>9</v>
      </c>
      <c r="O144" s="62" t="str">
        <f>IF(E144="PA",IF(K144&lt;&gt;"",ISERROR(VLOOKUP(K144,ABBR!A:D,1,FALSE)),ISERROR(VLOOKUP(C144,ABBR!A:D,1,FALSE))),"")</f>
        <v/>
      </c>
      <c r="P144" t="str">
        <f>VLOOKUP(A144,Groups!A:L,5,FALSE)</f>
        <v>SAMP</v>
      </c>
      <c r="Q144" s="62" t="str">
        <f>IF(G144="PA",IF(M144&lt;&gt;"",ISERROR(VLOOKUP(M144,ABBR!C:F,1,FALSE)),ISERROR(VLOOKUP(E144,ABBR!C:F,1,FALSE))),"")</f>
        <v/>
      </c>
    </row>
    <row r="145" spans="1:17" hidden="1" x14ac:dyDescent="0.25">
      <c r="A145" s="16" t="s">
        <v>60</v>
      </c>
      <c r="B145" s="17"/>
      <c r="C145" s="16" t="s">
        <v>1051</v>
      </c>
      <c r="D145" s="17" t="s">
        <v>766</v>
      </c>
      <c r="E145" s="17" t="s">
        <v>767</v>
      </c>
      <c r="F145" s="18" t="s">
        <v>1052</v>
      </c>
      <c r="G145" s="49" t="s">
        <v>1041</v>
      </c>
      <c r="H145" s="17">
        <v>10</v>
      </c>
      <c r="O145" s="62" t="str">
        <f>IF(E145="PA",IF(K145&lt;&gt;"",ISERROR(VLOOKUP(K145,ABBR!A:D,1,FALSE)),ISERROR(VLOOKUP(C145,ABBR!A:D,1,FALSE))),"")</f>
        <v/>
      </c>
      <c r="P145" t="str">
        <f>VLOOKUP(A145,Groups!A:L,5,FALSE)</f>
        <v>SAMP</v>
      </c>
      <c r="Q145" s="62" t="str">
        <f>IF(G145="PA",IF(M145&lt;&gt;"",ISERROR(VLOOKUP(M145,ABBR!C:F,1,FALSE)),ISERROR(VLOOKUP(E145,ABBR!C:F,1,FALSE))),"")</f>
        <v/>
      </c>
    </row>
    <row r="146" spans="1:17" hidden="1" x14ac:dyDescent="0.25">
      <c r="A146" s="16" t="s">
        <v>60</v>
      </c>
      <c r="B146" s="17"/>
      <c r="C146" s="16" t="s">
        <v>1053</v>
      </c>
      <c r="D146" s="17" t="s">
        <v>908</v>
      </c>
      <c r="E146" s="17" t="s">
        <v>723</v>
      </c>
      <c r="F146" s="18" t="s">
        <v>1054</v>
      </c>
      <c r="G146" s="49" t="s">
        <v>1055</v>
      </c>
      <c r="H146" s="17">
        <v>11</v>
      </c>
      <c r="O146" s="62" t="str">
        <f>IF(E146="PA",IF(K146&lt;&gt;"",ISERROR(VLOOKUP(K146,ABBR!A:D,1,FALSE)),ISERROR(VLOOKUP(C146,ABBR!A:D,1,FALSE))),"")</f>
        <v/>
      </c>
      <c r="P146" t="str">
        <f>VLOOKUP(A146,Groups!A:L,5,FALSE)</f>
        <v>SAMP</v>
      </c>
      <c r="Q146" s="62" t="str">
        <f>IF(G146="PA",IF(M146&lt;&gt;"",ISERROR(VLOOKUP(M146,ABBR!C:F,1,FALSE)),ISERROR(VLOOKUP(E146,ABBR!C:F,1,FALSE))),"")</f>
        <v/>
      </c>
    </row>
    <row r="147" spans="1:17" hidden="1" x14ac:dyDescent="0.25">
      <c r="A147" s="16" t="s">
        <v>60</v>
      </c>
      <c r="B147" s="17"/>
      <c r="C147" s="16" t="s">
        <v>1056</v>
      </c>
      <c r="D147" s="17"/>
      <c r="E147" s="17" t="s">
        <v>608</v>
      </c>
      <c r="F147" s="18" t="s">
        <v>642</v>
      </c>
      <c r="G147" s="49" t="s">
        <v>16</v>
      </c>
      <c r="H147" s="17">
        <v>12</v>
      </c>
      <c r="M147" s="101"/>
      <c r="O147" s="62" t="str">
        <f>IF(E147="PA",IF(K147&lt;&gt;"",ISERROR(VLOOKUP(K147,ABBR!A:D,1,FALSE)),ISERROR(VLOOKUP(C147,ABBR!A:D,1,FALSE))),"")</f>
        <v/>
      </c>
      <c r="P147" t="str">
        <f>VLOOKUP(A147,Groups!A:L,5,FALSE)</f>
        <v>SAMP</v>
      </c>
      <c r="Q147" s="62" t="str">
        <f>IF(G147="PA",IF(M147&lt;&gt;"",ISERROR(VLOOKUP(M147,ABBR!C:F,1,FALSE)),ISERROR(VLOOKUP(E147,ABBR!C:F,1,FALSE))),"")</f>
        <v/>
      </c>
    </row>
    <row r="148" spans="1:17" hidden="1" x14ac:dyDescent="0.25">
      <c r="A148" s="16" t="s">
        <v>60</v>
      </c>
      <c r="B148" s="17"/>
      <c r="C148" s="16" t="s">
        <v>1057</v>
      </c>
      <c r="D148" s="17"/>
      <c r="E148" s="17" t="s">
        <v>608</v>
      </c>
      <c r="F148" s="18" t="s">
        <v>918</v>
      </c>
      <c r="G148" s="49" t="s">
        <v>1058</v>
      </c>
      <c r="H148" s="17">
        <v>13</v>
      </c>
      <c r="O148" s="62" t="str">
        <f>IF(E148="PA",IF(K148&lt;&gt;"",ISERROR(VLOOKUP(K148,ABBR!A:D,1,FALSE)),ISERROR(VLOOKUP(C148,ABBR!A:D,1,FALSE))),"")</f>
        <v/>
      </c>
      <c r="P148" t="str">
        <f>VLOOKUP(A148,Groups!A:L,5,FALSE)</f>
        <v>SAMP</v>
      </c>
      <c r="Q148" s="62" t="str">
        <f>IF(G148="PA",IF(M148&lt;&gt;"",ISERROR(VLOOKUP(M148,ABBR!C:F,1,FALSE)),ISERROR(VLOOKUP(E148,ABBR!C:F,1,FALSE))),"")</f>
        <v/>
      </c>
    </row>
    <row r="149" spans="1:17" hidden="1" x14ac:dyDescent="0.25">
      <c r="A149" s="16" t="s">
        <v>60</v>
      </c>
      <c r="B149" s="17"/>
      <c r="C149" s="16" t="s">
        <v>1059</v>
      </c>
      <c r="D149" s="17"/>
      <c r="E149" s="17" t="s">
        <v>608</v>
      </c>
      <c r="F149" s="18" t="s">
        <v>950</v>
      </c>
      <c r="G149" s="27" t="s">
        <v>951</v>
      </c>
      <c r="H149" s="17">
        <v>14</v>
      </c>
      <c r="O149" s="62" t="str">
        <f>IF(E149="PA",IF(K149&lt;&gt;"",ISERROR(VLOOKUP(K149,ABBR!A:D,1,FALSE)),ISERROR(VLOOKUP(C149,ABBR!A:D,1,FALSE))),"")</f>
        <v/>
      </c>
      <c r="P149" t="str">
        <f>VLOOKUP(A149,Groups!A:L,5,FALSE)</f>
        <v>SAMP</v>
      </c>
      <c r="Q149" s="62" t="str">
        <f>IF(G149="PA",IF(M149&lt;&gt;"",ISERROR(VLOOKUP(M149,ABBR!C:F,1,FALSE)),ISERROR(VLOOKUP(E149,ABBR!C:F,1,FALSE))),"")</f>
        <v/>
      </c>
    </row>
    <row r="150" spans="1:17" ht="25" hidden="1" x14ac:dyDescent="0.25">
      <c r="A150" s="16" t="s">
        <v>60</v>
      </c>
      <c r="B150" s="17"/>
      <c r="C150" s="16" t="s">
        <v>1060</v>
      </c>
      <c r="D150" s="17"/>
      <c r="E150" s="17" t="s">
        <v>608</v>
      </c>
      <c r="F150" s="18" t="s">
        <v>934</v>
      </c>
      <c r="G150" s="49" t="s">
        <v>953</v>
      </c>
      <c r="H150" s="17">
        <v>15</v>
      </c>
      <c r="O150" s="62" t="str">
        <f>IF(E150="PA",IF(K150&lt;&gt;"",ISERROR(VLOOKUP(K150,ABBR!A:D,1,FALSE)),ISERROR(VLOOKUP(C150,ABBR!A:D,1,FALSE))),"")</f>
        <v/>
      </c>
      <c r="P150" t="str">
        <f>VLOOKUP(A150,Groups!A:L,5,FALSE)</f>
        <v>SAMP</v>
      </c>
      <c r="Q150" s="62" t="str">
        <f>IF(G150="PA",IF(M150&lt;&gt;"",ISERROR(VLOOKUP(M150,ABBR!C:F,1,FALSE)),ISERROR(VLOOKUP(E150,ABBR!C:F,1,FALSE))),"")</f>
        <v/>
      </c>
    </row>
    <row r="151" spans="1:17" hidden="1" x14ac:dyDescent="0.25">
      <c r="A151" s="16" t="s">
        <v>60</v>
      </c>
      <c r="B151" s="17"/>
      <c r="C151" s="16" t="s">
        <v>936</v>
      </c>
      <c r="D151" s="17"/>
      <c r="E151" s="22" t="s">
        <v>608</v>
      </c>
      <c r="F151" s="18" t="s">
        <v>937</v>
      </c>
      <c r="G151" s="49" t="s">
        <v>938</v>
      </c>
      <c r="H151" s="17">
        <v>16</v>
      </c>
      <c r="O151" s="62" t="str">
        <f>IF(E151="PA",IF(K151&lt;&gt;"",ISERROR(VLOOKUP(K151,ABBR!A:D,1,FALSE)),ISERROR(VLOOKUP(C151,ABBR!A:D,1,FALSE))),"")</f>
        <v/>
      </c>
      <c r="P151" t="str">
        <f>VLOOKUP(A151,Groups!A:L,5,FALSE)</f>
        <v>SAMP</v>
      </c>
      <c r="Q151" s="62" t="str">
        <f>IF(G151="PA",IF(M151&lt;&gt;"",ISERROR(VLOOKUP(M151,ABBR!C:F,1,FALSE)),ISERROR(VLOOKUP(E151,ABBR!C:F,1,FALSE))),"")</f>
        <v/>
      </c>
    </row>
    <row r="152" spans="1:17" hidden="1" x14ac:dyDescent="0.25">
      <c r="A152" s="16" t="s">
        <v>60</v>
      </c>
      <c r="B152" s="17"/>
      <c r="C152" s="16" t="s">
        <v>643</v>
      </c>
      <c r="D152" s="17"/>
      <c r="E152" s="17" t="s">
        <v>608</v>
      </c>
      <c r="F152" s="18" t="s">
        <v>954</v>
      </c>
      <c r="G152" s="49" t="s">
        <v>940</v>
      </c>
      <c r="H152" s="17">
        <v>17</v>
      </c>
      <c r="O152" s="62" t="str">
        <f>IF(E152="PA",IF(K152&lt;&gt;"",ISERROR(VLOOKUP(K152,ABBR!A:D,1,FALSE)),ISERROR(VLOOKUP(C152,ABBR!A:D,1,FALSE))),"")</f>
        <v/>
      </c>
      <c r="P152" t="str">
        <f>VLOOKUP(A152,Groups!A:L,5,FALSE)</f>
        <v>SAMP</v>
      </c>
      <c r="Q152" s="62" t="str">
        <f>IF(G152="PA",IF(M152&lt;&gt;"",ISERROR(VLOOKUP(M152,ABBR!C:F,1,FALSE)),ISERROR(VLOOKUP(E152,ABBR!C:F,1,FALSE))),"")</f>
        <v/>
      </c>
    </row>
    <row r="153" spans="1:17" hidden="1" x14ac:dyDescent="0.25">
      <c r="A153" s="16" t="s">
        <v>60</v>
      </c>
      <c r="B153" s="17"/>
      <c r="C153" s="16" t="s">
        <v>877</v>
      </c>
      <c r="D153" s="17" t="s">
        <v>600</v>
      </c>
      <c r="E153" s="17" t="s">
        <v>601</v>
      </c>
      <c r="F153" s="18" t="s">
        <v>878</v>
      </c>
      <c r="G153" s="49" t="s">
        <v>879</v>
      </c>
      <c r="H153" s="17">
        <v>18</v>
      </c>
      <c r="I153" s="30" t="s">
        <v>955</v>
      </c>
      <c r="J153" s="80">
        <v>4.0999999999999996</v>
      </c>
      <c r="O153" s="62" t="str">
        <f>IF(E153="PA",IF(K153&lt;&gt;"",ISERROR(VLOOKUP(K153,ABBR!A:D,1,FALSE)),ISERROR(VLOOKUP(C153,ABBR!A:D,1,FALSE))),"")</f>
        <v/>
      </c>
      <c r="P153" t="str">
        <f>VLOOKUP(A153,Groups!A:L,5,FALSE)</f>
        <v>SAMP</v>
      </c>
      <c r="Q153" s="62" t="str">
        <f>IF(G153="PA",IF(M153&lt;&gt;"",ISERROR(VLOOKUP(M153,ABBR!C:F,1,FALSE)),ISERROR(VLOOKUP(E153,ABBR!C:F,1,FALSE))),"")</f>
        <v/>
      </c>
    </row>
    <row r="154" spans="1:17" hidden="1" x14ac:dyDescent="0.25">
      <c r="A154" s="16" t="s">
        <v>60</v>
      </c>
      <c r="B154" s="17"/>
      <c r="C154" s="16" t="s">
        <v>1061</v>
      </c>
      <c r="D154" s="17"/>
      <c r="E154" s="17" t="s">
        <v>608</v>
      </c>
      <c r="F154" s="18" t="s">
        <v>921</v>
      </c>
      <c r="G154" s="94" t="s">
        <v>922</v>
      </c>
      <c r="H154" s="17">
        <v>19</v>
      </c>
      <c r="I154" s="30" t="s">
        <v>955</v>
      </c>
      <c r="J154" s="80">
        <v>4.0999999999999996</v>
      </c>
      <c r="M154" s="101"/>
      <c r="O154" s="62" t="str">
        <f>IF(E154="PA",IF(K154&lt;&gt;"",ISERROR(VLOOKUP(K154,ABBR!A:D,1,FALSE)),ISERROR(VLOOKUP(C154,ABBR!A:D,1,FALSE))),"")</f>
        <v/>
      </c>
      <c r="P154" t="str">
        <f>VLOOKUP(A154,Groups!A:L,5,FALSE)</f>
        <v>SAMP</v>
      </c>
      <c r="Q154" s="62" t="str">
        <f>IF(G154="PA",IF(M154&lt;&gt;"",ISERROR(VLOOKUP(M154,ABBR!C:F,1,FALSE)),ISERROR(VLOOKUP(E154,ABBR!C:F,1,FALSE))),"")</f>
        <v/>
      </c>
    </row>
    <row r="155" spans="1:17" hidden="1" x14ac:dyDescent="0.25">
      <c r="A155" s="16" t="s">
        <v>60</v>
      </c>
      <c r="B155" s="17"/>
      <c r="C155" s="16" t="s">
        <v>1062</v>
      </c>
      <c r="D155" s="17" t="s">
        <v>924</v>
      </c>
      <c r="E155" s="17" t="s">
        <v>925</v>
      </c>
      <c r="F155" s="18" t="s">
        <v>926</v>
      </c>
      <c r="G155" s="49" t="s">
        <v>927</v>
      </c>
      <c r="H155" s="17">
        <v>20</v>
      </c>
      <c r="J155" s="62" t="s">
        <v>473</v>
      </c>
      <c r="K155" s="62"/>
      <c r="L155" s="62"/>
      <c r="M155" s="62"/>
      <c r="N155" s="62"/>
      <c r="O155" s="62" t="str">
        <f>IF(E155="PA",IF(K155&lt;&gt;"",ISERROR(VLOOKUP(K155,ABBR!A:D,1,FALSE)),ISERROR(VLOOKUP(C155,ABBR!A:D,1,FALSE))),"")</f>
        <v/>
      </c>
      <c r="P155" t="str">
        <f>VLOOKUP(A155,Groups!A:L,5,FALSE)</f>
        <v>SAMP</v>
      </c>
      <c r="Q155" s="62" t="str">
        <f>IF(G155="PA",IF(M155&lt;&gt;"",ISERROR(VLOOKUP(M155,ABBR!C:F,1,FALSE)),ISERROR(VLOOKUP(E155,ABBR!C:F,1,FALSE))),"")</f>
        <v/>
      </c>
    </row>
    <row r="156" spans="1:17" hidden="1" x14ac:dyDescent="0.25">
      <c r="A156" s="16" t="s">
        <v>60</v>
      </c>
      <c r="B156" s="17"/>
      <c r="C156" s="16" t="s">
        <v>1063</v>
      </c>
      <c r="D156" s="17"/>
      <c r="E156" s="17" t="s">
        <v>608</v>
      </c>
      <c r="F156" s="18" t="s">
        <v>875</v>
      </c>
      <c r="G156" s="49" t="s">
        <v>876</v>
      </c>
      <c r="H156" s="17">
        <v>21</v>
      </c>
      <c r="J156" s="62" t="s">
        <v>473</v>
      </c>
      <c r="K156" s="62"/>
      <c r="L156" s="62"/>
      <c r="M156" s="62"/>
      <c r="N156" s="62"/>
      <c r="O156" s="62" t="str">
        <f>IF(E156="PA",IF(K156&lt;&gt;"",ISERROR(VLOOKUP(K156,ABBR!A:D,1,FALSE)),ISERROR(VLOOKUP(C156,ABBR!A:D,1,FALSE))),"")</f>
        <v/>
      </c>
      <c r="P156" t="str">
        <f>VLOOKUP(A156,Groups!A:L,5,FALSE)</f>
        <v>SAMP</v>
      </c>
      <c r="Q156" s="62" t="str">
        <f>IF(G156="PA",IF(M156&lt;&gt;"",ISERROR(VLOOKUP(M156,ABBR!C:F,1,FALSE)),ISERROR(VLOOKUP(E156,ABBR!C:F,1,FALSE))),"")</f>
        <v/>
      </c>
    </row>
    <row r="157" spans="1:17" hidden="1" x14ac:dyDescent="0.25">
      <c r="A157" s="16" t="s">
        <v>60</v>
      </c>
      <c r="B157" s="17"/>
      <c r="C157" s="16" t="s">
        <v>1064</v>
      </c>
      <c r="D157" s="17"/>
      <c r="E157" s="17" t="s">
        <v>608</v>
      </c>
      <c r="F157" s="18" t="s">
        <v>929</v>
      </c>
      <c r="G157" s="49" t="s">
        <v>876</v>
      </c>
      <c r="H157" s="17">
        <v>22</v>
      </c>
      <c r="J157" s="62" t="s">
        <v>473</v>
      </c>
      <c r="K157" s="62"/>
      <c r="L157" s="62"/>
      <c r="M157" s="62"/>
      <c r="N157" s="62"/>
      <c r="O157" s="62" t="str">
        <f>IF(E157="PA",IF(K157&lt;&gt;"",ISERROR(VLOOKUP(K157,ABBR!A:D,1,FALSE)),ISERROR(VLOOKUP(C157,ABBR!A:D,1,FALSE))),"")</f>
        <v/>
      </c>
      <c r="P157" t="str">
        <f>VLOOKUP(A157,Groups!A:L,5,FALSE)</f>
        <v>SAMP</v>
      </c>
      <c r="Q157" s="62" t="str">
        <f>IF(G157="PA",IF(M157&lt;&gt;"",ISERROR(VLOOKUP(M157,ABBR!C:F,1,FALSE)),ISERROR(VLOOKUP(E157,ABBR!C:F,1,FALSE))),"")</f>
        <v/>
      </c>
    </row>
    <row r="158" spans="1:17" hidden="1" x14ac:dyDescent="0.25">
      <c r="A158" s="16" t="s">
        <v>62</v>
      </c>
      <c r="B158" s="17" t="s">
        <v>594</v>
      </c>
      <c r="C158" s="16" t="s">
        <v>595</v>
      </c>
      <c r="D158" s="17"/>
      <c r="E158" s="17" t="s">
        <v>596</v>
      </c>
      <c r="F158" s="18" t="s">
        <v>597</v>
      </c>
      <c r="G158" s="49" t="s">
        <v>598</v>
      </c>
      <c r="H158" s="17">
        <v>1</v>
      </c>
      <c r="O158" s="62" t="str">
        <f>IF(E158="PA",IF(K158&lt;&gt;"",ISERROR(VLOOKUP(K158,ABBR!A:D,1,FALSE)),ISERROR(VLOOKUP(C158,ABBR!A:D,1,FALSE))),"")</f>
        <v/>
      </c>
      <c r="P158" t="str">
        <f>VLOOKUP(A158,Groups!A:L,5,FALSE)</f>
        <v>SAMP</v>
      </c>
      <c r="Q158" s="62" t="str">
        <f>IF(G158="PA",IF(M158&lt;&gt;"",ISERROR(VLOOKUP(M158,ABBR!C:F,1,FALSE)),ISERROR(VLOOKUP(E158,ABBR!C:F,1,FALSE))),"")</f>
        <v/>
      </c>
    </row>
    <row r="159" spans="1:17" hidden="1" x14ac:dyDescent="0.25">
      <c r="A159" s="16" t="s">
        <v>62</v>
      </c>
      <c r="B159" s="17" t="s">
        <v>594</v>
      </c>
      <c r="C159" s="16" t="s">
        <v>851</v>
      </c>
      <c r="D159" s="17" t="s">
        <v>600</v>
      </c>
      <c r="E159" s="17" t="s">
        <v>601</v>
      </c>
      <c r="F159" s="18" t="s">
        <v>852</v>
      </c>
      <c r="G159" s="49" t="s">
        <v>853</v>
      </c>
      <c r="H159" s="17">
        <v>2</v>
      </c>
      <c r="O159" s="62" t="str">
        <f>IF(E159="PA",IF(K159&lt;&gt;"",ISERROR(VLOOKUP(K159,ABBR!A:D,1,FALSE)),ISERROR(VLOOKUP(C159,ABBR!A:D,1,FALSE))),"")</f>
        <v/>
      </c>
      <c r="P159" t="str">
        <f>VLOOKUP(A159,Groups!A:L,5,FALSE)</f>
        <v>SAMP</v>
      </c>
      <c r="Q159" s="62" t="str">
        <f>IF(G159="PA",IF(M159&lt;&gt;"",ISERROR(VLOOKUP(M159,ABBR!C:F,1,FALSE)),ISERROR(VLOOKUP(E159,ABBR!C:F,1,FALSE))),"")</f>
        <v/>
      </c>
    </row>
    <row r="160" spans="1:17" hidden="1" x14ac:dyDescent="0.25">
      <c r="A160" s="16" t="s">
        <v>62</v>
      </c>
      <c r="B160" s="17" t="s">
        <v>594</v>
      </c>
      <c r="C160" s="16" t="s">
        <v>854</v>
      </c>
      <c r="D160" s="17"/>
      <c r="E160" s="17" t="s">
        <v>608</v>
      </c>
      <c r="F160" s="18" t="s">
        <v>855</v>
      </c>
      <c r="G160" s="49" t="s">
        <v>941</v>
      </c>
      <c r="H160" s="17">
        <v>3</v>
      </c>
      <c r="O160" s="62" t="str">
        <f>IF(E160="PA",IF(K160&lt;&gt;"",ISERROR(VLOOKUP(K160,ABBR!A:D,1,FALSE)),ISERROR(VLOOKUP(C160,ABBR!A:D,1,FALSE))),"")</f>
        <v/>
      </c>
      <c r="P160" t="str">
        <f>VLOOKUP(A160,Groups!A:L,5,FALSE)</f>
        <v>SAMP</v>
      </c>
      <c r="Q160" s="62" t="str">
        <f>IF(G160="PA",IF(M160&lt;&gt;"",ISERROR(VLOOKUP(M160,ABBR!C:F,1,FALSE)),ISERROR(VLOOKUP(E160,ABBR!C:F,1,FALSE))),"")</f>
        <v/>
      </c>
    </row>
    <row r="161" spans="1:17" hidden="1" x14ac:dyDescent="0.25">
      <c r="A161" s="16" t="s">
        <v>62</v>
      </c>
      <c r="B161" s="17" t="s">
        <v>594</v>
      </c>
      <c r="C161" s="16" t="s">
        <v>857</v>
      </c>
      <c r="D161" s="17"/>
      <c r="E161" s="17" t="s">
        <v>618</v>
      </c>
      <c r="F161" s="18" t="s">
        <v>858</v>
      </c>
      <c r="G161" s="49" t="s">
        <v>859</v>
      </c>
      <c r="H161" s="17">
        <v>4</v>
      </c>
      <c r="O161" s="62" t="b">
        <f>IF(E161="PA",IF(K161&lt;&gt;"",ISERROR(VLOOKUP(K161,ABBR!A:D,1,FALSE)),ISERROR(VLOOKUP(C161,ABBR!A:D,1,FALSE))),"")</f>
        <v>0</v>
      </c>
      <c r="P161" t="str">
        <f>VLOOKUP(A161,Groups!A:L,5,FALSE)</f>
        <v>SAMP</v>
      </c>
      <c r="Q161" s="62" t="str">
        <f>IF(G161="PA",IF(M161&lt;&gt;"",ISERROR(VLOOKUP(M161,ABBR!C:F,1,FALSE)),ISERROR(VLOOKUP(E161,ABBR!C:F,1,FALSE))),"")</f>
        <v/>
      </c>
    </row>
    <row r="162" spans="1:17" hidden="1" x14ac:dyDescent="0.25">
      <c r="A162" s="16" t="s">
        <v>62</v>
      </c>
      <c r="B162" s="17" t="s">
        <v>594</v>
      </c>
      <c r="C162" s="16" t="s">
        <v>860</v>
      </c>
      <c r="D162" s="17"/>
      <c r="E162" s="17" t="s">
        <v>596</v>
      </c>
      <c r="F162" s="18" t="s">
        <v>942</v>
      </c>
      <c r="G162" s="49" t="s">
        <v>862</v>
      </c>
      <c r="H162" s="17">
        <v>5</v>
      </c>
      <c r="O162" s="62" t="str">
        <f>IF(E162="PA",IF(K162&lt;&gt;"",ISERROR(VLOOKUP(K162,ABBR!A:D,1,FALSE)),ISERROR(VLOOKUP(C162,ABBR!A:D,1,FALSE))),"")</f>
        <v/>
      </c>
      <c r="P162" t="str">
        <f>VLOOKUP(A162,Groups!A:L,5,FALSE)</f>
        <v>SAMP</v>
      </c>
      <c r="Q162" s="62" t="str">
        <f>IF(G162="PA",IF(M162&lt;&gt;"",ISERROR(VLOOKUP(M162,ABBR!C:F,1,FALSE)),ISERROR(VLOOKUP(E162,ABBR!C:F,1,FALSE))),"")</f>
        <v/>
      </c>
    </row>
    <row r="163" spans="1:17" hidden="1" x14ac:dyDescent="0.25">
      <c r="A163" s="16" t="s">
        <v>62</v>
      </c>
      <c r="B163" s="17" t="s">
        <v>594</v>
      </c>
      <c r="C163" s="16" t="s">
        <v>863</v>
      </c>
      <c r="D163" s="17"/>
      <c r="E163" s="17" t="s">
        <v>608</v>
      </c>
      <c r="F163" s="18" t="s">
        <v>864</v>
      </c>
      <c r="G163" s="49" t="s">
        <v>865</v>
      </c>
      <c r="H163" s="17">
        <v>6</v>
      </c>
      <c r="O163" s="62" t="str">
        <f>IF(E163="PA",IF(K163&lt;&gt;"",ISERROR(VLOOKUP(K163,ABBR!A:D,1,FALSE)),ISERROR(VLOOKUP(C163,ABBR!A:D,1,FALSE))),"")</f>
        <v/>
      </c>
      <c r="P163" t="str">
        <f>VLOOKUP(A163,Groups!A:L,5,FALSE)</f>
        <v>SAMP</v>
      </c>
      <c r="Q163" s="62" t="str">
        <f>IF(G163="PA",IF(M163&lt;&gt;"",ISERROR(VLOOKUP(M163,ABBR!C:F,1,FALSE)),ISERROR(VLOOKUP(E163,ABBR!C:F,1,FALSE))),"")</f>
        <v/>
      </c>
    </row>
    <row r="164" spans="1:17" hidden="1" x14ac:dyDescent="0.25">
      <c r="A164" s="16" t="s">
        <v>62</v>
      </c>
      <c r="B164" s="17" t="s">
        <v>594</v>
      </c>
      <c r="C164" s="16" t="s">
        <v>866</v>
      </c>
      <c r="D164" s="17" t="s">
        <v>600</v>
      </c>
      <c r="E164" s="17" t="s">
        <v>601</v>
      </c>
      <c r="F164" s="18" t="s">
        <v>867</v>
      </c>
      <c r="G164" s="49" t="s">
        <v>853</v>
      </c>
      <c r="H164" s="17">
        <v>7</v>
      </c>
      <c r="O164" s="62" t="str">
        <f>IF(E164="PA",IF(K164&lt;&gt;"",ISERROR(VLOOKUP(K164,ABBR!A:D,1,FALSE)),ISERROR(VLOOKUP(C164,ABBR!A:D,1,FALSE))),"")</f>
        <v/>
      </c>
      <c r="P164" t="str">
        <f>VLOOKUP(A164,Groups!A:L,5,FALSE)</f>
        <v>SAMP</v>
      </c>
      <c r="Q164" s="62" t="str">
        <f>IF(G164="PA",IF(M164&lt;&gt;"",ISERROR(VLOOKUP(M164,ABBR!C:F,1,FALSE)),ISERROR(VLOOKUP(E164,ABBR!C:F,1,FALSE))),"")</f>
        <v/>
      </c>
    </row>
    <row r="165" spans="1:17" hidden="1" x14ac:dyDescent="0.25">
      <c r="A165" s="16" t="s">
        <v>62</v>
      </c>
      <c r="B165" s="17"/>
      <c r="C165" s="16" t="s">
        <v>868</v>
      </c>
      <c r="D165" s="17"/>
      <c r="E165" s="17" t="s">
        <v>608</v>
      </c>
      <c r="F165" s="18" t="s">
        <v>869</v>
      </c>
      <c r="G165" s="51" t="s">
        <v>870</v>
      </c>
      <c r="H165" s="17">
        <v>8</v>
      </c>
      <c r="O165" s="62" t="str">
        <f>IF(E165="PA",IF(K165&lt;&gt;"",ISERROR(VLOOKUP(K165,ABBR!A:D,1,FALSE)),ISERROR(VLOOKUP(C165,ABBR!A:D,1,FALSE))),"")</f>
        <v/>
      </c>
      <c r="P165" t="str">
        <f>VLOOKUP(A165,Groups!A:L,5,FALSE)</f>
        <v>SAMP</v>
      </c>
      <c r="Q165" s="62" t="str">
        <f>IF(G165="PA",IF(M165&lt;&gt;"",ISERROR(VLOOKUP(M165,ABBR!C:F,1,FALSE)),ISERROR(VLOOKUP(E165,ABBR!C:F,1,FALSE))),"")</f>
        <v/>
      </c>
    </row>
    <row r="166" spans="1:17" ht="25" hidden="1" x14ac:dyDescent="0.25">
      <c r="A166" s="16" t="s">
        <v>62</v>
      </c>
      <c r="B166" s="17"/>
      <c r="C166" s="16" t="s">
        <v>871</v>
      </c>
      <c r="D166" s="17"/>
      <c r="E166" s="17" t="s">
        <v>608</v>
      </c>
      <c r="F166" s="18" t="s">
        <v>872</v>
      </c>
      <c r="G166" s="49" t="s">
        <v>873</v>
      </c>
      <c r="H166" s="17">
        <v>9</v>
      </c>
      <c r="O166" s="62" t="str">
        <f>IF(E166="PA",IF(K166&lt;&gt;"",ISERROR(VLOOKUP(K166,ABBR!A:D,1,FALSE)),ISERROR(VLOOKUP(C166,ABBR!A:D,1,FALSE))),"")</f>
        <v/>
      </c>
      <c r="P166" t="str">
        <f>VLOOKUP(A166,Groups!A:L,5,FALSE)</f>
        <v>SAMP</v>
      </c>
      <c r="Q166" s="62" t="str">
        <f>IF(G166="PA",IF(M166&lt;&gt;"",ISERROR(VLOOKUP(M166,ABBR!C:F,1,FALSE)),ISERROR(VLOOKUP(E166,ABBR!C:F,1,FALSE))),"")</f>
        <v/>
      </c>
    </row>
    <row r="167" spans="1:17" hidden="1" x14ac:dyDescent="0.25">
      <c r="A167" s="16" t="s">
        <v>62</v>
      </c>
      <c r="B167" s="17"/>
      <c r="C167" s="16" t="s">
        <v>1065</v>
      </c>
      <c r="D167" s="17" t="s">
        <v>766</v>
      </c>
      <c r="E167" s="17" t="s">
        <v>601</v>
      </c>
      <c r="F167" s="18" t="s">
        <v>1066</v>
      </c>
      <c r="G167" s="49" t="s">
        <v>1067</v>
      </c>
      <c r="H167" s="17">
        <v>10</v>
      </c>
      <c r="O167" s="62" t="str">
        <f>IF(E167="PA",IF(K167&lt;&gt;"",ISERROR(VLOOKUP(K167,ABBR!A:D,1,FALSE)),ISERROR(VLOOKUP(C167,ABBR!A:D,1,FALSE))),"")</f>
        <v/>
      </c>
      <c r="P167" t="str">
        <f>VLOOKUP(A167,Groups!A:L,5,FALSE)</f>
        <v>SAMP</v>
      </c>
      <c r="Q167" s="62" t="str">
        <f>IF(G167="PA",IF(M167&lt;&gt;"",ISERROR(VLOOKUP(M167,ABBR!C:F,1,FALSE)),ISERROR(VLOOKUP(E167,ABBR!C:F,1,FALSE))),"")</f>
        <v/>
      </c>
    </row>
    <row r="168" spans="1:17" hidden="1" x14ac:dyDescent="0.25">
      <c r="A168" s="16" t="s">
        <v>62</v>
      </c>
      <c r="B168" s="17"/>
      <c r="C168" s="16" t="s">
        <v>1068</v>
      </c>
      <c r="D168" s="17" t="s">
        <v>766</v>
      </c>
      <c r="E168" s="17" t="s">
        <v>601</v>
      </c>
      <c r="F168" s="18" t="s">
        <v>1069</v>
      </c>
      <c r="G168" s="49" t="s">
        <v>1070</v>
      </c>
      <c r="H168" s="17">
        <v>11</v>
      </c>
      <c r="O168" s="62" t="str">
        <f>IF(E168="PA",IF(K168&lt;&gt;"",ISERROR(VLOOKUP(K168,ABBR!A:D,1,FALSE)),ISERROR(VLOOKUP(C168,ABBR!A:D,1,FALSE))),"")</f>
        <v/>
      </c>
      <c r="P168" t="str">
        <f>VLOOKUP(A168,Groups!A:L,5,FALSE)</f>
        <v>SAMP</v>
      </c>
      <c r="Q168" s="62" t="str">
        <f>IF(G168="PA",IF(M168&lt;&gt;"",ISERROR(VLOOKUP(M168,ABBR!C:F,1,FALSE)),ISERROR(VLOOKUP(E168,ABBR!C:F,1,FALSE))),"")</f>
        <v/>
      </c>
    </row>
    <row r="169" spans="1:17" hidden="1" x14ac:dyDescent="0.25">
      <c r="A169" s="16" t="s">
        <v>62</v>
      </c>
      <c r="B169" s="17"/>
      <c r="C169" s="16" t="s">
        <v>1071</v>
      </c>
      <c r="D169" s="17" t="s">
        <v>766</v>
      </c>
      <c r="E169" s="17" t="s">
        <v>723</v>
      </c>
      <c r="F169" s="18" t="s">
        <v>1072</v>
      </c>
      <c r="G169" s="49" t="s">
        <v>1073</v>
      </c>
      <c r="H169" s="17">
        <v>12</v>
      </c>
      <c r="O169" s="62" t="str">
        <f>IF(E169="PA",IF(K169&lt;&gt;"",ISERROR(VLOOKUP(K169,ABBR!A:D,1,FALSE)),ISERROR(VLOOKUP(C169,ABBR!A:D,1,FALSE))),"")</f>
        <v/>
      </c>
      <c r="P169" t="str">
        <f>VLOOKUP(A169,Groups!A:L,5,FALSE)</f>
        <v>SAMP</v>
      </c>
      <c r="Q169" s="62" t="str">
        <f>IF(G169="PA",IF(M169&lt;&gt;"",ISERROR(VLOOKUP(M169,ABBR!C:F,1,FALSE)),ISERROR(VLOOKUP(E169,ABBR!C:F,1,FALSE))),"")</f>
        <v/>
      </c>
    </row>
    <row r="170" spans="1:17" ht="75" hidden="1" x14ac:dyDescent="0.25">
      <c r="A170" s="16" t="s">
        <v>62</v>
      </c>
      <c r="B170" s="17"/>
      <c r="C170" s="16" t="s">
        <v>1074</v>
      </c>
      <c r="D170" s="17"/>
      <c r="E170" s="17" t="s">
        <v>608</v>
      </c>
      <c r="F170" s="18" t="s">
        <v>980</v>
      </c>
      <c r="G170" s="49" t="s">
        <v>1075</v>
      </c>
      <c r="H170" s="17">
        <v>13</v>
      </c>
      <c r="O170" s="62" t="str">
        <f>IF(E170="PA",IF(K170&lt;&gt;"",ISERROR(VLOOKUP(K170,ABBR!A:D,1,FALSE)),ISERROR(VLOOKUP(C170,ABBR!A:D,1,FALSE))),"")</f>
        <v/>
      </c>
      <c r="P170" t="str">
        <f>VLOOKUP(A170,Groups!A:L,5,FALSE)</f>
        <v>SAMP</v>
      </c>
      <c r="Q170" s="62" t="str">
        <f>IF(G170="PA",IF(M170&lt;&gt;"",ISERROR(VLOOKUP(M170,ABBR!C:F,1,FALSE)),ISERROR(VLOOKUP(E170,ABBR!C:F,1,FALSE))),"")</f>
        <v/>
      </c>
    </row>
    <row r="171" spans="1:17" ht="25" hidden="1" x14ac:dyDescent="0.25">
      <c r="A171" s="16" t="s">
        <v>62</v>
      </c>
      <c r="B171" s="17"/>
      <c r="C171" s="16" t="s">
        <v>1076</v>
      </c>
      <c r="D171" s="17" t="s">
        <v>1077</v>
      </c>
      <c r="E171" s="17" t="s">
        <v>601</v>
      </c>
      <c r="F171" s="18" t="s">
        <v>1078</v>
      </c>
      <c r="G171" s="49" t="s">
        <v>1079</v>
      </c>
      <c r="H171" s="17">
        <v>14</v>
      </c>
      <c r="O171" s="62" t="str">
        <f>IF(E171="PA",IF(K171&lt;&gt;"",ISERROR(VLOOKUP(K171,ABBR!A:D,1,FALSE)),ISERROR(VLOOKUP(C171,ABBR!A:D,1,FALSE))),"")</f>
        <v/>
      </c>
      <c r="P171" t="str">
        <f>VLOOKUP(A171,Groups!A:L,5,FALSE)</f>
        <v>SAMP</v>
      </c>
      <c r="Q171" s="62" t="str">
        <f>IF(G171="PA",IF(M171&lt;&gt;"",ISERROR(VLOOKUP(M171,ABBR!C:F,1,FALSE)),ISERROR(VLOOKUP(E171,ABBR!C:F,1,FALSE))),"")</f>
        <v/>
      </c>
    </row>
    <row r="172" spans="1:17" hidden="1" x14ac:dyDescent="0.25">
      <c r="A172" s="16" t="s">
        <v>62</v>
      </c>
      <c r="B172" s="17"/>
      <c r="C172" s="16" t="s">
        <v>1080</v>
      </c>
      <c r="D172" s="17"/>
      <c r="E172" s="17" t="s">
        <v>608</v>
      </c>
      <c r="F172" s="18" t="s">
        <v>642</v>
      </c>
      <c r="G172" s="49" t="s">
        <v>16</v>
      </c>
      <c r="H172" s="17">
        <v>15</v>
      </c>
      <c r="M172" s="101"/>
      <c r="O172" s="62" t="str">
        <f>IF(E172="PA",IF(K172&lt;&gt;"",ISERROR(VLOOKUP(K172,ABBR!A:D,1,FALSE)),ISERROR(VLOOKUP(C172,ABBR!A:D,1,FALSE))),"")</f>
        <v/>
      </c>
      <c r="P172" t="str">
        <f>VLOOKUP(A172,Groups!A:L,5,FALSE)</f>
        <v>SAMP</v>
      </c>
      <c r="Q172" s="62" t="str">
        <f>IF(G172="PA",IF(M172&lt;&gt;"",ISERROR(VLOOKUP(M172,ABBR!C:F,1,FALSE)),ISERROR(VLOOKUP(E172,ABBR!C:F,1,FALSE))),"")</f>
        <v/>
      </c>
    </row>
    <row r="173" spans="1:17" hidden="1" x14ac:dyDescent="0.25">
      <c r="A173" s="16" t="s">
        <v>62</v>
      </c>
      <c r="B173" s="17"/>
      <c r="C173" s="16" t="s">
        <v>1081</v>
      </c>
      <c r="D173" s="17"/>
      <c r="E173" s="17" t="s">
        <v>608</v>
      </c>
      <c r="F173" s="18" t="s">
        <v>918</v>
      </c>
      <c r="G173" s="49" t="s">
        <v>1082</v>
      </c>
      <c r="H173" s="17">
        <v>16</v>
      </c>
      <c r="O173" s="62" t="str">
        <f>IF(E173="PA",IF(K173&lt;&gt;"",ISERROR(VLOOKUP(K173,ABBR!A:D,1,FALSE)),ISERROR(VLOOKUP(C173,ABBR!A:D,1,FALSE))),"")</f>
        <v/>
      </c>
      <c r="P173" t="str">
        <f>VLOOKUP(A173,Groups!A:L,5,FALSE)</f>
        <v>SAMP</v>
      </c>
      <c r="Q173" s="62" t="str">
        <f>IF(G173="PA",IF(M173&lt;&gt;"",ISERROR(VLOOKUP(M173,ABBR!C:F,1,FALSE)),ISERROR(VLOOKUP(E173,ABBR!C:F,1,FALSE))),"")</f>
        <v/>
      </c>
    </row>
    <row r="174" spans="1:17" hidden="1" x14ac:dyDescent="0.25">
      <c r="A174" s="16" t="s">
        <v>62</v>
      </c>
      <c r="B174" s="17"/>
      <c r="C174" s="16" t="s">
        <v>1083</v>
      </c>
      <c r="D174" s="17"/>
      <c r="E174" s="17" t="s">
        <v>608</v>
      </c>
      <c r="F174" s="18" t="s">
        <v>950</v>
      </c>
      <c r="G174" s="27" t="s">
        <v>951</v>
      </c>
      <c r="H174" s="17">
        <v>17</v>
      </c>
      <c r="O174" s="62" t="str">
        <f>IF(E174="PA",IF(K174&lt;&gt;"",ISERROR(VLOOKUP(K174,ABBR!A:D,1,FALSE)),ISERROR(VLOOKUP(C174,ABBR!A:D,1,FALSE))),"")</f>
        <v/>
      </c>
      <c r="P174" t="str">
        <f>VLOOKUP(A174,Groups!A:L,5,FALSE)</f>
        <v>SAMP</v>
      </c>
      <c r="Q174" s="62" t="str">
        <f>IF(G174="PA",IF(M174&lt;&gt;"",ISERROR(VLOOKUP(M174,ABBR!C:F,1,FALSE)),ISERROR(VLOOKUP(E174,ABBR!C:F,1,FALSE))),"")</f>
        <v/>
      </c>
    </row>
    <row r="175" spans="1:17" ht="25" hidden="1" x14ac:dyDescent="0.25">
      <c r="A175" s="16" t="s">
        <v>62</v>
      </c>
      <c r="B175" s="17"/>
      <c r="C175" s="16" t="s">
        <v>1084</v>
      </c>
      <c r="D175" s="17"/>
      <c r="E175" s="17" t="s">
        <v>608</v>
      </c>
      <c r="F175" s="18" t="s">
        <v>934</v>
      </c>
      <c r="G175" s="8" t="s">
        <v>953</v>
      </c>
      <c r="H175" s="17">
        <v>18</v>
      </c>
      <c r="O175" s="62" t="str">
        <f>IF(E175="PA",IF(K175&lt;&gt;"",ISERROR(VLOOKUP(K175,ABBR!A:D,1,FALSE)),ISERROR(VLOOKUP(C175,ABBR!A:D,1,FALSE))),"")</f>
        <v/>
      </c>
      <c r="P175" t="str">
        <f>VLOOKUP(A175,Groups!A:L,5,FALSE)</f>
        <v>SAMP</v>
      </c>
      <c r="Q175" s="62" t="str">
        <f>IF(G175="PA",IF(M175&lt;&gt;"",ISERROR(VLOOKUP(M175,ABBR!C:F,1,FALSE)),ISERROR(VLOOKUP(E175,ABBR!C:F,1,FALSE))),"")</f>
        <v/>
      </c>
    </row>
    <row r="176" spans="1:17" hidden="1" x14ac:dyDescent="0.25">
      <c r="A176" s="16" t="s">
        <v>62</v>
      </c>
      <c r="B176" s="17"/>
      <c r="C176" s="16" t="s">
        <v>936</v>
      </c>
      <c r="D176" s="17"/>
      <c r="E176" s="22" t="s">
        <v>608</v>
      </c>
      <c r="F176" s="18" t="s">
        <v>937</v>
      </c>
      <c r="G176" s="49" t="s">
        <v>938</v>
      </c>
      <c r="H176" s="17">
        <v>19</v>
      </c>
      <c r="O176" s="62" t="str">
        <f>IF(E176="PA",IF(K176&lt;&gt;"",ISERROR(VLOOKUP(K176,ABBR!A:D,1,FALSE)),ISERROR(VLOOKUP(C176,ABBR!A:D,1,FALSE))),"")</f>
        <v/>
      </c>
      <c r="P176" t="str">
        <f>VLOOKUP(A176,Groups!A:L,5,FALSE)</f>
        <v>SAMP</v>
      </c>
      <c r="Q176" s="62" t="str">
        <f>IF(G176="PA",IF(M176&lt;&gt;"",ISERROR(VLOOKUP(M176,ABBR!C:F,1,FALSE)),ISERROR(VLOOKUP(E176,ABBR!C:F,1,FALSE))),"")</f>
        <v/>
      </c>
    </row>
    <row r="177" spans="1:17" hidden="1" x14ac:dyDescent="0.25">
      <c r="A177" s="16" t="s">
        <v>62</v>
      </c>
      <c r="B177" s="17"/>
      <c r="C177" s="16" t="s">
        <v>643</v>
      </c>
      <c r="D177" s="17"/>
      <c r="E177" s="17" t="s">
        <v>608</v>
      </c>
      <c r="F177" s="18" t="s">
        <v>954</v>
      </c>
      <c r="G177" s="49" t="s">
        <v>940</v>
      </c>
      <c r="H177" s="17">
        <v>20</v>
      </c>
      <c r="O177" s="62" t="str">
        <f>IF(E177="PA",IF(K177&lt;&gt;"",ISERROR(VLOOKUP(K177,ABBR!A:D,1,FALSE)),ISERROR(VLOOKUP(C177,ABBR!A:D,1,FALSE))),"")</f>
        <v/>
      </c>
      <c r="P177" t="str">
        <f>VLOOKUP(A177,Groups!A:L,5,FALSE)</f>
        <v>SAMP</v>
      </c>
      <c r="Q177" s="62" t="str">
        <f>IF(G177="PA",IF(M177&lt;&gt;"",ISERROR(VLOOKUP(M177,ABBR!C:F,1,FALSE)),ISERROR(VLOOKUP(E177,ABBR!C:F,1,FALSE))),"")</f>
        <v/>
      </c>
    </row>
    <row r="178" spans="1:17" hidden="1" x14ac:dyDescent="0.25">
      <c r="A178" s="16" t="s">
        <v>62</v>
      </c>
      <c r="B178" s="17"/>
      <c r="C178" s="16" t="s">
        <v>877</v>
      </c>
      <c r="D178" s="17" t="s">
        <v>600</v>
      </c>
      <c r="E178" s="17" t="s">
        <v>601</v>
      </c>
      <c r="F178" s="18" t="s">
        <v>878</v>
      </c>
      <c r="G178" s="49" t="s">
        <v>879</v>
      </c>
      <c r="H178" s="17">
        <v>21</v>
      </c>
      <c r="I178" s="30" t="s">
        <v>955</v>
      </c>
      <c r="J178" s="80">
        <v>4.0999999999999996</v>
      </c>
      <c r="O178" s="62" t="str">
        <f>IF(E178="PA",IF(K178&lt;&gt;"",ISERROR(VLOOKUP(K178,ABBR!A:D,1,FALSE)),ISERROR(VLOOKUP(C178,ABBR!A:D,1,FALSE))),"")</f>
        <v/>
      </c>
      <c r="P178" t="str">
        <f>VLOOKUP(A178,Groups!A:L,5,FALSE)</f>
        <v>SAMP</v>
      </c>
      <c r="Q178" s="62" t="str">
        <f>IF(G178="PA",IF(M178&lt;&gt;"",ISERROR(VLOOKUP(M178,ABBR!C:F,1,FALSE)),ISERROR(VLOOKUP(E178,ABBR!C:F,1,FALSE))),"")</f>
        <v/>
      </c>
    </row>
    <row r="179" spans="1:17" hidden="1" x14ac:dyDescent="0.25">
      <c r="A179" s="16" t="s">
        <v>62</v>
      </c>
      <c r="B179" s="17"/>
      <c r="C179" s="16" t="s">
        <v>1085</v>
      </c>
      <c r="D179" s="17"/>
      <c r="E179" s="17" t="s">
        <v>608</v>
      </c>
      <c r="F179" s="18" t="s">
        <v>921</v>
      </c>
      <c r="G179" s="94" t="s">
        <v>922</v>
      </c>
      <c r="H179" s="17">
        <v>22</v>
      </c>
      <c r="I179" s="30" t="s">
        <v>955</v>
      </c>
      <c r="J179" s="80">
        <v>4.0999999999999996</v>
      </c>
      <c r="M179" s="101"/>
      <c r="O179" s="62" t="str">
        <f>IF(E179="PA",IF(K179&lt;&gt;"",ISERROR(VLOOKUP(K179,ABBR!A:D,1,FALSE)),ISERROR(VLOOKUP(C179,ABBR!A:D,1,FALSE))),"")</f>
        <v/>
      </c>
      <c r="P179" t="str">
        <f>VLOOKUP(A179,Groups!A:L,5,FALSE)</f>
        <v>SAMP</v>
      </c>
      <c r="Q179" s="62" t="str">
        <f>IF(G179="PA",IF(M179&lt;&gt;"",ISERROR(VLOOKUP(M179,ABBR!C:F,1,FALSE)),ISERROR(VLOOKUP(E179,ABBR!C:F,1,FALSE))),"")</f>
        <v/>
      </c>
    </row>
    <row r="180" spans="1:17" hidden="1" x14ac:dyDescent="0.25">
      <c r="A180" s="16" t="s">
        <v>62</v>
      </c>
      <c r="B180" s="17"/>
      <c r="C180" s="16" t="s">
        <v>1086</v>
      </c>
      <c r="D180" s="17" t="s">
        <v>924</v>
      </c>
      <c r="E180" s="17" t="s">
        <v>925</v>
      </c>
      <c r="F180" s="18" t="s">
        <v>926</v>
      </c>
      <c r="G180" s="49" t="s">
        <v>927</v>
      </c>
      <c r="H180" s="17">
        <v>23</v>
      </c>
      <c r="J180" s="62" t="s">
        <v>473</v>
      </c>
      <c r="K180" s="62"/>
      <c r="L180" s="62"/>
      <c r="M180" s="62"/>
      <c r="N180" s="62"/>
      <c r="O180" s="62" t="str">
        <f>IF(E180="PA",IF(K180&lt;&gt;"",ISERROR(VLOOKUP(K180,ABBR!A:D,1,FALSE)),ISERROR(VLOOKUP(C180,ABBR!A:D,1,FALSE))),"")</f>
        <v/>
      </c>
      <c r="P180" t="str">
        <f>VLOOKUP(A180,Groups!A:L,5,FALSE)</f>
        <v>SAMP</v>
      </c>
      <c r="Q180" s="62" t="str">
        <f>IF(G180="PA",IF(M180&lt;&gt;"",ISERROR(VLOOKUP(M180,ABBR!C:F,1,FALSE)),ISERROR(VLOOKUP(E180,ABBR!C:F,1,FALSE))),"")</f>
        <v/>
      </c>
    </row>
    <row r="181" spans="1:17" hidden="1" x14ac:dyDescent="0.25">
      <c r="A181" s="16" t="s">
        <v>62</v>
      </c>
      <c r="B181" s="17"/>
      <c r="C181" s="16" t="s">
        <v>1087</v>
      </c>
      <c r="D181" s="17"/>
      <c r="E181" s="17" t="s">
        <v>608</v>
      </c>
      <c r="F181" s="18" t="s">
        <v>875</v>
      </c>
      <c r="G181" s="49" t="s">
        <v>876</v>
      </c>
      <c r="H181" s="17">
        <v>24</v>
      </c>
      <c r="J181" s="62" t="s">
        <v>473</v>
      </c>
      <c r="K181" s="62"/>
      <c r="L181" s="62"/>
      <c r="M181" s="62"/>
      <c r="N181" s="62"/>
      <c r="O181" s="62" t="str">
        <f>IF(E181="PA",IF(K181&lt;&gt;"",ISERROR(VLOOKUP(K181,ABBR!A:D,1,FALSE)),ISERROR(VLOOKUP(C181,ABBR!A:D,1,FALSE))),"")</f>
        <v/>
      </c>
      <c r="P181" t="str">
        <f>VLOOKUP(A181,Groups!A:L,5,FALSE)</f>
        <v>SAMP</v>
      </c>
      <c r="Q181" s="62" t="str">
        <f>IF(G181="PA",IF(M181&lt;&gt;"",ISERROR(VLOOKUP(M181,ABBR!C:F,1,FALSE)),ISERROR(VLOOKUP(E181,ABBR!C:F,1,FALSE))),"")</f>
        <v/>
      </c>
    </row>
    <row r="182" spans="1:17" hidden="1" x14ac:dyDescent="0.25">
      <c r="A182" s="16" t="s">
        <v>62</v>
      </c>
      <c r="B182" s="17"/>
      <c r="C182" s="16" t="s">
        <v>1088</v>
      </c>
      <c r="D182" s="17"/>
      <c r="E182" s="17" t="s">
        <v>608</v>
      </c>
      <c r="F182" s="18" t="s">
        <v>929</v>
      </c>
      <c r="G182" s="49" t="s">
        <v>876</v>
      </c>
      <c r="H182" s="17">
        <v>25</v>
      </c>
      <c r="J182" s="62" t="s">
        <v>473</v>
      </c>
      <c r="K182" s="62"/>
      <c r="L182" s="62"/>
      <c r="M182" s="62"/>
      <c r="N182" s="62"/>
      <c r="O182" s="62" t="str">
        <f>IF(E182="PA",IF(K182&lt;&gt;"",ISERROR(VLOOKUP(K182,ABBR!A:D,1,FALSE)),ISERROR(VLOOKUP(C182,ABBR!A:D,1,FALSE))),"")</f>
        <v/>
      </c>
      <c r="P182" t="str">
        <f>VLOOKUP(A182,Groups!A:L,5,FALSE)</f>
        <v>SAMP</v>
      </c>
      <c r="Q182" s="62" t="str">
        <f>IF(G182="PA",IF(M182&lt;&gt;"",ISERROR(VLOOKUP(M182,ABBR!C:F,1,FALSE)),ISERROR(VLOOKUP(E182,ABBR!C:F,1,FALSE))),"")</f>
        <v/>
      </c>
    </row>
    <row r="183" spans="1:17" hidden="1" x14ac:dyDescent="0.25">
      <c r="A183" s="16" t="s">
        <v>64</v>
      </c>
      <c r="B183" s="17" t="s">
        <v>594</v>
      </c>
      <c r="C183" s="16" t="s">
        <v>595</v>
      </c>
      <c r="D183" s="17"/>
      <c r="E183" s="17" t="s">
        <v>596</v>
      </c>
      <c r="F183" s="18" t="s">
        <v>597</v>
      </c>
      <c r="G183" s="49" t="s">
        <v>598</v>
      </c>
      <c r="H183" s="17">
        <v>1</v>
      </c>
      <c r="O183" s="62" t="str">
        <f>IF(E183="PA",IF(K183&lt;&gt;"",ISERROR(VLOOKUP(K183,ABBR!A:D,1,FALSE)),ISERROR(VLOOKUP(C183,ABBR!A:D,1,FALSE))),"")</f>
        <v/>
      </c>
      <c r="P183" t="str">
        <f>VLOOKUP(A183,Groups!A:L,5,FALSE)</f>
        <v>SAMP</v>
      </c>
      <c r="Q183" s="62" t="str">
        <f>IF(G183="PA",IF(M183&lt;&gt;"",ISERROR(VLOOKUP(M183,ABBR!C:F,1,FALSE)),ISERROR(VLOOKUP(E183,ABBR!C:F,1,FALSE))),"")</f>
        <v/>
      </c>
    </row>
    <row r="184" spans="1:17" hidden="1" x14ac:dyDescent="0.25">
      <c r="A184" s="16" t="s">
        <v>64</v>
      </c>
      <c r="B184" s="17" t="s">
        <v>594</v>
      </c>
      <c r="C184" s="16" t="s">
        <v>851</v>
      </c>
      <c r="D184" s="17" t="s">
        <v>600</v>
      </c>
      <c r="E184" s="17" t="s">
        <v>601</v>
      </c>
      <c r="F184" s="18" t="s">
        <v>852</v>
      </c>
      <c r="G184" s="49" t="s">
        <v>853</v>
      </c>
      <c r="H184" s="17">
        <v>2</v>
      </c>
      <c r="O184" s="62" t="str">
        <f>IF(E184="PA",IF(K184&lt;&gt;"",ISERROR(VLOOKUP(K184,ABBR!A:D,1,FALSE)),ISERROR(VLOOKUP(C184,ABBR!A:D,1,FALSE))),"")</f>
        <v/>
      </c>
      <c r="P184" t="str">
        <f>VLOOKUP(A184,Groups!A:L,5,FALSE)</f>
        <v>SAMP</v>
      </c>
      <c r="Q184" s="62" t="str">
        <f>IF(G184="PA",IF(M184&lt;&gt;"",ISERROR(VLOOKUP(M184,ABBR!C:F,1,FALSE)),ISERROR(VLOOKUP(E184,ABBR!C:F,1,FALSE))),"")</f>
        <v/>
      </c>
    </row>
    <row r="185" spans="1:17" hidden="1" x14ac:dyDescent="0.25">
      <c r="A185" s="16" t="s">
        <v>64</v>
      </c>
      <c r="B185" s="17" t="s">
        <v>594</v>
      </c>
      <c r="C185" s="16" t="s">
        <v>854</v>
      </c>
      <c r="D185" s="17"/>
      <c r="E185" s="17" t="s">
        <v>608</v>
      </c>
      <c r="F185" s="18" t="s">
        <v>855</v>
      </c>
      <c r="G185" s="49" t="s">
        <v>941</v>
      </c>
      <c r="H185" s="17">
        <v>3</v>
      </c>
      <c r="O185" s="62" t="str">
        <f>IF(E185="PA",IF(K185&lt;&gt;"",ISERROR(VLOOKUP(K185,ABBR!A:D,1,FALSE)),ISERROR(VLOOKUP(C185,ABBR!A:D,1,FALSE))),"")</f>
        <v/>
      </c>
      <c r="P185" t="str">
        <f>VLOOKUP(A185,Groups!A:L,5,FALSE)</f>
        <v>SAMP</v>
      </c>
      <c r="Q185" s="62" t="str">
        <f>IF(G185="PA",IF(M185&lt;&gt;"",ISERROR(VLOOKUP(M185,ABBR!C:F,1,FALSE)),ISERROR(VLOOKUP(E185,ABBR!C:F,1,FALSE))),"")</f>
        <v/>
      </c>
    </row>
    <row r="186" spans="1:17" hidden="1" x14ac:dyDescent="0.25">
      <c r="A186" s="16" t="s">
        <v>64</v>
      </c>
      <c r="B186" s="17" t="s">
        <v>594</v>
      </c>
      <c r="C186" s="16" t="s">
        <v>857</v>
      </c>
      <c r="D186" s="17"/>
      <c r="E186" s="17" t="s">
        <v>618</v>
      </c>
      <c r="F186" s="18" t="s">
        <v>858</v>
      </c>
      <c r="G186" s="49" t="s">
        <v>859</v>
      </c>
      <c r="H186" s="17">
        <v>4</v>
      </c>
      <c r="O186" s="62" t="b">
        <f>IF(E186="PA",IF(K186&lt;&gt;"",ISERROR(VLOOKUP(K186,ABBR!A:D,1,FALSE)),ISERROR(VLOOKUP(C186,ABBR!A:D,1,FALSE))),"")</f>
        <v>0</v>
      </c>
      <c r="P186" t="str">
        <f>VLOOKUP(A186,Groups!A:L,5,FALSE)</f>
        <v>SAMP</v>
      </c>
      <c r="Q186" s="62" t="str">
        <f>IF(G186="PA",IF(M186&lt;&gt;"",ISERROR(VLOOKUP(M186,ABBR!C:F,1,FALSE)),ISERROR(VLOOKUP(E186,ABBR!C:F,1,FALSE))),"")</f>
        <v/>
      </c>
    </row>
    <row r="187" spans="1:17" hidden="1" x14ac:dyDescent="0.25">
      <c r="A187" s="16" t="s">
        <v>64</v>
      </c>
      <c r="B187" s="17" t="s">
        <v>594</v>
      </c>
      <c r="C187" s="16" t="s">
        <v>860</v>
      </c>
      <c r="D187" s="17"/>
      <c r="E187" s="17" t="s">
        <v>596</v>
      </c>
      <c r="F187" s="18" t="s">
        <v>942</v>
      </c>
      <c r="G187" s="49" t="s">
        <v>862</v>
      </c>
      <c r="H187" s="17">
        <v>5</v>
      </c>
      <c r="O187" s="62" t="str">
        <f>IF(E187="PA",IF(K187&lt;&gt;"",ISERROR(VLOOKUP(K187,ABBR!A:D,1,FALSE)),ISERROR(VLOOKUP(C187,ABBR!A:D,1,FALSE))),"")</f>
        <v/>
      </c>
      <c r="P187" t="str">
        <f>VLOOKUP(A187,Groups!A:L,5,FALSE)</f>
        <v>SAMP</v>
      </c>
      <c r="Q187" s="62" t="str">
        <f>IF(G187="PA",IF(M187&lt;&gt;"",ISERROR(VLOOKUP(M187,ABBR!C:F,1,FALSE)),ISERROR(VLOOKUP(E187,ABBR!C:F,1,FALSE))),"")</f>
        <v/>
      </c>
    </row>
    <row r="188" spans="1:17" hidden="1" x14ac:dyDescent="0.25">
      <c r="A188" s="16" t="s">
        <v>64</v>
      </c>
      <c r="B188" s="17" t="s">
        <v>594</v>
      </c>
      <c r="C188" s="16" t="s">
        <v>863</v>
      </c>
      <c r="D188" s="17"/>
      <c r="E188" s="17" t="s">
        <v>608</v>
      </c>
      <c r="F188" s="18" t="s">
        <v>864</v>
      </c>
      <c r="G188" s="49" t="s">
        <v>865</v>
      </c>
      <c r="H188" s="17">
        <v>6</v>
      </c>
      <c r="O188" s="62" t="str">
        <f>IF(E188="PA",IF(K188&lt;&gt;"",ISERROR(VLOOKUP(K188,ABBR!A:D,1,FALSE)),ISERROR(VLOOKUP(C188,ABBR!A:D,1,FALSE))),"")</f>
        <v/>
      </c>
      <c r="P188" t="str">
        <f>VLOOKUP(A188,Groups!A:L,5,FALSE)</f>
        <v>SAMP</v>
      </c>
      <c r="Q188" s="62" t="str">
        <f>IF(G188="PA",IF(M188&lt;&gt;"",ISERROR(VLOOKUP(M188,ABBR!C:F,1,FALSE)),ISERROR(VLOOKUP(E188,ABBR!C:F,1,FALSE))),"")</f>
        <v/>
      </c>
    </row>
    <row r="189" spans="1:17" hidden="1" x14ac:dyDescent="0.25">
      <c r="A189" s="16" t="s">
        <v>64</v>
      </c>
      <c r="B189" s="17" t="s">
        <v>594</v>
      </c>
      <c r="C189" s="16" t="s">
        <v>866</v>
      </c>
      <c r="D189" s="17" t="s">
        <v>600</v>
      </c>
      <c r="E189" s="17" t="s">
        <v>601</v>
      </c>
      <c r="F189" s="18" t="s">
        <v>867</v>
      </c>
      <c r="G189" s="49" t="s">
        <v>853</v>
      </c>
      <c r="H189" s="17">
        <v>7</v>
      </c>
      <c r="O189" s="62" t="str">
        <f>IF(E189="PA",IF(K189&lt;&gt;"",ISERROR(VLOOKUP(K189,ABBR!A:D,1,FALSE)),ISERROR(VLOOKUP(C189,ABBR!A:D,1,FALSE))),"")</f>
        <v/>
      </c>
      <c r="P189" t="str">
        <f>VLOOKUP(A189,Groups!A:L,5,FALSE)</f>
        <v>SAMP</v>
      </c>
      <c r="Q189" s="62" t="str">
        <f>IF(G189="PA",IF(M189&lt;&gt;"",ISERROR(VLOOKUP(M189,ABBR!C:F,1,FALSE)),ISERROR(VLOOKUP(E189,ABBR!C:F,1,FALSE))),"")</f>
        <v/>
      </c>
    </row>
    <row r="190" spans="1:17" hidden="1" x14ac:dyDescent="0.25">
      <c r="A190" s="16" t="s">
        <v>64</v>
      </c>
      <c r="B190" s="17"/>
      <c r="C190" s="16" t="s">
        <v>868</v>
      </c>
      <c r="D190" s="17"/>
      <c r="E190" s="17" t="s">
        <v>608</v>
      </c>
      <c r="F190" s="18" t="s">
        <v>869</v>
      </c>
      <c r="G190" s="51" t="s">
        <v>870</v>
      </c>
      <c r="H190" s="17">
        <v>8</v>
      </c>
      <c r="O190" s="62" t="str">
        <f>IF(E190="PA",IF(K190&lt;&gt;"",ISERROR(VLOOKUP(K190,ABBR!A:D,1,FALSE)),ISERROR(VLOOKUP(C190,ABBR!A:D,1,FALSE))),"")</f>
        <v/>
      </c>
      <c r="P190" t="str">
        <f>VLOOKUP(A190,Groups!A:L,5,FALSE)</f>
        <v>SAMP</v>
      </c>
      <c r="Q190" s="62" t="str">
        <f>IF(G190="PA",IF(M190&lt;&gt;"",ISERROR(VLOOKUP(M190,ABBR!C:F,1,FALSE)),ISERROR(VLOOKUP(E190,ABBR!C:F,1,FALSE))),"")</f>
        <v/>
      </c>
    </row>
    <row r="191" spans="1:17" ht="25" hidden="1" x14ac:dyDescent="0.25">
      <c r="A191" s="16" t="s">
        <v>64</v>
      </c>
      <c r="B191" s="17"/>
      <c r="C191" s="16" t="s">
        <v>871</v>
      </c>
      <c r="D191" s="17"/>
      <c r="E191" s="17" t="s">
        <v>608</v>
      </c>
      <c r="F191" s="18" t="s">
        <v>872</v>
      </c>
      <c r="G191" s="49" t="s">
        <v>873</v>
      </c>
      <c r="H191" s="17">
        <v>9</v>
      </c>
      <c r="O191" s="62" t="str">
        <f>IF(E191="PA",IF(K191&lt;&gt;"",ISERROR(VLOOKUP(K191,ABBR!A:D,1,FALSE)),ISERROR(VLOOKUP(C191,ABBR!A:D,1,FALSE))),"")</f>
        <v/>
      </c>
      <c r="P191" t="str">
        <f>VLOOKUP(A191,Groups!A:L,5,FALSE)</f>
        <v>SAMP</v>
      </c>
      <c r="Q191" s="62" t="str">
        <f>IF(G191="PA",IF(M191&lt;&gt;"",ISERROR(VLOOKUP(M191,ABBR!C:F,1,FALSE)),ISERROR(VLOOKUP(E191,ABBR!C:F,1,FALSE))),"")</f>
        <v/>
      </c>
    </row>
    <row r="192" spans="1:17" hidden="1" x14ac:dyDescent="0.25">
      <c r="A192" s="16" t="s">
        <v>64</v>
      </c>
      <c r="B192" s="17"/>
      <c r="C192" s="16" t="s">
        <v>1089</v>
      </c>
      <c r="D192" s="17"/>
      <c r="E192" s="17" t="s">
        <v>767</v>
      </c>
      <c r="F192" s="18" t="s">
        <v>1090</v>
      </c>
      <c r="G192" s="49" t="s">
        <v>1091</v>
      </c>
      <c r="H192" s="17">
        <v>10</v>
      </c>
      <c r="O192" s="62" t="str">
        <f>IF(E192="PA",IF(K192&lt;&gt;"",ISERROR(VLOOKUP(K192,ABBR!A:D,1,FALSE)),ISERROR(VLOOKUP(C192,ABBR!A:D,1,FALSE))),"")</f>
        <v/>
      </c>
      <c r="P192" t="str">
        <f>VLOOKUP(A192,Groups!A:L,5,FALSE)</f>
        <v>SAMP</v>
      </c>
      <c r="Q192" s="62" t="str">
        <f>IF(G192="PA",IF(M192&lt;&gt;"",ISERROR(VLOOKUP(M192,ABBR!C:F,1,FALSE)),ISERROR(VLOOKUP(E192,ABBR!C:F,1,FALSE))),"")</f>
        <v/>
      </c>
    </row>
    <row r="193" spans="1:17" hidden="1" x14ac:dyDescent="0.25">
      <c r="A193" s="16" t="s">
        <v>64</v>
      </c>
      <c r="B193" s="17"/>
      <c r="C193" s="16" t="s">
        <v>1092</v>
      </c>
      <c r="D193" s="17" t="s">
        <v>766</v>
      </c>
      <c r="E193" s="17" t="s">
        <v>767</v>
      </c>
      <c r="F193" s="18" t="s">
        <v>1093</v>
      </c>
      <c r="G193" s="49" t="s">
        <v>910</v>
      </c>
      <c r="H193" s="17">
        <v>11</v>
      </c>
      <c r="O193" s="62" t="str">
        <f>IF(E193="PA",IF(K193&lt;&gt;"",ISERROR(VLOOKUP(K193,ABBR!A:D,1,FALSE)),ISERROR(VLOOKUP(C193,ABBR!A:D,1,FALSE))),"")</f>
        <v/>
      </c>
      <c r="P193" t="str">
        <f>VLOOKUP(A193,Groups!A:L,5,FALSE)</f>
        <v>SAMP</v>
      </c>
      <c r="Q193" s="62" t="str">
        <f>IF(G193="PA",IF(M193&lt;&gt;"",ISERROR(VLOOKUP(M193,ABBR!C:F,1,FALSE)),ISERROR(VLOOKUP(E193,ABBR!C:F,1,FALSE))),"")</f>
        <v/>
      </c>
    </row>
    <row r="194" spans="1:17" hidden="1" x14ac:dyDescent="0.25">
      <c r="A194" s="16" t="s">
        <v>64</v>
      </c>
      <c r="B194" s="17"/>
      <c r="C194" s="16" t="s">
        <v>1094</v>
      </c>
      <c r="D194" s="17"/>
      <c r="E194" s="17" t="s">
        <v>767</v>
      </c>
      <c r="F194" s="18" t="s">
        <v>1095</v>
      </c>
      <c r="G194" s="49" t="s">
        <v>1096</v>
      </c>
      <c r="H194" s="17">
        <v>12</v>
      </c>
      <c r="O194" s="62" t="str">
        <f>IF(E194="PA",IF(K194&lt;&gt;"",ISERROR(VLOOKUP(K194,ABBR!A:D,1,FALSE)),ISERROR(VLOOKUP(C194,ABBR!A:D,1,FALSE))),"")</f>
        <v/>
      </c>
      <c r="P194" t="str">
        <f>VLOOKUP(A194,Groups!A:L,5,FALSE)</f>
        <v>SAMP</v>
      </c>
      <c r="Q194" s="62" t="str">
        <f>IF(G194="PA",IF(M194&lt;&gt;"",ISERROR(VLOOKUP(M194,ABBR!C:F,1,FALSE)),ISERROR(VLOOKUP(E194,ABBR!C:F,1,FALSE))),"")</f>
        <v/>
      </c>
    </row>
    <row r="195" spans="1:17" ht="50" hidden="1" x14ac:dyDescent="0.25">
      <c r="A195" s="16" t="s">
        <v>64</v>
      </c>
      <c r="B195" s="17"/>
      <c r="C195" s="16" t="s">
        <v>1097</v>
      </c>
      <c r="D195" s="17"/>
      <c r="E195" s="17" t="s">
        <v>608</v>
      </c>
      <c r="F195" s="18" t="s">
        <v>980</v>
      </c>
      <c r="G195" s="49" t="s">
        <v>1098</v>
      </c>
      <c r="H195" s="17">
        <v>13</v>
      </c>
      <c r="O195" s="62" t="str">
        <f>IF(E195="PA",IF(K195&lt;&gt;"",ISERROR(VLOOKUP(K195,ABBR!A:D,1,FALSE)),ISERROR(VLOOKUP(C195,ABBR!A:D,1,FALSE))),"")</f>
        <v/>
      </c>
      <c r="P195" t="str">
        <f>VLOOKUP(A195,Groups!A:L,5,FALSE)</f>
        <v>SAMP</v>
      </c>
      <c r="Q195" s="62" t="str">
        <f>IF(G195="PA",IF(M195&lt;&gt;"",ISERROR(VLOOKUP(M195,ABBR!C:F,1,FALSE)),ISERROR(VLOOKUP(E195,ABBR!C:F,1,FALSE))),"")</f>
        <v/>
      </c>
    </row>
    <row r="196" spans="1:17" ht="37.5" hidden="1" x14ac:dyDescent="0.25">
      <c r="A196" s="16" t="s">
        <v>64</v>
      </c>
      <c r="B196" s="17"/>
      <c r="C196" s="16" t="s">
        <v>1099</v>
      </c>
      <c r="D196" s="17"/>
      <c r="E196" s="17" t="s">
        <v>608</v>
      </c>
      <c r="F196" s="18" t="s">
        <v>1100</v>
      </c>
      <c r="G196" s="49" t="s">
        <v>1101</v>
      </c>
      <c r="H196" s="17">
        <v>14</v>
      </c>
      <c r="O196" s="62" t="str">
        <f>IF(E196="PA",IF(K196&lt;&gt;"",ISERROR(VLOOKUP(K196,ABBR!A:D,1,FALSE)),ISERROR(VLOOKUP(C196,ABBR!A:D,1,FALSE))),"")</f>
        <v/>
      </c>
      <c r="P196" t="str">
        <f>VLOOKUP(A196,Groups!A:L,5,FALSE)</f>
        <v>SAMP</v>
      </c>
      <c r="Q196" s="62" t="str">
        <f>IF(G196="PA",IF(M196&lt;&gt;"",ISERROR(VLOOKUP(M196,ABBR!C:F,1,FALSE)),ISERROR(VLOOKUP(E196,ABBR!C:F,1,FALSE))),"")</f>
        <v/>
      </c>
    </row>
    <row r="197" spans="1:17" hidden="1" x14ac:dyDescent="0.25">
      <c r="A197" s="16" t="s">
        <v>64</v>
      </c>
      <c r="B197" s="17"/>
      <c r="C197" s="16" t="s">
        <v>1102</v>
      </c>
      <c r="D197" s="17"/>
      <c r="E197" s="17" t="s">
        <v>608</v>
      </c>
      <c r="F197" s="18" t="s">
        <v>642</v>
      </c>
      <c r="G197" s="49" t="s">
        <v>16</v>
      </c>
      <c r="H197" s="17">
        <v>15</v>
      </c>
      <c r="M197" s="101"/>
      <c r="O197" s="62" t="str">
        <f>IF(E197="PA",IF(K197&lt;&gt;"",ISERROR(VLOOKUP(K197,ABBR!A:D,1,FALSE)),ISERROR(VLOOKUP(C197,ABBR!A:D,1,FALSE))),"")</f>
        <v/>
      </c>
      <c r="P197" t="str">
        <f>VLOOKUP(A197,Groups!A:L,5,FALSE)</f>
        <v>SAMP</v>
      </c>
      <c r="Q197" s="62" t="str">
        <f>IF(G197="PA",IF(M197&lt;&gt;"",ISERROR(VLOOKUP(M197,ABBR!C:F,1,FALSE)),ISERROR(VLOOKUP(E197,ABBR!C:F,1,FALSE))),"")</f>
        <v/>
      </c>
    </row>
    <row r="198" spans="1:17" hidden="1" x14ac:dyDescent="0.25">
      <c r="A198" s="16" t="s">
        <v>64</v>
      </c>
      <c r="B198" s="17"/>
      <c r="C198" s="16" t="s">
        <v>1103</v>
      </c>
      <c r="D198" s="17"/>
      <c r="E198" s="17" t="s">
        <v>608</v>
      </c>
      <c r="F198" s="18" t="s">
        <v>918</v>
      </c>
      <c r="G198" s="49" t="s">
        <v>1082</v>
      </c>
      <c r="H198" s="17">
        <v>16</v>
      </c>
      <c r="O198" s="62" t="str">
        <f>IF(E198="PA",IF(K198&lt;&gt;"",ISERROR(VLOOKUP(K198,ABBR!A:D,1,FALSE)),ISERROR(VLOOKUP(C198,ABBR!A:D,1,FALSE))),"")</f>
        <v/>
      </c>
      <c r="P198" t="str">
        <f>VLOOKUP(A198,Groups!A:L,5,FALSE)</f>
        <v>SAMP</v>
      </c>
      <c r="Q198" s="62" t="str">
        <f>IF(G198="PA",IF(M198&lt;&gt;"",ISERROR(VLOOKUP(M198,ABBR!C:F,1,FALSE)),ISERROR(VLOOKUP(E198,ABBR!C:F,1,FALSE))),"")</f>
        <v/>
      </c>
    </row>
    <row r="199" spans="1:17" hidden="1" x14ac:dyDescent="0.25">
      <c r="A199" s="16" t="s">
        <v>64</v>
      </c>
      <c r="B199" s="17"/>
      <c r="C199" s="16" t="s">
        <v>1104</v>
      </c>
      <c r="D199" s="17"/>
      <c r="E199" s="17" t="s">
        <v>608</v>
      </c>
      <c r="F199" s="18" t="s">
        <v>950</v>
      </c>
      <c r="G199" s="27" t="s">
        <v>951</v>
      </c>
      <c r="H199" s="17">
        <v>17</v>
      </c>
      <c r="O199" s="62" t="str">
        <f>IF(E199="PA",IF(K199&lt;&gt;"",ISERROR(VLOOKUP(K199,ABBR!A:D,1,FALSE)),ISERROR(VLOOKUP(C199,ABBR!A:D,1,FALSE))),"")</f>
        <v/>
      </c>
      <c r="P199" t="str">
        <f>VLOOKUP(A199,Groups!A:L,5,FALSE)</f>
        <v>SAMP</v>
      </c>
      <c r="Q199" s="62" t="str">
        <f>IF(G199="PA",IF(M199&lt;&gt;"",ISERROR(VLOOKUP(M199,ABBR!C:F,1,FALSE)),ISERROR(VLOOKUP(E199,ABBR!C:F,1,FALSE))),"")</f>
        <v/>
      </c>
    </row>
    <row r="200" spans="1:17" ht="25" hidden="1" x14ac:dyDescent="0.25">
      <c r="A200" s="16" t="s">
        <v>64</v>
      </c>
      <c r="B200" s="17"/>
      <c r="C200" s="16" t="s">
        <v>1105</v>
      </c>
      <c r="D200" s="17"/>
      <c r="E200" s="17" t="s">
        <v>608</v>
      </c>
      <c r="F200" s="18" t="s">
        <v>934</v>
      </c>
      <c r="G200" s="49" t="s">
        <v>953</v>
      </c>
      <c r="H200" s="17">
        <v>18</v>
      </c>
      <c r="O200" s="62" t="str">
        <f>IF(E200="PA",IF(K200&lt;&gt;"",ISERROR(VLOOKUP(K200,ABBR!A:D,1,FALSE)),ISERROR(VLOOKUP(C200,ABBR!A:D,1,FALSE))),"")</f>
        <v/>
      </c>
      <c r="P200" t="str">
        <f>VLOOKUP(A200,Groups!A:L,5,FALSE)</f>
        <v>SAMP</v>
      </c>
      <c r="Q200" s="62" t="str">
        <f>IF(G200="PA",IF(M200&lt;&gt;"",ISERROR(VLOOKUP(M200,ABBR!C:F,1,FALSE)),ISERROR(VLOOKUP(E200,ABBR!C:F,1,FALSE))),"")</f>
        <v/>
      </c>
    </row>
    <row r="201" spans="1:17" hidden="1" x14ac:dyDescent="0.25">
      <c r="A201" s="16" t="s">
        <v>64</v>
      </c>
      <c r="B201" s="17"/>
      <c r="C201" s="16" t="s">
        <v>936</v>
      </c>
      <c r="D201" s="17"/>
      <c r="E201" s="22" t="s">
        <v>608</v>
      </c>
      <c r="F201" s="18" t="s">
        <v>937</v>
      </c>
      <c r="G201" s="49" t="s">
        <v>938</v>
      </c>
      <c r="H201" s="17">
        <v>19</v>
      </c>
      <c r="O201" s="62" t="str">
        <f>IF(E201="PA",IF(K201&lt;&gt;"",ISERROR(VLOOKUP(K201,ABBR!A:D,1,FALSE)),ISERROR(VLOOKUP(C201,ABBR!A:D,1,FALSE))),"")</f>
        <v/>
      </c>
      <c r="P201" t="str">
        <f>VLOOKUP(A201,Groups!A:L,5,FALSE)</f>
        <v>SAMP</v>
      </c>
      <c r="Q201" s="62" t="str">
        <f>IF(G201="PA",IF(M201&lt;&gt;"",ISERROR(VLOOKUP(M201,ABBR!C:F,1,FALSE)),ISERROR(VLOOKUP(E201,ABBR!C:F,1,FALSE))),"")</f>
        <v/>
      </c>
    </row>
    <row r="202" spans="1:17" hidden="1" x14ac:dyDescent="0.25">
      <c r="A202" s="16" t="s">
        <v>64</v>
      </c>
      <c r="B202" s="17"/>
      <c r="C202" s="16" t="s">
        <v>643</v>
      </c>
      <c r="D202" s="17"/>
      <c r="E202" s="17" t="s">
        <v>608</v>
      </c>
      <c r="F202" s="18" t="s">
        <v>954</v>
      </c>
      <c r="G202" s="49" t="s">
        <v>940</v>
      </c>
      <c r="H202" s="17">
        <v>20</v>
      </c>
      <c r="O202" s="62" t="str">
        <f>IF(E202="PA",IF(K202&lt;&gt;"",ISERROR(VLOOKUP(K202,ABBR!A:D,1,FALSE)),ISERROR(VLOOKUP(C202,ABBR!A:D,1,FALSE))),"")</f>
        <v/>
      </c>
      <c r="P202" t="str">
        <f>VLOOKUP(A202,Groups!A:L,5,FALSE)</f>
        <v>SAMP</v>
      </c>
      <c r="Q202" s="62" t="str">
        <f>IF(G202="PA",IF(M202&lt;&gt;"",ISERROR(VLOOKUP(M202,ABBR!C:F,1,FALSE)),ISERROR(VLOOKUP(E202,ABBR!C:F,1,FALSE))),"")</f>
        <v/>
      </c>
    </row>
    <row r="203" spans="1:17" hidden="1" x14ac:dyDescent="0.25">
      <c r="A203" s="16" t="s">
        <v>64</v>
      </c>
      <c r="B203" s="17"/>
      <c r="C203" s="16" t="s">
        <v>877</v>
      </c>
      <c r="D203" s="17" t="s">
        <v>600</v>
      </c>
      <c r="E203" s="17" t="s">
        <v>601</v>
      </c>
      <c r="F203" s="18" t="s">
        <v>878</v>
      </c>
      <c r="G203" s="49" t="s">
        <v>879</v>
      </c>
      <c r="H203" s="17">
        <v>21</v>
      </c>
      <c r="I203" s="30" t="s">
        <v>955</v>
      </c>
      <c r="J203" s="80">
        <v>4.0999999999999996</v>
      </c>
      <c r="O203" s="62" t="str">
        <f>IF(E203="PA",IF(K203&lt;&gt;"",ISERROR(VLOOKUP(K203,ABBR!A:D,1,FALSE)),ISERROR(VLOOKUP(C203,ABBR!A:D,1,FALSE))),"")</f>
        <v/>
      </c>
      <c r="P203" t="str">
        <f>VLOOKUP(A203,Groups!A:L,5,FALSE)</f>
        <v>SAMP</v>
      </c>
      <c r="Q203" s="62" t="str">
        <f>IF(G203="PA",IF(M203&lt;&gt;"",ISERROR(VLOOKUP(M203,ABBR!C:F,1,FALSE)),ISERROR(VLOOKUP(E203,ABBR!C:F,1,FALSE))),"")</f>
        <v/>
      </c>
    </row>
    <row r="204" spans="1:17" hidden="1" x14ac:dyDescent="0.25">
      <c r="A204" s="16" t="s">
        <v>64</v>
      </c>
      <c r="B204" s="17"/>
      <c r="C204" s="16" t="s">
        <v>1106</v>
      </c>
      <c r="D204" s="17"/>
      <c r="E204" s="17" t="s">
        <v>608</v>
      </c>
      <c r="F204" s="18" t="s">
        <v>921</v>
      </c>
      <c r="G204" s="94" t="s">
        <v>922</v>
      </c>
      <c r="H204" s="17">
        <v>22</v>
      </c>
      <c r="I204" s="30" t="s">
        <v>955</v>
      </c>
      <c r="J204" s="80">
        <v>4.0999999999999996</v>
      </c>
      <c r="M204" s="101"/>
      <c r="O204" s="62" t="str">
        <f>IF(E204="PA",IF(K204&lt;&gt;"",ISERROR(VLOOKUP(K204,ABBR!A:D,1,FALSE)),ISERROR(VLOOKUP(C204,ABBR!A:D,1,FALSE))),"")</f>
        <v/>
      </c>
      <c r="P204" t="str">
        <f>VLOOKUP(A204,Groups!A:L,5,FALSE)</f>
        <v>SAMP</v>
      </c>
      <c r="Q204" s="62" t="str">
        <f>IF(G204="PA",IF(M204&lt;&gt;"",ISERROR(VLOOKUP(M204,ABBR!C:F,1,FALSE)),ISERROR(VLOOKUP(E204,ABBR!C:F,1,FALSE))),"")</f>
        <v/>
      </c>
    </row>
    <row r="205" spans="1:17" hidden="1" x14ac:dyDescent="0.25">
      <c r="A205" s="16" t="s">
        <v>64</v>
      </c>
      <c r="B205" s="17"/>
      <c r="C205" s="16" t="s">
        <v>1107</v>
      </c>
      <c r="D205" s="17" t="s">
        <v>924</v>
      </c>
      <c r="E205" s="17" t="s">
        <v>925</v>
      </c>
      <c r="F205" s="18" t="s">
        <v>926</v>
      </c>
      <c r="G205" s="49" t="s">
        <v>927</v>
      </c>
      <c r="H205" s="17">
        <v>23</v>
      </c>
      <c r="J205" s="62" t="s">
        <v>473</v>
      </c>
      <c r="K205" s="62"/>
      <c r="L205" s="62"/>
      <c r="M205" s="62"/>
      <c r="N205" s="62"/>
      <c r="O205" s="62" t="str">
        <f>IF(E205="PA",IF(K205&lt;&gt;"",ISERROR(VLOOKUP(K205,ABBR!A:D,1,FALSE)),ISERROR(VLOOKUP(C205,ABBR!A:D,1,FALSE))),"")</f>
        <v/>
      </c>
      <c r="P205" t="str">
        <f>VLOOKUP(A205,Groups!A:L,5,FALSE)</f>
        <v>SAMP</v>
      </c>
      <c r="Q205" s="62" t="str">
        <f>IF(G205="PA",IF(M205&lt;&gt;"",ISERROR(VLOOKUP(M205,ABBR!C:F,1,FALSE)),ISERROR(VLOOKUP(E205,ABBR!C:F,1,FALSE))),"")</f>
        <v/>
      </c>
    </row>
    <row r="206" spans="1:17" hidden="1" x14ac:dyDescent="0.25">
      <c r="A206" s="16" t="s">
        <v>64</v>
      </c>
      <c r="B206" s="17"/>
      <c r="C206" s="16" t="s">
        <v>1108</v>
      </c>
      <c r="D206" s="17"/>
      <c r="E206" s="17" t="s">
        <v>608</v>
      </c>
      <c r="F206" s="18" t="s">
        <v>875</v>
      </c>
      <c r="G206" s="49" t="s">
        <v>876</v>
      </c>
      <c r="H206" s="17">
        <v>24</v>
      </c>
      <c r="J206" s="62" t="s">
        <v>473</v>
      </c>
      <c r="K206" s="62"/>
      <c r="L206" s="62"/>
      <c r="M206" s="62"/>
      <c r="N206" s="62"/>
      <c r="O206" s="62" t="str">
        <f>IF(E206="PA",IF(K206&lt;&gt;"",ISERROR(VLOOKUP(K206,ABBR!A:D,1,FALSE)),ISERROR(VLOOKUP(C206,ABBR!A:D,1,FALSE))),"")</f>
        <v/>
      </c>
      <c r="P206" t="str">
        <f>VLOOKUP(A206,Groups!A:L,5,FALSE)</f>
        <v>SAMP</v>
      </c>
      <c r="Q206" s="62" t="str">
        <f>IF(G206="PA",IF(M206&lt;&gt;"",ISERROR(VLOOKUP(M206,ABBR!C:F,1,FALSE)),ISERROR(VLOOKUP(E206,ABBR!C:F,1,FALSE))),"")</f>
        <v/>
      </c>
    </row>
    <row r="207" spans="1:17" hidden="1" x14ac:dyDescent="0.25">
      <c r="A207" s="16" t="s">
        <v>64</v>
      </c>
      <c r="B207" s="17"/>
      <c r="C207" s="16" t="s">
        <v>1109</v>
      </c>
      <c r="D207" s="17"/>
      <c r="E207" s="17" t="s">
        <v>608</v>
      </c>
      <c r="F207" s="18" t="s">
        <v>929</v>
      </c>
      <c r="G207" s="49" t="s">
        <v>876</v>
      </c>
      <c r="H207" s="17">
        <v>25</v>
      </c>
      <c r="J207" s="62" t="s">
        <v>473</v>
      </c>
      <c r="K207" s="62"/>
      <c r="L207" s="62"/>
      <c r="M207" s="62"/>
      <c r="N207" s="62"/>
      <c r="O207" s="62" t="str">
        <f>IF(E207="PA",IF(K207&lt;&gt;"",ISERROR(VLOOKUP(K207,ABBR!A:D,1,FALSE)),ISERROR(VLOOKUP(C207,ABBR!A:D,1,FALSE))),"")</f>
        <v/>
      </c>
      <c r="P207" t="str">
        <f>VLOOKUP(A207,Groups!A:L,5,FALSE)</f>
        <v>SAMP</v>
      </c>
      <c r="Q207" s="62" t="str">
        <f>IF(G207="PA",IF(M207&lt;&gt;"",ISERROR(VLOOKUP(M207,ABBR!C:F,1,FALSE)),ISERROR(VLOOKUP(E207,ABBR!C:F,1,FALSE))),"")</f>
        <v/>
      </c>
    </row>
    <row r="208" spans="1:17" hidden="1" x14ac:dyDescent="0.25">
      <c r="A208" s="16" t="s">
        <v>569</v>
      </c>
      <c r="B208" s="17" t="s">
        <v>594</v>
      </c>
      <c r="C208" s="16" t="s">
        <v>595</v>
      </c>
      <c r="D208" s="17"/>
      <c r="E208" s="17" t="s">
        <v>596</v>
      </c>
      <c r="F208" s="18" t="s">
        <v>597</v>
      </c>
      <c r="G208" s="49" t="s">
        <v>598</v>
      </c>
      <c r="H208" s="17">
        <v>1</v>
      </c>
      <c r="J208" s="62" t="s">
        <v>532</v>
      </c>
      <c r="K208" s="62"/>
      <c r="L208" s="62"/>
      <c r="M208" s="62"/>
      <c r="N208" s="62"/>
      <c r="O208" s="62" t="str">
        <f>IF(E208="PA",IF(K208&lt;&gt;"",ISERROR(VLOOKUP(K208,ABBR!A:D,1,FALSE)),ISERROR(VLOOKUP(C208,ABBR!A:D,1,FALSE))),"")</f>
        <v/>
      </c>
      <c r="P208" t="str">
        <f>VLOOKUP(A208,Groups!A:L,5,FALSE)</f>
        <v>SAMP</v>
      </c>
      <c r="Q208" s="62" t="str">
        <f>IF(G208="PA",IF(M208&lt;&gt;"",ISERROR(VLOOKUP(M208,ABBR!C:F,1,FALSE)),ISERROR(VLOOKUP(E208,ABBR!C:F,1,FALSE))),"")</f>
        <v/>
      </c>
    </row>
    <row r="209" spans="1:17" hidden="1" x14ac:dyDescent="0.25">
      <c r="A209" s="16" t="s">
        <v>569</v>
      </c>
      <c r="B209" s="17" t="s">
        <v>594</v>
      </c>
      <c r="C209" s="16" t="s">
        <v>851</v>
      </c>
      <c r="D209" s="17" t="s">
        <v>600</v>
      </c>
      <c r="E209" s="17" t="s">
        <v>601</v>
      </c>
      <c r="F209" s="18" t="s">
        <v>852</v>
      </c>
      <c r="G209" s="49" t="s">
        <v>853</v>
      </c>
      <c r="H209" s="17">
        <f t="shared" ref="H209:H235" si="1">H208+1</f>
        <v>2</v>
      </c>
      <c r="J209" s="62" t="s">
        <v>532</v>
      </c>
      <c r="K209" s="62"/>
      <c r="L209" s="62"/>
      <c r="M209" s="62"/>
      <c r="N209" s="62"/>
      <c r="O209" s="62" t="str">
        <f>IF(E209="PA",IF(K209&lt;&gt;"",ISERROR(VLOOKUP(K209,ABBR!A:D,1,FALSE)),ISERROR(VLOOKUP(C209,ABBR!A:D,1,FALSE))),"")</f>
        <v/>
      </c>
      <c r="P209" t="str">
        <f>VLOOKUP(A209,Groups!A:L,5,FALSE)</f>
        <v>SAMP</v>
      </c>
      <c r="Q209" s="62" t="str">
        <f>IF(G209="PA",IF(M209&lt;&gt;"",ISERROR(VLOOKUP(M209,ABBR!C:F,1,FALSE)),ISERROR(VLOOKUP(E209,ABBR!C:F,1,FALSE))),"")</f>
        <v/>
      </c>
    </row>
    <row r="210" spans="1:17" hidden="1" x14ac:dyDescent="0.25">
      <c r="A210" s="16" t="s">
        <v>569</v>
      </c>
      <c r="B210" s="17" t="s">
        <v>594</v>
      </c>
      <c r="C210" s="16" t="s">
        <v>854</v>
      </c>
      <c r="D210" s="17"/>
      <c r="E210" s="17" t="s">
        <v>608</v>
      </c>
      <c r="F210" s="18" t="s">
        <v>855</v>
      </c>
      <c r="G210" s="49" t="s">
        <v>856</v>
      </c>
      <c r="H210" s="17">
        <f t="shared" si="1"/>
        <v>3</v>
      </c>
      <c r="J210" s="62" t="s">
        <v>532</v>
      </c>
      <c r="K210" s="62"/>
      <c r="L210" s="62"/>
      <c r="M210" s="62"/>
      <c r="N210" s="62"/>
      <c r="O210" s="62" t="str">
        <f>IF(E210="PA",IF(K210&lt;&gt;"",ISERROR(VLOOKUP(K210,ABBR!A:D,1,FALSE)),ISERROR(VLOOKUP(C210,ABBR!A:D,1,FALSE))),"")</f>
        <v/>
      </c>
      <c r="P210" t="str">
        <f>VLOOKUP(A210,Groups!A:L,5,FALSE)</f>
        <v>SAMP</v>
      </c>
      <c r="Q210" s="62" t="str">
        <f>IF(G210="PA",IF(M210&lt;&gt;"",ISERROR(VLOOKUP(M210,ABBR!C:F,1,FALSE)),ISERROR(VLOOKUP(E210,ABBR!C:F,1,FALSE))),"")</f>
        <v/>
      </c>
    </row>
    <row r="211" spans="1:17" hidden="1" x14ac:dyDescent="0.25">
      <c r="A211" s="16" t="s">
        <v>569</v>
      </c>
      <c r="B211" s="17" t="s">
        <v>594</v>
      </c>
      <c r="C211" s="16" t="s">
        <v>857</v>
      </c>
      <c r="D211" s="17"/>
      <c r="E211" s="17" t="s">
        <v>618</v>
      </c>
      <c r="F211" s="18" t="s">
        <v>858</v>
      </c>
      <c r="G211" s="49" t="s">
        <v>859</v>
      </c>
      <c r="H211" s="17">
        <f t="shared" si="1"/>
        <v>4</v>
      </c>
      <c r="J211" s="62" t="s">
        <v>532</v>
      </c>
      <c r="K211" s="62"/>
      <c r="L211" s="62"/>
      <c r="M211" s="62"/>
      <c r="N211" s="62"/>
      <c r="O211" s="62" t="b">
        <f>IF(E211="PA",IF(K211&lt;&gt;"",ISERROR(VLOOKUP(K211,ABBR!A:D,1,FALSE)),ISERROR(VLOOKUP(C211,ABBR!A:D,1,FALSE))),"")</f>
        <v>0</v>
      </c>
      <c r="P211" t="str">
        <f>VLOOKUP(A211,Groups!A:L,5,FALSE)</f>
        <v>SAMP</v>
      </c>
      <c r="Q211" s="62" t="str">
        <f>IF(G211="PA",IF(M211&lt;&gt;"",ISERROR(VLOOKUP(M211,ABBR!C:F,1,FALSE)),ISERROR(VLOOKUP(E211,ABBR!C:F,1,FALSE))),"")</f>
        <v/>
      </c>
    </row>
    <row r="212" spans="1:17" hidden="1" x14ac:dyDescent="0.25">
      <c r="A212" s="16" t="s">
        <v>569</v>
      </c>
      <c r="B212" s="17" t="s">
        <v>594</v>
      </c>
      <c r="C212" s="16" t="s">
        <v>860</v>
      </c>
      <c r="D212" s="17"/>
      <c r="E212" s="17" t="s">
        <v>596</v>
      </c>
      <c r="F212" s="18" t="s">
        <v>861</v>
      </c>
      <c r="G212" s="49" t="s">
        <v>862</v>
      </c>
      <c r="H212" s="17">
        <f t="shared" si="1"/>
        <v>5</v>
      </c>
      <c r="J212" s="62" t="s">
        <v>532</v>
      </c>
      <c r="K212" s="62"/>
      <c r="L212" s="62"/>
      <c r="M212" s="62"/>
      <c r="N212" s="62"/>
      <c r="O212" s="62" t="str">
        <f>IF(E212="PA",IF(K212&lt;&gt;"",ISERROR(VLOOKUP(K212,ABBR!A:D,1,FALSE)),ISERROR(VLOOKUP(C212,ABBR!A:D,1,FALSE))),"")</f>
        <v/>
      </c>
      <c r="P212" t="str">
        <f>VLOOKUP(A212,Groups!A:L,5,FALSE)</f>
        <v>SAMP</v>
      </c>
      <c r="Q212" s="62" t="str">
        <f>IF(G212="PA",IF(M212&lt;&gt;"",ISERROR(VLOOKUP(M212,ABBR!C:F,1,FALSE)),ISERROR(VLOOKUP(E212,ABBR!C:F,1,FALSE))),"")</f>
        <v/>
      </c>
    </row>
    <row r="213" spans="1:17" hidden="1" x14ac:dyDescent="0.25">
      <c r="A213" s="16" t="s">
        <v>569</v>
      </c>
      <c r="B213" s="17" t="s">
        <v>594</v>
      </c>
      <c r="C213" s="16" t="s">
        <v>863</v>
      </c>
      <c r="D213" s="17"/>
      <c r="E213" s="17" t="s">
        <v>608</v>
      </c>
      <c r="F213" s="18" t="s">
        <v>864</v>
      </c>
      <c r="G213" s="49" t="s">
        <v>865</v>
      </c>
      <c r="H213" s="17">
        <f t="shared" si="1"/>
        <v>6</v>
      </c>
      <c r="J213" s="62" t="s">
        <v>532</v>
      </c>
      <c r="K213" s="62"/>
      <c r="L213" s="62"/>
      <c r="M213" s="62"/>
      <c r="N213" s="62"/>
      <c r="O213" s="62" t="str">
        <f>IF(E213="PA",IF(K213&lt;&gt;"",ISERROR(VLOOKUP(K213,ABBR!A:D,1,FALSE)),ISERROR(VLOOKUP(C213,ABBR!A:D,1,FALSE))),"")</f>
        <v/>
      </c>
      <c r="P213" t="str">
        <f>VLOOKUP(A213,Groups!A:L,5,FALSE)</f>
        <v>SAMP</v>
      </c>
      <c r="Q213" s="62" t="str">
        <f>IF(G213="PA",IF(M213&lt;&gt;"",ISERROR(VLOOKUP(M213,ABBR!C:F,1,FALSE)),ISERROR(VLOOKUP(E213,ABBR!C:F,1,FALSE))),"")</f>
        <v/>
      </c>
    </row>
    <row r="214" spans="1:17" hidden="1" x14ac:dyDescent="0.25">
      <c r="A214" s="16" t="s">
        <v>569</v>
      </c>
      <c r="B214" s="17" t="s">
        <v>594</v>
      </c>
      <c r="C214" s="16" t="s">
        <v>866</v>
      </c>
      <c r="D214" s="17" t="s">
        <v>600</v>
      </c>
      <c r="E214" s="17" t="s">
        <v>601</v>
      </c>
      <c r="F214" s="18" t="s">
        <v>867</v>
      </c>
      <c r="G214" s="49" t="s">
        <v>853</v>
      </c>
      <c r="H214" s="17">
        <f t="shared" si="1"/>
        <v>7</v>
      </c>
      <c r="J214" s="62" t="s">
        <v>532</v>
      </c>
      <c r="K214" s="62"/>
      <c r="L214" s="62"/>
      <c r="M214" s="62"/>
      <c r="N214" s="62"/>
      <c r="O214" s="62" t="str">
        <f>IF(E214="PA",IF(K214&lt;&gt;"",ISERROR(VLOOKUP(K214,ABBR!A:D,1,FALSE)),ISERROR(VLOOKUP(C214,ABBR!A:D,1,FALSE))),"")</f>
        <v/>
      </c>
      <c r="P214" t="str">
        <f>VLOOKUP(A214,Groups!A:L,5,FALSE)</f>
        <v>SAMP</v>
      </c>
      <c r="Q214" s="62" t="str">
        <f>IF(G214="PA",IF(M214&lt;&gt;"",ISERROR(VLOOKUP(M214,ABBR!C:F,1,FALSE)),ISERROR(VLOOKUP(E214,ABBR!C:F,1,FALSE))),"")</f>
        <v/>
      </c>
    </row>
    <row r="215" spans="1:17" ht="25" hidden="1" x14ac:dyDescent="0.25">
      <c r="A215" s="16" t="s">
        <v>569</v>
      </c>
      <c r="B215" s="17"/>
      <c r="C215" s="16" t="s">
        <v>868</v>
      </c>
      <c r="D215" s="17"/>
      <c r="E215" s="17" t="s">
        <v>608</v>
      </c>
      <c r="F215" s="18" t="s">
        <v>869</v>
      </c>
      <c r="G215" s="49" t="s">
        <v>870</v>
      </c>
      <c r="H215" s="17">
        <f t="shared" si="1"/>
        <v>8</v>
      </c>
      <c r="J215" s="62" t="s">
        <v>532</v>
      </c>
      <c r="K215" s="62"/>
      <c r="L215" s="62"/>
      <c r="M215" s="62"/>
      <c r="N215" s="62"/>
      <c r="O215" s="62" t="str">
        <f>IF(E215="PA",IF(K215&lt;&gt;"",ISERROR(VLOOKUP(K215,ABBR!A:D,1,FALSE)),ISERROR(VLOOKUP(C215,ABBR!A:D,1,FALSE))),"")</f>
        <v/>
      </c>
      <c r="P215" t="str">
        <f>VLOOKUP(A215,Groups!A:L,5,FALSE)</f>
        <v>SAMP</v>
      </c>
      <c r="Q215" s="62" t="str">
        <f>IF(G215="PA",IF(M215&lt;&gt;"",ISERROR(VLOOKUP(M215,ABBR!C:F,1,FALSE)),ISERROR(VLOOKUP(E215,ABBR!C:F,1,FALSE))),"")</f>
        <v/>
      </c>
    </row>
    <row r="216" spans="1:17" ht="25" hidden="1" x14ac:dyDescent="0.25">
      <c r="A216" s="16" t="s">
        <v>569</v>
      </c>
      <c r="B216" s="17"/>
      <c r="C216" s="16" t="s">
        <v>871</v>
      </c>
      <c r="D216" s="17"/>
      <c r="E216" s="17" t="s">
        <v>608</v>
      </c>
      <c r="F216" s="18" t="s">
        <v>872</v>
      </c>
      <c r="G216" s="49" t="s">
        <v>873</v>
      </c>
      <c r="H216" s="17">
        <f t="shared" si="1"/>
        <v>9</v>
      </c>
      <c r="J216" s="62" t="s">
        <v>532</v>
      </c>
      <c r="K216" s="62"/>
      <c r="L216" s="62"/>
      <c r="M216" s="62"/>
      <c r="N216" s="62"/>
      <c r="O216" s="62" t="str">
        <f>IF(E216="PA",IF(K216&lt;&gt;"",ISERROR(VLOOKUP(K216,ABBR!A:D,1,FALSE)),ISERROR(VLOOKUP(C216,ABBR!A:D,1,FALSE))),"")</f>
        <v/>
      </c>
      <c r="P216" t="str">
        <f>VLOOKUP(A216,Groups!A:L,5,FALSE)</f>
        <v>SAMP</v>
      </c>
      <c r="Q216" s="62" t="str">
        <f>IF(G216="PA",IF(M216&lt;&gt;"",ISERROR(VLOOKUP(M216,ABBR!C:F,1,FALSE)),ISERROR(VLOOKUP(E216,ABBR!C:F,1,FALSE))),"")</f>
        <v/>
      </c>
    </row>
    <row r="217" spans="1:17" hidden="1" x14ac:dyDescent="0.25">
      <c r="A217" s="16" t="s">
        <v>569</v>
      </c>
      <c r="B217" s="17"/>
      <c r="C217" s="16" t="s">
        <v>1110</v>
      </c>
      <c r="D217" s="17"/>
      <c r="E217" s="17" t="s">
        <v>608</v>
      </c>
      <c r="F217" s="18" t="s">
        <v>875</v>
      </c>
      <c r="G217" s="49" t="s">
        <v>876</v>
      </c>
      <c r="H217" s="17">
        <f t="shared" si="1"/>
        <v>10</v>
      </c>
      <c r="J217" s="62" t="s">
        <v>473</v>
      </c>
      <c r="K217" s="62"/>
      <c r="L217" s="62"/>
      <c r="M217" s="62"/>
      <c r="N217" s="62"/>
      <c r="O217" s="62" t="str">
        <f>IF(E217="PA",IF(K217&lt;&gt;"",ISERROR(VLOOKUP(K217,ABBR!A:D,1,FALSE)),ISERROR(VLOOKUP(C217,ABBR!A:D,1,FALSE))),"")</f>
        <v/>
      </c>
      <c r="P217" t="str">
        <f>VLOOKUP(A217,Groups!A:L,5,FALSE)</f>
        <v>SAMP</v>
      </c>
      <c r="Q217" s="62" t="str">
        <f>IF(G217="PA",IF(M217&lt;&gt;"",ISERROR(VLOOKUP(M217,ABBR!C:F,1,FALSE)),ISERROR(VLOOKUP(E217,ABBR!C:F,1,FALSE))),"")</f>
        <v/>
      </c>
    </row>
    <row r="218" spans="1:17" hidden="1" x14ac:dyDescent="0.25">
      <c r="A218" s="16" t="s">
        <v>569</v>
      </c>
      <c r="B218" s="17"/>
      <c r="C218" s="16" t="s">
        <v>877</v>
      </c>
      <c r="D218" s="17" t="s">
        <v>600</v>
      </c>
      <c r="E218" s="17" t="s">
        <v>601</v>
      </c>
      <c r="F218" s="18" t="s">
        <v>878</v>
      </c>
      <c r="G218" s="49" t="s">
        <v>879</v>
      </c>
      <c r="H218" s="17">
        <f t="shared" si="1"/>
        <v>11</v>
      </c>
      <c r="J218" s="62" t="s">
        <v>532</v>
      </c>
      <c r="O218" s="62" t="str">
        <f>IF(E218="PA",IF(K218&lt;&gt;"",ISERROR(VLOOKUP(K218,ABBR!A:D,1,FALSE)),ISERROR(VLOOKUP(C218,ABBR!A:D,1,FALSE))),"")</f>
        <v/>
      </c>
      <c r="P218" t="str">
        <f>VLOOKUP(A218,Groups!A:L,5,FALSE)</f>
        <v>SAMP</v>
      </c>
      <c r="Q218" s="62" t="str">
        <f>IF(G218="PA",IF(M218&lt;&gt;"",ISERROR(VLOOKUP(M218,ABBR!C:F,1,FALSE)),ISERROR(VLOOKUP(E218,ABBR!C:F,1,FALSE))),"")</f>
        <v/>
      </c>
    </row>
    <row r="219" spans="1:17" hidden="1" x14ac:dyDescent="0.25">
      <c r="A219" s="16" t="s">
        <v>569</v>
      </c>
      <c r="B219" s="17"/>
      <c r="C219" s="16" t="s">
        <v>1111</v>
      </c>
      <c r="D219" s="17" t="s">
        <v>881</v>
      </c>
      <c r="E219" s="17" t="s">
        <v>882</v>
      </c>
      <c r="F219" s="18" t="s">
        <v>1112</v>
      </c>
      <c r="G219" s="49" t="s">
        <v>884</v>
      </c>
      <c r="H219" s="17">
        <f t="shared" si="1"/>
        <v>12</v>
      </c>
      <c r="J219" s="62" t="s">
        <v>532</v>
      </c>
      <c r="K219" s="62"/>
      <c r="L219" s="62"/>
      <c r="M219" s="62"/>
      <c r="N219" s="62"/>
      <c r="O219" s="62" t="str">
        <f>IF(E219="PA",IF(K219&lt;&gt;"",ISERROR(VLOOKUP(K219,ABBR!A:D,1,FALSE)),ISERROR(VLOOKUP(C219,ABBR!A:D,1,FALSE))),"")</f>
        <v/>
      </c>
      <c r="P219" t="str">
        <f>VLOOKUP(A219,Groups!A:L,5,FALSE)</f>
        <v>SAMP</v>
      </c>
      <c r="Q219" s="62" t="str">
        <f>IF(G219="PA",IF(M219&lt;&gt;"",ISERROR(VLOOKUP(M219,ABBR!C:F,1,FALSE)),ISERROR(VLOOKUP(E219,ABBR!C:F,1,FALSE))),"")</f>
        <v/>
      </c>
    </row>
    <row r="220" spans="1:17" hidden="1" x14ac:dyDescent="0.25">
      <c r="A220" s="16" t="s">
        <v>569</v>
      </c>
      <c r="B220" s="17"/>
      <c r="C220" s="16" t="s">
        <v>1113</v>
      </c>
      <c r="D220" s="17" t="s">
        <v>893</v>
      </c>
      <c r="E220" s="17" t="s">
        <v>767</v>
      </c>
      <c r="F220" s="18" t="s">
        <v>894</v>
      </c>
      <c r="G220" s="49" t="s">
        <v>1114</v>
      </c>
      <c r="H220" s="17">
        <f t="shared" si="1"/>
        <v>13</v>
      </c>
      <c r="J220" s="62" t="s">
        <v>532</v>
      </c>
      <c r="K220" s="62"/>
      <c r="L220" s="62"/>
      <c r="M220" s="62"/>
      <c r="N220" s="62"/>
      <c r="O220" s="62" t="str">
        <f>IF(E220="PA",IF(K220&lt;&gt;"",ISERROR(VLOOKUP(K220,ABBR!A:D,1,FALSE)),ISERROR(VLOOKUP(C220,ABBR!A:D,1,FALSE))),"")</f>
        <v/>
      </c>
      <c r="P220" t="str">
        <f>VLOOKUP(A220,Groups!A:L,5,FALSE)</f>
        <v>SAMP</v>
      </c>
      <c r="Q220" s="62" t="str">
        <f>IF(G220="PA",IF(M220&lt;&gt;"",ISERROR(VLOOKUP(M220,ABBR!C:F,1,FALSE)),ISERROR(VLOOKUP(E220,ABBR!C:F,1,FALSE))),"")</f>
        <v/>
      </c>
    </row>
    <row r="221" spans="1:17" hidden="1" x14ac:dyDescent="0.25">
      <c r="A221" s="16" t="s">
        <v>569</v>
      </c>
      <c r="B221" s="17"/>
      <c r="C221" s="16" t="s">
        <v>1115</v>
      </c>
      <c r="D221" s="17"/>
      <c r="E221" s="17" t="s">
        <v>767</v>
      </c>
      <c r="F221" s="18" t="s">
        <v>896</v>
      </c>
      <c r="G221" s="49" t="s">
        <v>1116</v>
      </c>
      <c r="H221" s="17">
        <f t="shared" si="1"/>
        <v>14</v>
      </c>
      <c r="J221" s="62" t="s">
        <v>532</v>
      </c>
      <c r="K221" s="62"/>
      <c r="L221" s="62"/>
      <c r="M221" s="62"/>
      <c r="N221" s="62"/>
      <c r="O221" s="62" t="str">
        <f>IF(E221="PA",IF(K221&lt;&gt;"",ISERROR(VLOOKUP(K221,ABBR!A:D,1,FALSE)),ISERROR(VLOOKUP(C221,ABBR!A:D,1,FALSE))),"")</f>
        <v/>
      </c>
      <c r="P221" t="str">
        <f>VLOOKUP(A221,Groups!A:L,5,FALSE)</f>
        <v>SAMP</v>
      </c>
      <c r="Q221" s="62" t="str">
        <f>IF(G221="PA",IF(M221&lt;&gt;"",ISERROR(VLOOKUP(M221,ABBR!C:F,1,FALSE)),ISERROR(VLOOKUP(E221,ABBR!C:F,1,FALSE))),"")</f>
        <v/>
      </c>
    </row>
    <row r="222" spans="1:17" hidden="1" x14ac:dyDescent="0.25">
      <c r="A222" s="16" t="s">
        <v>569</v>
      </c>
      <c r="B222" s="17"/>
      <c r="C222" s="16" t="s">
        <v>1117</v>
      </c>
      <c r="D222" s="17" t="s">
        <v>899</v>
      </c>
      <c r="E222" s="17" t="s">
        <v>767</v>
      </c>
      <c r="F222" s="18" t="s">
        <v>900</v>
      </c>
      <c r="G222" s="49" t="s">
        <v>897</v>
      </c>
      <c r="H222" s="17">
        <f t="shared" si="1"/>
        <v>15</v>
      </c>
      <c r="J222" s="62" t="s">
        <v>532</v>
      </c>
      <c r="K222" s="62"/>
      <c r="L222" s="62"/>
      <c r="M222" s="62"/>
      <c r="N222" s="62"/>
      <c r="O222" s="62" t="str">
        <f>IF(E222="PA",IF(K222&lt;&gt;"",ISERROR(VLOOKUP(K222,ABBR!A:D,1,FALSE)),ISERROR(VLOOKUP(C222,ABBR!A:D,1,FALSE))),"")</f>
        <v/>
      </c>
      <c r="P222" t="str">
        <f>VLOOKUP(A222,Groups!A:L,5,FALSE)</f>
        <v>SAMP</v>
      </c>
      <c r="Q222" s="62" t="str">
        <f>IF(G222="PA",IF(M222&lt;&gt;"",ISERROR(VLOOKUP(M222,ABBR!C:F,1,FALSE)),ISERROR(VLOOKUP(E222,ABBR!C:F,1,FALSE))),"")</f>
        <v/>
      </c>
    </row>
    <row r="223" spans="1:17" hidden="1" x14ac:dyDescent="0.25">
      <c r="A223" s="16" t="s">
        <v>569</v>
      </c>
      <c r="B223" s="17"/>
      <c r="C223" s="16" t="s">
        <v>1118</v>
      </c>
      <c r="D223" s="17"/>
      <c r="E223" s="17" t="s">
        <v>608</v>
      </c>
      <c r="F223" s="18" t="s">
        <v>902</v>
      </c>
      <c r="G223" s="49" t="s">
        <v>1119</v>
      </c>
      <c r="H223" s="17">
        <f t="shared" si="1"/>
        <v>16</v>
      </c>
      <c r="J223" s="62" t="s">
        <v>532</v>
      </c>
      <c r="K223" s="62"/>
      <c r="L223" s="62"/>
      <c r="M223" s="62"/>
      <c r="N223" s="62"/>
      <c r="O223" s="62" t="str">
        <f>IF(E223="PA",IF(K223&lt;&gt;"",ISERROR(VLOOKUP(K223,ABBR!A:D,1,FALSE)),ISERROR(VLOOKUP(C223,ABBR!A:D,1,FALSE))),"")</f>
        <v/>
      </c>
      <c r="P223" t="str">
        <f>VLOOKUP(A223,Groups!A:L,5,FALSE)</f>
        <v>SAMP</v>
      </c>
      <c r="Q223" s="62" t="str">
        <f>IF(G223="PA",IF(M223&lt;&gt;"",ISERROR(VLOOKUP(M223,ABBR!C:F,1,FALSE)),ISERROR(VLOOKUP(E223,ABBR!C:F,1,FALSE))),"")</f>
        <v/>
      </c>
    </row>
    <row r="224" spans="1:17" hidden="1" x14ac:dyDescent="0.25">
      <c r="A224" s="16" t="s">
        <v>569</v>
      </c>
      <c r="B224" s="17"/>
      <c r="C224" s="16" t="s">
        <v>1120</v>
      </c>
      <c r="D224" s="17"/>
      <c r="E224" s="17" t="s">
        <v>767</v>
      </c>
      <c r="F224" s="18" t="s">
        <v>1121</v>
      </c>
      <c r="G224" s="49" t="s">
        <v>1122</v>
      </c>
      <c r="H224" s="17">
        <f t="shared" si="1"/>
        <v>17</v>
      </c>
      <c r="J224" s="62" t="s">
        <v>1123</v>
      </c>
      <c r="K224" s="62"/>
      <c r="L224" s="62"/>
      <c r="M224" s="62"/>
      <c r="N224" s="62"/>
      <c r="O224" s="62" t="str">
        <f>IF(E224="PA",IF(K224&lt;&gt;"",ISERROR(VLOOKUP(K224,ABBR!A:D,1,FALSE)),ISERROR(VLOOKUP(C224,ABBR!A:D,1,FALSE))),"")</f>
        <v/>
      </c>
      <c r="P224" t="str">
        <f>VLOOKUP(A224,Groups!A:L,5,FALSE)</f>
        <v>SAMP</v>
      </c>
      <c r="Q224" s="62" t="str">
        <f>IF(G224="PA",IF(M224&lt;&gt;"",ISERROR(VLOOKUP(M224,ABBR!C:F,1,FALSE)),ISERROR(VLOOKUP(E224,ABBR!C:F,1,FALSE))),"")</f>
        <v/>
      </c>
    </row>
    <row r="225" spans="1:17" hidden="1" x14ac:dyDescent="0.25">
      <c r="A225" s="16" t="s">
        <v>569</v>
      </c>
      <c r="B225" s="17"/>
      <c r="C225" s="16" t="s">
        <v>1124</v>
      </c>
      <c r="D225" s="17" t="s">
        <v>908</v>
      </c>
      <c r="E225" s="17" t="s">
        <v>767</v>
      </c>
      <c r="F225" s="18" t="s">
        <v>909</v>
      </c>
      <c r="G225" s="49" t="s">
        <v>910</v>
      </c>
      <c r="H225" s="17">
        <f t="shared" si="1"/>
        <v>18</v>
      </c>
      <c r="J225" s="62" t="s">
        <v>532</v>
      </c>
      <c r="K225" s="62"/>
      <c r="L225" s="62"/>
      <c r="M225" s="62"/>
      <c r="N225" s="62"/>
      <c r="O225" s="62" t="str">
        <f>IF(E225="PA",IF(K225&lt;&gt;"",ISERROR(VLOOKUP(K225,ABBR!A:D,1,FALSE)),ISERROR(VLOOKUP(C225,ABBR!A:D,1,FALSE))),"")</f>
        <v/>
      </c>
      <c r="P225" t="str">
        <f>VLOOKUP(A225,Groups!A:L,5,FALSE)</f>
        <v>SAMP</v>
      </c>
      <c r="Q225" s="62" t="str">
        <f>IF(G225="PA",IF(M225&lt;&gt;"",ISERROR(VLOOKUP(M225,ABBR!C:F,1,FALSE)),ISERROR(VLOOKUP(E225,ABBR!C:F,1,FALSE))),"")</f>
        <v/>
      </c>
    </row>
    <row r="226" spans="1:17" hidden="1" x14ac:dyDescent="0.25">
      <c r="A226" s="16" t="s">
        <v>569</v>
      </c>
      <c r="B226" s="17"/>
      <c r="C226" s="16" t="s">
        <v>1125</v>
      </c>
      <c r="D226" s="17" t="s">
        <v>912</v>
      </c>
      <c r="E226" s="17" t="s">
        <v>767</v>
      </c>
      <c r="F226" s="18" t="s">
        <v>913</v>
      </c>
      <c r="G226" s="49" t="s">
        <v>914</v>
      </c>
      <c r="H226" s="17">
        <f t="shared" si="1"/>
        <v>19</v>
      </c>
      <c r="J226" s="62" t="s">
        <v>532</v>
      </c>
      <c r="K226" s="62"/>
      <c r="L226" s="62"/>
      <c r="M226" s="62"/>
      <c r="N226" s="62"/>
      <c r="O226" s="62" t="str">
        <f>IF(E226="PA",IF(K226&lt;&gt;"",ISERROR(VLOOKUP(K226,ABBR!A:D,1,FALSE)),ISERROR(VLOOKUP(C226,ABBR!A:D,1,FALSE))),"")</f>
        <v/>
      </c>
      <c r="P226" t="str">
        <f>VLOOKUP(A226,Groups!A:L,5,FALSE)</f>
        <v>SAMP</v>
      </c>
      <c r="Q226" s="62" t="str">
        <f>IF(G226="PA",IF(M226&lt;&gt;"",ISERROR(VLOOKUP(M226,ABBR!C:F,1,FALSE)),ISERROR(VLOOKUP(E226,ABBR!C:F,1,FALSE))),"")</f>
        <v/>
      </c>
    </row>
    <row r="227" spans="1:17" ht="25" hidden="1" x14ac:dyDescent="0.25">
      <c r="A227" s="16" t="s">
        <v>569</v>
      </c>
      <c r="B227" s="17"/>
      <c r="C227" s="16" t="s">
        <v>1126</v>
      </c>
      <c r="D227" s="17"/>
      <c r="E227" s="17" t="s">
        <v>608</v>
      </c>
      <c r="F227" s="18" t="s">
        <v>918</v>
      </c>
      <c r="G227" s="49" t="s">
        <v>919</v>
      </c>
      <c r="H227" s="17">
        <f t="shared" si="1"/>
        <v>20</v>
      </c>
      <c r="J227" s="62" t="s">
        <v>532</v>
      </c>
      <c r="K227" s="62"/>
      <c r="L227" s="62"/>
      <c r="M227" s="62"/>
      <c r="N227" s="62"/>
      <c r="O227" s="62" t="str">
        <f>IF(E227="PA",IF(K227&lt;&gt;"",ISERROR(VLOOKUP(K227,ABBR!A:D,1,FALSE)),ISERROR(VLOOKUP(C227,ABBR!A:D,1,FALSE))),"")</f>
        <v/>
      </c>
      <c r="P227" t="str">
        <f>VLOOKUP(A227,Groups!A:L,5,FALSE)</f>
        <v>SAMP</v>
      </c>
      <c r="Q227" s="62" t="str">
        <f>IF(G227="PA",IF(M227&lt;&gt;"",ISERROR(VLOOKUP(M227,ABBR!C:F,1,FALSE)),ISERROR(VLOOKUP(E227,ABBR!C:F,1,FALSE))),"")</f>
        <v/>
      </c>
    </row>
    <row r="228" spans="1:17" hidden="1" x14ac:dyDescent="0.25">
      <c r="A228" s="16" t="s">
        <v>569</v>
      </c>
      <c r="B228" s="17"/>
      <c r="C228" s="16" t="s">
        <v>1127</v>
      </c>
      <c r="D228" s="17"/>
      <c r="E228" s="17" t="s">
        <v>608</v>
      </c>
      <c r="F228" s="18" t="s">
        <v>921</v>
      </c>
      <c r="G228" s="94" t="s">
        <v>922</v>
      </c>
      <c r="H228" s="17">
        <f t="shared" si="1"/>
        <v>21</v>
      </c>
      <c r="J228" s="62" t="s">
        <v>473</v>
      </c>
      <c r="M228" s="101"/>
      <c r="O228" s="62" t="str">
        <f>IF(E228="PA",IF(K228&lt;&gt;"",ISERROR(VLOOKUP(K228,ABBR!A:D,1,FALSE)),ISERROR(VLOOKUP(C228,ABBR!A:D,1,FALSE))),"")</f>
        <v/>
      </c>
      <c r="P228" t="str">
        <f>VLOOKUP(A228,Groups!A:L,5,FALSE)</f>
        <v>SAMP</v>
      </c>
      <c r="Q228" s="62" t="str">
        <f>IF(G228="PA",IF(M228&lt;&gt;"",ISERROR(VLOOKUP(M228,ABBR!C:F,1,FALSE)),ISERROR(VLOOKUP(E228,ABBR!C:F,1,FALSE))),"")</f>
        <v/>
      </c>
    </row>
    <row r="229" spans="1:17" hidden="1" x14ac:dyDescent="0.25">
      <c r="A229" s="16" t="s">
        <v>569</v>
      </c>
      <c r="B229" s="17"/>
      <c r="C229" s="16" t="s">
        <v>1128</v>
      </c>
      <c r="D229" s="17"/>
      <c r="E229" s="17" t="s">
        <v>608</v>
      </c>
      <c r="F229" s="18" t="s">
        <v>929</v>
      </c>
      <c r="G229" s="49" t="s">
        <v>876</v>
      </c>
      <c r="H229" s="17">
        <f t="shared" si="1"/>
        <v>22</v>
      </c>
      <c r="J229" s="62" t="s">
        <v>473</v>
      </c>
      <c r="K229" s="62"/>
      <c r="L229" s="62"/>
      <c r="M229" s="62"/>
      <c r="N229" s="62"/>
      <c r="O229" s="62" t="str">
        <f>IF(E229="PA",IF(K229&lt;&gt;"",ISERROR(VLOOKUP(K229,ABBR!A:D,1,FALSE)),ISERROR(VLOOKUP(C229,ABBR!A:D,1,FALSE))),"")</f>
        <v/>
      </c>
      <c r="P229" t="str">
        <f>VLOOKUP(A229,Groups!A:L,5,FALSE)</f>
        <v>SAMP</v>
      </c>
      <c r="Q229" s="62" t="str">
        <f>IF(G229="PA",IF(M229&lt;&gt;"",ISERROR(VLOOKUP(M229,ABBR!C:F,1,FALSE)),ISERROR(VLOOKUP(E229,ABBR!C:F,1,FALSE))),"")</f>
        <v/>
      </c>
    </row>
    <row r="230" spans="1:17" hidden="1" x14ac:dyDescent="0.25">
      <c r="A230" s="16" t="s">
        <v>569</v>
      </c>
      <c r="B230" s="17"/>
      <c r="C230" s="16" t="s">
        <v>1129</v>
      </c>
      <c r="D230" s="17" t="s">
        <v>924</v>
      </c>
      <c r="E230" s="17" t="s">
        <v>925</v>
      </c>
      <c r="F230" s="18" t="s">
        <v>926</v>
      </c>
      <c r="G230" s="49" t="s">
        <v>927</v>
      </c>
      <c r="H230" s="17">
        <f t="shared" si="1"/>
        <v>23</v>
      </c>
      <c r="J230" s="62" t="s">
        <v>473</v>
      </c>
      <c r="K230" s="62"/>
      <c r="L230" s="62"/>
      <c r="M230" s="62"/>
      <c r="N230" s="62"/>
      <c r="O230" s="62" t="str">
        <f>IF(E230="PA",IF(K230&lt;&gt;"",ISERROR(VLOOKUP(K230,ABBR!A:D,1,FALSE)),ISERROR(VLOOKUP(C230,ABBR!A:D,1,FALSE))),"")</f>
        <v/>
      </c>
      <c r="P230" t="str">
        <f>VLOOKUP(A230,Groups!A:L,5,FALSE)</f>
        <v>SAMP</v>
      </c>
      <c r="Q230" s="62" t="str">
        <f>IF(G230="PA",IF(M230&lt;&gt;"",ISERROR(VLOOKUP(M230,ABBR!C:F,1,FALSE)),ISERROR(VLOOKUP(E230,ABBR!C:F,1,FALSE))),"")</f>
        <v/>
      </c>
    </row>
    <row r="231" spans="1:17" ht="37.5" hidden="1" x14ac:dyDescent="0.25">
      <c r="A231" s="16" t="s">
        <v>569</v>
      </c>
      <c r="B231" s="17"/>
      <c r="C231" s="16" t="s">
        <v>1130</v>
      </c>
      <c r="D231" s="17"/>
      <c r="E231" s="17" t="s">
        <v>608</v>
      </c>
      <c r="F231" s="18" t="s">
        <v>642</v>
      </c>
      <c r="G231" s="49" t="s">
        <v>916</v>
      </c>
      <c r="H231" s="17">
        <f t="shared" si="1"/>
        <v>24</v>
      </c>
      <c r="J231" s="62" t="s">
        <v>532</v>
      </c>
      <c r="K231" s="62"/>
      <c r="L231" s="62"/>
      <c r="M231" s="62"/>
      <c r="N231" s="62"/>
      <c r="O231" s="62" t="str">
        <f>IF(E231="PA",IF(K231&lt;&gt;"",ISERROR(VLOOKUP(K231,ABBR!A:D,1,FALSE)),ISERROR(VLOOKUP(C231,ABBR!A:D,1,FALSE))),"")</f>
        <v/>
      </c>
      <c r="P231" t="str">
        <f>VLOOKUP(A231,Groups!A:L,5,FALSE)</f>
        <v>SAMP</v>
      </c>
      <c r="Q231" s="62" t="str">
        <f>IF(G231="PA",IF(M231&lt;&gt;"",ISERROR(VLOOKUP(M231,ABBR!C:F,1,FALSE)),ISERROR(VLOOKUP(E231,ABBR!C:F,1,FALSE))),"")</f>
        <v/>
      </c>
    </row>
    <row r="232" spans="1:17" hidden="1" x14ac:dyDescent="0.25">
      <c r="A232" s="16" t="s">
        <v>569</v>
      </c>
      <c r="B232" s="17"/>
      <c r="C232" s="16" t="s">
        <v>1131</v>
      </c>
      <c r="D232" s="17"/>
      <c r="E232" s="17" t="s">
        <v>608</v>
      </c>
      <c r="F232" s="18" t="s">
        <v>931</v>
      </c>
      <c r="G232" s="49" t="s">
        <v>932</v>
      </c>
      <c r="H232" s="17">
        <f t="shared" si="1"/>
        <v>25</v>
      </c>
      <c r="J232" s="62" t="s">
        <v>532</v>
      </c>
      <c r="K232" s="62"/>
      <c r="L232" s="62"/>
      <c r="M232" s="62"/>
      <c r="N232" s="62"/>
      <c r="O232" s="62" t="str">
        <f>IF(E232="PA",IF(K232&lt;&gt;"",ISERROR(VLOOKUP(K232,ABBR!A:D,1,FALSE)),ISERROR(VLOOKUP(C232,ABBR!A:D,1,FALSE))),"")</f>
        <v/>
      </c>
      <c r="P232" t="str">
        <f>VLOOKUP(A232,Groups!A:L,5,FALSE)</f>
        <v>SAMP</v>
      </c>
      <c r="Q232" s="62" t="str">
        <f>IF(G232="PA",IF(M232&lt;&gt;"",ISERROR(VLOOKUP(M232,ABBR!C:F,1,FALSE)),ISERROR(VLOOKUP(E232,ABBR!C:F,1,FALSE))),"")</f>
        <v/>
      </c>
    </row>
    <row r="233" spans="1:17" ht="25" hidden="1" x14ac:dyDescent="0.25">
      <c r="A233" s="16" t="s">
        <v>569</v>
      </c>
      <c r="B233" s="17"/>
      <c r="C233" s="16" t="s">
        <v>1132</v>
      </c>
      <c r="D233" s="17"/>
      <c r="E233" s="17" t="s">
        <v>608</v>
      </c>
      <c r="F233" s="18" t="s">
        <v>934</v>
      </c>
      <c r="G233" s="49" t="s">
        <v>935</v>
      </c>
      <c r="H233" s="17">
        <f t="shared" si="1"/>
        <v>26</v>
      </c>
      <c r="J233" s="62" t="s">
        <v>532</v>
      </c>
      <c r="K233" s="62"/>
      <c r="L233" s="62"/>
      <c r="M233" s="62"/>
      <c r="N233" s="62"/>
      <c r="O233" s="62" t="str">
        <f>IF(E233="PA",IF(K233&lt;&gt;"",ISERROR(VLOOKUP(K233,ABBR!A:D,1,FALSE)),ISERROR(VLOOKUP(C233,ABBR!A:D,1,FALSE))),"")</f>
        <v/>
      </c>
      <c r="P233" t="str">
        <f>VLOOKUP(A233,Groups!A:L,5,FALSE)</f>
        <v>SAMP</v>
      </c>
      <c r="Q233" s="62" t="str">
        <f>IF(G233="PA",IF(M233&lt;&gt;"",ISERROR(VLOOKUP(M233,ABBR!C:F,1,FALSE)),ISERROR(VLOOKUP(E233,ABBR!C:F,1,FALSE))),"")</f>
        <v/>
      </c>
    </row>
    <row r="234" spans="1:17" hidden="1" x14ac:dyDescent="0.25">
      <c r="A234" s="16" t="s">
        <v>569</v>
      </c>
      <c r="B234" s="17"/>
      <c r="C234" s="16" t="s">
        <v>936</v>
      </c>
      <c r="D234" s="17"/>
      <c r="E234" s="17" t="s">
        <v>608</v>
      </c>
      <c r="F234" s="18" t="s">
        <v>937</v>
      </c>
      <c r="G234" s="49" t="s">
        <v>938</v>
      </c>
      <c r="H234" s="17">
        <f t="shared" si="1"/>
        <v>27</v>
      </c>
      <c r="J234" s="62" t="s">
        <v>532</v>
      </c>
      <c r="K234" s="62"/>
      <c r="L234" s="62"/>
      <c r="M234" s="62"/>
      <c r="N234" s="62"/>
      <c r="O234" s="62" t="str">
        <f>IF(E234="PA",IF(K234&lt;&gt;"",ISERROR(VLOOKUP(K234,ABBR!A:D,1,FALSE)),ISERROR(VLOOKUP(C234,ABBR!A:D,1,FALSE))),"")</f>
        <v/>
      </c>
      <c r="P234" t="str">
        <f>VLOOKUP(A234,Groups!A:L,5,FALSE)</f>
        <v>SAMP</v>
      </c>
      <c r="Q234" s="62" t="str">
        <f>IF(G234="PA",IF(M234&lt;&gt;"",ISERROR(VLOOKUP(M234,ABBR!C:F,1,FALSE)),ISERROR(VLOOKUP(E234,ABBR!C:F,1,FALSE))),"")</f>
        <v/>
      </c>
    </row>
    <row r="235" spans="1:17" hidden="1" x14ac:dyDescent="0.25">
      <c r="A235" s="16" t="s">
        <v>569</v>
      </c>
      <c r="B235" s="17"/>
      <c r="C235" s="16" t="s">
        <v>643</v>
      </c>
      <c r="D235" s="17"/>
      <c r="E235" s="17" t="s">
        <v>608</v>
      </c>
      <c r="F235" s="18" t="s">
        <v>939</v>
      </c>
      <c r="G235" s="49" t="s">
        <v>940</v>
      </c>
      <c r="H235" s="17">
        <f t="shared" si="1"/>
        <v>28</v>
      </c>
      <c r="J235" s="62" t="s">
        <v>532</v>
      </c>
      <c r="K235" s="62"/>
      <c r="L235" s="62"/>
      <c r="M235" s="62"/>
      <c r="N235" s="62"/>
      <c r="O235" s="62" t="str">
        <f>IF(E235="PA",IF(K235&lt;&gt;"",ISERROR(VLOOKUP(K235,ABBR!A:D,1,FALSE)),ISERROR(VLOOKUP(C235,ABBR!A:D,1,FALSE))),"")</f>
        <v/>
      </c>
      <c r="P235" t="str">
        <f>VLOOKUP(A235,Groups!A:L,5,FALSE)</f>
        <v>SAMP</v>
      </c>
      <c r="Q235" s="62" t="str">
        <f>IF(G235="PA",IF(M235&lt;&gt;"",ISERROR(VLOOKUP(M235,ABBR!C:F,1,FALSE)),ISERROR(VLOOKUP(E235,ABBR!C:F,1,FALSE))),"")</f>
        <v/>
      </c>
    </row>
    <row r="236" spans="1:17" hidden="1" x14ac:dyDescent="0.25">
      <c r="A236" s="16" t="s">
        <v>67</v>
      </c>
      <c r="B236" s="17" t="s">
        <v>594</v>
      </c>
      <c r="C236" s="16" t="s">
        <v>595</v>
      </c>
      <c r="D236" s="17"/>
      <c r="E236" s="17" t="s">
        <v>596</v>
      </c>
      <c r="F236" s="18" t="s">
        <v>597</v>
      </c>
      <c r="G236" s="49" t="s">
        <v>598</v>
      </c>
      <c r="H236" s="17">
        <v>1</v>
      </c>
      <c r="O236" s="62" t="str">
        <f>IF(E236="PA",IF(K236&lt;&gt;"",ISERROR(VLOOKUP(K236,ABBR!A:D,1,FALSE)),ISERROR(VLOOKUP(C236,ABBR!A:D,1,FALSE))),"")</f>
        <v/>
      </c>
      <c r="P236" t="str">
        <f>VLOOKUP(A236,Groups!A:L,5,FALSE)</f>
        <v>SAMP</v>
      </c>
      <c r="Q236" s="62" t="str">
        <f>IF(G236="PA",IF(M236&lt;&gt;"",ISERROR(VLOOKUP(M236,ABBR!C:F,1,FALSE)),ISERROR(VLOOKUP(E236,ABBR!C:F,1,FALSE))),"")</f>
        <v/>
      </c>
    </row>
    <row r="237" spans="1:17" hidden="1" x14ac:dyDescent="0.25">
      <c r="A237" s="16" t="s">
        <v>67</v>
      </c>
      <c r="B237" s="17" t="s">
        <v>594</v>
      </c>
      <c r="C237" s="16" t="s">
        <v>851</v>
      </c>
      <c r="D237" s="17" t="s">
        <v>600</v>
      </c>
      <c r="E237" s="17" t="s">
        <v>601</v>
      </c>
      <c r="F237" s="18" t="s">
        <v>852</v>
      </c>
      <c r="G237" s="49" t="s">
        <v>853</v>
      </c>
      <c r="H237" s="17">
        <v>2</v>
      </c>
      <c r="O237" s="62" t="str">
        <f>IF(E237="PA",IF(K237&lt;&gt;"",ISERROR(VLOOKUP(K237,ABBR!A:D,1,FALSE)),ISERROR(VLOOKUP(C237,ABBR!A:D,1,FALSE))),"")</f>
        <v/>
      </c>
      <c r="P237" t="str">
        <f>VLOOKUP(A237,Groups!A:L,5,FALSE)</f>
        <v>SAMP</v>
      </c>
      <c r="Q237" s="62" t="str">
        <f>IF(G237="PA",IF(M237&lt;&gt;"",ISERROR(VLOOKUP(M237,ABBR!C:F,1,FALSE)),ISERROR(VLOOKUP(E237,ABBR!C:F,1,FALSE))),"")</f>
        <v/>
      </c>
    </row>
    <row r="238" spans="1:17" hidden="1" x14ac:dyDescent="0.25">
      <c r="A238" s="16" t="s">
        <v>67</v>
      </c>
      <c r="B238" s="17" t="s">
        <v>594</v>
      </c>
      <c r="C238" s="16" t="s">
        <v>854</v>
      </c>
      <c r="D238" s="17"/>
      <c r="E238" s="17" t="s">
        <v>608</v>
      </c>
      <c r="F238" s="18" t="s">
        <v>855</v>
      </c>
      <c r="G238" s="49" t="s">
        <v>941</v>
      </c>
      <c r="H238" s="17">
        <v>3</v>
      </c>
      <c r="O238" s="62" t="str">
        <f>IF(E238="PA",IF(K238&lt;&gt;"",ISERROR(VLOOKUP(K238,ABBR!A:D,1,FALSE)),ISERROR(VLOOKUP(C238,ABBR!A:D,1,FALSE))),"")</f>
        <v/>
      </c>
      <c r="P238" t="str">
        <f>VLOOKUP(A238,Groups!A:L,5,FALSE)</f>
        <v>SAMP</v>
      </c>
      <c r="Q238" s="62" t="str">
        <f>IF(G238="PA",IF(M238&lt;&gt;"",ISERROR(VLOOKUP(M238,ABBR!C:F,1,FALSE)),ISERROR(VLOOKUP(E238,ABBR!C:F,1,FALSE))),"")</f>
        <v/>
      </c>
    </row>
    <row r="239" spans="1:17" hidden="1" x14ac:dyDescent="0.25">
      <c r="A239" s="16" t="s">
        <v>67</v>
      </c>
      <c r="B239" s="17" t="s">
        <v>594</v>
      </c>
      <c r="C239" s="16" t="s">
        <v>857</v>
      </c>
      <c r="D239" s="17"/>
      <c r="E239" s="17" t="s">
        <v>618</v>
      </c>
      <c r="F239" s="18" t="s">
        <v>858</v>
      </c>
      <c r="G239" s="49" t="s">
        <v>859</v>
      </c>
      <c r="H239" s="17">
        <v>4</v>
      </c>
      <c r="O239" s="62" t="b">
        <f>IF(E239="PA",IF(K239&lt;&gt;"",ISERROR(VLOOKUP(K239,ABBR!A:D,1,FALSE)),ISERROR(VLOOKUP(C239,ABBR!A:D,1,FALSE))),"")</f>
        <v>0</v>
      </c>
      <c r="P239" t="str">
        <f>VLOOKUP(A239,Groups!A:L,5,FALSE)</f>
        <v>SAMP</v>
      </c>
      <c r="Q239" s="62" t="str">
        <f>IF(G239="PA",IF(M239&lt;&gt;"",ISERROR(VLOOKUP(M239,ABBR!C:F,1,FALSE)),ISERROR(VLOOKUP(E239,ABBR!C:F,1,FALSE))),"")</f>
        <v/>
      </c>
    </row>
    <row r="240" spans="1:17" hidden="1" x14ac:dyDescent="0.25">
      <c r="A240" s="16" t="s">
        <v>67</v>
      </c>
      <c r="B240" s="17" t="s">
        <v>594</v>
      </c>
      <c r="C240" s="16" t="s">
        <v>860</v>
      </c>
      <c r="D240" s="17"/>
      <c r="E240" s="17" t="s">
        <v>596</v>
      </c>
      <c r="F240" s="18" t="s">
        <v>942</v>
      </c>
      <c r="G240" s="49" t="s">
        <v>862</v>
      </c>
      <c r="H240" s="17">
        <v>5</v>
      </c>
      <c r="O240" s="62" t="str">
        <f>IF(E240="PA",IF(K240&lt;&gt;"",ISERROR(VLOOKUP(K240,ABBR!A:D,1,FALSE)),ISERROR(VLOOKUP(C240,ABBR!A:D,1,FALSE))),"")</f>
        <v/>
      </c>
      <c r="P240" t="str">
        <f>VLOOKUP(A240,Groups!A:L,5,FALSE)</f>
        <v>SAMP</v>
      </c>
      <c r="Q240" s="62" t="str">
        <f>IF(G240="PA",IF(M240&lt;&gt;"",ISERROR(VLOOKUP(M240,ABBR!C:F,1,FALSE)),ISERROR(VLOOKUP(E240,ABBR!C:F,1,FALSE))),"")</f>
        <v/>
      </c>
    </row>
    <row r="241" spans="1:17" hidden="1" x14ac:dyDescent="0.25">
      <c r="A241" s="16" t="s">
        <v>67</v>
      </c>
      <c r="B241" s="17" t="s">
        <v>594</v>
      </c>
      <c r="C241" s="16" t="s">
        <v>863</v>
      </c>
      <c r="D241" s="17"/>
      <c r="E241" s="17" t="s">
        <v>608</v>
      </c>
      <c r="F241" s="18" t="s">
        <v>864</v>
      </c>
      <c r="G241" s="49" t="s">
        <v>865</v>
      </c>
      <c r="H241" s="17">
        <v>6</v>
      </c>
      <c r="O241" s="62" t="str">
        <f>IF(E241="PA",IF(K241&lt;&gt;"",ISERROR(VLOOKUP(K241,ABBR!A:D,1,FALSE)),ISERROR(VLOOKUP(C241,ABBR!A:D,1,FALSE))),"")</f>
        <v/>
      </c>
      <c r="P241" t="str">
        <f>VLOOKUP(A241,Groups!A:L,5,FALSE)</f>
        <v>SAMP</v>
      </c>
      <c r="Q241" s="62" t="str">
        <f>IF(G241="PA",IF(M241&lt;&gt;"",ISERROR(VLOOKUP(M241,ABBR!C:F,1,FALSE)),ISERROR(VLOOKUP(E241,ABBR!C:F,1,FALSE))),"")</f>
        <v/>
      </c>
    </row>
    <row r="242" spans="1:17" hidden="1" x14ac:dyDescent="0.25">
      <c r="A242" s="16" t="s">
        <v>67</v>
      </c>
      <c r="B242" s="17" t="s">
        <v>594</v>
      </c>
      <c r="C242" s="16" t="s">
        <v>866</v>
      </c>
      <c r="D242" s="17" t="s">
        <v>600</v>
      </c>
      <c r="E242" s="17" t="s">
        <v>601</v>
      </c>
      <c r="F242" s="18" t="s">
        <v>867</v>
      </c>
      <c r="G242" s="49" t="s">
        <v>853</v>
      </c>
      <c r="H242" s="17">
        <v>7</v>
      </c>
      <c r="O242" s="62" t="str">
        <f>IF(E242="PA",IF(K242&lt;&gt;"",ISERROR(VLOOKUP(K242,ABBR!A:D,1,FALSE)),ISERROR(VLOOKUP(C242,ABBR!A:D,1,FALSE))),"")</f>
        <v/>
      </c>
      <c r="P242" t="str">
        <f>VLOOKUP(A242,Groups!A:L,5,FALSE)</f>
        <v>SAMP</v>
      </c>
      <c r="Q242" s="62" t="str">
        <f>IF(G242="PA",IF(M242&lt;&gt;"",ISERROR(VLOOKUP(M242,ABBR!C:F,1,FALSE)),ISERROR(VLOOKUP(E242,ABBR!C:F,1,FALSE))),"")</f>
        <v/>
      </c>
    </row>
    <row r="243" spans="1:17" hidden="1" x14ac:dyDescent="0.25">
      <c r="A243" s="16" t="s">
        <v>67</v>
      </c>
      <c r="B243" s="17"/>
      <c r="C243" s="16" t="s">
        <v>868</v>
      </c>
      <c r="D243" s="17"/>
      <c r="E243" s="17" t="s">
        <v>608</v>
      </c>
      <c r="F243" s="18" t="s">
        <v>869</v>
      </c>
      <c r="G243" s="51" t="s">
        <v>870</v>
      </c>
      <c r="H243" s="17">
        <v>8</v>
      </c>
      <c r="O243" s="62" t="str">
        <f>IF(E243="PA",IF(K243&lt;&gt;"",ISERROR(VLOOKUP(K243,ABBR!A:D,1,FALSE)),ISERROR(VLOOKUP(C243,ABBR!A:D,1,FALSE))),"")</f>
        <v/>
      </c>
      <c r="P243" t="str">
        <f>VLOOKUP(A243,Groups!A:L,5,FALSE)</f>
        <v>SAMP</v>
      </c>
      <c r="Q243" s="62" t="str">
        <f>IF(G243="PA",IF(M243&lt;&gt;"",ISERROR(VLOOKUP(M243,ABBR!C:F,1,FALSE)),ISERROR(VLOOKUP(E243,ABBR!C:F,1,FALSE))),"")</f>
        <v/>
      </c>
    </row>
    <row r="244" spans="1:17" ht="25" hidden="1" x14ac:dyDescent="0.25">
      <c r="A244" s="16" t="s">
        <v>67</v>
      </c>
      <c r="B244" s="17"/>
      <c r="C244" s="16" t="s">
        <v>871</v>
      </c>
      <c r="D244" s="17"/>
      <c r="E244" s="17" t="s">
        <v>608</v>
      </c>
      <c r="F244" s="18" t="s">
        <v>872</v>
      </c>
      <c r="G244" s="49" t="s">
        <v>873</v>
      </c>
      <c r="H244" s="17">
        <v>9</v>
      </c>
      <c r="O244" s="62" t="str">
        <f>IF(E244="PA",IF(K244&lt;&gt;"",ISERROR(VLOOKUP(K244,ABBR!A:D,1,FALSE)),ISERROR(VLOOKUP(C244,ABBR!A:D,1,FALSE))),"")</f>
        <v/>
      </c>
      <c r="P244" t="str">
        <f>VLOOKUP(A244,Groups!A:L,5,FALSE)</f>
        <v>SAMP</v>
      </c>
      <c r="Q244" s="62" t="str">
        <f>IF(G244="PA",IF(M244&lt;&gt;"",ISERROR(VLOOKUP(M244,ABBR!C:F,1,FALSE)),ISERROR(VLOOKUP(E244,ABBR!C:F,1,FALSE))),"")</f>
        <v/>
      </c>
    </row>
    <row r="245" spans="1:17" hidden="1" x14ac:dyDescent="0.25">
      <c r="A245" s="16" t="s">
        <v>67</v>
      </c>
      <c r="B245" s="17"/>
      <c r="C245" s="16" t="s">
        <v>1133</v>
      </c>
      <c r="D245" s="17"/>
      <c r="E245" s="17" t="s">
        <v>767</v>
      </c>
      <c r="F245" s="18" t="s">
        <v>1134</v>
      </c>
      <c r="G245" s="49" t="s">
        <v>1135</v>
      </c>
      <c r="H245" s="17">
        <v>10</v>
      </c>
      <c r="O245" s="62" t="str">
        <f>IF(E245="PA",IF(K245&lt;&gt;"",ISERROR(VLOOKUP(K245,ABBR!A:D,1,FALSE)),ISERROR(VLOOKUP(C245,ABBR!A:D,1,FALSE))),"")</f>
        <v/>
      </c>
      <c r="P245" t="str">
        <f>VLOOKUP(A245,Groups!A:L,5,FALSE)</f>
        <v>SAMP</v>
      </c>
      <c r="Q245" s="62" t="str">
        <f>IF(G245="PA",IF(M245&lt;&gt;"",ISERROR(VLOOKUP(M245,ABBR!C:F,1,FALSE)),ISERROR(VLOOKUP(E245,ABBR!C:F,1,FALSE))),"")</f>
        <v/>
      </c>
    </row>
    <row r="246" spans="1:17" hidden="1" x14ac:dyDescent="0.25">
      <c r="A246" s="16" t="s">
        <v>67</v>
      </c>
      <c r="B246" s="17"/>
      <c r="C246" s="16" t="s">
        <v>1136</v>
      </c>
      <c r="D246" s="17"/>
      <c r="E246" s="17" t="s">
        <v>608</v>
      </c>
      <c r="F246" s="18" t="s">
        <v>642</v>
      </c>
      <c r="G246" s="49" t="s">
        <v>16</v>
      </c>
      <c r="H246" s="17">
        <v>11</v>
      </c>
      <c r="M246" s="101"/>
      <c r="O246" s="62" t="str">
        <f>IF(E246="PA",IF(K246&lt;&gt;"",ISERROR(VLOOKUP(K246,ABBR!A:D,1,FALSE)),ISERROR(VLOOKUP(C246,ABBR!A:D,1,FALSE))),"")</f>
        <v/>
      </c>
      <c r="P246" t="str">
        <f>VLOOKUP(A246,Groups!A:L,5,FALSE)</f>
        <v>SAMP</v>
      </c>
      <c r="Q246" s="62" t="str">
        <f>IF(G246="PA",IF(M246&lt;&gt;"",ISERROR(VLOOKUP(M246,ABBR!C:F,1,FALSE)),ISERROR(VLOOKUP(E246,ABBR!C:F,1,FALSE))),"")</f>
        <v/>
      </c>
    </row>
    <row r="247" spans="1:17" hidden="1" x14ac:dyDescent="0.25">
      <c r="A247" s="16" t="s">
        <v>67</v>
      </c>
      <c r="B247" s="17"/>
      <c r="C247" s="16" t="s">
        <v>1137</v>
      </c>
      <c r="D247" s="17"/>
      <c r="E247" s="17" t="s">
        <v>608</v>
      </c>
      <c r="F247" s="18" t="s">
        <v>918</v>
      </c>
      <c r="G247" s="49" t="s">
        <v>1138</v>
      </c>
      <c r="H247" s="17">
        <v>12</v>
      </c>
      <c r="O247" s="62" t="str">
        <f>IF(E247="PA",IF(K247&lt;&gt;"",ISERROR(VLOOKUP(K247,ABBR!A:D,1,FALSE)),ISERROR(VLOOKUP(C247,ABBR!A:D,1,FALSE))),"")</f>
        <v/>
      </c>
      <c r="P247" t="str">
        <f>VLOOKUP(A247,Groups!A:L,5,FALSE)</f>
        <v>SAMP</v>
      </c>
      <c r="Q247" s="62" t="str">
        <f>IF(G247="PA",IF(M247&lt;&gt;"",ISERROR(VLOOKUP(M247,ABBR!C:F,1,FALSE)),ISERROR(VLOOKUP(E247,ABBR!C:F,1,FALSE))),"")</f>
        <v/>
      </c>
    </row>
    <row r="248" spans="1:17" hidden="1" x14ac:dyDescent="0.25">
      <c r="A248" s="16" t="s">
        <v>67</v>
      </c>
      <c r="B248" s="17"/>
      <c r="C248" s="16" t="s">
        <v>1139</v>
      </c>
      <c r="D248" s="17"/>
      <c r="E248" s="17" t="s">
        <v>608</v>
      </c>
      <c r="F248" s="18" t="s">
        <v>950</v>
      </c>
      <c r="G248" s="27" t="s">
        <v>951</v>
      </c>
      <c r="H248" s="17">
        <v>13</v>
      </c>
      <c r="O248" s="62" t="str">
        <f>IF(E248="PA",IF(K248&lt;&gt;"",ISERROR(VLOOKUP(K248,ABBR!A:D,1,FALSE)),ISERROR(VLOOKUP(C248,ABBR!A:D,1,FALSE))),"")</f>
        <v/>
      </c>
      <c r="P248" t="str">
        <f>VLOOKUP(A248,Groups!A:L,5,FALSE)</f>
        <v>SAMP</v>
      </c>
      <c r="Q248" s="62" t="str">
        <f>IF(G248="PA",IF(M248&lt;&gt;"",ISERROR(VLOOKUP(M248,ABBR!C:F,1,FALSE)),ISERROR(VLOOKUP(E248,ABBR!C:F,1,FALSE))),"")</f>
        <v/>
      </c>
    </row>
    <row r="249" spans="1:17" ht="25" hidden="1" x14ac:dyDescent="0.25">
      <c r="A249" s="16" t="s">
        <v>67</v>
      </c>
      <c r="B249" s="17"/>
      <c r="C249" s="16" t="s">
        <v>1140</v>
      </c>
      <c r="D249" s="17"/>
      <c r="E249" s="17" t="s">
        <v>608</v>
      </c>
      <c r="F249" s="18" t="s">
        <v>934</v>
      </c>
      <c r="G249" s="49" t="s">
        <v>953</v>
      </c>
      <c r="H249" s="17">
        <v>14</v>
      </c>
      <c r="O249" s="62" t="str">
        <f>IF(E249="PA",IF(K249&lt;&gt;"",ISERROR(VLOOKUP(K249,ABBR!A:D,1,FALSE)),ISERROR(VLOOKUP(C249,ABBR!A:D,1,FALSE))),"")</f>
        <v/>
      </c>
      <c r="P249" t="str">
        <f>VLOOKUP(A249,Groups!A:L,5,FALSE)</f>
        <v>SAMP</v>
      </c>
      <c r="Q249" s="62" t="str">
        <f>IF(G249="PA",IF(M249&lt;&gt;"",ISERROR(VLOOKUP(M249,ABBR!C:F,1,FALSE)),ISERROR(VLOOKUP(E249,ABBR!C:F,1,FALSE))),"")</f>
        <v/>
      </c>
    </row>
    <row r="250" spans="1:17" hidden="1" x14ac:dyDescent="0.25">
      <c r="A250" s="16" t="s">
        <v>67</v>
      </c>
      <c r="B250" s="17"/>
      <c r="C250" s="16" t="s">
        <v>936</v>
      </c>
      <c r="D250" s="17"/>
      <c r="E250" s="22" t="s">
        <v>608</v>
      </c>
      <c r="F250" s="18" t="s">
        <v>937</v>
      </c>
      <c r="G250" s="49" t="s">
        <v>938</v>
      </c>
      <c r="H250" s="17">
        <v>15</v>
      </c>
      <c r="O250" s="62" t="str">
        <f>IF(E250="PA",IF(K250&lt;&gt;"",ISERROR(VLOOKUP(K250,ABBR!A:D,1,FALSE)),ISERROR(VLOOKUP(C250,ABBR!A:D,1,FALSE))),"")</f>
        <v/>
      </c>
      <c r="P250" t="str">
        <f>VLOOKUP(A250,Groups!A:L,5,FALSE)</f>
        <v>SAMP</v>
      </c>
      <c r="Q250" s="62" t="str">
        <f>IF(G250="PA",IF(M250&lt;&gt;"",ISERROR(VLOOKUP(M250,ABBR!C:F,1,FALSE)),ISERROR(VLOOKUP(E250,ABBR!C:F,1,FALSE))),"")</f>
        <v/>
      </c>
    </row>
    <row r="251" spans="1:17" hidden="1" x14ac:dyDescent="0.25">
      <c r="A251" s="16" t="s">
        <v>67</v>
      </c>
      <c r="B251" s="17"/>
      <c r="C251" s="16" t="s">
        <v>643</v>
      </c>
      <c r="D251" s="17"/>
      <c r="E251" s="17" t="s">
        <v>608</v>
      </c>
      <c r="F251" s="18" t="s">
        <v>954</v>
      </c>
      <c r="G251" s="49" t="s">
        <v>940</v>
      </c>
      <c r="H251" s="17">
        <v>16</v>
      </c>
      <c r="O251" s="62" t="str">
        <f>IF(E251="PA",IF(K251&lt;&gt;"",ISERROR(VLOOKUP(K251,ABBR!A:D,1,FALSE)),ISERROR(VLOOKUP(C251,ABBR!A:D,1,FALSE))),"")</f>
        <v/>
      </c>
      <c r="P251" t="str">
        <f>VLOOKUP(A251,Groups!A:L,5,FALSE)</f>
        <v>SAMP</v>
      </c>
      <c r="Q251" s="62" t="str">
        <f>IF(G251="PA",IF(M251&lt;&gt;"",ISERROR(VLOOKUP(M251,ABBR!C:F,1,FALSE)),ISERROR(VLOOKUP(E251,ABBR!C:F,1,FALSE))),"")</f>
        <v/>
      </c>
    </row>
    <row r="252" spans="1:17" hidden="1" x14ac:dyDescent="0.25">
      <c r="A252" s="16" t="s">
        <v>67</v>
      </c>
      <c r="B252" s="17"/>
      <c r="C252" s="16" t="s">
        <v>877</v>
      </c>
      <c r="D252" s="17" t="s">
        <v>600</v>
      </c>
      <c r="E252" s="17" t="s">
        <v>601</v>
      </c>
      <c r="F252" s="18" t="s">
        <v>878</v>
      </c>
      <c r="G252" s="49" t="s">
        <v>879</v>
      </c>
      <c r="H252" s="17">
        <v>17</v>
      </c>
      <c r="I252" s="30" t="s">
        <v>955</v>
      </c>
      <c r="J252" s="80">
        <v>4.0999999999999996</v>
      </c>
      <c r="O252" s="62" t="str">
        <f>IF(E252="PA",IF(K252&lt;&gt;"",ISERROR(VLOOKUP(K252,ABBR!A:D,1,FALSE)),ISERROR(VLOOKUP(C252,ABBR!A:D,1,FALSE))),"")</f>
        <v/>
      </c>
      <c r="P252" t="str">
        <f>VLOOKUP(A252,Groups!A:L,5,FALSE)</f>
        <v>SAMP</v>
      </c>
      <c r="Q252" s="62" t="str">
        <f>IF(G252="PA",IF(M252&lt;&gt;"",ISERROR(VLOOKUP(M252,ABBR!C:F,1,FALSE)),ISERROR(VLOOKUP(E252,ABBR!C:F,1,FALSE))),"")</f>
        <v/>
      </c>
    </row>
    <row r="253" spans="1:17" hidden="1" x14ac:dyDescent="0.25">
      <c r="A253" s="16" t="s">
        <v>67</v>
      </c>
      <c r="B253" s="17"/>
      <c r="C253" s="16" t="s">
        <v>1141</v>
      </c>
      <c r="D253" s="17"/>
      <c r="E253" s="17" t="s">
        <v>608</v>
      </c>
      <c r="F253" s="18" t="s">
        <v>921</v>
      </c>
      <c r="G253" s="94" t="s">
        <v>922</v>
      </c>
      <c r="H253" s="17">
        <v>18</v>
      </c>
      <c r="I253" s="30" t="s">
        <v>955</v>
      </c>
      <c r="J253" s="80">
        <v>4.0999999999999996</v>
      </c>
      <c r="M253" s="101"/>
      <c r="O253" s="62" t="str">
        <f>IF(E253="PA",IF(K253&lt;&gt;"",ISERROR(VLOOKUP(K253,ABBR!A:D,1,FALSE)),ISERROR(VLOOKUP(C253,ABBR!A:D,1,FALSE))),"")</f>
        <v/>
      </c>
      <c r="P253" t="str">
        <f>VLOOKUP(A253,Groups!A:L,5,FALSE)</f>
        <v>SAMP</v>
      </c>
      <c r="Q253" s="62" t="str">
        <f>IF(G253="PA",IF(M253&lt;&gt;"",ISERROR(VLOOKUP(M253,ABBR!C:F,1,FALSE)),ISERROR(VLOOKUP(E253,ABBR!C:F,1,FALSE))),"")</f>
        <v/>
      </c>
    </row>
    <row r="254" spans="1:17" hidden="1" x14ac:dyDescent="0.25">
      <c r="A254" s="16" t="s">
        <v>67</v>
      </c>
      <c r="B254" s="17"/>
      <c r="C254" s="16" t="s">
        <v>1142</v>
      </c>
      <c r="D254" s="17" t="s">
        <v>924</v>
      </c>
      <c r="E254" s="17" t="s">
        <v>925</v>
      </c>
      <c r="F254" s="18" t="s">
        <v>926</v>
      </c>
      <c r="G254" s="49" t="s">
        <v>927</v>
      </c>
      <c r="H254" s="17">
        <v>19</v>
      </c>
      <c r="J254" s="62" t="s">
        <v>473</v>
      </c>
      <c r="O254" s="62" t="str">
        <f>IF(E254="PA",IF(K254&lt;&gt;"",ISERROR(VLOOKUP(K254,ABBR!A:D,1,FALSE)),ISERROR(VLOOKUP(C254,ABBR!A:D,1,FALSE))),"")</f>
        <v/>
      </c>
      <c r="P254" t="str">
        <f>VLOOKUP(A254,Groups!A:L,5,FALSE)</f>
        <v>SAMP</v>
      </c>
      <c r="Q254" s="62" t="str">
        <f>IF(G254="PA",IF(M254&lt;&gt;"",ISERROR(VLOOKUP(M254,ABBR!C:F,1,FALSE)),ISERROR(VLOOKUP(E254,ABBR!C:F,1,FALSE))),"")</f>
        <v/>
      </c>
    </row>
    <row r="255" spans="1:17" hidden="1" x14ac:dyDescent="0.25">
      <c r="A255" s="16" t="s">
        <v>67</v>
      </c>
      <c r="B255" s="17"/>
      <c r="C255" s="16" t="s">
        <v>1143</v>
      </c>
      <c r="D255" s="17"/>
      <c r="E255" s="17" t="s">
        <v>608</v>
      </c>
      <c r="F255" s="18" t="s">
        <v>875</v>
      </c>
      <c r="G255" s="49" t="s">
        <v>876</v>
      </c>
      <c r="H255" s="17">
        <v>20</v>
      </c>
      <c r="J255" s="62" t="s">
        <v>473</v>
      </c>
      <c r="M255" s="101" t="s">
        <v>1044</v>
      </c>
      <c r="O255" s="62" t="str">
        <f>IF(E255="PA",IF(K255&lt;&gt;"",ISERROR(VLOOKUP(K255,ABBR!A:D,1,FALSE)),ISERROR(VLOOKUP(C255,ABBR!A:D,1,FALSE))),"")</f>
        <v/>
      </c>
      <c r="P255" t="str">
        <f>VLOOKUP(A255,Groups!A:L,5,FALSE)</f>
        <v>SAMP</v>
      </c>
      <c r="Q255" s="62" t="str">
        <f>IF(G255="PA",IF(M255&lt;&gt;"",ISERROR(VLOOKUP(M255,ABBR!C:F,1,FALSE)),ISERROR(VLOOKUP(E255,ABBR!C:F,1,FALSE))),"")</f>
        <v/>
      </c>
    </row>
    <row r="256" spans="1:17" hidden="1" x14ac:dyDescent="0.25">
      <c r="A256" s="16" t="s">
        <v>67</v>
      </c>
      <c r="B256" s="17"/>
      <c r="C256" s="16" t="s">
        <v>1144</v>
      </c>
      <c r="D256" s="17"/>
      <c r="E256" s="17" t="s">
        <v>608</v>
      </c>
      <c r="F256" s="18" t="s">
        <v>929</v>
      </c>
      <c r="G256" s="49" t="s">
        <v>876</v>
      </c>
      <c r="H256" s="17">
        <v>21</v>
      </c>
      <c r="J256" s="62" t="s">
        <v>473</v>
      </c>
      <c r="M256" s="101" t="s">
        <v>1044</v>
      </c>
      <c r="O256" s="62" t="str">
        <f>IF(E256="PA",IF(K256&lt;&gt;"",ISERROR(VLOOKUP(K256,ABBR!A:D,1,FALSE)),ISERROR(VLOOKUP(C256,ABBR!A:D,1,FALSE))),"")</f>
        <v/>
      </c>
      <c r="P256" t="str">
        <f>VLOOKUP(A256,Groups!A:L,5,FALSE)</f>
        <v>SAMP</v>
      </c>
      <c r="Q256" s="62" t="str">
        <f>IF(G256="PA",IF(M256&lt;&gt;"",ISERROR(VLOOKUP(M256,ABBR!C:F,1,FALSE)),ISERROR(VLOOKUP(E256,ABBR!C:F,1,FALSE))),"")</f>
        <v/>
      </c>
    </row>
    <row r="257" spans="1:17" hidden="1" x14ac:dyDescent="0.25">
      <c r="A257" s="16" t="s">
        <v>69</v>
      </c>
      <c r="B257" s="17" t="s">
        <v>594</v>
      </c>
      <c r="C257" s="16" t="s">
        <v>595</v>
      </c>
      <c r="D257" s="17"/>
      <c r="E257" s="17" t="s">
        <v>596</v>
      </c>
      <c r="F257" s="18" t="s">
        <v>597</v>
      </c>
      <c r="G257" s="49" t="s">
        <v>598</v>
      </c>
      <c r="H257" s="17">
        <v>1</v>
      </c>
      <c r="O257" s="62" t="str">
        <f>IF(E257="PA",IF(K257&lt;&gt;"",ISERROR(VLOOKUP(K257,ABBR!A:D,1,FALSE)),ISERROR(VLOOKUP(C257,ABBR!A:D,1,FALSE))),"")</f>
        <v/>
      </c>
      <c r="P257" t="str">
        <f>VLOOKUP(A257,Groups!A:L,5,FALSE)</f>
        <v>SAMP</v>
      </c>
      <c r="Q257" s="62" t="str">
        <f>IF(G257="PA",IF(M257&lt;&gt;"",ISERROR(VLOOKUP(M257,ABBR!C:F,1,FALSE)),ISERROR(VLOOKUP(E257,ABBR!C:F,1,FALSE))),"")</f>
        <v/>
      </c>
    </row>
    <row r="258" spans="1:17" hidden="1" x14ac:dyDescent="0.25">
      <c r="A258" s="16" t="s">
        <v>69</v>
      </c>
      <c r="B258" s="17" t="s">
        <v>594</v>
      </c>
      <c r="C258" s="16" t="s">
        <v>851</v>
      </c>
      <c r="D258" s="17" t="s">
        <v>600</v>
      </c>
      <c r="E258" s="17" t="s">
        <v>601</v>
      </c>
      <c r="F258" s="18" t="s">
        <v>852</v>
      </c>
      <c r="G258" s="49" t="s">
        <v>853</v>
      </c>
      <c r="H258" s="17">
        <v>2</v>
      </c>
      <c r="O258" s="62" t="str">
        <f>IF(E258="PA",IF(K258&lt;&gt;"",ISERROR(VLOOKUP(K258,ABBR!A:D,1,FALSE)),ISERROR(VLOOKUP(C258,ABBR!A:D,1,FALSE))),"")</f>
        <v/>
      </c>
      <c r="P258" t="str">
        <f>VLOOKUP(A258,Groups!A:L,5,FALSE)</f>
        <v>SAMP</v>
      </c>
      <c r="Q258" s="62" t="str">
        <f>IF(G258="PA",IF(M258&lt;&gt;"",ISERROR(VLOOKUP(M258,ABBR!C:F,1,FALSE)),ISERROR(VLOOKUP(E258,ABBR!C:F,1,FALSE))),"")</f>
        <v/>
      </c>
    </row>
    <row r="259" spans="1:17" hidden="1" x14ac:dyDescent="0.25">
      <c r="A259" s="16" t="s">
        <v>69</v>
      </c>
      <c r="B259" s="17" t="s">
        <v>594</v>
      </c>
      <c r="C259" s="16" t="s">
        <v>854</v>
      </c>
      <c r="D259" s="17"/>
      <c r="E259" s="17" t="s">
        <v>608</v>
      </c>
      <c r="F259" s="18" t="s">
        <v>855</v>
      </c>
      <c r="G259" s="49" t="s">
        <v>941</v>
      </c>
      <c r="H259" s="17">
        <v>3</v>
      </c>
      <c r="O259" s="62" t="str">
        <f>IF(E259="PA",IF(K259&lt;&gt;"",ISERROR(VLOOKUP(K259,ABBR!A:D,1,FALSE)),ISERROR(VLOOKUP(C259,ABBR!A:D,1,FALSE))),"")</f>
        <v/>
      </c>
      <c r="P259" t="str">
        <f>VLOOKUP(A259,Groups!A:L,5,FALSE)</f>
        <v>SAMP</v>
      </c>
      <c r="Q259" s="62" t="str">
        <f>IF(G259="PA",IF(M259&lt;&gt;"",ISERROR(VLOOKUP(M259,ABBR!C:F,1,FALSE)),ISERROR(VLOOKUP(E259,ABBR!C:F,1,FALSE))),"")</f>
        <v/>
      </c>
    </row>
    <row r="260" spans="1:17" hidden="1" x14ac:dyDescent="0.25">
      <c r="A260" s="16" t="s">
        <v>69</v>
      </c>
      <c r="B260" s="17" t="s">
        <v>594</v>
      </c>
      <c r="C260" s="16" t="s">
        <v>857</v>
      </c>
      <c r="D260" s="17"/>
      <c r="E260" s="17" t="s">
        <v>618</v>
      </c>
      <c r="F260" s="18" t="s">
        <v>858</v>
      </c>
      <c r="G260" s="49" t="s">
        <v>859</v>
      </c>
      <c r="H260" s="17">
        <v>4</v>
      </c>
      <c r="O260" s="62" t="b">
        <f>IF(E260="PA",IF(K260&lt;&gt;"",ISERROR(VLOOKUP(K260,ABBR!A:D,1,FALSE)),ISERROR(VLOOKUP(C260,ABBR!A:D,1,FALSE))),"")</f>
        <v>0</v>
      </c>
      <c r="P260" t="str">
        <f>VLOOKUP(A260,Groups!A:L,5,FALSE)</f>
        <v>SAMP</v>
      </c>
      <c r="Q260" s="62" t="str">
        <f>IF(G260="PA",IF(M260&lt;&gt;"",ISERROR(VLOOKUP(M260,ABBR!C:F,1,FALSE)),ISERROR(VLOOKUP(E260,ABBR!C:F,1,FALSE))),"")</f>
        <v/>
      </c>
    </row>
    <row r="261" spans="1:17" hidden="1" x14ac:dyDescent="0.25">
      <c r="A261" s="16" t="s">
        <v>69</v>
      </c>
      <c r="B261" s="17" t="s">
        <v>594</v>
      </c>
      <c r="C261" s="16" t="s">
        <v>860</v>
      </c>
      <c r="D261" s="17"/>
      <c r="E261" s="17" t="s">
        <v>596</v>
      </c>
      <c r="F261" s="18" t="s">
        <v>942</v>
      </c>
      <c r="G261" s="49" t="s">
        <v>862</v>
      </c>
      <c r="H261" s="17">
        <v>5</v>
      </c>
      <c r="O261" s="62" t="str">
        <f>IF(E261="PA",IF(K261&lt;&gt;"",ISERROR(VLOOKUP(K261,ABBR!A:D,1,FALSE)),ISERROR(VLOOKUP(C261,ABBR!A:D,1,FALSE))),"")</f>
        <v/>
      </c>
      <c r="P261" t="str">
        <f>VLOOKUP(A261,Groups!A:L,5,FALSE)</f>
        <v>SAMP</v>
      </c>
      <c r="Q261" s="62" t="str">
        <f>IF(G261="PA",IF(M261&lt;&gt;"",ISERROR(VLOOKUP(M261,ABBR!C:F,1,FALSE)),ISERROR(VLOOKUP(E261,ABBR!C:F,1,FALSE))),"")</f>
        <v/>
      </c>
    </row>
    <row r="262" spans="1:17" hidden="1" x14ac:dyDescent="0.25">
      <c r="A262" s="16" t="s">
        <v>69</v>
      </c>
      <c r="B262" s="17" t="s">
        <v>594</v>
      </c>
      <c r="C262" s="16" t="s">
        <v>863</v>
      </c>
      <c r="D262" s="17"/>
      <c r="E262" s="17" t="s">
        <v>608</v>
      </c>
      <c r="F262" s="18" t="s">
        <v>864</v>
      </c>
      <c r="G262" s="49" t="s">
        <v>865</v>
      </c>
      <c r="H262" s="17">
        <v>6</v>
      </c>
      <c r="O262" s="62" t="str">
        <f>IF(E262="PA",IF(K262&lt;&gt;"",ISERROR(VLOOKUP(K262,ABBR!A:D,1,FALSE)),ISERROR(VLOOKUP(C262,ABBR!A:D,1,FALSE))),"")</f>
        <v/>
      </c>
      <c r="P262" t="str">
        <f>VLOOKUP(A262,Groups!A:L,5,FALSE)</f>
        <v>SAMP</v>
      </c>
      <c r="Q262" s="62" t="str">
        <f>IF(G262="PA",IF(M262&lt;&gt;"",ISERROR(VLOOKUP(M262,ABBR!C:F,1,FALSE)),ISERROR(VLOOKUP(E262,ABBR!C:F,1,FALSE))),"")</f>
        <v/>
      </c>
    </row>
    <row r="263" spans="1:17" hidden="1" x14ac:dyDescent="0.25">
      <c r="A263" s="16" t="s">
        <v>69</v>
      </c>
      <c r="B263" s="17" t="s">
        <v>594</v>
      </c>
      <c r="C263" s="16" t="s">
        <v>866</v>
      </c>
      <c r="D263" s="17" t="s">
        <v>600</v>
      </c>
      <c r="E263" s="17" t="s">
        <v>601</v>
      </c>
      <c r="F263" s="18" t="s">
        <v>867</v>
      </c>
      <c r="G263" s="49" t="s">
        <v>853</v>
      </c>
      <c r="H263" s="17">
        <v>7</v>
      </c>
      <c r="O263" s="62" t="str">
        <f>IF(E263="PA",IF(K263&lt;&gt;"",ISERROR(VLOOKUP(K263,ABBR!A:D,1,FALSE)),ISERROR(VLOOKUP(C263,ABBR!A:D,1,FALSE))),"")</f>
        <v/>
      </c>
      <c r="P263" t="str">
        <f>VLOOKUP(A263,Groups!A:L,5,FALSE)</f>
        <v>SAMP</v>
      </c>
      <c r="Q263" s="62" t="str">
        <f>IF(G263="PA",IF(M263&lt;&gt;"",ISERROR(VLOOKUP(M263,ABBR!C:F,1,FALSE)),ISERROR(VLOOKUP(E263,ABBR!C:F,1,FALSE))),"")</f>
        <v/>
      </c>
    </row>
    <row r="264" spans="1:17" hidden="1" x14ac:dyDescent="0.25">
      <c r="A264" s="16" t="s">
        <v>69</v>
      </c>
      <c r="B264" s="17"/>
      <c r="C264" s="16" t="s">
        <v>868</v>
      </c>
      <c r="D264" s="17"/>
      <c r="E264" s="17" t="s">
        <v>608</v>
      </c>
      <c r="F264" s="18" t="s">
        <v>869</v>
      </c>
      <c r="G264" s="51" t="s">
        <v>870</v>
      </c>
      <c r="H264" s="17">
        <v>8</v>
      </c>
      <c r="O264" s="62" t="str">
        <f>IF(E264="PA",IF(K264&lt;&gt;"",ISERROR(VLOOKUP(K264,ABBR!A:D,1,FALSE)),ISERROR(VLOOKUP(C264,ABBR!A:D,1,FALSE))),"")</f>
        <v/>
      </c>
      <c r="P264" t="str">
        <f>VLOOKUP(A264,Groups!A:L,5,FALSE)</f>
        <v>SAMP</v>
      </c>
      <c r="Q264" s="62" t="str">
        <f>IF(G264="PA",IF(M264&lt;&gt;"",ISERROR(VLOOKUP(M264,ABBR!C:F,1,FALSE)),ISERROR(VLOOKUP(E264,ABBR!C:F,1,FALSE))),"")</f>
        <v/>
      </c>
    </row>
    <row r="265" spans="1:17" ht="25" hidden="1" x14ac:dyDescent="0.25">
      <c r="A265" s="16" t="s">
        <v>69</v>
      </c>
      <c r="B265" s="17"/>
      <c r="C265" s="16" t="s">
        <v>871</v>
      </c>
      <c r="D265" s="17"/>
      <c r="E265" s="17" t="s">
        <v>608</v>
      </c>
      <c r="F265" s="18" t="s">
        <v>872</v>
      </c>
      <c r="G265" s="49" t="s">
        <v>873</v>
      </c>
      <c r="H265" s="17">
        <v>9</v>
      </c>
      <c r="O265" s="62" t="str">
        <f>IF(E265="PA",IF(K265&lt;&gt;"",ISERROR(VLOOKUP(K265,ABBR!A:D,1,FALSE)),ISERROR(VLOOKUP(C265,ABBR!A:D,1,FALSE))),"")</f>
        <v/>
      </c>
      <c r="P265" t="str">
        <f>VLOOKUP(A265,Groups!A:L,5,FALSE)</f>
        <v>SAMP</v>
      </c>
      <c r="Q265" s="62" t="str">
        <f>IF(G265="PA",IF(M265&lt;&gt;"",ISERROR(VLOOKUP(M265,ABBR!C:F,1,FALSE)),ISERROR(VLOOKUP(E265,ABBR!C:F,1,FALSE))),"")</f>
        <v/>
      </c>
    </row>
    <row r="266" spans="1:17" ht="25" hidden="1" x14ac:dyDescent="0.25">
      <c r="A266" s="16" t="s">
        <v>69</v>
      </c>
      <c r="B266" s="17"/>
      <c r="C266" s="16" t="s">
        <v>1145</v>
      </c>
      <c r="D266" s="17"/>
      <c r="E266" s="17" t="s">
        <v>608</v>
      </c>
      <c r="F266" s="18" t="s">
        <v>1146</v>
      </c>
      <c r="G266" s="49" t="s">
        <v>1147</v>
      </c>
      <c r="H266" s="17">
        <v>10</v>
      </c>
      <c r="O266" s="62" t="str">
        <f>IF(E266="PA",IF(K266&lt;&gt;"",ISERROR(VLOOKUP(K266,ABBR!A:D,1,FALSE)),ISERROR(VLOOKUP(C266,ABBR!A:D,1,FALSE))),"")</f>
        <v/>
      </c>
      <c r="P266" t="str">
        <f>VLOOKUP(A266,Groups!A:L,5,FALSE)</f>
        <v>SAMP</v>
      </c>
      <c r="Q266" s="62" t="str">
        <f>IF(G266="PA",IF(M266&lt;&gt;"",ISERROR(VLOOKUP(M266,ABBR!C:F,1,FALSE)),ISERROR(VLOOKUP(E266,ABBR!C:F,1,FALSE))),"")</f>
        <v/>
      </c>
    </row>
    <row r="267" spans="1:17" hidden="1" x14ac:dyDescent="0.25">
      <c r="A267" s="16" t="s">
        <v>69</v>
      </c>
      <c r="B267" s="17"/>
      <c r="C267" s="16" t="s">
        <v>1148</v>
      </c>
      <c r="D267" s="17"/>
      <c r="E267" s="17" t="s">
        <v>618</v>
      </c>
      <c r="F267" s="18" t="s">
        <v>1149</v>
      </c>
      <c r="G267" s="49" t="s">
        <v>1150</v>
      </c>
      <c r="H267" s="17">
        <v>11</v>
      </c>
      <c r="O267" s="62" t="b">
        <f>IF(E267="PA",IF(K267&lt;&gt;"",ISERROR(VLOOKUP(K267,ABBR!A:D,1,FALSE)),ISERROR(VLOOKUP(C267,ABBR!A:D,1,FALSE))),"")</f>
        <v>0</v>
      </c>
      <c r="P267" t="str">
        <f>VLOOKUP(A267,Groups!A:L,5,FALSE)</f>
        <v>SAMP</v>
      </c>
      <c r="Q267" s="62" t="str">
        <f>IF(G267="PA",IF(M267&lt;&gt;"",ISERROR(VLOOKUP(M267,ABBR!C:F,1,FALSE)),ISERROR(VLOOKUP(E267,ABBR!C:F,1,FALSE))),"")</f>
        <v/>
      </c>
    </row>
    <row r="268" spans="1:17" hidden="1" x14ac:dyDescent="0.25">
      <c r="A268" s="16" t="s">
        <v>69</v>
      </c>
      <c r="B268" s="17"/>
      <c r="C268" s="16" t="s">
        <v>1151</v>
      </c>
      <c r="D268" s="17"/>
      <c r="E268" s="17" t="s">
        <v>723</v>
      </c>
      <c r="F268" s="18" t="s">
        <v>1152</v>
      </c>
      <c r="G268" s="49" t="s">
        <v>1153</v>
      </c>
      <c r="H268" s="17">
        <v>12</v>
      </c>
      <c r="O268" s="62" t="str">
        <f>IF(E268="PA",IF(K268&lt;&gt;"",ISERROR(VLOOKUP(K268,ABBR!A:D,1,FALSE)),ISERROR(VLOOKUP(C268,ABBR!A:D,1,FALSE))),"")</f>
        <v/>
      </c>
      <c r="P268" t="str">
        <f>VLOOKUP(A268,Groups!A:L,5,FALSE)</f>
        <v>SAMP</v>
      </c>
      <c r="Q268" s="62" t="str">
        <f>IF(G268="PA",IF(M268&lt;&gt;"",ISERROR(VLOOKUP(M268,ABBR!C:F,1,FALSE)),ISERROR(VLOOKUP(E268,ABBR!C:F,1,FALSE))),"")</f>
        <v/>
      </c>
    </row>
    <row r="269" spans="1:17" hidden="1" x14ac:dyDescent="0.25">
      <c r="A269" s="16" t="s">
        <v>69</v>
      </c>
      <c r="B269" s="17"/>
      <c r="C269" s="16" t="s">
        <v>1154</v>
      </c>
      <c r="D269" s="17"/>
      <c r="E269" s="17" t="s">
        <v>723</v>
      </c>
      <c r="F269" s="18" t="s">
        <v>1155</v>
      </c>
      <c r="G269" s="49" t="s">
        <v>1153</v>
      </c>
      <c r="H269" s="17">
        <v>13</v>
      </c>
      <c r="O269" s="62" t="str">
        <f>IF(E269="PA",IF(K269&lt;&gt;"",ISERROR(VLOOKUP(K269,ABBR!A:D,1,FALSE)),ISERROR(VLOOKUP(C269,ABBR!A:D,1,FALSE))),"")</f>
        <v/>
      </c>
      <c r="P269" t="str">
        <f>VLOOKUP(A269,Groups!A:L,5,FALSE)</f>
        <v>SAMP</v>
      </c>
      <c r="Q269" s="62" t="str">
        <f>IF(G269="PA",IF(M269&lt;&gt;"",ISERROR(VLOOKUP(M269,ABBR!C:F,1,FALSE)),ISERROR(VLOOKUP(E269,ABBR!C:F,1,FALSE))),"")</f>
        <v/>
      </c>
    </row>
    <row r="270" spans="1:17" hidden="1" x14ac:dyDescent="0.25">
      <c r="A270" s="16" t="s">
        <v>69</v>
      </c>
      <c r="B270" s="17"/>
      <c r="C270" s="16" t="s">
        <v>1156</v>
      </c>
      <c r="D270" s="17"/>
      <c r="E270" s="17" t="s">
        <v>767</v>
      </c>
      <c r="F270" s="16" t="s">
        <v>1157</v>
      </c>
      <c r="G270" s="8">
        <v>24</v>
      </c>
      <c r="H270" s="17">
        <v>14</v>
      </c>
      <c r="O270" s="62" t="str">
        <f>IF(E270="PA",IF(K270&lt;&gt;"",ISERROR(VLOOKUP(K270,ABBR!A:D,1,FALSE)),ISERROR(VLOOKUP(C270,ABBR!A:D,1,FALSE))),"")</f>
        <v/>
      </c>
      <c r="P270" t="str">
        <f>VLOOKUP(A270,Groups!A:L,5,FALSE)</f>
        <v>SAMP</v>
      </c>
      <c r="Q270" s="62" t="str">
        <f>IF(G270="PA",IF(M270&lt;&gt;"",ISERROR(VLOOKUP(M270,ABBR!C:F,1,FALSE)),ISERROR(VLOOKUP(E270,ABBR!C:F,1,FALSE))),"")</f>
        <v/>
      </c>
    </row>
    <row r="271" spans="1:17" hidden="1" x14ac:dyDescent="0.25">
      <c r="A271" s="16" t="s">
        <v>69</v>
      </c>
      <c r="B271" s="17"/>
      <c r="C271" s="16" t="s">
        <v>1158</v>
      </c>
      <c r="D271" s="17"/>
      <c r="E271" s="17" t="s">
        <v>767</v>
      </c>
      <c r="F271" s="16" t="s">
        <v>1159</v>
      </c>
      <c r="G271" s="8">
        <v>24</v>
      </c>
      <c r="H271" s="17">
        <v>15</v>
      </c>
      <c r="O271" s="62" t="str">
        <f>IF(E271="PA",IF(K271&lt;&gt;"",ISERROR(VLOOKUP(K271,ABBR!A:D,1,FALSE)),ISERROR(VLOOKUP(C271,ABBR!A:D,1,FALSE))),"")</f>
        <v/>
      </c>
      <c r="P271" t="str">
        <f>VLOOKUP(A271,Groups!A:L,5,FALSE)</f>
        <v>SAMP</v>
      </c>
      <c r="Q271" s="62" t="str">
        <f>IF(G271="PA",IF(M271&lt;&gt;"",ISERROR(VLOOKUP(M271,ABBR!C:F,1,FALSE)),ISERROR(VLOOKUP(E271,ABBR!C:F,1,FALSE))),"")</f>
        <v/>
      </c>
    </row>
    <row r="272" spans="1:17" hidden="1" x14ac:dyDescent="0.25">
      <c r="A272" s="16" t="s">
        <v>69</v>
      </c>
      <c r="B272" s="17"/>
      <c r="C272" s="16" t="s">
        <v>1160</v>
      </c>
      <c r="D272" s="17" t="s">
        <v>924</v>
      </c>
      <c r="E272" s="17" t="s">
        <v>925</v>
      </c>
      <c r="F272" s="18" t="s">
        <v>1161</v>
      </c>
      <c r="G272" s="49" t="s">
        <v>1162</v>
      </c>
      <c r="H272" s="17">
        <v>16</v>
      </c>
      <c r="O272" s="62" t="str">
        <f>IF(E272="PA",IF(K272&lt;&gt;"",ISERROR(VLOOKUP(K272,ABBR!A:D,1,FALSE)),ISERROR(VLOOKUP(C272,ABBR!A:D,1,FALSE))),"")</f>
        <v/>
      </c>
      <c r="P272" t="str">
        <f>VLOOKUP(A272,Groups!A:L,5,FALSE)</f>
        <v>SAMP</v>
      </c>
      <c r="Q272" s="62" t="str">
        <f>IF(G272="PA",IF(M272&lt;&gt;"",ISERROR(VLOOKUP(M272,ABBR!C:F,1,FALSE)),ISERROR(VLOOKUP(E272,ABBR!C:F,1,FALSE))),"")</f>
        <v/>
      </c>
    </row>
    <row r="273" spans="1:17" hidden="1" x14ac:dyDescent="0.25">
      <c r="A273" s="16" t="s">
        <v>69</v>
      </c>
      <c r="B273" s="17"/>
      <c r="C273" s="16" t="s">
        <v>1163</v>
      </c>
      <c r="D273" s="17"/>
      <c r="E273" s="17" t="s">
        <v>608</v>
      </c>
      <c r="F273" s="18" t="s">
        <v>642</v>
      </c>
      <c r="G273" s="49" t="s">
        <v>16</v>
      </c>
      <c r="H273" s="17">
        <v>17</v>
      </c>
      <c r="M273" s="101"/>
      <c r="O273" s="62" t="str">
        <f>IF(E273="PA",IF(K273&lt;&gt;"",ISERROR(VLOOKUP(K273,ABBR!A:D,1,FALSE)),ISERROR(VLOOKUP(C273,ABBR!A:D,1,FALSE))),"")</f>
        <v/>
      </c>
      <c r="P273" t="str">
        <f>VLOOKUP(A273,Groups!A:L,5,FALSE)</f>
        <v>SAMP</v>
      </c>
      <c r="Q273" s="62" t="str">
        <f>IF(G273="PA",IF(M273&lt;&gt;"",ISERROR(VLOOKUP(M273,ABBR!C:F,1,FALSE)),ISERROR(VLOOKUP(E273,ABBR!C:F,1,FALSE))),"")</f>
        <v/>
      </c>
    </row>
    <row r="274" spans="1:17" hidden="1" x14ac:dyDescent="0.25">
      <c r="A274" s="16" t="s">
        <v>69</v>
      </c>
      <c r="B274" s="17"/>
      <c r="C274" s="16" t="s">
        <v>1164</v>
      </c>
      <c r="D274" s="17"/>
      <c r="E274" s="17" t="s">
        <v>608</v>
      </c>
      <c r="F274" s="18" t="s">
        <v>918</v>
      </c>
      <c r="G274" s="49" t="s">
        <v>1165</v>
      </c>
      <c r="H274" s="17">
        <v>18</v>
      </c>
      <c r="O274" s="62" t="str">
        <f>IF(E274="PA",IF(K274&lt;&gt;"",ISERROR(VLOOKUP(K274,ABBR!A:D,1,FALSE)),ISERROR(VLOOKUP(C274,ABBR!A:D,1,FALSE))),"")</f>
        <v/>
      </c>
      <c r="P274" t="str">
        <f>VLOOKUP(A274,Groups!A:L,5,FALSE)</f>
        <v>SAMP</v>
      </c>
      <c r="Q274" s="62" t="str">
        <f>IF(G274="PA",IF(M274&lt;&gt;"",ISERROR(VLOOKUP(M274,ABBR!C:F,1,FALSE)),ISERROR(VLOOKUP(E274,ABBR!C:F,1,FALSE))),"")</f>
        <v/>
      </c>
    </row>
    <row r="275" spans="1:17" hidden="1" x14ac:dyDescent="0.25">
      <c r="A275" s="16" t="s">
        <v>69</v>
      </c>
      <c r="B275" s="17"/>
      <c r="C275" s="16" t="s">
        <v>1166</v>
      </c>
      <c r="D275" s="17"/>
      <c r="E275" s="17" t="s">
        <v>608</v>
      </c>
      <c r="F275" s="18" t="s">
        <v>950</v>
      </c>
      <c r="G275" s="27" t="s">
        <v>951</v>
      </c>
      <c r="H275" s="17">
        <v>19</v>
      </c>
      <c r="O275" s="62" t="str">
        <f>IF(E275="PA",IF(K275&lt;&gt;"",ISERROR(VLOOKUP(K275,ABBR!A:D,1,FALSE)),ISERROR(VLOOKUP(C275,ABBR!A:D,1,FALSE))),"")</f>
        <v/>
      </c>
      <c r="P275" t="str">
        <f>VLOOKUP(A275,Groups!A:L,5,FALSE)</f>
        <v>SAMP</v>
      </c>
      <c r="Q275" s="62" t="str">
        <f>IF(G275="PA",IF(M275&lt;&gt;"",ISERROR(VLOOKUP(M275,ABBR!C:F,1,FALSE)),ISERROR(VLOOKUP(E275,ABBR!C:F,1,FALSE))),"")</f>
        <v/>
      </c>
    </row>
    <row r="276" spans="1:17" ht="25" hidden="1" x14ac:dyDescent="0.25">
      <c r="A276" s="16" t="s">
        <v>69</v>
      </c>
      <c r="B276" s="17"/>
      <c r="C276" s="16" t="s">
        <v>1167</v>
      </c>
      <c r="D276" s="17"/>
      <c r="E276" s="17" t="s">
        <v>608</v>
      </c>
      <c r="F276" s="18" t="s">
        <v>934</v>
      </c>
      <c r="G276" s="49" t="s">
        <v>953</v>
      </c>
      <c r="H276" s="17">
        <v>20</v>
      </c>
      <c r="O276" s="62" t="str">
        <f>IF(E276="PA",IF(K276&lt;&gt;"",ISERROR(VLOOKUP(K276,ABBR!A:D,1,FALSE)),ISERROR(VLOOKUP(C276,ABBR!A:D,1,FALSE))),"")</f>
        <v/>
      </c>
      <c r="P276" t="str">
        <f>VLOOKUP(A276,Groups!A:L,5,FALSE)</f>
        <v>SAMP</v>
      </c>
      <c r="Q276" s="62" t="str">
        <f>IF(G276="PA",IF(M276&lt;&gt;"",ISERROR(VLOOKUP(M276,ABBR!C:F,1,FALSE)),ISERROR(VLOOKUP(E276,ABBR!C:F,1,FALSE))),"")</f>
        <v/>
      </c>
    </row>
    <row r="277" spans="1:17" hidden="1" x14ac:dyDescent="0.25">
      <c r="A277" s="16" t="s">
        <v>69</v>
      </c>
      <c r="B277" s="17"/>
      <c r="C277" s="16" t="s">
        <v>936</v>
      </c>
      <c r="D277" s="17"/>
      <c r="E277" s="22" t="s">
        <v>608</v>
      </c>
      <c r="F277" s="18" t="s">
        <v>937</v>
      </c>
      <c r="G277" s="49" t="s">
        <v>938</v>
      </c>
      <c r="H277" s="17">
        <v>21</v>
      </c>
      <c r="O277" s="62" t="str">
        <f>IF(E277="PA",IF(K277&lt;&gt;"",ISERROR(VLOOKUP(K277,ABBR!A:D,1,FALSE)),ISERROR(VLOOKUP(C277,ABBR!A:D,1,FALSE))),"")</f>
        <v/>
      </c>
      <c r="P277" t="str">
        <f>VLOOKUP(A277,Groups!A:L,5,FALSE)</f>
        <v>SAMP</v>
      </c>
      <c r="Q277" s="62" t="str">
        <f>IF(G277="PA",IF(M277&lt;&gt;"",ISERROR(VLOOKUP(M277,ABBR!C:F,1,FALSE)),ISERROR(VLOOKUP(E277,ABBR!C:F,1,FALSE))),"")</f>
        <v/>
      </c>
    </row>
    <row r="278" spans="1:17" hidden="1" x14ac:dyDescent="0.25">
      <c r="A278" s="16" t="s">
        <v>69</v>
      </c>
      <c r="B278" s="17"/>
      <c r="C278" s="16" t="s">
        <v>643</v>
      </c>
      <c r="D278" s="17"/>
      <c r="E278" s="17" t="s">
        <v>608</v>
      </c>
      <c r="F278" s="18" t="s">
        <v>954</v>
      </c>
      <c r="G278" s="49" t="s">
        <v>940</v>
      </c>
      <c r="H278" s="17">
        <v>22</v>
      </c>
      <c r="O278" s="62" t="str">
        <f>IF(E278="PA",IF(K278&lt;&gt;"",ISERROR(VLOOKUP(K278,ABBR!A:D,1,FALSE)),ISERROR(VLOOKUP(C278,ABBR!A:D,1,FALSE))),"")</f>
        <v/>
      </c>
      <c r="P278" t="str">
        <f>VLOOKUP(A278,Groups!A:L,5,FALSE)</f>
        <v>SAMP</v>
      </c>
      <c r="Q278" s="62" t="str">
        <f>IF(G278="PA",IF(M278&lt;&gt;"",ISERROR(VLOOKUP(M278,ABBR!C:F,1,FALSE)),ISERROR(VLOOKUP(E278,ABBR!C:F,1,FALSE))),"")</f>
        <v/>
      </c>
    </row>
    <row r="279" spans="1:17" hidden="1" x14ac:dyDescent="0.25">
      <c r="A279" s="16" t="s">
        <v>69</v>
      </c>
      <c r="B279" s="17"/>
      <c r="C279" s="16" t="s">
        <v>877</v>
      </c>
      <c r="D279" s="17" t="s">
        <v>600</v>
      </c>
      <c r="E279" s="17" t="s">
        <v>601</v>
      </c>
      <c r="F279" s="18" t="s">
        <v>878</v>
      </c>
      <c r="G279" s="49" t="s">
        <v>879</v>
      </c>
      <c r="H279" s="17">
        <v>23</v>
      </c>
      <c r="I279" s="30" t="s">
        <v>955</v>
      </c>
      <c r="J279" s="80">
        <v>4.0999999999999996</v>
      </c>
      <c r="O279" s="62" t="str">
        <f>IF(E279="PA",IF(K279&lt;&gt;"",ISERROR(VLOOKUP(K279,ABBR!A:D,1,FALSE)),ISERROR(VLOOKUP(C279,ABBR!A:D,1,FALSE))),"")</f>
        <v/>
      </c>
      <c r="P279" t="str">
        <f>VLOOKUP(A279,Groups!A:L,5,FALSE)</f>
        <v>SAMP</v>
      </c>
      <c r="Q279" s="62" t="str">
        <f>IF(G279="PA",IF(M279&lt;&gt;"",ISERROR(VLOOKUP(M279,ABBR!C:F,1,FALSE)),ISERROR(VLOOKUP(E279,ABBR!C:F,1,FALSE))),"")</f>
        <v/>
      </c>
    </row>
    <row r="280" spans="1:17" hidden="1" x14ac:dyDescent="0.25">
      <c r="A280" s="16" t="s">
        <v>69</v>
      </c>
      <c r="B280" s="17"/>
      <c r="C280" s="16" t="s">
        <v>1168</v>
      </c>
      <c r="D280" s="17"/>
      <c r="E280" s="17" t="s">
        <v>608</v>
      </c>
      <c r="F280" s="18" t="s">
        <v>921</v>
      </c>
      <c r="G280" s="94" t="s">
        <v>922</v>
      </c>
      <c r="H280" s="17">
        <v>24</v>
      </c>
      <c r="I280" s="30" t="s">
        <v>955</v>
      </c>
      <c r="J280" s="80">
        <v>4.0999999999999996</v>
      </c>
      <c r="M280" s="101"/>
      <c r="O280" s="62" t="str">
        <f>IF(E280="PA",IF(K280&lt;&gt;"",ISERROR(VLOOKUP(K280,ABBR!A:D,1,FALSE)),ISERROR(VLOOKUP(C280,ABBR!A:D,1,FALSE))),"")</f>
        <v/>
      </c>
      <c r="P280" t="str">
        <f>VLOOKUP(A280,Groups!A:L,5,FALSE)</f>
        <v>SAMP</v>
      </c>
      <c r="Q280" s="62" t="str">
        <f>IF(G280="PA",IF(M280&lt;&gt;"",ISERROR(VLOOKUP(M280,ABBR!C:F,1,FALSE)),ISERROR(VLOOKUP(E280,ABBR!C:F,1,FALSE))),"")</f>
        <v/>
      </c>
    </row>
    <row r="281" spans="1:17" hidden="1" x14ac:dyDescent="0.25">
      <c r="A281" s="16" t="s">
        <v>69</v>
      </c>
      <c r="B281" s="17"/>
      <c r="C281" s="16" t="s">
        <v>1169</v>
      </c>
      <c r="D281" s="17"/>
      <c r="E281" s="17" t="s">
        <v>608</v>
      </c>
      <c r="F281" s="18" t="s">
        <v>875</v>
      </c>
      <c r="G281" s="49" t="s">
        <v>876</v>
      </c>
      <c r="H281" s="17">
        <v>25</v>
      </c>
      <c r="J281" s="62" t="s">
        <v>473</v>
      </c>
      <c r="O281" s="62" t="str">
        <f>IF(E281="PA",IF(K281&lt;&gt;"",ISERROR(VLOOKUP(K281,ABBR!A:D,1,FALSE)),ISERROR(VLOOKUP(C281,ABBR!A:D,1,FALSE))),"")</f>
        <v/>
      </c>
      <c r="P281" t="str">
        <f>VLOOKUP(A281,Groups!A:L,5,FALSE)</f>
        <v>SAMP</v>
      </c>
      <c r="Q281" s="62" t="str">
        <f>IF(G281="PA",IF(M281&lt;&gt;"",ISERROR(VLOOKUP(M281,ABBR!C:F,1,FALSE)),ISERROR(VLOOKUP(E281,ABBR!C:F,1,FALSE))),"")</f>
        <v/>
      </c>
    </row>
    <row r="282" spans="1:17" hidden="1" x14ac:dyDescent="0.25">
      <c r="A282" s="16" t="s">
        <v>69</v>
      </c>
      <c r="B282" s="17"/>
      <c r="C282" s="16" t="s">
        <v>1170</v>
      </c>
      <c r="D282" s="17"/>
      <c r="E282" s="17" t="s">
        <v>608</v>
      </c>
      <c r="F282" s="18" t="s">
        <v>929</v>
      </c>
      <c r="G282" s="49" t="s">
        <v>876</v>
      </c>
      <c r="H282" s="17">
        <v>26</v>
      </c>
      <c r="J282" s="62" t="s">
        <v>473</v>
      </c>
      <c r="O282" s="62" t="str">
        <f>IF(E282="PA",IF(K282&lt;&gt;"",ISERROR(VLOOKUP(K282,ABBR!A:D,1,FALSE)),ISERROR(VLOOKUP(C282,ABBR!A:D,1,FALSE))),"")</f>
        <v/>
      </c>
      <c r="P282" t="str">
        <f>VLOOKUP(A282,Groups!A:L,5,FALSE)</f>
        <v>SAMP</v>
      </c>
      <c r="Q282" s="62" t="str">
        <f>IF(G282="PA",IF(M282&lt;&gt;"",ISERROR(VLOOKUP(M282,ABBR!C:F,1,FALSE)),ISERROR(VLOOKUP(E282,ABBR!C:F,1,FALSE))),"")</f>
        <v/>
      </c>
    </row>
    <row r="283" spans="1:17" hidden="1" x14ac:dyDescent="0.25">
      <c r="A283" s="16" t="s">
        <v>71</v>
      </c>
      <c r="B283" s="17" t="s">
        <v>594</v>
      </c>
      <c r="C283" s="16" t="s">
        <v>595</v>
      </c>
      <c r="D283" s="17"/>
      <c r="E283" s="17" t="s">
        <v>596</v>
      </c>
      <c r="F283" s="18" t="s">
        <v>597</v>
      </c>
      <c r="G283" s="49" t="s">
        <v>598</v>
      </c>
      <c r="H283" s="17">
        <v>1</v>
      </c>
      <c r="O283" s="62" t="str">
        <f>IF(E283="PA",IF(K283&lt;&gt;"",ISERROR(VLOOKUP(K283,ABBR!A:D,1,FALSE)),ISERROR(VLOOKUP(C283,ABBR!A:D,1,FALSE))),"")</f>
        <v/>
      </c>
      <c r="P283" t="str">
        <f>VLOOKUP(A283,Groups!A:L,5,FALSE)</f>
        <v>SAMP</v>
      </c>
      <c r="Q283" s="62" t="str">
        <f>IF(G283="PA",IF(M283&lt;&gt;"",ISERROR(VLOOKUP(M283,ABBR!C:F,1,FALSE)),ISERROR(VLOOKUP(E283,ABBR!C:F,1,FALSE))),"")</f>
        <v/>
      </c>
    </row>
    <row r="284" spans="1:17" hidden="1" x14ac:dyDescent="0.25">
      <c r="A284" s="16" t="s">
        <v>71</v>
      </c>
      <c r="B284" s="17" t="s">
        <v>594</v>
      </c>
      <c r="C284" s="16" t="s">
        <v>851</v>
      </c>
      <c r="D284" s="17" t="s">
        <v>600</v>
      </c>
      <c r="E284" s="17" t="s">
        <v>601</v>
      </c>
      <c r="F284" s="18" t="s">
        <v>852</v>
      </c>
      <c r="G284" s="49" t="s">
        <v>853</v>
      </c>
      <c r="H284" s="17">
        <v>2</v>
      </c>
      <c r="O284" s="62" t="str">
        <f>IF(E284="PA",IF(K284&lt;&gt;"",ISERROR(VLOOKUP(K284,ABBR!A:D,1,FALSE)),ISERROR(VLOOKUP(C284,ABBR!A:D,1,FALSE))),"")</f>
        <v/>
      </c>
      <c r="P284" t="str">
        <f>VLOOKUP(A284,Groups!A:L,5,FALSE)</f>
        <v>SAMP</v>
      </c>
      <c r="Q284" s="62" t="str">
        <f>IF(G284="PA",IF(M284&lt;&gt;"",ISERROR(VLOOKUP(M284,ABBR!C:F,1,FALSE)),ISERROR(VLOOKUP(E284,ABBR!C:F,1,FALSE))),"")</f>
        <v/>
      </c>
    </row>
    <row r="285" spans="1:17" hidden="1" x14ac:dyDescent="0.25">
      <c r="A285" s="16" t="s">
        <v>71</v>
      </c>
      <c r="B285" s="17" t="s">
        <v>594</v>
      </c>
      <c r="C285" s="16" t="s">
        <v>854</v>
      </c>
      <c r="D285" s="17"/>
      <c r="E285" s="17" t="s">
        <v>608</v>
      </c>
      <c r="F285" s="18" t="s">
        <v>855</v>
      </c>
      <c r="G285" s="49" t="s">
        <v>941</v>
      </c>
      <c r="H285" s="17">
        <v>3</v>
      </c>
      <c r="O285" s="62" t="str">
        <f>IF(E285="PA",IF(K285&lt;&gt;"",ISERROR(VLOOKUP(K285,ABBR!A:D,1,FALSE)),ISERROR(VLOOKUP(C285,ABBR!A:D,1,FALSE))),"")</f>
        <v/>
      </c>
      <c r="P285" t="str">
        <f>VLOOKUP(A285,Groups!A:L,5,FALSE)</f>
        <v>SAMP</v>
      </c>
      <c r="Q285" s="62" t="str">
        <f>IF(G285="PA",IF(M285&lt;&gt;"",ISERROR(VLOOKUP(M285,ABBR!C:F,1,FALSE)),ISERROR(VLOOKUP(E285,ABBR!C:F,1,FALSE))),"")</f>
        <v/>
      </c>
    </row>
    <row r="286" spans="1:17" hidden="1" x14ac:dyDescent="0.25">
      <c r="A286" s="16" t="s">
        <v>71</v>
      </c>
      <c r="B286" s="17" t="s">
        <v>594</v>
      </c>
      <c r="C286" s="16" t="s">
        <v>857</v>
      </c>
      <c r="D286" s="17"/>
      <c r="E286" s="17" t="s">
        <v>618</v>
      </c>
      <c r="F286" s="18" t="s">
        <v>858</v>
      </c>
      <c r="G286" s="49" t="s">
        <v>859</v>
      </c>
      <c r="H286" s="17">
        <v>4</v>
      </c>
      <c r="O286" s="62" t="b">
        <f>IF(E286="PA",IF(K286&lt;&gt;"",ISERROR(VLOOKUP(K286,ABBR!A:D,1,FALSE)),ISERROR(VLOOKUP(C286,ABBR!A:D,1,FALSE))),"")</f>
        <v>0</v>
      </c>
      <c r="P286" t="str">
        <f>VLOOKUP(A286,Groups!A:L,5,FALSE)</f>
        <v>SAMP</v>
      </c>
      <c r="Q286" s="62" t="str">
        <f>IF(G286="PA",IF(M286&lt;&gt;"",ISERROR(VLOOKUP(M286,ABBR!C:F,1,FALSE)),ISERROR(VLOOKUP(E286,ABBR!C:F,1,FALSE))),"")</f>
        <v/>
      </c>
    </row>
    <row r="287" spans="1:17" hidden="1" x14ac:dyDescent="0.25">
      <c r="A287" s="16" t="s">
        <v>71</v>
      </c>
      <c r="B287" s="17" t="s">
        <v>594</v>
      </c>
      <c r="C287" s="16" t="s">
        <v>860</v>
      </c>
      <c r="D287" s="17"/>
      <c r="E287" s="17" t="s">
        <v>596</v>
      </c>
      <c r="F287" s="18" t="s">
        <v>942</v>
      </c>
      <c r="G287" s="49" t="s">
        <v>862</v>
      </c>
      <c r="H287" s="17">
        <v>5</v>
      </c>
      <c r="O287" s="62" t="str">
        <f>IF(E287="PA",IF(K287&lt;&gt;"",ISERROR(VLOOKUP(K287,ABBR!A:D,1,FALSE)),ISERROR(VLOOKUP(C287,ABBR!A:D,1,FALSE))),"")</f>
        <v/>
      </c>
      <c r="P287" t="str">
        <f>VLOOKUP(A287,Groups!A:L,5,FALSE)</f>
        <v>SAMP</v>
      </c>
      <c r="Q287" s="62" t="str">
        <f>IF(G287="PA",IF(M287&lt;&gt;"",ISERROR(VLOOKUP(M287,ABBR!C:F,1,FALSE)),ISERROR(VLOOKUP(E287,ABBR!C:F,1,FALSE))),"")</f>
        <v/>
      </c>
    </row>
    <row r="288" spans="1:17" hidden="1" x14ac:dyDescent="0.25">
      <c r="A288" s="16" t="s">
        <v>71</v>
      </c>
      <c r="B288" s="17" t="s">
        <v>594</v>
      </c>
      <c r="C288" s="16" t="s">
        <v>863</v>
      </c>
      <c r="D288" s="17"/>
      <c r="E288" s="17" t="s">
        <v>608</v>
      </c>
      <c r="F288" s="18" t="s">
        <v>864</v>
      </c>
      <c r="G288" s="49" t="s">
        <v>865</v>
      </c>
      <c r="H288" s="17">
        <v>6</v>
      </c>
      <c r="O288" s="62" t="str">
        <f>IF(E288="PA",IF(K288&lt;&gt;"",ISERROR(VLOOKUP(K288,ABBR!A:D,1,FALSE)),ISERROR(VLOOKUP(C288,ABBR!A:D,1,FALSE))),"")</f>
        <v/>
      </c>
      <c r="P288" t="str">
        <f>VLOOKUP(A288,Groups!A:L,5,FALSE)</f>
        <v>SAMP</v>
      </c>
      <c r="Q288" s="62" t="str">
        <f>IF(G288="PA",IF(M288&lt;&gt;"",ISERROR(VLOOKUP(M288,ABBR!C:F,1,FALSE)),ISERROR(VLOOKUP(E288,ABBR!C:F,1,FALSE))),"")</f>
        <v/>
      </c>
    </row>
    <row r="289" spans="1:17" hidden="1" x14ac:dyDescent="0.25">
      <c r="A289" s="16" t="s">
        <v>71</v>
      </c>
      <c r="B289" s="17" t="s">
        <v>594</v>
      </c>
      <c r="C289" s="16" t="s">
        <v>866</v>
      </c>
      <c r="D289" s="17" t="s">
        <v>600</v>
      </c>
      <c r="E289" s="17" t="s">
        <v>601</v>
      </c>
      <c r="F289" s="18" t="s">
        <v>867</v>
      </c>
      <c r="G289" s="49" t="s">
        <v>853</v>
      </c>
      <c r="H289" s="17">
        <v>7</v>
      </c>
      <c r="O289" s="62" t="str">
        <f>IF(E289="PA",IF(K289&lt;&gt;"",ISERROR(VLOOKUP(K289,ABBR!A:D,1,FALSE)),ISERROR(VLOOKUP(C289,ABBR!A:D,1,FALSE))),"")</f>
        <v/>
      </c>
      <c r="P289" t="str">
        <f>VLOOKUP(A289,Groups!A:L,5,FALSE)</f>
        <v>SAMP</v>
      </c>
      <c r="Q289" s="62" t="str">
        <f>IF(G289="PA",IF(M289&lt;&gt;"",ISERROR(VLOOKUP(M289,ABBR!C:F,1,FALSE)),ISERROR(VLOOKUP(E289,ABBR!C:F,1,FALSE))),"")</f>
        <v/>
      </c>
    </row>
    <row r="290" spans="1:17" hidden="1" x14ac:dyDescent="0.25">
      <c r="A290" s="16" t="s">
        <v>71</v>
      </c>
      <c r="B290" s="17"/>
      <c r="C290" s="16" t="s">
        <v>868</v>
      </c>
      <c r="D290" s="17"/>
      <c r="E290" s="17" t="s">
        <v>608</v>
      </c>
      <c r="F290" s="18" t="s">
        <v>869</v>
      </c>
      <c r="G290" s="51" t="s">
        <v>870</v>
      </c>
      <c r="H290" s="17">
        <v>8</v>
      </c>
      <c r="O290" s="62" t="str">
        <f>IF(E290="PA",IF(K290&lt;&gt;"",ISERROR(VLOOKUP(K290,ABBR!A:D,1,FALSE)),ISERROR(VLOOKUP(C290,ABBR!A:D,1,FALSE))),"")</f>
        <v/>
      </c>
      <c r="P290" t="str">
        <f>VLOOKUP(A290,Groups!A:L,5,FALSE)</f>
        <v>SAMP</v>
      </c>
      <c r="Q290" s="62" t="str">
        <f>IF(G290="PA",IF(M290&lt;&gt;"",ISERROR(VLOOKUP(M290,ABBR!C:F,1,FALSE)),ISERROR(VLOOKUP(E290,ABBR!C:F,1,FALSE))),"")</f>
        <v/>
      </c>
    </row>
    <row r="291" spans="1:17" ht="25" hidden="1" x14ac:dyDescent="0.25">
      <c r="A291" s="16" t="s">
        <v>71</v>
      </c>
      <c r="B291" s="17"/>
      <c r="C291" s="16" t="s">
        <v>871</v>
      </c>
      <c r="D291" s="17"/>
      <c r="E291" s="17" t="s">
        <v>608</v>
      </c>
      <c r="F291" s="18" t="s">
        <v>872</v>
      </c>
      <c r="G291" s="49" t="s">
        <v>873</v>
      </c>
      <c r="H291" s="17">
        <v>9</v>
      </c>
      <c r="O291" s="62" t="str">
        <f>IF(E291="PA",IF(K291&lt;&gt;"",ISERROR(VLOOKUP(K291,ABBR!A:D,1,FALSE)),ISERROR(VLOOKUP(C291,ABBR!A:D,1,FALSE))),"")</f>
        <v/>
      </c>
      <c r="P291" t="str">
        <f>VLOOKUP(A291,Groups!A:L,5,FALSE)</f>
        <v>SAMP</v>
      </c>
      <c r="Q291" s="62" t="str">
        <f>IF(G291="PA",IF(M291&lt;&gt;"",ISERROR(VLOOKUP(M291,ABBR!C:F,1,FALSE)),ISERROR(VLOOKUP(E291,ABBR!C:F,1,FALSE))),"")</f>
        <v/>
      </c>
    </row>
    <row r="292" spans="1:17" ht="25" hidden="1" x14ac:dyDescent="0.25">
      <c r="A292" s="16" t="s">
        <v>71</v>
      </c>
      <c r="B292" s="17"/>
      <c r="C292" s="16" t="s">
        <v>1171</v>
      </c>
      <c r="D292" s="17" t="s">
        <v>766</v>
      </c>
      <c r="E292" s="17" t="s">
        <v>723</v>
      </c>
      <c r="F292" s="18" t="s">
        <v>1172</v>
      </c>
      <c r="G292" s="49" t="s">
        <v>1173</v>
      </c>
      <c r="H292" s="17">
        <v>10</v>
      </c>
      <c r="O292" s="62" t="str">
        <f>IF(E292="PA",IF(K292&lt;&gt;"",ISERROR(VLOOKUP(K292,ABBR!A:D,1,FALSE)),ISERROR(VLOOKUP(C292,ABBR!A:D,1,FALSE))),"")</f>
        <v/>
      </c>
      <c r="P292" t="str">
        <f>VLOOKUP(A292,Groups!A:L,5,FALSE)</f>
        <v>SAMP</v>
      </c>
      <c r="Q292" s="62" t="str">
        <f>IF(G292="PA",IF(M292&lt;&gt;"",ISERROR(VLOOKUP(M292,ABBR!C:F,1,FALSE)),ISERROR(VLOOKUP(E292,ABBR!C:F,1,FALSE))),"")</f>
        <v/>
      </c>
    </row>
    <row r="293" spans="1:17" hidden="1" x14ac:dyDescent="0.25">
      <c r="A293" s="16" t="s">
        <v>71</v>
      </c>
      <c r="B293" s="17"/>
      <c r="C293" s="16" t="s">
        <v>1174</v>
      </c>
      <c r="D293" s="17" t="s">
        <v>766</v>
      </c>
      <c r="E293" s="17" t="s">
        <v>723</v>
      </c>
      <c r="F293" s="18" t="s">
        <v>1175</v>
      </c>
      <c r="G293" s="49" t="s">
        <v>1176</v>
      </c>
      <c r="H293" s="17">
        <v>11</v>
      </c>
      <c r="O293" s="62" t="str">
        <f>IF(E293="PA",IF(K293&lt;&gt;"",ISERROR(VLOOKUP(K293,ABBR!A:D,1,FALSE)),ISERROR(VLOOKUP(C293,ABBR!A:D,1,FALSE))),"")</f>
        <v/>
      </c>
      <c r="P293" t="str">
        <f>VLOOKUP(A293,Groups!A:L,5,FALSE)</f>
        <v>SAMP</v>
      </c>
      <c r="Q293" s="62" t="str">
        <f>IF(G293="PA",IF(M293&lt;&gt;"",ISERROR(VLOOKUP(M293,ABBR!C:F,1,FALSE)),ISERROR(VLOOKUP(E293,ABBR!C:F,1,FALSE))),"")</f>
        <v/>
      </c>
    </row>
    <row r="294" spans="1:17" hidden="1" x14ac:dyDescent="0.25">
      <c r="A294" s="16" t="s">
        <v>71</v>
      </c>
      <c r="B294" s="17"/>
      <c r="C294" s="16" t="s">
        <v>1177</v>
      </c>
      <c r="D294" s="17"/>
      <c r="E294" s="17" t="s">
        <v>608</v>
      </c>
      <c r="F294" s="18" t="s">
        <v>1178</v>
      </c>
      <c r="G294" s="49" t="s">
        <v>1179</v>
      </c>
      <c r="H294" s="17">
        <v>12</v>
      </c>
      <c r="O294" s="62" t="str">
        <f>IF(E294="PA",IF(K294&lt;&gt;"",ISERROR(VLOOKUP(K294,ABBR!A:D,1,FALSE)),ISERROR(VLOOKUP(C294,ABBR!A:D,1,FALSE))),"")</f>
        <v/>
      </c>
      <c r="P294" t="str">
        <f>VLOOKUP(A294,Groups!A:L,5,FALSE)</f>
        <v>SAMP</v>
      </c>
      <c r="Q294" s="62" t="str">
        <f>IF(G294="PA",IF(M294&lt;&gt;"",ISERROR(VLOOKUP(M294,ABBR!C:F,1,FALSE)),ISERROR(VLOOKUP(E294,ABBR!C:F,1,FALSE))),"")</f>
        <v/>
      </c>
    </row>
    <row r="295" spans="1:17" ht="25" hidden="1" x14ac:dyDescent="0.25">
      <c r="A295" s="16" t="s">
        <v>71</v>
      </c>
      <c r="B295" s="17"/>
      <c r="C295" s="16" t="s">
        <v>1180</v>
      </c>
      <c r="D295" s="17"/>
      <c r="E295" s="17" t="s">
        <v>608</v>
      </c>
      <c r="F295" s="18" t="s">
        <v>1181</v>
      </c>
      <c r="G295" s="49" t="s">
        <v>1182</v>
      </c>
      <c r="H295" s="17">
        <v>13</v>
      </c>
      <c r="O295" s="62" t="str">
        <f>IF(E295="PA",IF(K295&lt;&gt;"",ISERROR(VLOOKUP(K295,ABBR!A:D,1,FALSE)),ISERROR(VLOOKUP(C295,ABBR!A:D,1,FALSE))),"")</f>
        <v/>
      </c>
      <c r="P295" t="str">
        <f>VLOOKUP(A295,Groups!A:L,5,FALSE)</f>
        <v>SAMP</v>
      </c>
      <c r="Q295" s="62" t="str">
        <f>IF(G295="PA",IF(M295&lt;&gt;"",ISERROR(VLOOKUP(M295,ABBR!C:F,1,FALSE)),ISERROR(VLOOKUP(E295,ABBR!C:F,1,FALSE))),"")</f>
        <v/>
      </c>
    </row>
    <row r="296" spans="1:17" ht="62.5" hidden="1" x14ac:dyDescent="0.25">
      <c r="A296" s="16" t="s">
        <v>71</v>
      </c>
      <c r="B296" s="17"/>
      <c r="C296" s="16" t="s">
        <v>1183</v>
      </c>
      <c r="D296" s="17"/>
      <c r="E296" s="17" t="s">
        <v>608</v>
      </c>
      <c r="F296" s="18" t="s">
        <v>1184</v>
      </c>
      <c r="G296" s="49" t="s">
        <v>1185</v>
      </c>
      <c r="H296" s="17">
        <v>14</v>
      </c>
      <c r="O296" s="62" t="str">
        <f>IF(E296="PA",IF(K296&lt;&gt;"",ISERROR(VLOOKUP(K296,ABBR!A:D,1,FALSE)),ISERROR(VLOOKUP(C296,ABBR!A:D,1,FALSE))),"")</f>
        <v/>
      </c>
      <c r="P296" t="str">
        <f>VLOOKUP(A296,Groups!A:L,5,FALSE)</f>
        <v>SAMP</v>
      </c>
      <c r="Q296" s="62" t="str">
        <f>IF(G296="PA",IF(M296&lt;&gt;"",ISERROR(VLOOKUP(M296,ABBR!C:F,1,FALSE)),ISERROR(VLOOKUP(E296,ABBR!C:F,1,FALSE))),"")</f>
        <v/>
      </c>
    </row>
    <row r="297" spans="1:17" hidden="1" x14ac:dyDescent="0.25">
      <c r="A297" s="16" t="s">
        <v>71</v>
      </c>
      <c r="B297" s="17"/>
      <c r="C297" s="16" t="s">
        <v>1186</v>
      </c>
      <c r="D297" s="17"/>
      <c r="E297" s="17" t="s">
        <v>608</v>
      </c>
      <c r="F297" s="18" t="s">
        <v>642</v>
      </c>
      <c r="G297" s="49" t="s">
        <v>16</v>
      </c>
      <c r="H297" s="17">
        <v>15</v>
      </c>
      <c r="M297" s="101"/>
      <c r="O297" s="62" t="str">
        <f>IF(E297="PA",IF(K297&lt;&gt;"",ISERROR(VLOOKUP(K297,ABBR!A:D,1,FALSE)),ISERROR(VLOOKUP(C297,ABBR!A:D,1,FALSE))),"")</f>
        <v/>
      </c>
      <c r="P297" t="str">
        <f>VLOOKUP(A297,Groups!A:L,5,FALSE)</f>
        <v>SAMP</v>
      </c>
      <c r="Q297" s="62" t="str">
        <f>IF(G297="PA",IF(M297&lt;&gt;"",ISERROR(VLOOKUP(M297,ABBR!C:F,1,FALSE)),ISERROR(VLOOKUP(E297,ABBR!C:F,1,FALSE))),"")</f>
        <v/>
      </c>
    </row>
    <row r="298" spans="1:17" ht="50" hidden="1" x14ac:dyDescent="0.25">
      <c r="A298" s="16" t="s">
        <v>71</v>
      </c>
      <c r="B298" s="17"/>
      <c r="C298" s="16" t="s">
        <v>1187</v>
      </c>
      <c r="D298" s="17"/>
      <c r="E298" s="17" t="s">
        <v>608</v>
      </c>
      <c r="F298" s="18" t="s">
        <v>918</v>
      </c>
      <c r="G298" s="49" t="s">
        <v>1188</v>
      </c>
      <c r="H298" s="17">
        <v>16</v>
      </c>
      <c r="O298" s="62" t="str">
        <f>IF(E298="PA",IF(K298&lt;&gt;"",ISERROR(VLOOKUP(K298,ABBR!A:D,1,FALSE)),ISERROR(VLOOKUP(C298,ABBR!A:D,1,FALSE))),"")</f>
        <v/>
      </c>
      <c r="P298" t="str">
        <f>VLOOKUP(A298,Groups!A:L,5,FALSE)</f>
        <v>SAMP</v>
      </c>
      <c r="Q298" s="62" t="str">
        <f>IF(G298="PA",IF(M298&lt;&gt;"",ISERROR(VLOOKUP(M298,ABBR!C:F,1,FALSE)),ISERROR(VLOOKUP(E298,ABBR!C:F,1,FALSE))),"")</f>
        <v/>
      </c>
    </row>
    <row r="299" spans="1:17" hidden="1" x14ac:dyDescent="0.25">
      <c r="A299" s="16" t="s">
        <v>71</v>
      </c>
      <c r="B299" s="17"/>
      <c r="C299" s="16" t="s">
        <v>1189</v>
      </c>
      <c r="D299" s="17"/>
      <c r="E299" s="17" t="s">
        <v>608</v>
      </c>
      <c r="F299" s="18" t="s">
        <v>950</v>
      </c>
      <c r="G299" s="27" t="s">
        <v>951</v>
      </c>
      <c r="H299" s="17">
        <v>17</v>
      </c>
      <c r="O299" s="62" t="str">
        <f>IF(E299="PA",IF(K299&lt;&gt;"",ISERROR(VLOOKUP(K299,ABBR!A:D,1,FALSE)),ISERROR(VLOOKUP(C299,ABBR!A:D,1,FALSE))),"")</f>
        <v/>
      </c>
      <c r="P299" t="str">
        <f>VLOOKUP(A299,Groups!A:L,5,FALSE)</f>
        <v>SAMP</v>
      </c>
      <c r="Q299" s="62" t="str">
        <f>IF(G299="PA",IF(M299&lt;&gt;"",ISERROR(VLOOKUP(M299,ABBR!C:F,1,FALSE)),ISERROR(VLOOKUP(E299,ABBR!C:F,1,FALSE))),"")</f>
        <v/>
      </c>
    </row>
    <row r="300" spans="1:17" ht="25" hidden="1" x14ac:dyDescent="0.25">
      <c r="A300" s="16" t="s">
        <v>71</v>
      </c>
      <c r="B300" s="17"/>
      <c r="C300" s="16" t="s">
        <v>1190</v>
      </c>
      <c r="D300" s="17"/>
      <c r="E300" s="17" t="s">
        <v>608</v>
      </c>
      <c r="F300" s="18" t="s">
        <v>934</v>
      </c>
      <c r="G300" s="49" t="s">
        <v>953</v>
      </c>
      <c r="H300" s="17">
        <v>18</v>
      </c>
      <c r="O300" s="62" t="str">
        <f>IF(E300="PA",IF(K300&lt;&gt;"",ISERROR(VLOOKUP(K300,ABBR!A:D,1,FALSE)),ISERROR(VLOOKUP(C300,ABBR!A:D,1,FALSE))),"")</f>
        <v/>
      </c>
      <c r="P300" t="str">
        <f>VLOOKUP(A300,Groups!A:L,5,FALSE)</f>
        <v>SAMP</v>
      </c>
      <c r="Q300" s="62" t="str">
        <f>IF(G300="PA",IF(M300&lt;&gt;"",ISERROR(VLOOKUP(M300,ABBR!C:F,1,FALSE)),ISERROR(VLOOKUP(E300,ABBR!C:F,1,FALSE))),"")</f>
        <v/>
      </c>
    </row>
    <row r="301" spans="1:17" hidden="1" x14ac:dyDescent="0.25">
      <c r="A301" s="16" t="s">
        <v>71</v>
      </c>
      <c r="B301" s="17"/>
      <c r="C301" s="16" t="s">
        <v>936</v>
      </c>
      <c r="D301" s="17"/>
      <c r="E301" s="22" t="s">
        <v>608</v>
      </c>
      <c r="F301" s="18" t="s">
        <v>937</v>
      </c>
      <c r="G301" s="49" t="s">
        <v>938</v>
      </c>
      <c r="H301" s="17">
        <v>19</v>
      </c>
      <c r="O301" s="62" t="str">
        <f>IF(E301="PA",IF(K301&lt;&gt;"",ISERROR(VLOOKUP(K301,ABBR!A:D,1,FALSE)),ISERROR(VLOOKUP(C301,ABBR!A:D,1,FALSE))),"")</f>
        <v/>
      </c>
      <c r="P301" t="str">
        <f>VLOOKUP(A301,Groups!A:L,5,FALSE)</f>
        <v>SAMP</v>
      </c>
      <c r="Q301" s="62" t="str">
        <f>IF(G301="PA",IF(M301&lt;&gt;"",ISERROR(VLOOKUP(M301,ABBR!C:F,1,FALSE)),ISERROR(VLOOKUP(E301,ABBR!C:F,1,FALSE))),"")</f>
        <v/>
      </c>
    </row>
    <row r="302" spans="1:17" hidden="1" x14ac:dyDescent="0.25">
      <c r="A302" s="16" t="s">
        <v>71</v>
      </c>
      <c r="B302" s="17"/>
      <c r="C302" s="16" t="s">
        <v>643</v>
      </c>
      <c r="D302" s="17"/>
      <c r="E302" s="17" t="s">
        <v>608</v>
      </c>
      <c r="F302" s="18" t="s">
        <v>954</v>
      </c>
      <c r="G302" s="49" t="s">
        <v>940</v>
      </c>
      <c r="H302" s="17">
        <v>20</v>
      </c>
      <c r="O302" s="62" t="str">
        <f>IF(E302="PA",IF(K302&lt;&gt;"",ISERROR(VLOOKUP(K302,ABBR!A:D,1,FALSE)),ISERROR(VLOOKUP(C302,ABBR!A:D,1,FALSE))),"")</f>
        <v/>
      </c>
      <c r="P302" t="str">
        <f>VLOOKUP(A302,Groups!A:L,5,FALSE)</f>
        <v>SAMP</v>
      </c>
      <c r="Q302" s="62" t="str">
        <f>IF(G302="PA",IF(M302&lt;&gt;"",ISERROR(VLOOKUP(M302,ABBR!C:F,1,FALSE)),ISERROR(VLOOKUP(E302,ABBR!C:F,1,FALSE))),"")</f>
        <v/>
      </c>
    </row>
    <row r="303" spans="1:17" hidden="1" x14ac:dyDescent="0.25">
      <c r="A303" s="16" t="s">
        <v>71</v>
      </c>
      <c r="B303" s="17"/>
      <c r="C303" s="16" t="s">
        <v>877</v>
      </c>
      <c r="D303" s="17" t="s">
        <v>600</v>
      </c>
      <c r="E303" s="17" t="s">
        <v>601</v>
      </c>
      <c r="F303" s="18" t="s">
        <v>878</v>
      </c>
      <c r="G303" s="49" t="s">
        <v>879</v>
      </c>
      <c r="H303" s="17">
        <v>21</v>
      </c>
      <c r="I303" s="30" t="s">
        <v>955</v>
      </c>
      <c r="J303" s="80">
        <v>4.0999999999999996</v>
      </c>
      <c r="O303" s="62" t="str">
        <f>IF(E303="PA",IF(K303&lt;&gt;"",ISERROR(VLOOKUP(K303,ABBR!A:D,1,FALSE)),ISERROR(VLOOKUP(C303,ABBR!A:D,1,FALSE))),"")</f>
        <v/>
      </c>
      <c r="P303" t="str">
        <f>VLOOKUP(A303,Groups!A:L,5,FALSE)</f>
        <v>SAMP</v>
      </c>
      <c r="Q303" s="62" t="str">
        <f>IF(G303="PA",IF(M303&lt;&gt;"",ISERROR(VLOOKUP(M303,ABBR!C:F,1,FALSE)),ISERROR(VLOOKUP(E303,ABBR!C:F,1,FALSE))),"")</f>
        <v/>
      </c>
    </row>
    <row r="304" spans="1:17" hidden="1" x14ac:dyDescent="0.25">
      <c r="A304" s="16" t="s">
        <v>71</v>
      </c>
      <c r="B304" s="17"/>
      <c r="C304" s="16" t="s">
        <v>1191</v>
      </c>
      <c r="D304" s="17"/>
      <c r="E304" s="17" t="s">
        <v>608</v>
      </c>
      <c r="F304" s="18" t="s">
        <v>921</v>
      </c>
      <c r="G304" s="94" t="s">
        <v>922</v>
      </c>
      <c r="H304" s="17">
        <v>22</v>
      </c>
      <c r="I304" s="30" t="s">
        <v>955</v>
      </c>
      <c r="J304" s="80">
        <v>4.0999999999999996</v>
      </c>
      <c r="M304" s="101"/>
      <c r="O304" s="62" t="str">
        <f>IF(E304="PA",IF(K304&lt;&gt;"",ISERROR(VLOOKUP(K304,ABBR!A:D,1,FALSE)),ISERROR(VLOOKUP(C304,ABBR!A:D,1,FALSE))),"")</f>
        <v/>
      </c>
      <c r="P304" t="str">
        <f>VLOOKUP(A304,Groups!A:L,5,FALSE)</f>
        <v>SAMP</v>
      </c>
      <c r="Q304" s="62" t="str">
        <f>IF(G304="PA",IF(M304&lt;&gt;"",ISERROR(VLOOKUP(M304,ABBR!C:F,1,FALSE)),ISERROR(VLOOKUP(E304,ABBR!C:F,1,FALSE))),"")</f>
        <v/>
      </c>
    </row>
    <row r="305" spans="1:17" hidden="1" x14ac:dyDescent="0.25">
      <c r="A305" s="16" t="s">
        <v>71</v>
      </c>
      <c r="B305" s="17"/>
      <c r="C305" s="16" t="s">
        <v>1192</v>
      </c>
      <c r="D305" s="17" t="s">
        <v>924</v>
      </c>
      <c r="E305" s="17" t="s">
        <v>925</v>
      </c>
      <c r="F305" s="18" t="s">
        <v>926</v>
      </c>
      <c r="G305" s="49" t="s">
        <v>927</v>
      </c>
      <c r="H305" s="17">
        <v>23</v>
      </c>
      <c r="J305" s="62" t="s">
        <v>473</v>
      </c>
      <c r="K305" s="62"/>
      <c r="L305" s="62"/>
      <c r="M305" s="62"/>
      <c r="N305" s="62"/>
      <c r="O305" s="62" t="str">
        <f>IF(E305="PA",IF(K305&lt;&gt;"",ISERROR(VLOOKUP(K305,ABBR!A:D,1,FALSE)),ISERROR(VLOOKUP(C305,ABBR!A:D,1,FALSE))),"")</f>
        <v/>
      </c>
      <c r="P305" t="str">
        <f>VLOOKUP(A305,Groups!A:L,5,FALSE)</f>
        <v>SAMP</v>
      </c>
      <c r="Q305" s="62" t="str">
        <f>IF(G305="PA",IF(M305&lt;&gt;"",ISERROR(VLOOKUP(M305,ABBR!C:F,1,FALSE)),ISERROR(VLOOKUP(E305,ABBR!C:F,1,FALSE))),"")</f>
        <v/>
      </c>
    </row>
    <row r="306" spans="1:17" hidden="1" x14ac:dyDescent="0.25">
      <c r="A306" s="16" t="s">
        <v>71</v>
      </c>
      <c r="B306" s="17"/>
      <c r="C306" s="16" t="s">
        <v>1193</v>
      </c>
      <c r="D306" s="17"/>
      <c r="E306" s="17" t="s">
        <v>608</v>
      </c>
      <c r="F306" s="18" t="s">
        <v>875</v>
      </c>
      <c r="G306" s="49" t="s">
        <v>876</v>
      </c>
      <c r="H306" s="17">
        <v>24</v>
      </c>
      <c r="J306" s="62" t="s">
        <v>473</v>
      </c>
      <c r="K306" s="62"/>
      <c r="L306" s="62"/>
      <c r="M306" s="62"/>
      <c r="N306" s="62"/>
      <c r="O306" s="62" t="str">
        <f>IF(E306="PA",IF(K306&lt;&gt;"",ISERROR(VLOOKUP(K306,ABBR!A:D,1,FALSE)),ISERROR(VLOOKUP(C306,ABBR!A:D,1,FALSE))),"")</f>
        <v/>
      </c>
      <c r="P306" t="str">
        <f>VLOOKUP(A306,Groups!A:L,5,FALSE)</f>
        <v>SAMP</v>
      </c>
      <c r="Q306" s="62" t="str">
        <f>IF(G306="PA",IF(M306&lt;&gt;"",ISERROR(VLOOKUP(M306,ABBR!C:F,1,FALSE)),ISERROR(VLOOKUP(E306,ABBR!C:F,1,FALSE))),"")</f>
        <v/>
      </c>
    </row>
    <row r="307" spans="1:17" hidden="1" x14ac:dyDescent="0.25">
      <c r="A307" s="16" t="s">
        <v>71</v>
      </c>
      <c r="B307" s="17"/>
      <c r="C307" s="16" t="s">
        <v>1194</v>
      </c>
      <c r="D307" s="17"/>
      <c r="E307" s="17" t="s">
        <v>608</v>
      </c>
      <c r="F307" s="18" t="s">
        <v>929</v>
      </c>
      <c r="G307" s="49" t="s">
        <v>876</v>
      </c>
      <c r="H307" s="17">
        <v>25</v>
      </c>
      <c r="J307" s="62" t="s">
        <v>473</v>
      </c>
      <c r="K307" s="62"/>
      <c r="L307" s="62"/>
      <c r="M307" s="62"/>
      <c r="N307" s="62"/>
      <c r="O307" s="62" t="str">
        <f>IF(E307="PA",IF(K307&lt;&gt;"",ISERROR(VLOOKUP(K307,ABBR!A:D,1,FALSE)),ISERROR(VLOOKUP(C307,ABBR!A:D,1,FALSE))),"")</f>
        <v/>
      </c>
      <c r="P307" t="str">
        <f>VLOOKUP(A307,Groups!A:L,5,FALSE)</f>
        <v>SAMP</v>
      </c>
      <c r="Q307" s="62" t="str">
        <f>IF(G307="PA",IF(M307&lt;&gt;"",ISERROR(VLOOKUP(M307,ABBR!C:F,1,FALSE)),ISERROR(VLOOKUP(E307,ABBR!C:F,1,FALSE))),"")</f>
        <v/>
      </c>
    </row>
    <row r="308" spans="1:17" hidden="1" x14ac:dyDescent="0.25">
      <c r="A308" s="16" t="s">
        <v>73</v>
      </c>
      <c r="B308" s="17" t="s">
        <v>594</v>
      </c>
      <c r="C308" s="16" t="s">
        <v>595</v>
      </c>
      <c r="D308" s="17"/>
      <c r="E308" s="17" t="s">
        <v>596</v>
      </c>
      <c r="F308" s="18" t="s">
        <v>597</v>
      </c>
      <c r="G308" s="49" t="s">
        <v>598</v>
      </c>
      <c r="H308" s="17">
        <v>1</v>
      </c>
      <c r="O308" s="62" t="str">
        <f>IF(E308="PA",IF(K308&lt;&gt;"",ISERROR(VLOOKUP(K308,ABBR!A:D,1,FALSE)),ISERROR(VLOOKUP(C308,ABBR!A:D,1,FALSE))),"")</f>
        <v/>
      </c>
      <c r="P308" t="str">
        <f>VLOOKUP(A308,Groups!A:L,5,FALSE)</f>
        <v>SAMP</v>
      </c>
      <c r="Q308" s="62" t="str">
        <f>IF(G308="PA",IF(M308&lt;&gt;"",ISERROR(VLOOKUP(M308,ABBR!C:F,1,FALSE)),ISERROR(VLOOKUP(E308,ABBR!C:F,1,FALSE))),"")</f>
        <v/>
      </c>
    </row>
    <row r="309" spans="1:17" hidden="1" x14ac:dyDescent="0.25">
      <c r="A309" s="16" t="s">
        <v>73</v>
      </c>
      <c r="B309" s="17" t="s">
        <v>594</v>
      </c>
      <c r="C309" s="16" t="s">
        <v>851</v>
      </c>
      <c r="D309" s="17" t="s">
        <v>600</v>
      </c>
      <c r="E309" s="17" t="s">
        <v>601</v>
      </c>
      <c r="F309" s="18" t="s">
        <v>852</v>
      </c>
      <c r="G309" s="49" t="s">
        <v>853</v>
      </c>
      <c r="H309" s="17">
        <v>2</v>
      </c>
      <c r="O309" s="62" t="str">
        <f>IF(E309="PA",IF(K309&lt;&gt;"",ISERROR(VLOOKUP(K309,ABBR!A:D,1,FALSE)),ISERROR(VLOOKUP(C309,ABBR!A:D,1,FALSE))),"")</f>
        <v/>
      </c>
      <c r="P309" t="str">
        <f>VLOOKUP(A309,Groups!A:L,5,FALSE)</f>
        <v>SAMP</v>
      </c>
      <c r="Q309" s="62" t="str">
        <f>IF(G309="PA",IF(M309&lt;&gt;"",ISERROR(VLOOKUP(M309,ABBR!C:F,1,FALSE)),ISERROR(VLOOKUP(E309,ABBR!C:F,1,FALSE))),"")</f>
        <v/>
      </c>
    </row>
    <row r="310" spans="1:17" hidden="1" x14ac:dyDescent="0.25">
      <c r="A310" s="16" t="s">
        <v>73</v>
      </c>
      <c r="B310" s="17" t="s">
        <v>594</v>
      </c>
      <c r="C310" s="16" t="s">
        <v>854</v>
      </c>
      <c r="D310" s="17"/>
      <c r="E310" s="17" t="s">
        <v>608</v>
      </c>
      <c r="F310" s="18" t="s">
        <v>855</v>
      </c>
      <c r="G310" s="49" t="s">
        <v>941</v>
      </c>
      <c r="H310" s="17">
        <v>3</v>
      </c>
      <c r="O310" s="62" t="str">
        <f>IF(E310="PA",IF(K310&lt;&gt;"",ISERROR(VLOOKUP(K310,ABBR!A:D,1,FALSE)),ISERROR(VLOOKUP(C310,ABBR!A:D,1,FALSE))),"")</f>
        <v/>
      </c>
      <c r="P310" t="str">
        <f>VLOOKUP(A310,Groups!A:L,5,FALSE)</f>
        <v>SAMP</v>
      </c>
      <c r="Q310" s="62" t="str">
        <f>IF(G310="PA",IF(M310&lt;&gt;"",ISERROR(VLOOKUP(M310,ABBR!C:F,1,FALSE)),ISERROR(VLOOKUP(E310,ABBR!C:F,1,FALSE))),"")</f>
        <v/>
      </c>
    </row>
    <row r="311" spans="1:17" hidden="1" x14ac:dyDescent="0.25">
      <c r="A311" s="16" t="s">
        <v>73</v>
      </c>
      <c r="B311" s="17" t="s">
        <v>594</v>
      </c>
      <c r="C311" s="16" t="s">
        <v>857</v>
      </c>
      <c r="D311" s="17"/>
      <c r="E311" s="17" t="s">
        <v>618</v>
      </c>
      <c r="F311" s="18" t="s">
        <v>858</v>
      </c>
      <c r="G311" s="49" t="s">
        <v>859</v>
      </c>
      <c r="H311" s="17">
        <v>4</v>
      </c>
      <c r="O311" s="62" t="b">
        <f>IF(E311="PA",IF(K311&lt;&gt;"",ISERROR(VLOOKUP(K311,ABBR!A:D,1,FALSE)),ISERROR(VLOOKUP(C311,ABBR!A:D,1,FALSE))),"")</f>
        <v>0</v>
      </c>
      <c r="P311" t="str">
        <f>VLOOKUP(A311,Groups!A:L,5,FALSE)</f>
        <v>SAMP</v>
      </c>
      <c r="Q311" s="62" t="str">
        <f>IF(G311="PA",IF(M311&lt;&gt;"",ISERROR(VLOOKUP(M311,ABBR!C:F,1,FALSE)),ISERROR(VLOOKUP(E311,ABBR!C:F,1,FALSE))),"")</f>
        <v/>
      </c>
    </row>
    <row r="312" spans="1:17" hidden="1" x14ac:dyDescent="0.25">
      <c r="A312" s="16" t="s">
        <v>73</v>
      </c>
      <c r="B312" s="17" t="s">
        <v>594</v>
      </c>
      <c r="C312" s="16" t="s">
        <v>860</v>
      </c>
      <c r="D312" s="17"/>
      <c r="E312" s="17" t="s">
        <v>596</v>
      </c>
      <c r="F312" s="18" t="s">
        <v>942</v>
      </c>
      <c r="G312" s="49" t="s">
        <v>862</v>
      </c>
      <c r="H312" s="17">
        <v>5</v>
      </c>
      <c r="O312" s="62" t="str">
        <f>IF(E312="PA",IF(K312&lt;&gt;"",ISERROR(VLOOKUP(K312,ABBR!A:D,1,FALSE)),ISERROR(VLOOKUP(C312,ABBR!A:D,1,FALSE))),"")</f>
        <v/>
      </c>
      <c r="P312" t="str">
        <f>VLOOKUP(A312,Groups!A:L,5,FALSE)</f>
        <v>SAMP</v>
      </c>
      <c r="Q312" s="62" t="str">
        <f>IF(G312="PA",IF(M312&lt;&gt;"",ISERROR(VLOOKUP(M312,ABBR!C:F,1,FALSE)),ISERROR(VLOOKUP(E312,ABBR!C:F,1,FALSE))),"")</f>
        <v/>
      </c>
    </row>
    <row r="313" spans="1:17" hidden="1" x14ac:dyDescent="0.25">
      <c r="A313" s="16" t="s">
        <v>73</v>
      </c>
      <c r="B313" s="17" t="s">
        <v>594</v>
      </c>
      <c r="C313" s="16" t="s">
        <v>863</v>
      </c>
      <c r="D313" s="17"/>
      <c r="E313" s="17" t="s">
        <v>608</v>
      </c>
      <c r="F313" s="18" t="s">
        <v>864</v>
      </c>
      <c r="G313" s="49" t="s">
        <v>865</v>
      </c>
      <c r="H313" s="17">
        <v>6</v>
      </c>
      <c r="O313" s="62" t="str">
        <f>IF(E313="PA",IF(K313&lt;&gt;"",ISERROR(VLOOKUP(K313,ABBR!A:D,1,FALSE)),ISERROR(VLOOKUP(C313,ABBR!A:D,1,FALSE))),"")</f>
        <v/>
      </c>
      <c r="P313" t="str">
        <f>VLOOKUP(A313,Groups!A:L,5,FALSE)</f>
        <v>SAMP</v>
      </c>
      <c r="Q313" s="62" t="str">
        <f>IF(G313="PA",IF(M313&lt;&gt;"",ISERROR(VLOOKUP(M313,ABBR!C:F,1,FALSE)),ISERROR(VLOOKUP(E313,ABBR!C:F,1,FALSE))),"")</f>
        <v/>
      </c>
    </row>
    <row r="314" spans="1:17" hidden="1" x14ac:dyDescent="0.25">
      <c r="A314" s="16" t="s">
        <v>73</v>
      </c>
      <c r="B314" s="17" t="s">
        <v>594</v>
      </c>
      <c r="C314" s="16" t="s">
        <v>866</v>
      </c>
      <c r="D314" s="17" t="s">
        <v>600</v>
      </c>
      <c r="E314" s="17" t="s">
        <v>601</v>
      </c>
      <c r="F314" s="18" t="s">
        <v>867</v>
      </c>
      <c r="G314" s="49" t="s">
        <v>853</v>
      </c>
      <c r="H314" s="17">
        <v>7</v>
      </c>
      <c r="O314" s="62" t="str">
        <f>IF(E314="PA",IF(K314&lt;&gt;"",ISERROR(VLOOKUP(K314,ABBR!A:D,1,FALSE)),ISERROR(VLOOKUP(C314,ABBR!A:D,1,FALSE))),"")</f>
        <v/>
      </c>
      <c r="P314" t="str">
        <f>VLOOKUP(A314,Groups!A:L,5,FALSE)</f>
        <v>SAMP</v>
      </c>
      <c r="Q314" s="62" t="str">
        <f>IF(G314="PA",IF(M314&lt;&gt;"",ISERROR(VLOOKUP(M314,ABBR!C:F,1,FALSE)),ISERROR(VLOOKUP(E314,ABBR!C:F,1,FALSE))),"")</f>
        <v/>
      </c>
    </row>
    <row r="315" spans="1:17" hidden="1" x14ac:dyDescent="0.25">
      <c r="A315" s="16" t="s">
        <v>73</v>
      </c>
      <c r="B315" s="17"/>
      <c r="C315" s="16" t="s">
        <v>868</v>
      </c>
      <c r="D315" s="17"/>
      <c r="E315" s="17" t="s">
        <v>608</v>
      </c>
      <c r="F315" s="18" t="s">
        <v>869</v>
      </c>
      <c r="G315" s="51" t="s">
        <v>870</v>
      </c>
      <c r="H315" s="17">
        <v>8</v>
      </c>
      <c r="O315" s="62" t="str">
        <f>IF(E315="PA",IF(K315&lt;&gt;"",ISERROR(VLOOKUP(K315,ABBR!A:D,1,FALSE)),ISERROR(VLOOKUP(C315,ABBR!A:D,1,FALSE))),"")</f>
        <v/>
      </c>
      <c r="P315" t="str">
        <f>VLOOKUP(A315,Groups!A:L,5,FALSE)</f>
        <v>SAMP</v>
      </c>
      <c r="Q315" s="62" t="str">
        <f>IF(G315="PA",IF(M315&lt;&gt;"",ISERROR(VLOOKUP(M315,ABBR!C:F,1,FALSE)),ISERROR(VLOOKUP(E315,ABBR!C:F,1,FALSE))),"")</f>
        <v/>
      </c>
    </row>
    <row r="316" spans="1:17" ht="25" hidden="1" x14ac:dyDescent="0.25">
      <c r="A316" s="16" t="s">
        <v>73</v>
      </c>
      <c r="B316" s="17"/>
      <c r="C316" s="16" t="s">
        <v>871</v>
      </c>
      <c r="D316" s="17"/>
      <c r="E316" s="17" t="s">
        <v>608</v>
      </c>
      <c r="F316" s="18" t="s">
        <v>872</v>
      </c>
      <c r="G316" s="49" t="s">
        <v>873</v>
      </c>
      <c r="H316" s="17">
        <v>9</v>
      </c>
      <c r="O316" s="62" t="str">
        <f>IF(E316="PA",IF(K316&lt;&gt;"",ISERROR(VLOOKUP(K316,ABBR!A:D,1,FALSE)),ISERROR(VLOOKUP(C316,ABBR!A:D,1,FALSE))),"")</f>
        <v/>
      </c>
      <c r="P316" t="str">
        <f>VLOOKUP(A316,Groups!A:L,5,FALSE)</f>
        <v>SAMP</v>
      </c>
      <c r="Q316" s="62" t="str">
        <f>IF(G316="PA",IF(M316&lt;&gt;"",ISERROR(VLOOKUP(M316,ABBR!C:F,1,FALSE)),ISERROR(VLOOKUP(E316,ABBR!C:F,1,FALSE))),"")</f>
        <v/>
      </c>
    </row>
    <row r="317" spans="1:17" hidden="1" x14ac:dyDescent="0.25">
      <c r="A317" s="16" t="s">
        <v>73</v>
      </c>
      <c r="B317" s="17"/>
      <c r="C317" s="16" t="s">
        <v>1195</v>
      </c>
      <c r="D317" s="17" t="s">
        <v>766</v>
      </c>
      <c r="E317" s="17" t="s">
        <v>767</v>
      </c>
      <c r="F317" s="18" t="s">
        <v>1196</v>
      </c>
      <c r="G317" s="49" t="s">
        <v>1197</v>
      </c>
      <c r="H317" s="17">
        <v>10</v>
      </c>
      <c r="O317" s="62" t="str">
        <f>IF(E317="PA",IF(K317&lt;&gt;"",ISERROR(VLOOKUP(K317,ABBR!A:D,1,FALSE)),ISERROR(VLOOKUP(C317,ABBR!A:D,1,FALSE))),"")</f>
        <v/>
      </c>
      <c r="P317" t="str">
        <f>VLOOKUP(A317,Groups!A:L,5,FALSE)</f>
        <v>SAMP</v>
      </c>
      <c r="Q317" s="62" t="str">
        <f>IF(G317="PA",IF(M317&lt;&gt;"",ISERROR(VLOOKUP(M317,ABBR!C:F,1,FALSE)),ISERROR(VLOOKUP(E317,ABBR!C:F,1,FALSE))),"")</f>
        <v/>
      </c>
    </row>
    <row r="318" spans="1:17" hidden="1" x14ac:dyDescent="0.25">
      <c r="A318" s="16" t="s">
        <v>73</v>
      </c>
      <c r="B318" s="17"/>
      <c r="C318" s="16" t="s">
        <v>1198</v>
      </c>
      <c r="D318" s="17"/>
      <c r="E318" s="17" t="s">
        <v>608</v>
      </c>
      <c r="F318" s="18" t="s">
        <v>980</v>
      </c>
      <c r="G318" s="49" t="s">
        <v>981</v>
      </c>
      <c r="H318" s="17">
        <v>11</v>
      </c>
      <c r="O318" s="62" t="str">
        <f>IF(E318="PA",IF(K318&lt;&gt;"",ISERROR(VLOOKUP(K318,ABBR!A:D,1,FALSE)),ISERROR(VLOOKUP(C318,ABBR!A:D,1,FALSE))),"")</f>
        <v/>
      </c>
      <c r="P318" t="str">
        <f>VLOOKUP(A318,Groups!A:L,5,FALSE)</f>
        <v>SAMP</v>
      </c>
      <c r="Q318" s="62" t="str">
        <f>IF(G318="PA",IF(M318&lt;&gt;"",ISERROR(VLOOKUP(M318,ABBR!C:F,1,FALSE)),ISERROR(VLOOKUP(E318,ABBR!C:F,1,FALSE))),"")</f>
        <v/>
      </c>
    </row>
    <row r="319" spans="1:17" hidden="1" x14ac:dyDescent="0.25">
      <c r="A319" s="16" t="s">
        <v>73</v>
      </c>
      <c r="B319" s="17"/>
      <c r="C319" s="16" t="s">
        <v>1199</v>
      </c>
      <c r="D319" s="17"/>
      <c r="E319" s="17" t="s">
        <v>608</v>
      </c>
      <c r="F319" s="18" t="s">
        <v>642</v>
      </c>
      <c r="G319" s="49" t="s">
        <v>16</v>
      </c>
      <c r="H319" s="17">
        <v>12</v>
      </c>
      <c r="M319" s="101"/>
      <c r="O319" s="62" t="str">
        <f>IF(E319="PA",IF(K319&lt;&gt;"",ISERROR(VLOOKUP(K319,ABBR!A:D,1,FALSE)),ISERROR(VLOOKUP(C319,ABBR!A:D,1,FALSE))),"")</f>
        <v/>
      </c>
      <c r="P319" t="str">
        <f>VLOOKUP(A319,Groups!A:L,5,FALSE)</f>
        <v>SAMP</v>
      </c>
      <c r="Q319" s="62" t="str">
        <f>IF(G319="PA",IF(M319&lt;&gt;"",ISERROR(VLOOKUP(M319,ABBR!C:F,1,FALSE)),ISERROR(VLOOKUP(E319,ABBR!C:F,1,FALSE))),"")</f>
        <v/>
      </c>
    </row>
    <row r="320" spans="1:17" ht="25" hidden="1" x14ac:dyDescent="0.25">
      <c r="A320" s="16" t="s">
        <v>73</v>
      </c>
      <c r="B320" s="17"/>
      <c r="C320" s="16" t="s">
        <v>1200</v>
      </c>
      <c r="D320" s="17"/>
      <c r="E320" s="17" t="s">
        <v>608</v>
      </c>
      <c r="F320" s="18" t="s">
        <v>918</v>
      </c>
      <c r="G320" s="49" t="s">
        <v>1201</v>
      </c>
      <c r="H320" s="17">
        <v>13</v>
      </c>
      <c r="O320" s="62" t="str">
        <f>IF(E320="PA",IF(K320&lt;&gt;"",ISERROR(VLOOKUP(K320,ABBR!A:D,1,FALSE)),ISERROR(VLOOKUP(C320,ABBR!A:D,1,FALSE))),"")</f>
        <v/>
      </c>
      <c r="P320" t="str">
        <f>VLOOKUP(A320,Groups!A:L,5,FALSE)</f>
        <v>SAMP</v>
      </c>
      <c r="Q320" s="62" t="str">
        <f>IF(G320="PA",IF(M320&lt;&gt;"",ISERROR(VLOOKUP(M320,ABBR!C:F,1,FALSE)),ISERROR(VLOOKUP(E320,ABBR!C:F,1,FALSE))),"")</f>
        <v/>
      </c>
    </row>
    <row r="321" spans="1:17" hidden="1" x14ac:dyDescent="0.25">
      <c r="A321" s="16" t="s">
        <v>73</v>
      </c>
      <c r="B321" s="17"/>
      <c r="C321" s="16" t="s">
        <v>1202</v>
      </c>
      <c r="D321" s="17"/>
      <c r="E321" s="17" t="s">
        <v>608</v>
      </c>
      <c r="F321" s="18" t="s">
        <v>950</v>
      </c>
      <c r="G321" s="27" t="s">
        <v>951</v>
      </c>
      <c r="H321" s="17">
        <v>14</v>
      </c>
      <c r="O321" s="62" t="str">
        <f>IF(E321="PA",IF(K321&lt;&gt;"",ISERROR(VLOOKUP(K321,ABBR!A:D,1,FALSE)),ISERROR(VLOOKUP(C321,ABBR!A:D,1,FALSE))),"")</f>
        <v/>
      </c>
      <c r="P321" t="str">
        <f>VLOOKUP(A321,Groups!A:L,5,FALSE)</f>
        <v>SAMP</v>
      </c>
      <c r="Q321" s="62" t="str">
        <f>IF(G321="PA",IF(M321&lt;&gt;"",ISERROR(VLOOKUP(M321,ABBR!C:F,1,FALSE)),ISERROR(VLOOKUP(E321,ABBR!C:F,1,FALSE))),"")</f>
        <v/>
      </c>
    </row>
    <row r="322" spans="1:17" ht="25" hidden="1" x14ac:dyDescent="0.25">
      <c r="A322" s="16" t="s">
        <v>73</v>
      </c>
      <c r="B322" s="17"/>
      <c r="C322" s="16" t="s">
        <v>1203</v>
      </c>
      <c r="D322" s="17"/>
      <c r="E322" s="17" t="s">
        <v>608</v>
      </c>
      <c r="F322" s="18" t="s">
        <v>934</v>
      </c>
      <c r="G322" s="49" t="s">
        <v>953</v>
      </c>
      <c r="H322" s="17">
        <v>15</v>
      </c>
      <c r="O322" s="62" t="str">
        <f>IF(E322="PA",IF(K322&lt;&gt;"",ISERROR(VLOOKUP(K322,ABBR!A:D,1,FALSE)),ISERROR(VLOOKUP(C322,ABBR!A:D,1,FALSE))),"")</f>
        <v/>
      </c>
      <c r="P322" t="str">
        <f>VLOOKUP(A322,Groups!A:L,5,FALSE)</f>
        <v>SAMP</v>
      </c>
      <c r="Q322" s="62" t="str">
        <f>IF(G322="PA",IF(M322&lt;&gt;"",ISERROR(VLOOKUP(M322,ABBR!C:F,1,FALSE)),ISERROR(VLOOKUP(E322,ABBR!C:F,1,FALSE))),"")</f>
        <v/>
      </c>
    </row>
    <row r="323" spans="1:17" hidden="1" x14ac:dyDescent="0.25">
      <c r="A323" s="16" t="s">
        <v>73</v>
      </c>
      <c r="B323" s="17"/>
      <c r="C323" s="16" t="s">
        <v>936</v>
      </c>
      <c r="D323" s="17"/>
      <c r="E323" s="22" t="s">
        <v>608</v>
      </c>
      <c r="F323" s="18" t="s">
        <v>937</v>
      </c>
      <c r="G323" s="49" t="s">
        <v>938</v>
      </c>
      <c r="H323" s="17">
        <v>16</v>
      </c>
      <c r="O323" s="62" t="str">
        <f>IF(E323="PA",IF(K323&lt;&gt;"",ISERROR(VLOOKUP(K323,ABBR!A:D,1,FALSE)),ISERROR(VLOOKUP(C323,ABBR!A:D,1,FALSE))),"")</f>
        <v/>
      </c>
      <c r="P323" t="str">
        <f>VLOOKUP(A323,Groups!A:L,5,FALSE)</f>
        <v>SAMP</v>
      </c>
      <c r="Q323" s="62" t="str">
        <f>IF(G323="PA",IF(M323&lt;&gt;"",ISERROR(VLOOKUP(M323,ABBR!C:F,1,FALSE)),ISERROR(VLOOKUP(E323,ABBR!C:F,1,FALSE))),"")</f>
        <v/>
      </c>
    </row>
    <row r="324" spans="1:17" hidden="1" x14ac:dyDescent="0.25">
      <c r="A324" s="16" t="s">
        <v>73</v>
      </c>
      <c r="B324" s="17"/>
      <c r="C324" s="16" t="s">
        <v>643</v>
      </c>
      <c r="D324" s="17"/>
      <c r="E324" s="17" t="s">
        <v>608</v>
      </c>
      <c r="F324" s="18" t="s">
        <v>954</v>
      </c>
      <c r="G324" s="49" t="s">
        <v>940</v>
      </c>
      <c r="H324" s="17">
        <v>17</v>
      </c>
      <c r="O324" s="62" t="str">
        <f>IF(E324="PA",IF(K324&lt;&gt;"",ISERROR(VLOOKUP(K324,ABBR!A:D,1,FALSE)),ISERROR(VLOOKUP(C324,ABBR!A:D,1,FALSE))),"")</f>
        <v/>
      </c>
      <c r="P324" t="str">
        <f>VLOOKUP(A324,Groups!A:L,5,FALSE)</f>
        <v>SAMP</v>
      </c>
      <c r="Q324" s="62" t="str">
        <f>IF(G324="PA",IF(M324&lt;&gt;"",ISERROR(VLOOKUP(M324,ABBR!C:F,1,FALSE)),ISERROR(VLOOKUP(E324,ABBR!C:F,1,FALSE))),"")</f>
        <v/>
      </c>
    </row>
    <row r="325" spans="1:17" hidden="1" x14ac:dyDescent="0.25">
      <c r="A325" s="16" t="s">
        <v>73</v>
      </c>
      <c r="B325" s="17"/>
      <c r="C325" s="16" t="s">
        <v>877</v>
      </c>
      <c r="D325" s="17" t="s">
        <v>600</v>
      </c>
      <c r="E325" s="17" t="s">
        <v>601</v>
      </c>
      <c r="F325" s="18" t="s">
        <v>878</v>
      </c>
      <c r="G325" s="49" t="s">
        <v>879</v>
      </c>
      <c r="H325" s="17">
        <v>18</v>
      </c>
      <c r="I325" s="30" t="s">
        <v>955</v>
      </c>
      <c r="J325" s="80">
        <v>4.0999999999999996</v>
      </c>
      <c r="O325" s="62" t="str">
        <f>IF(E325="PA",IF(K325&lt;&gt;"",ISERROR(VLOOKUP(K325,ABBR!A:D,1,FALSE)),ISERROR(VLOOKUP(C325,ABBR!A:D,1,FALSE))),"")</f>
        <v/>
      </c>
      <c r="P325" t="str">
        <f>VLOOKUP(A325,Groups!A:L,5,FALSE)</f>
        <v>SAMP</v>
      </c>
      <c r="Q325" s="62" t="str">
        <f>IF(G325="PA",IF(M325&lt;&gt;"",ISERROR(VLOOKUP(M325,ABBR!C:F,1,FALSE)),ISERROR(VLOOKUP(E325,ABBR!C:F,1,FALSE))),"")</f>
        <v/>
      </c>
    </row>
    <row r="326" spans="1:17" hidden="1" x14ac:dyDescent="0.25">
      <c r="A326" s="16" t="s">
        <v>73</v>
      </c>
      <c r="B326" s="17"/>
      <c r="C326" s="16" t="s">
        <v>1204</v>
      </c>
      <c r="D326" s="17"/>
      <c r="E326" s="17" t="s">
        <v>608</v>
      </c>
      <c r="F326" s="18" t="s">
        <v>921</v>
      </c>
      <c r="G326" s="94" t="s">
        <v>922</v>
      </c>
      <c r="H326" s="17">
        <v>19</v>
      </c>
      <c r="I326" s="30" t="s">
        <v>955</v>
      </c>
      <c r="J326" s="80" t="s">
        <v>1205</v>
      </c>
      <c r="M326" s="101"/>
      <c r="O326" s="62" t="str">
        <f>IF(E326="PA",IF(K326&lt;&gt;"",ISERROR(VLOOKUP(K326,ABBR!A:D,1,FALSE)),ISERROR(VLOOKUP(C326,ABBR!A:D,1,FALSE))),"")</f>
        <v/>
      </c>
      <c r="P326" t="str">
        <f>VLOOKUP(A326,Groups!A:L,5,FALSE)</f>
        <v>SAMP</v>
      </c>
      <c r="Q326" s="62" t="str">
        <f>IF(G326="PA",IF(M326&lt;&gt;"",ISERROR(VLOOKUP(M326,ABBR!C:F,1,FALSE)),ISERROR(VLOOKUP(E326,ABBR!C:F,1,FALSE))),"")</f>
        <v/>
      </c>
    </row>
    <row r="327" spans="1:17" hidden="1" x14ac:dyDescent="0.25">
      <c r="A327" s="16" t="s">
        <v>73</v>
      </c>
      <c r="B327" s="17"/>
      <c r="C327" s="16" t="s">
        <v>1206</v>
      </c>
      <c r="D327" s="17" t="s">
        <v>924</v>
      </c>
      <c r="E327" s="17" t="s">
        <v>925</v>
      </c>
      <c r="F327" s="18" t="s">
        <v>926</v>
      </c>
      <c r="G327" s="49" t="s">
        <v>927</v>
      </c>
      <c r="H327" s="17">
        <v>20</v>
      </c>
      <c r="J327" s="62" t="s">
        <v>473</v>
      </c>
      <c r="K327" s="62"/>
      <c r="L327" s="62"/>
      <c r="M327" s="62"/>
      <c r="N327" s="62"/>
      <c r="O327" s="62" t="str">
        <f>IF(E327="PA",IF(K327&lt;&gt;"",ISERROR(VLOOKUP(K327,ABBR!A:D,1,FALSE)),ISERROR(VLOOKUP(C327,ABBR!A:D,1,FALSE))),"")</f>
        <v/>
      </c>
      <c r="P327" t="str">
        <f>VLOOKUP(A327,Groups!A:L,5,FALSE)</f>
        <v>SAMP</v>
      </c>
      <c r="Q327" s="62" t="str">
        <f>IF(G327="PA",IF(M327&lt;&gt;"",ISERROR(VLOOKUP(M327,ABBR!C:F,1,FALSE)),ISERROR(VLOOKUP(E327,ABBR!C:F,1,FALSE))),"")</f>
        <v/>
      </c>
    </row>
    <row r="328" spans="1:17" hidden="1" x14ac:dyDescent="0.25">
      <c r="A328" s="16" t="s">
        <v>73</v>
      </c>
      <c r="B328" s="17"/>
      <c r="C328" s="16" t="s">
        <v>1207</v>
      </c>
      <c r="D328" s="17"/>
      <c r="E328" s="17" t="s">
        <v>608</v>
      </c>
      <c r="F328" s="18" t="s">
        <v>875</v>
      </c>
      <c r="G328" s="49" t="s">
        <v>876</v>
      </c>
      <c r="H328" s="17">
        <v>21</v>
      </c>
      <c r="J328" s="62" t="s">
        <v>473</v>
      </c>
      <c r="K328" s="62"/>
      <c r="L328" s="62"/>
      <c r="M328" s="62"/>
      <c r="N328" s="62"/>
      <c r="O328" s="62" t="str">
        <f>IF(E328="PA",IF(K328&lt;&gt;"",ISERROR(VLOOKUP(K328,ABBR!A:D,1,FALSE)),ISERROR(VLOOKUP(C328,ABBR!A:D,1,FALSE))),"")</f>
        <v/>
      </c>
      <c r="P328" t="str">
        <f>VLOOKUP(A328,Groups!A:L,5,FALSE)</f>
        <v>SAMP</v>
      </c>
      <c r="Q328" s="62" t="str">
        <f>IF(G328="PA",IF(M328&lt;&gt;"",ISERROR(VLOOKUP(M328,ABBR!C:F,1,FALSE)),ISERROR(VLOOKUP(E328,ABBR!C:F,1,FALSE))),"")</f>
        <v/>
      </c>
    </row>
    <row r="329" spans="1:17" hidden="1" x14ac:dyDescent="0.25">
      <c r="A329" s="16" t="s">
        <v>73</v>
      </c>
      <c r="B329" s="17"/>
      <c r="C329" s="16" t="s">
        <v>1208</v>
      </c>
      <c r="D329" s="17"/>
      <c r="E329" s="17" t="s">
        <v>608</v>
      </c>
      <c r="F329" s="18" t="s">
        <v>929</v>
      </c>
      <c r="G329" s="49" t="s">
        <v>876</v>
      </c>
      <c r="H329" s="17">
        <v>22</v>
      </c>
      <c r="J329" s="62" t="s">
        <v>473</v>
      </c>
      <c r="K329" s="62"/>
      <c r="L329" s="62"/>
      <c r="M329" s="62"/>
      <c r="N329" s="62"/>
      <c r="O329" s="62" t="str">
        <f>IF(E329="PA",IF(K329&lt;&gt;"",ISERROR(VLOOKUP(K329,ABBR!A:D,1,FALSE)),ISERROR(VLOOKUP(C329,ABBR!A:D,1,FALSE))),"")</f>
        <v/>
      </c>
      <c r="P329" t="str">
        <f>VLOOKUP(A329,Groups!A:L,5,FALSE)</f>
        <v>SAMP</v>
      </c>
      <c r="Q329" s="62" t="str">
        <f>IF(G329="PA",IF(M329&lt;&gt;"",ISERROR(VLOOKUP(M329,ABBR!C:F,1,FALSE)),ISERROR(VLOOKUP(E329,ABBR!C:F,1,FALSE))),"")</f>
        <v/>
      </c>
    </row>
    <row r="330" spans="1:17" hidden="1" x14ac:dyDescent="0.25">
      <c r="A330" s="16" t="s">
        <v>571</v>
      </c>
      <c r="B330" s="17" t="s">
        <v>594</v>
      </c>
      <c r="C330" s="16" t="s">
        <v>595</v>
      </c>
      <c r="D330" s="17"/>
      <c r="E330" s="17" t="s">
        <v>596</v>
      </c>
      <c r="F330" s="18" t="s">
        <v>597</v>
      </c>
      <c r="G330" s="49" t="s">
        <v>598</v>
      </c>
      <c r="H330" s="17">
        <v>1</v>
      </c>
      <c r="J330" s="62" t="s">
        <v>532</v>
      </c>
      <c r="K330" s="62"/>
      <c r="L330" s="62"/>
      <c r="M330" s="62"/>
      <c r="N330" s="62"/>
      <c r="O330" s="62" t="str">
        <f>IF(E330="PA",IF(K330&lt;&gt;"",ISERROR(VLOOKUP(K330,ABBR!A:D,1,FALSE)),ISERROR(VLOOKUP(C330,ABBR!A:D,1,FALSE))),"")</f>
        <v/>
      </c>
      <c r="P330" t="str">
        <f>VLOOKUP(A330,Groups!A:L,5,FALSE)</f>
        <v>SAMP</v>
      </c>
      <c r="Q330" s="62" t="str">
        <f>IF(G330="PA",IF(M330&lt;&gt;"",ISERROR(VLOOKUP(M330,ABBR!C:F,1,FALSE)),ISERROR(VLOOKUP(E330,ABBR!C:F,1,FALSE))),"")</f>
        <v/>
      </c>
    </row>
    <row r="331" spans="1:17" hidden="1" x14ac:dyDescent="0.25">
      <c r="A331" s="16" t="s">
        <v>571</v>
      </c>
      <c r="B331" s="17" t="s">
        <v>594</v>
      </c>
      <c r="C331" s="16" t="s">
        <v>851</v>
      </c>
      <c r="D331" s="17" t="s">
        <v>600</v>
      </c>
      <c r="E331" s="17" t="s">
        <v>601</v>
      </c>
      <c r="F331" s="18" t="s">
        <v>852</v>
      </c>
      <c r="G331" s="49" t="s">
        <v>853</v>
      </c>
      <c r="H331" s="17">
        <f t="shared" ref="H331:H355" si="2">H330+1</f>
        <v>2</v>
      </c>
      <c r="J331" s="62" t="s">
        <v>532</v>
      </c>
      <c r="K331" s="62"/>
      <c r="L331" s="62"/>
      <c r="M331" s="62"/>
      <c r="N331" s="62"/>
      <c r="O331" s="62" t="str">
        <f>IF(E331="PA",IF(K331&lt;&gt;"",ISERROR(VLOOKUP(K331,ABBR!A:D,1,FALSE)),ISERROR(VLOOKUP(C331,ABBR!A:D,1,FALSE))),"")</f>
        <v/>
      </c>
      <c r="P331" t="str">
        <f>VLOOKUP(A331,Groups!A:L,5,FALSE)</f>
        <v>SAMP</v>
      </c>
      <c r="Q331" s="62" t="str">
        <f>IF(G331="PA",IF(M331&lt;&gt;"",ISERROR(VLOOKUP(M331,ABBR!C:F,1,FALSE)),ISERROR(VLOOKUP(E331,ABBR!C:F,1,FALSE))),"")</f>
        <v/>
      </c>
    </row>
    <row r="332" spans="1:17" hidden="1" x14ac:dyDescent="0.25">
      <c r="A332" s="16" t="s">
        <v>571</v>
      </c>
      <c r="B332" s="17" t="s">
        <v>594</v>
      </c>
      <c r="C332" s="16" t="s">
        <v>854</v>
      </c>
      <c r="D332" s="17"/>
      <c r="E332" s="17" t="s">
        <v>608</v>
      </c>
      <c r="F332" s="18" t="s">
        <v>855</v>
      </c>
      <c r="G332" s="49" t="s">
        <v>856</v>
      </c>
      <c r="H332" s="17">
        <f t="shared" si="2"/>
        <v>3</v>
      </c>
      <c r="J332" s="62" t="s">
        <v>532</v>
      </c>
      <c r="K332" s="62"/>
      <c r="L332" s="62"/>
      <c r="M332" s="62"/>
      <c r="N332" s="62"/>
      <c r="O332" s="62" t="str">
        <f>IF(E332="PA",IF(K332&lt;&gt;"",ISERROR(VLOOKUP(K332,ABBR!A:D,1,FALSE)),ISERROR(VLOOKUP(C332,ABBR!A:D,1,FALSE))),"")</f>
        <v/>
      </c>
      <c r="P332" t="str">
        <f>VLOOKUP(A332,Groups!A:L,5,FALSE)</f>
        <v>SAMP</v>
      </c>
      <c r="Q332" s="62" t="str">
        <f>IF(G332="PA",IF(M332&lt;&gt;"",ISERROR(VLOOKUP(M332,ABBR!C:F,1,FALSE)),ISERROR(VLOOKUP(E332,ABBR!C:F,1,FALSE))),"")</f>
        <v/>
      </c>
    </row>
    <row r="333" spans="1:17" hidden="1" x14ac:dyDescent="0.25">
      <c r="A333" s="16" t="s">
        <v>571</v>
      </c>
      <c r="B333" s="17" t="s">
        <v>594</v>
      </c>
      <c r="C333" s="16" t="s">
        <v>857</v>
      </c>
      <c r="D333" s="17"/>
      <c r="E333" s="17" t="s">
        <v>618</v>
      </c>
      <c r="F333" s="18" t="s">
        <v>858</v>
      </c>
      <c r="G333" s="49" t="s">
        <v>859</v>
      </c>
      <c r="H333" s="17">
        <f t="shared" si="2"/>
        <v>4</v>
      </c>
      <c r="J333" s="62" t="s">
        <v>532</v>
      </c>
      <c r="K333" s="62"/>
      <c r="L333" s="62"/>
      <c r="M333" s="62"/>
      <c r="N333" s="62"/>
      <c r="O333" s="62" t="b">
        <f>IF(E333="PA",IF(K333&lt;&gt;"",ISERROR(VLOOKUP(K333,ABBR!A:D,1,FALSE)),ISERROR(VLOOKUP(C333,ABBR!A:D,1,FALSE))),"")</f>
        <v>0</v>
      </c>
      <c r="P333" t="str">
        <f>VLOOKUP(A333,Groups!A:L,5,FALSE)</f>
        <v>SAMP</v>
      </c>
      <c r="Q333" s="62" t="str">
        <f>IF(G333="PA",IF(M333&lt;&gt;"",ISERROR(VLOOKUP(M333,ABBR!C:F,1,FALSE)),ISERROR(VLOOKUP(E333,ABBR!C:F,1,FALSE))),"")</f>
        <v/>
      </c>
    </row>
    <row r="334" spans="1:17" hidden="1" x14ac:dyDescent="0.25">
      <c r="A334" s="16" t="s">
        <v>571</v>
      </c>
      <c r="B334" s="17" t="s">
        <v>594</v>
      </c>
      <c r="C334" s="16" t="s">
        <v>860</v>
      </c>
      <c r="D334" s="17"/>
      <c r="E334" s="17" t="s">
        <v>596</v>
      </c>
      <c r="F334" s="18" t="s">
        <v>861</v>
      </c>
      <c r="G334" s="49" t="s">
        <v>862</v>
      </c>
      <c r="H334" s="17">
        <f t="shared" si="2"/>
        <v>5</v>
      </c>
      <c r="J334" s="62" t="s">
        <v>532</v>
      </c>
      <c r="K334" s="62"/>
      <c r="L334" s="62"/>
      <c r="M334" s="62"/>
      <c r="N334" s="62"/>
      <c r="O334" s="62" t="str">
        <f>IF(E334="PA",IF(K334&lt;&gt;"",ISERROR(VLOOKUP(K334,ABBR!A:D,1,FALSE)),ISERROR(VLOOKUP(C334,ABBR!A:D,1,FALSE))),"")</f>
        <v/>
      </c>
      <c r="P334" t="str">
        <f>VLOOKUP(A334,Groups!A:L,5,FALSE)</f>
        <v>SAMP</v>
      </c>
      <c r="Q334" s="62" t="str">
        <f>IF(G334="PA",IF(M334&lt;&gt;"",ISERROR(VLOOKUP(M334,ABBR!C:F,1,FALSE)),ISERROR(VLOOKUP(E334,ABBR!C:F,1,FALSE))),"")</f>
        <v/>
      </c>
    </row>
    <row r="335" spans="1:17" hidden="1" x14ac:dyDescent="0.25">
      <c r="A335" s="16" t="s">
        <v>571</v>
      </c>
      <c r="B335" s="17" t="s">
        <v>594</v>
      </c>
      <c r="C335" s="16" t="s">
        <v>863</v>
      </c>
      <c r="D335" s="17"/>
      <c r="E335" s="17" t="s">
        <v>608</v>
      </c>
      <c r="F335" s="18" t="s">
        <v>864</v>
      </c>
      <c r="G335" s="49" t="s">
        <v>865</v>
      </c>
      <c r="H335" s="17">
        <f t="shared" si="2"/>
        <v>6</v>
      </c>
      <c r="J335" s="62" t="s">
        <v>532</v>
      </c>
      <c r="K335" s="62"/>
      <c r="L335" s="62"/>
      <c r="M335" s="62"/>
      <c r="N335" s="62"/>
      <c r="O335" s="62" t="str">
        <f>IF(E335="PA",IF(K335&lt;&gt;"",ISERROR(VLOOKUP(K335,ABBR!A:D,1,FALSE)),ISERROR(VLOOKUP(C335,ABBR!A:D,1,FALSE))),"")</f>
        <v/>
      </c>
      <c r="P335" t="str">
        <f>VLOOKUP(A335,Groups!A:L,5,FALSE)</f>
        <v>SAMP</v>
      </c>
      <c r="Q335" s="62" t="str">
        <f>IF(G335="PA",IF(M335&lt;&gt;"",ISERROR(VLOOKUP(M335,ABBR!C:F,1,FALSE)),ISERROR(VLOOKUP(E335,ABBR!C:F,1,FALSE))),"")</f>
        <v/>
      </c>
    </row>
    <row r="336" spans="1:17" hidden="1" x14ac:dyDescent="0.25">
      <c r="A336" s="16" t="s">
        <v>571</v>
      </c>
      <c r="B336" s="17" t="s">
        <v>594</v>
      </c>
      <c r="C336" s="16" t="s">
        <v>866</v>
      </c>
      <c r="D336" s="17" t="s">
        <v>600</v>
      </c>
      <c r="E336" s="17" t="s">
        <v>601</v>
      </c>
      <c r="F336" s="18" t="s">
        <v>867</v>
      </c>
      <c r="G336" s="49" t="s">
        <v>853</v>
      </c>
      <c r="H336" s="17">
        <f t="shared" si="2"/>
        <v>7</v>
      </c>
      <c r="J336" s="62" t="s">
        <v>532</v>
      </c>
      <c r="K336" s="62"/>
      <c r="L336" s="62"/>
      <c r="M336" s="62"/>
      <c r="N336" s="62"/>
      <c r="O336" s="62" t="str">
        <f>IF(E336="PA",IF(K336&lt;&gt;"",ISERROR(VLOOKUP(K336,ABBR!A:D,1,FALSE)),ISERROR(VLOOKUP(C336,ABBR!A:D,1,FALSE))),"")</f>
        <v/>
      </c>
      <c r="P336" t="str">
        <f>VLOOKUP(A336,Groups!A:L,5,FALSE)</f>
        <v>SAMP</v>
      </c>
      <c r="Q336" s="62" t="str">
        <f>IF(G336="PA",IF(M336&lt;&gt;"",ISERROR(VLOOKUP(M336,ABBR!C:F,1,FALSE)),ISERROR(VLOOKUP(E336,ABBR!C:F,1,FALSE))),"")</f>
        <v/>
      </c>
    </row>
    <row r="337" spans="1:17" ht="25" hidden="1" x14ac:dyDescent="0.25">
      <c r="A337" s="16" t="s">
        <v>571</v>
      </c>
      <c r="B337" s="17"/>
      <c r="C337" s="16" t="s">
        <v>868</v>
      </c>
      <c r="D337" s="17"/>
      <c r="E337" s="17" t="s">
        <v>608</v>
      </c>
      <c r="F337" s="18" t="s">
        <v>869</v>
      </c>
      <c r="G337" s="49" t="s">
        <v>870</v>
      </c>
      <c r="H337" s="17">
        <f t="shared" si="2"/>
        <v>8</v>
      </c>
      <c r="J337" s="62" t="s">
        <v>532</v>
      </c>
      <c r="K337" s="62"/>
      <c r="L337" s="62"/>
      <c r="M337" s="62"/>
      <c r="N337" s="62"/>
      <c r="O337" s="62" t="str">
        <f>IF(E337="PA",IF(K337&lt;&gt;"",ISERROR(VLOOKUP(K337,ABBR!A:D,1,FALSE)),ISERROR(VLOOKUP(C337,ABBR!A:D,1,FALSE))),"")</f>
        <v/>
      </c>
      <c r="P337" t="str">
        <f>VLOOKUP(A337,Groups!A:L,5,FALSE)</f>
        <v>SAMP</v>
      </c>
      <c r="Q337" s="62" t="str">
        <f>IF(G337="PA",IF(M337&lt;&gt;"",ISERROR(VLOOKUP(M337,ABBR!C:F,1,FALSE)),ISERROR(VLOOKUP(E337,ABBR!C:F,1,FALSE))),"")</f>
        <v/>
      </c>
    </row>
    <row r="338" spans="1:17" ht="25" hidden="1" x14ac:dyDescent="0.25">
      <c r="A338" s="16" t="s">
        <v>571</v>
      </c>
      <c r="B338" s="17"/>
      <c r="C338" s="16" t="s">
        <v>871</v>
      </c>
      <c r="D338" s="17"/>
      <c r="E338" s="17" t="s">
        <v>608</v>
      </c>
      <c r="F338" s="18" t="s">
        <v>872</v>
      </c>
      <c r="G338" s="49" t="s">
        <v>873</v>
      </c>
      <c r="H338" s="17">
        <f t="shared" si="2"/>
        <v>9</v>
      </c>
      <c r="J338" s="62" t="s">
        <v>532</v>
      </c>
      <c r="K338" s="62"/>
      <c r="L338" s="62"/>
      <c r="M338" s="62"/>
      <c r="N338" s="62"/>
      <c r="O338" s="62" t="str">
        <f>IF(E338="PA",IF(K338&lt;&gt;"",ISERROR(VLOOKUP(K338,ABBR!A:D,1,FALSE)),ISERROR(VLOOKUP(C338,ABBR!A:D,1,FALSE))),"")</f>
        <v/>
      </c>
      <c r="P338" t="str">
        <f>VLOOKUP(A338,Groups!A:L,5,FALSE)</f>
        <v>SAMP</v>
      </c>
      <c r="Q338" s="62" t="str">
        <f>IF(G338="PA",IF(M338&lt;&gt;"",ISERROR(VLOOKUP(M338,ABBR!C:F,1,FALSE)),ISERROR(VLOOKUP(E338,ABBR!C:F,1,FALSE))),"")</f>
        <v/>
      </c>
    </row>
    <row r="339" spans="1:17" hidden="1" x14ac:dyDescent="0.25">
      <c r="A339" s="16" t="s">
        <v>571</v>
      </c>
      <c r="B339" s="17"/>
      <c r="C339" s="16" t="s">
        <v>1209</v>
      </c>
      <c r="D339" s="17"/>
      <c r="E339" s="17" t="s">
        <v>608</v>
      </c>
      <c r="F339" s="18" t="s">
        <v>875</v>
      </c>
      <c r="G339" s="49" t="s">
        <v>1210</v>
      </c>
      <c r="H339" s="17">
        <f t="shared" si="2"/>
        <v>10</v>
      </c>
      <c r="J339" s="62" t="s">
        <v>473</v>
      </c>
      <c r="K339" s="62"/>
      <c r="L339" s="62"/>
      <c r="M339" s="62"/>
      <c r="N339" s="62"/>
      <c r="O339" s="62" t="str">
        <f>IF(E339="PA",IF(K339&lt;&gt;"",ISERROR(VLOOKUP(K339,ABBR!A:D,1,FALSE)),ISERROR(VLOOKUP(C339,ABBR!A:D,1,FALSE))),"")</f>
        <v/>
      </c>
      <c r="P339" t="str">
        <f>VLOOKUP(A339,Groups!A:L,5,FALSE)</f>
        <v>SAMP</v>
      </c>
      <c r="Q339" s="62" t="str">
        <f>IF(G339="PA",IF(M339&lt;&gt;"",ISERROR(VLOOKUP(M339,ABBR!C:F,1,FALSE)),ISERROR(VLOOKUP(E339,ABBR!C:F,1,FALSE))),"")</f>
        <v/>
      </c>
    </row>
    <row r="340" spans="1:17" hidden="1" x14ac:dyDescent="0.25">
      <c r="A340" s="16" t="s">
        <v>571</v>
      </c>
      <c r="B340" s="17"/>
      <c r="C340" s="16" t="s">
        <v>877</v>
      </c>
      <c r="D340" s="17" t="s">
        <v>600</v>
      </c>
      <c r="E340" s="17" t="s">
        <v>601</v>
      </c>
      <c r="F340" s="18" t="s">
        <v>878</v>
      </c>
      <c r="G340" s="49" t="s">
        <v>879</v>
      </c>
      <c r="H340" s="17">
        <f t="shared" si="2"/>
        <v>11</v>
      </c>
      <c r="J340" s="62" t="s">
        <v>532</v>
      </c>
      <c r="O340" s="62" t="str">
        <f>IF(E340="PA",IF(K340&lt;&gt;"",ISERROR(VLOOKUP(K340,ABBR!A:D,1,FALSE)),ISERROR(VLOOKUP(C340,ABBR!A:D,1,FALSE))),"")</f>
        <v/>
      </c>
      <c r="P340" t="str">
        <f>VLOOKUP(A340,Groups!A:L,5,FALSE)</f>
        <v>SAMP</v>
      </c>
      <c r="Q340" s="62" t="str">
        <f>IF(G340="PA",IF(M340&lt;&gt;"",ISERROR(VLOOKUP(M340,ABBR!C:F,1,FALSE)),ISERROR(VLOOKUP(E340,ABBR!C:F,1,FALSE))),"")</f>
        <v/>
      </c>
    </row>
    <row r="341" spans="1:17" hidden="1" x14ac:dyDescent="0.25">
      <c r="A341" s="16" t="s">
        <v>571</v>
      </c>
      <c r="B341" s="17"/>
      <c r="C341" s="16" t="s">
        <v>1211</v>
      </c>
      <c r="D341" s="17"/>
      <c r="E341" s="17" t="s">
        <v>723</v>
      </c>
      <c r="F341" s="18" t="s">
        <v>1212</v>
      </c>
      <c r="G341" s="49" t="s">
        <v>1213</v>
      </c>
      <c r="H341" s="17">
        <f t="shared" si="2"/>
        <v>12</v>
      </c>
      <c r="J341" s="62" t="s">
        <v>532</v>
      </c>
      <c r="K341" s="62"/>
      <c r="L341" s="62"/>
      <c r="M341" s="62"/>
      <c r="N341" s="62"/>
      <c r="O341" s="62" t="str">
        <f>IF(E341="PA",IF(K341&lt;&gt;"",ISERROR(VLOOKUP(K341,ABBR!A:D,1,FALSE)),ISERROR(VLOOKUP(C341,ABBR!A:D,1,FALSE))),"")</f>
        <v/>
      </c>
      <c r="P341" t="str">
        <f>VLOOKUP(A341,Groups!A:L,5,FALSE)</f>
        <v>SAMP</v>
      </c>
      <c r="Q341" s="62" t="str">
        <f>IF(G341="PA",IF(M341&lt;&gt;"",ISERROR(VLOOKUP(M341,ABBR!C:F,1,FALSE)),ISERROR(VLOOKUP(E341,ABBR!C:F,1,FALSE))),"")</f>
        <v/>
      </c>
    </row>
    <row r="342" spans="1:17" hidden="1" x14ac:dyDescent="0.25">
      <c r="A342" s="16" t="s">
        <v>571</v>
      </c>
      <c r="B342" s="17"/>
      <c r="C342" s="16" t="s">
        <v>1214</v>
      </c>
      <c r="D342" s="17" t="s">
        <v>1215</v>
      </c>
      <c r="E342" s="17" t="s">
        <v>601</v>
      </c>
      <c r="F342" s="18" t="s">
        <v>1216</v>
      </c>
      <c r="G342" s="49" t="s">
        <v>1217</v>
      </c>
      <c r="H342" s="17">
        <f t="shared" si="2"/>
        <v>13</v>
      </c>
      <c r="J342" s="62" t="s">
        <v>532</v>
      </c>
      <c r="K342" s="62"/>
      <c r="L342" s="62"/>
      <c r="M342" s="62"/>
      <c r="N342" s="62"/>
      <c r="O342" s="62" t="str">
        <f>IF(E342="PA",IF(K342&lt;&gt;"",ISERROR(VLOOKUP(K342,ABBR!A:D,1,FALSE)),ISERROR(VLOOKUP(C342,ABBR!A:D,1,FALSE))),"")</f>
        <v/>
      </c>
      <c r="P342" t="str">
        <f>VLOOKUP(A342,Groups!A:L,5,FALSE)</f>
        <v>SAMP</v>
      </c>
      <c r="Q342" s="62" t="str">
        <f>IF(G342="PA",IF(M342&lt;&gt;"",ISERROR(VLOOKUP(M342,ABBR!C:F,1,FALSE)),ISERROR(VLOOKUP(E342,ABBR!C:F,1,FALSE))),"")</f>
        <v/>
      </c>
    </row>
    <row r="343" spans="1:17" hidden="1" x14ac:dyDescent="0.25">
      <c r="A343" s="16" t="s">
        <v>571</v>
      </c>
      <c r="B343" s="17"/>
      <c r="C343" s="16" t="s">
        <v>1218</v>
      </c>
      <c r="D343" s="17" t="s">
        <v>766</v>
      </c>
      <c r="E343" s="17" t="s">
        <v>723</v>
      </c>
      <c r="F343" s="18" t="s">
        <v>1219</v>
      </c>
      <c r="G343" s="49" t="s">
        <v>1220</v>
      </c>
      <c r="H343" s="17">
        <f t="shared" si="2"/>
        <v>14</v>
      </c>
      <c r="J343" s="62" t="s">
        <v>532</v>
      </c>
      <c r="K343" s="62"/>
      <c r="L343" s="62"/>
      <c r="M343" s="62"/>
      <c r="N343" s="62"/>
      <c r="O343" s="62" t="str">
        <f>IF(E343="PA",IF(K343&lt;&gt;"",ISERROR(VLOOKUP(K343,ABBR!A:D,1,FALSE)),ISERROR(VLOOKUP(C343,ABBR!A:D,1,FALSE))),"")</f>
        <v/>
      </c>
      <c r="P343" t="str">
        <f>VLOOKUP(A343,Groups!A:L,5,FALSE)</f>
        <v>SAMP</v>
      </c>
      <c r="Q343" s="62" t="str">
        <f>IF(G343="PA",IF(M343&lt;&gt;"",ISERROR(VLOOKUP(M343,ABBR!C:F,1,FALSE)),ISERROR(VLOOKUP(E343,ABBR!C:F,1,FALSE))),"")</f>
        <v/>
      </c>
    </row>
    <row r="344" spans="1:17" hidden="1" x14ac:dyDescent="0.25">
      <c r="A344" s="16" t="s">
        <v>571</v>
      </c>
      <c r="B344" s="17"/>
      <c r="C344" s="16" t="s">
        <v>1221</v>
      </c>
      <c r="D344" s="17" t="s">
        <v>766</v>
      </c>
      <c r="E344" s="17" t="s">
        <v>723</v>
      </c>
      <c r="F344" s="18" t="s">
        <v>1222</v>
      </c>
      <c r="G344" s="49" t="s">
        <v>1223</v>
      </c>
      <c r="H344" s="17">
        <f t="shared" si="2"/>
        <v>15</v>
      </c>
      <c r="J344" s="62" t="s">
        <v>532</v>
      </c>
      <c r="K344" s="62"/>
      <c r="L344" s="62"/>
      <c r="M344" s="62"/>
      <c r="N344" s="62"/>
      <c r="O344" s="62" t="str">
        <f>IF(E344="PA",IF(K344&lt;&gt;"",ISERROR(VLOOKUP(K344,ABBR!A:D,1,FALSE)),ISERROR(VLOOKUP(C344,ABBR!A:D,1,FALSE))),"")</f>
        <v/>
      </c>
      <c r="P344" t="str">
        <f>VLOOKUP(A344,Groups!A:L,5,FALSE)</f>
        <v>SAMP</v>
      </c>
      <c r="Q344" s="62" t="str">
        <f>IF(G344="PA",IF(M344&lt;&gt;"",ISERROR(VLOOKUP(M344,ABBR!C:F,1,FALSE)),ISERROR(VLOOKUP(E344,ABBR!C:F,1,FALSE))),"")</f>
        <v/>
      </c>
    </row>
    <row r="345" spans="1:17" hidden="1" x14ac:dyDescent="0.25">
      <c r="A345" s="16" t="s">
        <v>571</v>
      </c>
      <c r="B345" s="17"/>
      <c r="C345" s="16" t="s">
        <v>1224</v>
      </c>
      <c r="D345" s="17" t="s">
        <v>766</v>
      </c>
      <c r="E345" s="17" t="s">
        <v>723</v>
      </c>
      <c r="F345" s="18" t="s">
        <v>1225</v>
      </c>
      <c r="G345" s="49" t="s">
        <v>1226</v>
      </c>
      <c r="H345" s="17">
        <f t="shared" si="2"/>
        <v>16</v>
      </c>
      <c r="J345" s="62" t="s">
        <v>532</v>
      </c>
      <c r="K345" s="62"/>
      <c r="L345" s="62"/>
      <c r="M345" s="62"/>
      <c r="N345" s="62"/>
      <c r="O345" s="62" t="str">
        <f>IF(E345="PA",IF(K345&lt;&gt;"",ISERROR(VLOOKUP(K345,ABBR!A:D,1,FALSE)),ISERROR(VLOOKUP(C345,ABBR!A:D,1,FALSE))),"")</f>
        <v/>
      </c>
      <c r="P345" t="str">
        <f>VLOOKUP(A345,Groups!A:L,5,FALSE)</f>
        <v>SAMP</v>
      </c>
      <c r="Q345" s="62" t="str">
        <f>IF(G345="PA",IF(M345&lt;&gt;"",ISERROR(VLOOKUP(M345,ABBR!C:F,1,FALSE)),ISERROR(VLOOKUP(E345,ABBR!C:F,1,FALSE))),"")</f>
        <v/>
      </c>
    </row>
    <row r="346" spans="1:17" hidden="1" x14ac:dyDescent="0.25">
      <c r="A346" s="16" t="s">
        <v>571</v>
      </c>
      <c r="B346" s="17"/>
      <c r="C346" s="16" t="s">
        <v>1227</v>
      </c>
      <c r="D346" s="17"/>
      <c r="E346" s="17" t="s">
        <v>608</v>
      </c>
      <c r="F346" s="18" t="s">
        <v>1228</v>
      </c>
      <c r="G346" s="49" t="s">
        <v>1229</v>
      </c>
      <c r="H346" s="17">
        <f t="shared" si="2"/>
        <v>17</v>
      </c>
      <c r="J346" s="62" t="s">
        <v>532</v>
      </c>
      <c r="K346" s="62"/>
      <c r="L346" s="62"/>
      <c r="M346" s="62"/>
      <c r="N346" s="62"/>
      <c r="O346" s="62" t="str">
        <f>IF(E346="PA",IF(K346&lt;&gt;"",ISERROR(VLOOKUP(K346,ABBR!A:D,1,FALSE)),ISERROR(VLOOKUP(C346,ABBR!A:D,1,FALSE))),"")</f>
        <v/>
      </c>
      <c r="P346" t="str">
        <f>VLOOKUP(A346,Groups!A:L,5,FALSE)</f>
        <v>SAMP</v>
      </c>
      <c r="Q346" s="62" t="str">
        <f>IF(G346="PA",IF(M346&lt;&gt;"",ISERROR(VLOOKUP(M346,ABBR!C:F,1,FALSE)),ISERROR(VLOOKUP(E346,ABBR!C:F,1,FALSE))),"")</f>
        <v/>
      </c>
    </row>
    <row r="347" spans="1:17" ht="62.5" hidden="1" x14ac:dyDescent="0.25">
      <c r="A347" s="16" t="s">
        <v>571</v>
      </c>
      <c r="B347" s="17"/>
      <c r="C347" s="16" t="s">
        <v>1230</v>
      </c>
      <c r="D347" s="17"/>
      <c r="E347" s="17" t="s">
        <v>608</v>
      </c>
      <c r="F347" s="18" t="s">
        <v>642</v>
      </c>
      <c r="G347" s="49" t="s">
        <v>1231</v>
      </c>
      <c r="H347" s="17">
        <f t="shared" si="2"/>
        <v>18</v>
      </c>
      <c r="J347" s="62" t="s">
        <v>532</v>
      </c>
      <c r="K347" s="62"/>
      <c r="L347" s="62"/>
      <c r="M347" s="62"/>
      <c r="N347" s="62"/>
      <c r="O347" s="62" t="str">
        <f>IF(E347="PA",IF(K347&lt;&gt;"",ISERROR(VLOOKUP(K347,ABBR!A:D,1,FALSE)),ISERROR(VLOOKUP(C347,ABBR!A:D,1,FALSE))),"")</f>
        <v/>
      </c>
      <c r="P347" t="str">
        <f>VLOOKUP(A347,Groups!A:L,5,FALSE)</f>
        <v>SAMP</v>
      </c>
      <c r="Q347" s="62" t="str">
        <f>IF(G347="PA",IF(M347&lt;&gt;"",ISERROR(VLOOKUP(M347,ABBR!C:F,1,FALSE)),ISERROR(VLOOKUP(E347,ABBR!C:F,1,FALSE))),"")</f>
        <v/>
      </c>
    </row>
    <row r="348" spans="1:17" ht="25" hidden="1" x14ac:dyDescent="0.25">
      <c r="A348" s="16" t="s">
        <v>571</v>
      </c>
      <c r="B348" s="17"/>
      <c r="C348" s="16" t="s">
        <v>1232</v>
      </c>
      <c r="D348" s="17"/>
      <c r="E348" s="17" t="s">
        <v>608</v>
      </c>
      <c r="F348" s="18" t="s">
        <v>918</v>
      </c>
      <c r="G348" s="49" t="s">
        <v>919</v>
      </c>
      <c r="H348" s="17">
        <f t="shared" si="2"/>
        <v>19</v>
      </c>
      <c r="J348" s="62" t="s">
        <v>532</v>
      </c>
      <c r="K348" s="62"/>
      <c r="L348" s="62"/>
      <c r="M348" s="62"/>
      <c r="N348" s="62"/>
      <c r="O348" s="62" t="str">
        <f>IF(E348="PA",IF(K348&lt;&gt;"",ISERROR(VLOOKUP(K348,ABBR!A:D,1,FALSE)),ISERROR(VLOOKUP(C348,ABBR!A:D,1,FALSE))),"")</f>
        <v/>
      </c>
      <c r="P348" t="str">
        <f>VLOOKUP(A348,Groups!A:L,5,FALSE)</f>
        <v>SAMP</v>
      </c>
      <c r="Q348" s="62" t="str">
        <f>IF(G348="PA",IF(M348&lt;&gt;"",ISERROR(VLOOKUP(M348,ABBR!C:F,1,FALSE)),ISERROR(VLOOKUP(E348,ABBR!C:F,1,FALSE))),"")</f>
        <v/>
      </c>
    </row>
    <row r="349" spans="1:17" hidden="1" x14ac:dyDescent="0.25">
      <c r="A349" s="16" t="s">
        <v>571</v>
      </c>
      <c r="B349" s="17"/>
      <c r="C349" s="16" t="s">
        <v>1233</v>
      </c>
      <c r="D349" s="17"/>
      <c r="E349" s="17" t="s">
        <v>608</v>
      </c>
      <c r="F349" s="18" t="s">
        <v>921</v>
      </c>
      <c r="G349" s="94" t="s">
        <v>922</v>
      </c>
      <c r="H349" s="17">
        <f t="shared" si="2"/>
        <v>20</v>
      </c>
      <c r="J349" s="62" t="s">
        <v>473</v>
      </c>
      <c r="M349" s="101"/>
      <c r="O349" s="62" t="str">
        <f>IF(E349="PA",IF(K349&lt;&gt;"",ISERROR(VLOOKUP(K349,ABBR!A:D,1,FALSE)),ISERROR(VLOOKUP(C349,ABBR!A:D,1,FALSE))),"")</f>
        <v/>
      </c>
      <c r="P349" t="str">
        <f>VLOOKUP(A349,Groups!A:L,5,FALSE)</f>
        <v>SAMP</v>
      </c>
      <c r="Q349" s="62" t="str">
        <f>IF(G349="PA",IF(M349&lt;&gt;"",ISERROR(VLOOKUP(M349,ABBR!C:F,1,FALSE)),ISERROR(VLOOKUP(E349,ABBR!C:F,1,FALSE))),"")</f>
        <v/>
      </c>
    </row>
    <row r="350" spans="1:17" hidden="1" x14ac:dyDescent="0.25">
      <c r="A350" s="16" t="s">
        <v>571</v>
      </c>
      <c r="B350" s="17"/>
      <c r="C350" s="16" t="s">
        <v>1234</v>
      </c>
      <c r="D350" s="17"/>
      <c r="E350" s="17" t="s">
        <v>608</v>
      </c>
      <c r="F350" s="18" t="s">
        <v>929</v>
      </c>
      <c r="G350" s="49" t="s">
        <v>1210</v>
      </c>
      <c r="H350" s="17">
        <f t="shared" si="2"/>
        <v>21</v>
      </c>
      <c r="J350" s="62" t="s">
        <v>473</v>
      </c>
      <c r="K350" s="62"/>
      <c r="L350" s="62"/>
      <c r="M350" s="62"/>
      <c r="N350" s="62"/>
      <c r="O350" s="62" t="str">
        <f>IF(E350="PA",IF(K350&lt;&gt;"",ISERROR(VLOOKUP(K350,ABBR!A:D,1,FALSE)),ISERROR(VLOOKUP(C350,ABBR!A:D,1,FALSE))),"")</f>
        <v/>
      </c>
      <c r="P350" t="str">
        <f>VLOOKUP(A350,Groups!A:L,5,FALSE)</f>
        <v>SAMP</v>
      </c>
      <c r="Q350" s="62" t="str">
        <f>IF(G350="PA",IF(M350&lt;&gt;"",ISERROR(VLOOKUP(M350,ABBR!C:F,1,FALSE)),ISERROR(VLOOKUP(E350,ABBR!C:F,1,FALSE))),"")</f>
        <v/>
      </c>
    </row>
    <row r="351" spans="1:17" hidden="1" x14ac:dyDescent="0.25">
      <c r="A351" s="16" t="s">
        <v>571</v>
      </c>
      <c r="B351" s="17"/>
      <c r="C351" s="16" t="s">
        <v>1235</v>
      </c>
      <c r="D351" s="17" t="s">
        <v>924</v>
      </c>
      <c r="E351" s="17" t="s">
        <v>925</v>
      </c>
      <c r="F351" s="18" t="s">
        <v>926</v>
      </c>
      <c r="G351" s="49" t="s">
        <v>927</v>
      </c>
      <c r="H351" s="17">
        <f t="shared" si="2"/>
        <v>22</v>
      </c>
      <c r="J351" s="62" t="s">
        <v>473</v>
      </c>
      <c r="K351" s="62"/>
      <c r="L351" s="62"/>
      <c r="M351" s="62"/>
      <c r="N351" s="62"/>
      <c r="O351" s="62" t="str">
        <f>IF(E351="PA",IF(K351&lt;&gt;"",ISERROR(VLOOKUP(K351,ABBR!A:D,1,FALSE)),ISERROR(VLOOKUP(C351,ABBR!A:D,1,FALSE))),"")</f>
        <v/>
      </c>
      <c r="P351" t="str">
        <f>VLOOKUP(A351,Groups!A:L,5,FALSE)</f>
        <v>SAMP</v>
      </c>
      <c r="Q351" s="62" t="str">
        <f>IF(G351="PA",IF(M351&lt;&gt;"",ISERROR(VLOOKUP(M351,ABBR!C:F,1,FALSE)),ISERROR(VLOOKUP(E351,ABBR!C:F,1,FALSE))),"")</f>
        <v/>
      </c>
    </row>
    <row r="352" spans="1:17" hidden="1" x14ac:dyDescent="0.25">
      <c r="A352" s="16" t="s">
        <v>571</v>
      </c>
      <c r="B352" s="17"/>
      <c r="C352" s="16" t="s">
        <v>1236</v>
      </c>
      <c r="D352" s="17"/>
      <c r="E352" s="17" t="s">
        <v>608</v>
      </c>
      <c r="F352" s="18" t="s">
        <v>931</v>
      </c>
      <c r="G352" s="49" t="s">
        <v>932</v>
      </c>
      <c r="H352" s="17">
        <f t="shared" si="2"/>
        <v>23</v>
      </c>
      <c r="J352" s="62" t="s">
        <v>532</v>
      </c>
      <c r="K352" s="62"/>
      <c r="L352" s="62"/>
      <c r="M352" s="62"/>
      <c r="N352" s="62"/>
      <c r="O352" s="62" t="str">
        <f>IF(E352="PA",IF(K352&lt;&gt;"",ISERROR(VLOOKUP(K352,ABBR!A:D,1,FALSE)),ISERROR(VLOOKUP(C352,ABBR!A:D,1,FALSE))),"")</f>
        <v/>
      </c>
      <c r="P352" t="str">
        <f>VLOOKUP(A352,Groups!A:L,5,FALSE)</f>
        <v>SAMP</v>
      </c>
      <c r="Q352" s="62" t="str">
        <f>IF(G352="PA",IF(M352&lt;&gt;"",ISERROR(VLOOKUP(M352,ABBR!C:F,1,FALSE)),ISERROR(VLOOKUP(E352,ABBR!C:F,1,FALSE))),"")</f>
        <v/>
      </c>
    </row>
    <row r="353" spans="1:17" ht="25" hidden="1" x14ac:dyDescent="0.25">
      <c r="A353" s="16" t="s">
        <v>571</v>
      </c>
      <c r="B353" s="17"/>
      <c r="C353" s="16" t="s">
        <v>1237</v>
      </c>
      <c r="D353" s="17"/>
      <c r="E353" s="17" t="s">
        <v>608</v>
      </c>
      <c r="F353" s="18" t="s">
        <v>934</v>
      </c>
      <c r="G353" s="49" t="s">
        <v>935</v>
      </c>
      <c r="H353" s="17">
        <f t="shared" si="2"/>
        <v>24</v>
      </c>
      <c r="J353" s="62" t="s">
        <v>532</v>
      </c>
      <c r="K353" s="62"/>
      <c r="L353" s="62"/>
      <c r="M353" s="62"/>
      <c r="N353" s="62"/>
      <c r="O353" s="62" t="str">
        <f>IF(E353="PA",IF(K353&lt;&gt;"",ISERROR(VLOOKUP(K353,ABBR!A:D,1,FALSE)),ISERROR(VLOOKUP(C353,ABBR!A:D,1,FALSE))),"")</f>
        <v/>
      </c>
      <c r="P353" t="str">
        <f>VLOOKUP(A353,Groups!A:L,5,FALSE)</f>
        <v>SAMP</v>
      </c>
      <c r="Q353" s="62" t="str">
        <f>IF(G353="PA",IF(M353&lt;&gt;"",ISERROR(VLOOKUP(M353,ABBR!C:F,1,FALSE)),ISERROR(VLOOKUP(E353,ABBR!C:F,1,FALSE))),"")</f>
        <v/>
      </c>
    </row>
    <row r="354" spans="1:17" hidden="1" x14ac:dyDescent="0.25">
      <c r="A354" s="16" t="s">
        <v>571</v>
      </c>
      <c r="B354" s="17"/>
      <c r="C354" s="16" t="s">
        <v>936</v>
      </c>
      <c r="D354" s="17"/>
      <c r="E354" s="17" t="s">
        <v>608</v>
      </c>
      <c r="F354" s="18" t="s">
        <v>937</v>
      </c>
      <c r="G354" s="49" t="s">
        <v>938</v>
      </c>
      <c r="H354" s="17">
        <f t="shared" si="2"/>
        <v>25</v>
      </c>
      <c r="J354" s="62" t="s">
        <v>532</v>
      </c>
      <c r="K354" s="62"/>
      <c r="L354" s="62"/>
      <c r="M354" s="62"/>
      <c r="N354" s="62"/>
      <c r="O354" s="62" t="str">
        <f>IF(E354="PA",IF(K354&lt;&gt;"",ISERROR(VLOOKUP(K354,ABBR!A:D,1,FALSE)),ISERROR(VLOOKUP(C354,ABBR!A:D,1,FALSE))),"")</f>
        <v/>
      </c>
      <c r="P354" t="str">
        <f>VLOOKUP(A354,Groups!A:L,5,FALSE)</f>
        <v>SAMP</v>
      </c>
      <c r="Q354" s="62" t="str">
        <f>IF(G354="PA",IF(M354&lt;&gt;"",ISERROR(VLOOKUP(M354,ABBR!C:F,1,FALSE)),ISERROR(VLOOKUP(E354,ABBR!C:F,1,FALSE))),"")</f>
        <v/>
      </c>
    </row>
    <row r="355" spans="1:17" hidden="1" x14ac:dyDescent="0.25">
      <c r="A355" s="16" t="s">
        <v>571</v>
      </c>
      <c r="B355" s="17"/>
      <c r="C355" s="16" t="s">
        <v>643</v>
      </c>
      <c r="D355" s="17"/>
      <c r="E355" s="17" t="s">
        <v>608</v>
      </c>
      <c r="F355" s="18" t="s">
        <v>939</v>
      </c>
      <c r="G355" s="49" t="s">
        <v>940</v>
      </c>
      <c r="H355" s="17">
        <f t="shared" si="2"/>
        <v>26</v>
      </c>
      <c r="J355" s="62" t="s">
        <v>532</v>
      </c>
      <c r="K355" s="62"/>
      <c r="L355" s="62"/>
      <c r="M355" s="62"/>
      <c r="N355" s="62"/>
      <c r="O355" s="62" t="str">
        <f>IF(E355="PA",IF(K355&lt;&gt;"",ISERROR(VLOOKUP(K355,ABBR!A:D,1,FALSE)),ISERROR(VLOOKUP(C355,ABBR!A:D,1,FALSE))),"")</f>
        <v/>
      </c>
      <c r="P355" t="str">
        <f>VLOOKUP(A355,Groups!A:L,5,FALSE)</f>
        <v>SAMP</v>
      </c>
      <c r="Q355" s="62" t="str">
        <f>IF(G355="PA",IF(M355&lt;&gt;"",ISERROR(VLOOKUP(M355,ABBR!C:F,1,FALSE)),ISERROR(VLOOKUP(E355,ABBR!C:F,1,FALSE))),"")</f>
        <v/>
      </c>
    </row>
    <row r="356" spans="1:17" hidden="1" x14ac:dyDescent="0.25">
      <c r="A356" s="16" t="s">
        <v>75</v>
      </c>
      <c r="B356" s="17" t="s">
        <v>594</v>
      </c>
      <c r="C356" s="16" t="s">
        <v>595</v>
      </c>
      <c r="D356" s="17"/>
      <c r="E356" s="17" t="s">
        <v>596</v>
      </c>
      <c r="F356" s="18" t="s">
        <v>597</v>
      </c>
      <c r="G356" s="49" t="s">
        <v>598</v>
      </c>
      <c r="H356" s="17">
        <v>1</v>
      </c>
      <c r="O356" s="62" t="str">
        <f>IF(E356="PA",IF(K356&lt;&gt;"",ISERROR(VLOOKUP(K356,ABBR!A:D,1,FALSE)),ISERROR(VLOOKUP(C356,ABBR!A:D,1,FALSE))),"")</f>
        <v/>
      </c>
      <c r="P356" t="str">
        <f>VLOOKUP(A356,Groups!A:L,5,FALSE)</f>
        <v>SAMP</v>
      </c>
      <c r="Q356" s="62" t="str">
        <f>IF(G356="PA",IF(M356&lt;&gt;"",ISERROR(VLOOKUP(M356,ABBR!C:F,1,FALSE)),ISERROR(VLOOKUP(E356,ABBR!C:F,1,FALSE))),"")</f>
        <v/>
      </c>
    </row>
    <row r="357" spans="1:17" hidden="1" x14ac:dyDescent="0.25">
      <c r="A357" s="16" t="s">
        <v>75</v>
      </c>
      <c r="B357" s="17" t="s">
        <v>594</v>
      </c>
      <c r="C357" s="16" t="s">
        <v>851</v>
      </c>
      <c r="D357" s="17" t="s">
        <v>600</v>
      </c>
      <c r="E357" s="17" t="s">
        <v>601</v>
      </c>
      <c r="F357" s="18" t="s">
        <v>852</v>
      </c>
      <c r="G357" s="49" t="s">
        <v>853</v>
      </c>
      <c r="H357" s="17">
        <v>2</v>
      </c>
      <c r="O357" s="62" t="str">
        <f>IF(E357="PA",IF(K357&lt;&gt;"",ISERROR(VLOOKUP(K357,ABBR!A:D,1,FALSE)),ISERROR(VLOOKUP(C357,ABBR!A:D,1,FALSE))),"")</f>
        <v/>
      </c>
      <c r="P357" t="str">
        <f>VLOOKUP(A357,Groups!A:L,5,FALSE)</f>
        <v>SAMP</v>
      </c>
      <c r="Q357" s="62" t="str">
        <f>IF(G357="PA",IF(M357&lt;&gt;"",ISERROR(VLOOKUP(M357,ABBR!C:F,1,FALSE)),ISERROR(VLOOKUP(E357,ABBR!C:F,1,FALSE))),"")</f>
        <v/>
      </c>
    </row>
    <row r="358" spans="1:17" hidden="1" x14ac:dyDescent="0.25">
      <c r="A358" s="16" t="s">
        <v>75</v>
      </c>
      <c r="B358" s="17" t="s">
        <v>594</v>
      </c>
      <c r="C358" s="16" t="s">
        <v>854</v>
      </c>
      <c r="D358" s="17"/>
      <c r="E358" s="17" t="s">
        <v>608</v>
      </c>
      <c r="F358" s="18" t="s">
        <v>855</v>
      </c>
      <c r="G358" s="49" t="s">
        <v>941</v>
      </c>
      <c r="H358" s="17">
        <v>3</v>
      </c>
      <c r="O358" s="62" t="str">
        <f>IF(E358="PA",IF(K358&lt;&gt;"",ISERROR(VLOOKUP(K358,ABBR!A:D,1,FALSE)),ISERROR(VLOOKUP(C358,ABBR!A:D,1,FALSE))),"")</f>
        <v/>
      </c>
      <c r="P358" t="str">
        <f>VLOOKUP(A358,Groups!A:L,5,FALSE)</f>
        <v>SAMP</v>
      </c>
      <c r="Q358" s="62" t="str">
        <f>IF(G358="PA",IF(M358&lt;&gt;"",ISERROR(VLOOKUP(M358,ABBR!C:F,1,FALSE)),ISERROR(VLOOKUP(E358,ABBR!C:F,1,FALSE))),"")</f>
        <v/>
      </c>
    </row>
    <row r="359" spans="1:17" hidden="1" x14ac:dyDescent="0.25">
      <c r="A359" s="16" t="s">
        <v>75</v>
      </c>
      <c r="B359" s="17" t="s">
        <v>594</v>
      </c>
      <c r="C359" s="16" t="s">
        <v>857</v>
      </c>
      <c r="D359" s="17"/>
      <c r="E359" s="17" t="s">
        <v>618</v>
      </c>
      <c r="F359" s="18" t="s">
        <v>858</v>
      </c>
      <c r="G359" s="49" t="s">
        <v>859</v>
      </c>
      <c r="H359" s="17">
        <v>4</v>
      </c>
      <c r="O359" s="62" t="b">
        <f>IF(E359="PA",IF(K359&lt;&gt;"",ISERROR(VLOOKUP(K359,ABBR!A:D,1,FALSE)),ISERROR(VLOOKUP(C359,ABBR!A:D,1,FALSE))),"")</f>
        <v>0</v>
      </c>
      <c r="P359" t="str">
        <f>VLOOKUP(A359,Groups!A:L,5,FALSE)</f>
        <v>SAMP</v>
      </c>
      <c r="Q359" s="62" t="str">
        <f>IF(G359="PA",IF(M359&lt;&gt;"",ISERROR(VLOOKUP(M359,ABBR!C:F,1,FALSE)),ISERROR(VLOOKUP(E359,ABBR!C:F,1,FALSE))),"")</f>
        <v/>
      </c>
    </row>
    <row r="360" spans="1:17" hidden="1" x14ac:dyDescent="0.25">
      <c r="A360" s="16" t="s">
        <v>75</v>
      </c>
      <c r="B360" s="17" t="s">
        <v>594</v>
      </c>
      <c r="C360" s="16" t="s">
        <v>860</v>
      </c>
      <c r="D360" s="17"/>
      <c r="E360" s="17" t="s">
        <v>596</v>
      </c>
      <c r="F360" s="18" t="s">
        <v>942</v>
      </c>
      <c r="G360" s="49" t="s">
        <v>862</v>
      </c>
      <c r="H360" s="17">
        <v>5</v>
      </c>
      <c r="O360" s="62" t="str">
        <f>IF(E360="PA",IF(K360&lt;&gt;"",ISERROR(VLOOKUP(K360,ABBR!A:D,1,FALSE)),ISERROR(VLOOKUP(C360,ABBR!A:D,1,FALSE))),"")</f>
        <v/>
      </c>
      <c r="P360" t="str">
        <f>VLOOKUP(A360,Groups!A:L,5,FALSE)</f>
        <v>SAMP</v>
      </c>
      <c r="Q360" s="62" t="str">
        <f>IF(G360="PA",IF(M360&lt;&gt;"",ISERROR(VLOOKUP(M360,ABBR!C:F,1,FALSE)),ISERROR(VLOOKUP(E360,ABBR!C:F,1,FALSE))),"")</f>
        <v/>
      </c>
    </row>
    <row r="361" spans="1:17" hidden="1" x14ac:dyDescent="0.25">
      <c r="A361" s="16" t="s">
        <v>75</v>
      </c>
      <c r="B361" s="17" t="s">
        <v>594</v>
      </c>
      <c r="C361" s="16" t="s">
        <v>863</v>
      </c>
      <c r="D361" s="17"/>
      <c r="E361" s="17" t="s">
        <v>608</v>
      </c>
      <c r="F361" s="18" t="s">
        <v>864</v>
      </c>
      <c r="G361" s="49" t="s">
        <v>865</v>
      </c>
      <c r="H361" s="17">
        <v>6</v>
      </c>
      <c r="O361" s="62" t="str">
        <f>IF(E361="PA",IF(K361&lt;&gt;"",ISERROR(VLOOKUP(K361,ABBR!A:D,1,FALSE)),ISERROR(VLOOKUP(C361,ABBR!A:D,1,FALSE))),"")</f>
        <v/>
      </c>
      <c r="P361" t="str">
        <f>VLOOKUP(A361,Groups!A:L,5,FALSE)</f>
        <v>SAMP</v>
      </c>
      <c r="Q361" s="62" t="str">
        <f>IF(G361="PA",IF(M361&lt;&gt;"",ISERROR(VLOOKUP(M361,ABBR!C:F,1,FALSE)),ISERROR(VLOOKUP(E361,ABBR!C:F,1,FALSE))),"")</f>
        <v/>
      </c>
    </row>
    <row r="362" spans="1:17" hidden="1" x14ac:dyDescent="0.25">
      <c r="A362" s="16" t="s">
        <v>75</v>
      </c>
      <c r="B362" s="17" t="s">
        <v>594</v>
      </c>
      <c r="C362" s="16" t="s">
        <v>866</v>
      </c>
      <c r="D362" s="17" t="s">
        <v>600</v>
      </c>
      <c r="E362" s="17" t="s">
        <v>601</v>
      </c>
      <c r="F362" s="18" t="s">
        <v>867</v>
      </c>
      <c r="G362" s="49" t="s">
        <v>853</v>
      </c>
      <c r="H362" s="17">
        <v>7</v>
      </c>
      <c r="O362" s="62" t="str">
        <f>IF(E362="PA",IF(K362&lt;&gt;"",ISERROR(VLOOKUP(K362,ABBR!A:D,1,FALSE)),ISERROR(VLOOKUP(C362,ABBR!A:D,1,FALSE))),"")</f>
        <v/>
      </c>
      <c r="P362" t="str">
        <f>VLOOKUP(A362,Groups!A:L,5,FALSE)</f>
        <v>SAMP</v>
      </c>
      <c r="Q362" s="62" t="str">
        <f>IF(G362="PA",IF(M362&lt;&gt;"",ISERROR(VLOOKUP(M362,ABBR!C:F,1,FALSE)),ISERROR(VLOOKUP(E362,ABBR!C:F,1,FALSE))),"")</f>
        <v/>
      </c>
    </row>
    <row r="363" spans="1:17" hidden="1" x14ac:dyDescent="0.25">
      <c r="A363" s="16" t="s">
        <v>75</v>
      </c>
      <c r="B363" s="17"/>
      <c r="C363" s="16" t="s">
        <v>868</v>
      </c>
      <c r="D363" s="17"/>
      <c r="E363" s="17" t="s">
        <v>608</v>
      </c>
      <c r="F363" s="18" t="s">
        <v>869</v>
      </c>
      <c r="G363" s="51" t="s">
        <v>870</v>
      </c>
      <c r="H363" s="17">
        <v>8</v>
      </c>
      <c r="O363" s="62" t="str">
        <f>IF(E363="PA",IF(K363&lt;&gt;"",ISERROR(VLOOKUP(K363,ABBR!A:D,1,FALSE)),ISERROR(VLOOKUP(C363,ABBR!A:D,1,FALSE))),"")</f>
        <v/>
      </c>
      <c r="P363" t="str">
        <f>VLOOKUP(A363,Groups!A:L,5,FALSE)</f>
        <v>SAMP</v>
      </c>
      <c r="Q363" s="62" t="str">
        <f>IF(G363="PA",IF(M363&lt;&gt;"",ISERROR(VLOOKUP(M363,ABBR!C:F,1,FALSE)),ISERROR(VLOOKUP(E363,ABBR!C:F,1,FALSE))),"")</f>
        <v/>
      </c>
    </row>
    <row r="364" spans="1:17" ht="25" hidden="1" x14ac:dyDescent="0.25">
      <c r="A364" s="16" t="s">
        <v>75</v>
      </c>
      <c r="B364" s="17"/>
      <c r="C364" s="16" t="s">
        <v>871</v>
      </c>
      <c r="D364" s="17"/>
      <c r="E364" s="17" t="s">
        <v>608</v>
      </c>
      <c r="F364" s="18" t="s">
        <v>872</v>
      </c>
      <c r="G364" s="49" t="s">
        <v>873</v>
      </c>
      <c r="H364" s="17">
        <v>9</v>
      </c>
      <c r="O364" s="62" t="str">
        <f>IF(E364="PA",IF(K364&lt;&gt;"",ISERROR(VLOOKUP(K364,ABBR!A:D,1,FALSE)),ISERROR(VLOOKUP(C364,ABBR!A:D,1,FALSE))),"")</f>
        <v/>
      </c>
      <c r="P364" t="str">
        <f>VLOOKUP(A364,Groups!A:L,5,FALSE)</f>
        <v>SAMP</v>
      </c>
      <c r="Q364" s="62" t="str">
        <f>IF(G364="PA",IF(M364&lt;&gt;"",ISERROR(VLOOKUP(M364,ABBR!C:F,1,FALSE)),ISERROR(VLOOKUP(E364,ABBR!C:F,1,FALSE))),"")</f>
        <v/>
      </c>
    </row>
    <row r="365" spans="1:17" hidden="1" x14ac:dyDescent="0.25">
      <c r="A365" s="16" t="s">
        <v>75</v>
      </c>
      <c r="B365" s="17"/>
      <c r="C365" s="16" t="s">
        <v>1238</v>
      </c>
      <c r="D365" s="17" t="s">
        <v>766</v>
      </c>
      <c r="E365" s="17" t="s">
        <v>723</v>
      </c>
      <c r="F365" s="18" t="s">
        <v>1239</v>
      </c>
      <c r="G365" s="49" t="s">
        <v>1240</v>
      </c>
      <c r="H365" s="17">
        <v>10</v>
      </c>
      <c r="O365" s="62" t="str">
        <f>IF(E365="PA",IF(K365&lt;&gt;"",ISERROR(VLOOKUP(K365,ABBR!A:D,1,FALSE)),ISERROR(VLOOKUP(C365,ABBR!A:D,1,FALSE))),"")</f>
        <v/>
      </c>
      <c r="P365" t="str">
        <f>VLOOKUP(A365,Groups!A:L,5,FALSE)</f>
        <v>SAMP</v>
      </c>
      <c r="Q365" s="62" t="str">
        <f>IF(G365="PA",IF(M365&lt;&gt;"",ISERROR(VLOOKUP(M365,ABBR!C:F,1,FALSE)),ISERROR(VLOOKUP(E365,ABBR!C:F,1,FALSE))),"")</f>
        <v/>
      </c>
    </row>
    <row r="366" spans="1:17" hidden="1" x14ac:dyDescent="0.25">
      <c r="A366" s="16" t="s">
        <v>75</v>
      </c>
      <c r="B366" s="17"/>
      <c r="C366" s="16" t="s">
        <v>1241</v>
      </c>
      <c r="D366" s="17"/>
      <c r="E366" s="17" t="s">
        <v>608</v>
      </c>
      <c r="F366" s="18" t="s">
        <v>642</v>
      </c>
      <c r="G366" s="49" t="s">
        <v>16</v>
      </c>
      <c r="H366" s="17">
        <v>11</v>
      </c>
      <c r="M366" s="101"/>
      <c r="O366" s="62" t="str">
        <f>IF(E366="PA",IF(K366&lt;&gt;"",ISERROR(VLOOKUP(K366,ABBR!A:D,1,FALSE)),ISERROR(VLOOKUP(C366,ABBR!A:D,1,FALSE))),"")</f>
        <v/>
      </c>
      <c r="P366" t="str">
        <f>VLOOKUP(A366,Groups!A:L,5,FALSE)</f>
        <v>SAMP</v>
      </c>
      <c r="Q366" s="62" t="str">
        <f>IF(G366="PA",IF(M366&lt;&gt;"",ISERROR(VLOOKUP(M366,ABBR!C:F,1,FALSE)),ISERROR(VLOOKUP(E366,ABBR!C:F,1,FALSE))),"")</f>
        <v/>
      </c>
    </row>
    <row r="367" spans="1:17" ht="37.5" hidden="1" x14ac:dyDescent="0.25">
      <c r="A367" s="16" t="s">
        <v>75</v>
      </c>
      <c r="B367" s="17"/>
      <c r="C367" s="16" t="s">
        <v>1242</v>
      </c>
      <c r="D367" s="17"/>
      <c r="E367" s="17" t="s">
        <v>608</v>
      </c>
      <c r="F367" s="18" t="s">
        <v>918</v>
      </c>
      <c r="G367" s="49" t="s">
        <v>1243</v>
      </c>
      <c r="H367" s="17">
        <v>12</v>
      </c>
      <c r="O367" s="62" t="str">
        <f>IF(E367="PA",IF(K367&lt;&gt;"",ISERROR(VLOOKUP(K367,ABBR!A:D,1,FALSE)),ISERROR(VLOOKUP(C367,ABBR!A:D,1,FALSE))),"")</f>
        <v/>
      </c>
      <c r="P367" t="str">
        <f>VLOOKUP(A367,Groups!A:L,5,FALSE)</f>
        <v>SAMP</v>
      </c>
      <c r="Q367" s="62" t="str">
        <f>IF(G367="PA",IF(M367&lt;&gt;"",ISERROR(VLOOKUP(M367,ABBR!C:F,1,FALSE)),ISERROR(VLOOKUP(E367,ABBR!C:F,1,FALSE))),"")</f>
        <v/>
      </c>
    </row>
    <row r="368" spans="1:17" hidden="1" x14ac:dyDescent="0.25">
      <c r="A368" s="16" t="s">
        <v>75</v>
      </c>
      <c r="B368" s="17"/>
      <c r="C368" s="16" t="s">
        <v>1244</v>
      </c>
      <c r="D368" s="17"/>
      <c r="E368" s="17" t="s">
        <v>608</v>
      </c>
      <c r="F368" s="18" t="s">
        <v>950</v>
      </c>
      <c r="G368" s="27" t="s">
        <v>951</v>
      </c>
      <c r="H368" s="17">
        <v>13</v>
      </c>
      <c r="O368" s="62" t="str">
        <f>IF(E368="PA",IF(K368&lt;&gt;"",ISERROR(VLOOKUP(K368,ABBR!A:D,1,FALSE)),ISERROR(VLOOKUP(C368,ABBR!A:D,1,FALSE))),"")</f>
        <v/>
      </c>
      <c r="P368" t="str">
        <f>VLOOKUP(A368,Groups!A:L,5,FALSE)</f>
        <v>SAMP</v>
      </c>
      <c r="Q368" s="62" t="str">
        <f>IF(G368="PA",IF(M368&lt;&gt;"",ISERROR(VLOOKUP(M368,ABBR!C:F,1,FALSE)),ISERROR(VLOOKUP(E368,ABBR!C:F,1,FALSE))),"")</f>
        <v/>
      </c>
    </row>
    <row r="369" spans="1:17" ht="25" hidden="1" x14ac:dyDescent="0.25">
      <c r="A369" s="16" t="s">
        <v>75</v>
      </c>
      <c r="B369" s="17"/>
      <c r="C369" s="16" t="s">
        <v>1245</v>
      </c>
      <c r="D369" s="17"/>
      <c r="E369" s="17" t="s">
        <v>608</v>
      </c>
      <c r="F369" s="18" t="s">
        <v>934</v>
      </c>
      <c r="G369" s="49" t="s">
        <v>953</v>
      </c>
      <c r="H369" s="17">
        <v>14</v>
      </c>
      <c r="O369" s="62" t="str">
        <f>IF(E369="PA",IF(K369&lt;&gt;"",ISERROR(VLOOKUP(K369,ABBR!A:D,1,FALSE)),ISERROR(VLOOKUP(C369,ABBR!A:D,1,FALSE))),"")</f>
        <v/>
      </c>
      <c r="P369" t="str">
        <f>VLOOKUP(A369,Groups!A:L,5,FALSE)</f>
        <v>SAMP</v>
      </c>
      <c r="Q369" s="62" t="str">
        <f>IF(G369="PA",IF(M369&lt;&gt;"",ISERROR(VLOOKUP(M369,ABBR!C:F,1,FALSE)),ISERROR(VLOOKUP(E369,ABBR!C:F,1,FALSE))),"")</f>
        <v/>
      </c>
    </row>
    <row r="370" spans="1:17" hidden="1" x14ac:dyDescent="0.25">
      <c r="A370" s="16" t="s">
        <v>75</v>
      </c>
      <c r="B370" s="17"/>
      <c r="C370" s="16" t="s">
        <v>936</v>
      </c>
      <c r="D370" s="17"/>
      <c r="E370" s="22" t="s">
        <v>608</v>
      </c>
      <c r="F370" s="18" t="s">
        <v>937</v>
      </c>
      <c r="G370" s="49" t="s">
        <v>938</v>
      </c>
      <c r="H370" s="17">
        <v>15</v>
      </c>
      <c r="O370" s="62" t="str">
        <f>IF(E370="PA",IF(K370&lt;&gt;"",ISERROR(VLOOKUP(K370,ABBR!A:D,1,FALSE)),ISERROR(VLOOKUP(C370,ABBR!A:D,1,FALSE))),"")</f>
        <v/>
      </c>
      <c r="P370" t="str">
        <f>VLOOKUP(A370,Groups!A:L,5,FALSE)</f>
        <v>SAMP</v>
      </c>
      <c r="Q370" s="62" t="str">
        <f>IF(G370="PA",IF(M370&lt;&gt;"",ISERROR(VLOOKUP(M370,ABBR!C:F,1,FALSE)),ISERROR(VLOOKUP(E370,ABBR!C:F,1,FALSE))),"")</f>
        <v/>
      </c>
    </row>
    <row r="371" spans="1:17" hidden="1" x14ac:dyDescent="0.25">
      <c r="A371" s="16" t="s">
        <v>75</v>
      </c>
      <c r="B371" s="17"/>
      <c r="C371" s="16" t="s">
        <v>643</v>
      </c>
      <c r="D371" s="17"/>
      <c r="E371" s="17" t="s">
        <v>608</v>
      </c>
      <c r="F371" s="18" t="s">
        <v>954</v>
      </c>
      <c r="G371" s="49" t="s">
        <v>940</v>
      </c>
      <c r="H371" s="17">
        <v>16</v>
      </c>
      <c r="O371" s="62" t="str">
        <f>IF(E371="PA",IF(K371&lt;&gt;"",ISERROR(VLOOKUP(K371,ABBR!A:D,1,FALSE)),ISERROR(VLOOKUP(C371,ABBR!A:D,1,FALSE))),"")</f>
        <v/>
      </c>
      <c r="P371" t="str">
        <f>VLOOKUP(A371,Groups!A:L,5,FALSE)</f>
        <v>SAMP</v>
      </c>
      <c r="Q371" s="62" t="str">
        <f>IF(G371="PA",IF(M371&lt;&gt;"",ISERROR(VLOOKUP(M371,ABBR!C:F,1,FALSE)),ISERROR(VLOOKUP(E371,ABBR!C:F,1,FALSE))),"")</f>
        <v/>
      </c>
    </row>
    <row r="372" spans="1:17" hidden="1" x14ac:dyDescent="0.25">
      <c r="A372" s="16" t="s">
        <v>75</v>
      </c>
      <c r="B372" s="17"/>
      <c r="C372" s="16" t="s">
        <v>877</v>
      </c>
      <c r="D372" s="17" t="s">
        <v>600</v>
      </c>
      <c r="E372" s="17" t="s">
        <v>601</v>
      </c>
      <c r="F372" s="18" t="s">
        <v>878</v>
      </c>
      <c r="G372" s="49" t="s">
        <v>879</v>
      </c>
      <c r="H372" s="17">
        <v>17</v>
      </c>
      <c r="I372" s="30" t="s">
        <v>955</v>
      </c>
      <c r="J372" s="80">
        <v>4.0999999999999996</v>
      </c>
      <c r="O372" s="62" t="str">
        <f>IF(E372="PA",IF(K372&lt;&gt;"",ISERROR(VLOOKUP(K372,ABBR!A:D,1,FALSE)),ISERROR(VLOOKUP(C372,ABBR!A:D,1,FALSE))),"")</f>
        <v/>
      </c>
      <c r="P372" t="str">
        <f>VLOOKUP(A372,Groups!A:L,5,FALSE)</f>
        <v>SAMP</v>
      </c>
      <c r="Q372" s="62" t="str">
        <f>IF(G372="PA",IF(M372&lt;&gt;"",ISERROR(VLOOKUP(M372,ABBR!C:F,1,FALSE)),ISERROR(VLOOKUP(E372,ABBR!C:F,1,FALSE))),"")</f>
        <v/>
      </c>
    </row>
    <row r="373" spans="1:17" hidden="1" x14ac:dyDescent="0.25">
      <c r="A373" s="16" t="s">
        <v>75</v>
      </c>
      <c r="B373" s="17"/>
      <c r="C373" s="16" t="s">
        <v>1246</v>
      </c>
      <c r="D373" s="17"/>
      <c r="E373" s="17" t="s">
        <v>608</v>
      </c>
      <c r="F373" s="18" t="s">
        <v>921</v>
      </c>
      <c r="G373" s="94" t="s">
        <v>922</v>
      </c>
      <c r="H373" s="17">
        <v>18</v>
      </c>
      <c r="I373" s="30" t="s">
        <v>955</v>
      </c>
      <c r="J373" s="80" t="s">
        <v>1205</v>
      </c>
      <c r="M373" s="101"/>
      <c r="O373" s="62" t="str">
        <f>IF(E373="PA",IF(K373&lt;&gt;"",ISERROR(VLOOKUP(K373,ABBR!A:D,1,FALSE)),ISERROR(VLOOKUP(C373,ABBR!A:D,1,FALSE))),"")</f>
        <v/>
      </c>
      <c r="P373" t="str">
        <f>VLOOKUP(A373,Groups!A:L,5,FALSE)</f>
        <v>SAMP</v>
      </c>
      <c r="Q373" s="62" t="str">
        <f>IF(G373="PA",IF(M373&lt;&gt;"",ISERROR(VLOOKUP(M373,ABBR!C:F,1,FALSE)),ISERROR(VLOOKUP(E373,ABBR!C:F,1,FALSE))),"")</f>
        <v/>
      </c>
    </row>
    <row r="374" spans="1:17" hidden="1" x14ac:dyDescent="0.25">
      <c r="A374" s="16" t="s">
        <v>75</v>
      </c>
      <c r="B374" s="17"/>
      <c r="C374" s="16" t="s">
        <v>1247</v>
      </c>
      <c r="D374" s="17" t="s">
        <v>924</v>
      </c>
      <c r="E374" s="17" t="s">
        <v>925</v>
      </c>
      <c r="F374" s="18" t="s">
        <v>926</v>
      </c>
      <c r="G374" s="49" t="s">
        <v>927</v>
      </c>
      <c r="H374" s="17">
        <v>19</v>
      </c>
      <c r="J374" s="62" t="s">
        <v>473</v>
      </c>
      <c r="K374" s="62"/>
      <c r="L374" s="62"/>
      <c r="M374" s="62"/>
      <c r="N374" s="62"/>
      <c r="O374" s="62" t="str">
        <f>IF(E374="PA",IF(K374&lt;&gt;"",ISERROR(VLOOKUP(K374,ABBR!A:D,1,FALSE)),ISERROR(VLOOKUP(C374,ABBR!A:D,1,FALSE))),"")</f>
        <v/>
      </c>
      <c r="P374" t="str">
        <f>VLOOKUP(A374,Groups!A:L,5,FALSE)</f>
        <v>SAMP</v>
      </c>
      <c r="Q374" s="62" t="str">
        <f>IF(G374="PA",IF(M374&lt;&gt;"",ISERROR(VLOOKUP(M374,ABBR!C:F,1,FALSE)),ISERROR(VLOOKUP(E374,ABBR!C:F,1,FALSE))),"")</f>
        <v/>
      </c>
    </row>
    <row r="375" spans="1:17" hidden="1" x14ac:dyDescent="0.25">
      <c r="A375" s="16" t="s">
        <v>75</v>
      </c>
      <c r="B375" s="17"/>
      <c r="C375" s="16" t="s">
        <v>1248</v>
      </c>
      <c r="D375" s="17"/>
      <c r="E375" s="17" t="s">
        <v>608</v>
      </c>
      <c r="F375" s="18" t="s">
        <v>875</v>
      </c>
      <c r="G375" s="49" t="s">
        <v>876</v>
      </c>
      <c r="H375" s="17">
        <v>20</v>
      </c>
      <c r="J375" s="62" t="s">
        <v>473</v>
      </c>
      <c r="K375" s="62"/>
      <c r="L375" s="62"/>
      <c r="M375" s="62"/>
      <c r="N375" s="62"/>
      <c r="O375" s="62" t="str">
        <f>IF(E375="PA",IF(K375&lt;&gt;"",ISERROR(VLOOKUP(K375,ABBR!A:D,1,FALSE)),ISERROR(VLOOKUP(C375,ABBR!A:D,1,FALSE))),"")</f>
        <v/>
      </c>
      <c r="P375" t="str">
        <f>VLOOKUP(A375,Groups!A:L,5,FALSE)</f>
        <v>SAMP</v>
      </c>
      <c r="Q375" s="62" t="str">
        <f>IF(G375="PA",IF(M375&lt;&gt;"",ISERROR(VLOOKUP(M375,ABBR!C:F,1,FALSE)),ISERROR(VLOOKUP(E375,ABBR!C:F,1,FALSE))),"")</f>
        <v/>
      </c>
    </row>
    <row r="376" spans="1:17" hidden="1" x14ac:dyDescent="0.25">
      <c r="A376" s="16" t="s">
        <v>75</v>
      </c>
      <c r="B376" s="17"/>
      <c r="C376" s="16" t="s">
        <v>1249</v>
      </c>
      <c r="D376" s="17"/>
      <c r="E376" s="17" t="s">
        <v>608</v>
      </c>
      <c r="F376" s="18" t="s">
        <v>929</v>
      </c>
      <c r="G376" s="49" t="s">
        <v>876</v>
      </c>
      <c r="H376" s="17">
        <v>21</v>
      </c>
      <c r="J376" s="62" t="s">
        <v>473</v>
      </c>
      <c r="K376" s="62"/>
      <c r="L376" s="62"/>
      <c r="M376" s="62"/>
      <c r="N376" s="62"/>
      <c r="O376" s="62" t="str">
        <f>IF(E376="PA",IF(K376&lt;&gt;"",ISERROR(VLOOKUP(K376,ABBR!A:D,1,FALSE)),ISERROR(VLOOKUP(C376,ABBR!A:D,1,FALSE))),"")</f>
        <v/>
      </c>
      <c r="P376" t="str">
        <f>VLOOKUP(A376,Groups!A:L,5,FALSE)</f>
        <v>SAMP</v>
      </c>
      <c r="Q376" s="62" t="str">
        <f>IF(G376="PA",IF(M376&lt;&gt;"",ISERROR(VLOOKUP(M376,ABBR!C:F,1,FALSE)),ISERROR(VLOOKUP(E376,ABBR!C:F,1,FALSE))),"")</f>
        <v/>
      </c>
    </row>
    <row r="377" spans="1:17" hidden="1" x14ac:dyDescent="0.25">
      <c r="A377" s="16" t="s">
        <v>77</v>
      </c>
      <c r="B377" s="17" t="s">
        <v>594</v>
      </c>
      <c r="C377" s="16" t="s">
        <v>595</v>
      </c>
      <c r="D377" s="17"/>
      <c r="E377" s="17" t="s">
        <v>596</v>
      </c>
      <c r="F377" s="18" t="s">
        <v>597</v>
      </c>
      <c r="G377" s="49" t="s">
        <v>598</v>
      </c>
      <c r="H377" s="17">
        <v>1</v>
      </c>
      <c r="O377" s="62" t="str">
        <f>IF(E377="PA",IF(K377&lt;&gt;"",ISERROR(VLOOKUP(K377,ABBR!A:D,1,FALSE)),ISERROR(VLOOKUP(C377,ABBR!A:D,1,FALSE))),"")</f>
        <v/>
      </c>
      <c r="P377" t="str">
        <f>VLOOKUP(A377,Groups!A:L,5,FALSE)</f>
        <v>LOCA</v>
      </c>
      <c r="Q377" s="62" t="str">
        <f>IF(G377="PA",IF(M377&lt;&gt;"",ISERROR(VLOOKUP(M377,ABBR!C:F,1,FALSE)),ISERROR(VLOOKUP(E377,ABBR!C:F,1,FALSE))),"")</f>
        <v/>
      </c>
    </row>
    <row r="378" spans="1:17" hidden="1" x14ac:dyDescent="0.25">
      <c r="A378" s="16" t="s">
        <v>77</v>
      </c>
      <c r="B378" s="17" t="s">
        <v>594</v>
      </c>
      <c r="C378" s="16" t="s">
        <v>1250</v>
      </c>
      <c r="D378" s="17" t="s">
        <v>600</v>
      </c>
      <c r="E378" s="17" t="s">
        <v>601</v>
      </c>
      <c r="F378" s="18" t="s">
        <v>1251</v>
      </c>
      <c r="G378" s="49" t="s">
        <v>1252</v>
      </c>
      <c r="H378" s="17">
        <v>2</v>
      </c>
      <c r="O378" s="62" t="str">
        <f>IF(E378="PA",IF(K378&lt;&gt;"",ISERROR(VLOOKUP(K378,ABBR!A:D,1,FALSE)),ISERROR(VLOOKUP(C378,ABBR!A:D,1,FALSE))),"")</f>
        <v/>
      </c>
      <c r="P378" t="str">
        <f>VLOOKUP(A378,Groups!A:L,5,FALSE)</f>
        <v>LOCA</v>
      </c>
      <c r="Q378" s="62" t="str">
        <f>IF(G378="PA",IF(M378&lt;&gt;"",ISERROR(VLOOKUP(M378,ABBR!C:F,1,FALSE)),ISERROR(VLOOKUP(E378,ABBR!C:F,1,FALSE))),"")</f>
        <v/>
      </c>
    </row>
    <row r="379" spans="1:17" hidden="1" x14ac:dyDescent="0.25">
      <c r="A379" s="16" t="s">
        <v>77</v>
      </c>
      <c r="B379" s="17"/>
      <c r="C379" s="16" t="s">
        <v>1253</v>
      </c>
      <c r="D379" s="17" t="s">
        <v>600</v>
      </c>
      <c r="E379" s="17" t="s">
        <v>601</v>
      </c>
      <c r="F379" s="18" t="s">
        <v>1254</v>
      </c>
      <c r="G379" s="49" t="s">
        <v>1255</v>
      </c>
      <c r="H379" s="17">
        <v>3</v>
      </c>
      <c r="O379" s="62" t="str">
        <f>IF(E379="PA",IF(K379&lt;&gt;"",ISERROR(VLOOKUP(K379,ABBR!A:D,1,FALSE)),ISERROR(VLOOKUP(C379,ABBR!A:D,1,FALSE))),"")</f>
        <v/>
      </c>
      <c r="P379" t="str">
        <f>VLOOKUP(A379,Groups!A:L,5,FALSE)</f>
        <v>LOCA</v>
      </c>
      <c r="Q379" s="62" t="str">
        <f>IF(G379="PA",IF(M379&lt;&gt;"",ISERROR(VLOOKUP(M379,ABBR!C:F,1,FALSE)),ISERROR(VLOOKUP(E379,ABBR!C:F,1,FALSE))),"")</f>
        <v/>
      </c>
    </row>
    <row r="380" spans="1:17" hidden="1" x14ac:dyDescent="0.25">
      <c r="A380" s="16" t="s">
        <v>77</v>
      </c>
      <c r="B380" s="17"/>
      <c r="C380" s="16" t="s">
        <v>1256</v>
      </c>
      <c r="D380" s="17"/>
      <c r="E380" s="17" t="s">
        <v>608</v>
      </c>
      <c r="F380" s="18" t="s">
        <v>1257</v>
      </c>
      <c r="G380" s="49" t="s">
        <v>1258</v>
      </c>
      <c r="H380" s="17">
        <v>4</v>
      </c>
      <c r="O380" s="62" t="str">
        <f>IF(E380="PA",IF(K380&lt;&gt;"",ISERROR(VLOOKUP(K380,ABBR!A:D,1,FALSE)),ISERROR(VLOOKUP(C380,ABBR!A:D,1,FALSE))),"")</f>
        <v/>
      </c>
      <c r="P380" t="str">
        <f>VLOOKUP(A380,Groups!A:L,5,FALSE)</f>
        <v>LOCA</v>
      </c>
      <c r="Q380" s="62" t="str">
        <f>IF(G380="PA",IF(M380&lt;&gt;"",ISERROR(VLOOKUP(M380,ABBR!C:F,1,FALSE)),ISERROR(VLOOKUP(E380,ABBR!C:F,1,FALSE))),"")</f>
        <v/>
      </c>
    </row>
    <row r="381" spans="1:17" hidden="1" x14ac:dyDescent="0.25">
      <c r="A381" s="16" t="s">
        <v>77</v>
      </c>
      <c r="B381" s="17"/>
      <c r="C381" s="16" t="s">
        <v>1259</v>
      </c>
      <c r="D381" s="17"/>
      <c r="E381" s="17" t="s">
        <v>618</v>
      </c>
      <c r="F381" s="18" t="s">
        <v>1260</v>
      </c>
      <c r="G381" s="49" t="s">
        <v>1261</v>
      </c>
      <c r="H381" s="17">
        <v>5</v>
      </c>
      <c r="O381" s="62" t="b">
        <f>IF(E381="PA",IF(K381&lt;&gt;"",ISERROR(VLOOKUP(K381,ABBR!A:D,1,FALSE)),ISERROR(VLOOKUP(C381,ABBR!A:D,1,FALSE))),"")</f>
        <v>0</v>
      </c>
      <c r="P381" t="str">
        <f>VLOOKUP(A381,Groups!A:L,5,FALSE)</f>
        <v>LOCA</v>
      </c>
      <c r="Q381" s="62" t="str">
        <f>IF(G381="PA",IF(M381&lt;&gt;"",ISERROR(VLOOKUP(M381,ABBR!C:F,1,FALSE)),ISERROR(VLOOKUP(E381,ABBR!C:F,1,FALSE))),"")</f>
        <v/>
      </c>
    </row>
    <row r="382" spans="1:17" hidden="1" x14ac:dyDescent="0.25">
      <c r="A382" s="16" t="s">
        <v>77</v>
      </c>
      <c r="B382" s="17"/>
      <c r="C382" s="16" t="s">
        <v>1262</v>
      </c>
      <c r="D382" s="17" t="s">
        <v>924</v>
      </c>
      <c r="E382" s="17" t="s">
        <v>925</v>
      </c>
      <c r="F382" s="18" t="s">
        <v>1263</v>
      </c>
      <c r="G382" s="49" t="s">
        <v>1264</v>
      </c>
      <c r="H382" s="17">
        <v>6</v>
      </c>
      <c r="O382" s="62" t="str">
        <f>IF(E382="PA",IF(K382&lt;&gt;"",ISERROR(VLOOKUP(K382,ABBR!A:D,1,FALSE)),ISERROR(VLOOKUP(C382,ABBR!A:D,1,FALSE))),"")</f>
        <v/>
      </c>
      <c r="P382" t="str">
        <f>VLOOKUP(A382,Groups!A:L,5,FALSE)</f>
        <v>LOCA</v>
      </c>
      <c r="Q382" s="62" t="str">
        <f>IF(G382="PA",IF(M382&lt;&gt;"",ISERROR(VLOOKUP(M382,ABBR!C:F,1,FALSE)),ISERROR(VLOOKUP(E382,ABBR!C:F,1,FALSE))),"")</f>
        <v/>
      </c>
    </row>
    <row r="383" spans="1:17" hidden="1" x14ac:dyDescent="0.25">
      <c r="A383" s="16" t="s">
        <v>77</v>
      </c>
      <c r="B383" s="17"/>
      <c r="C383" s="16" t="s">
        <v>1265</v>
      </c>
      <c r="D383" s="17"/>
      <c r="E383" s="17" t="s">
        <v>608</v>
      </c>
      <c r="F383" s="18" t="s">
        <v>1266</v>
      </c>
      <c r="G383" s="49" t="s">
        <v>16</v>
      </c>
      <c r="H383" s="17">
        <v>7</v>
      </c>
      <c r="M383" s="101"/>
      <c r="O383" s="62" t="str">
        <f>IF(E383="PA",IF(K383&lt;&gt;"",ISERROR(VLOOKUP(K383,ABBR!A:D,1,FALSE)),ISERROR(VLOOKUP(C383,ABBR!A:D,1,FALSE))),"")</f>
        <v/>
      </c>
      <c r="P383" t="str">
        <f>VLOOKUP(A383,Groups!A:L,5,FALSE)</f>
        <v>LOCA</v>
      </c>
      <c r="Q383" s="62" t="str">
        <f>IF(G383="PA",IF(M383&lt;&gt;"",ISERROR(VLOOKUP(M383,ABBR!C:F,1,FALSE)),ISERROR(VLOOKUP(E383,ABBR!C:F,1,FALSE))),"")</f>
        <v/>
      </c>
    </row>
    <row r="384" spans="1:17" hidden="1" x14ac:dyDescent="0.25">
      <c r="A384" s="16" t="s">
        <v>77</v>
      </c>
      <c r="B384" s="17"/>
      <c r="C384" s="16" t="s">
        <v>643</v>
      </c>
      <c r="D384" s="17"/>
      <c r="E384" s="17" t="s">
        <v>608</v>
      </c>
      <c r="F384" s="18" t="s">
        <v>1267</v>
      </c>
      <c r="G384" s="49" t="s">
        <v>1268</v>
      </c>
      <c r="H384" s="17">
        <v>8</v>
      </c>
      <c r="O384" s="62" t="str">
        <f>IF(E384="PA",IF(K384&lt;&gt;"",ISERROR(VLOOKUP(K384,ABBR!A:D,1,FALSE)),ISERROR(VLOOKUP(C384,ABBR!A:D,1,FALSE))),"")</f>
        <v/>
      </c>
      <c r="P384" t="str">
        <f>VLOOKUP(A384,Groups!A:L,5,FALSE)</f>
        <v>LOCA</v>
      </c>
      <c r="Q384" s="62" t="str">
        <f>IF(G384="PA",IF(M384&lt;&gt;"",ISERROR(VLOOKUP(M384,ABBR!C:F,1,FALSE)),ISERROR(VLOOKUP(E384,ABBR!C:F,1,FALSE))),"")</f>
        <v/>
      </c>
    </row>
    <row r="385" spans="1:17" hidden="1" x14ac:dyDescent="0.25">
      <c r="A385" s="16" t="s">
        <v>81</v>
      </c>
      <c r="B385" s="17" t="s">
        <v>594</v>
      </c>
      <c r="C385" s="16" t="s">
        <v>595</v>
      </c>
      <c r="D385" s="17"/>
      <c r="E385" s="17" t="s">
        <v>596</v>
      </c>
      <c r="F385" s="18" t="s">
        <v>597</v>
      </c>
      <c r="G385" s="49" t="s">
        <v>598</v>
      </c>
      <c r="H385" s="17">
        <v>1</v>
      </c>
      <c r="O385" s="62" t="str">
        <f>IF(E385="PA",IF(K385&lt;&gt;"",ISERROR(VLOOKUP(K385,ABBR!A:D,1,FALSE)),ISERROR(VLOOKUP(C385,ABBR!A:D,1,FALSE))),"")</f>
        <v/>
      </c>
      <c r="P385" t="str">
        <f>VLOOKUP(A385,Groups!A:L,5,FALSE)</f>
        <v>SAMP</v>
      </c>
      <c r="Q385" s="62" t="str">
        <f>IF(G385="PA",IF(M385&lt;&gt;"",ISERROR(VLOOKUP(M385,ABBR!C:F,1,FALSE)),ISERROR(VLOOKUP(E385,ABBR!C:F,1,FALSE))),"")</f>
        <v/>
      </c>
    </row>
    <row r="386" spans="1:17" hidden="1" x14ac:dyDescent="0.25">
      <c r="A386" s="16" t="s">
        <v>81</v>
      </c>
      <c r="B386" s="17" t="s">
        <v>594</v>
      </c>
      <c r="C386" s="16" t="s">
        <v>851</v>
      </c>
      <c r="D386" s="17" t="s">
        <v>600</v>
      </c>
      <c r="E386" s="17" t="s">
        <v>601</v>
      </c>
      <c r="F386" s="18" t="s">
        <v>852</v>
      </c>
      <c r="G386" s="49" t="s">
        <v>853</v>
      </c>
      <c r="H386" s="17">
        <v>2</v>
      </c>
      <c r="O386" s="62" t="str">
        <f>IF(E386="PA",IF(K386&lt;&gt;"",ISERROR(VLOOKUP(K386,ABBR!A:D,1,FALSE)),ISERROR(VLOOKUP(C386,ABBR!A:D,1,FALSE))),"")</f>
        <v/>
      </c>
      <c r="P386" t="str">
        <f>VLOOKUP(A386,Groups!A:L,5,FALSE)</f>
        <v>SAMP</v>
      </c>
      <c r="Q386" s="62" t="str">
        <f>IF(G386="PA",IF(M386&lt;&gt;"",ISERROR(VLOOKUP(M386,ABBR!C:F,1,FALSE)),ISERROR(VLOOKUP(E386,ABBR!C:F,1,FALSE))),"")</f>
        <v/>
      </c>
    </row>
    <row r="387" spans="1:17" hidden="1" x14ac:dyDescent="0.25">
      <c r="A387" s="16" t="s">
        <v>81</v>
      </c>
      <c r="B387" s="17" t="s">
        <v>594</v>
      </c>
      <c r="C387" s="16" t="s">
        <v>854</v>
      </c>
      <c r="D387" s="17"/>
      <c r="E387" s="17" t="s">
        <v>608</v>
      </c>
      <c r="F387" s="18" t="s">
        <v>855</v>
      </c>
      <c r="G387" s="49" t="s">
        <v>941</v>
      </c>
      <c r="H387" s="17">
        <v>3</v>
      </c>
      <c r="O387" s="62" t="str">
        <f>IF(E387="PA",IF(K387&lt;&gt;"",ISERROR(VLOOKUP(K387,ABBR!A:D,1,FALSE)),ISERROR(VLOOKUP(C387,ABBR!A:D,1,FALSE))),"")</f>
        <v/>
      </c>
      <c r="P387" t="str">
        <f>VLOOKUP(A387,Groups!A:L,5,FALSE)</f>
        <v>SAMP</v>
      </c>
      <c r="Q387" s="62" t="str">
        <f>IF(G387="PA",IF(M387&lt;&gt;"",ISERROR(VLOOKUP(M387,ABBR!C:F,1,FALSE)),ISERROR(VLOOKUP(E387,ABBR!C:F,1,FALSE))),"")</f>
        <v/>
      </c>
    </row>
    <row r="388" spans="1:17" hidden="1" x14ac:dyDescent="0.25">
      <c r="A388" s="16" t="s">
        <v>81</v>
      </c>
      <c r="B388" s="17" t="s">
        <v>594</v>
      </c>
      <c r="C388" s="16" t="s">
        <v>857</v>
      </c>
      <c r="D388" s="17"/>
      <c r="E388" s="17" t="s">
        <v>618</v>
      </c>
      <c r="F388" s="18" t="s">
        <v>858</v>
      </c>
      <c r="G388" s="49" t="s">
        <v>859</v>
      </c>
      <c r="H388" s="17">
        <v>4</v>
      </c>
      <c r="O388" s="62" t="b">
        <f>IF(E388="PA",IF(K388&lt;&gt;"",ISERROR(VLOOKUP(K388,ABBR!A:D,1,FALSE)),ISERROR(VLOOKUP(C388,ABBR!A:D,1,FALSE))),"")</f>
        <v>0</v>
      </c>
      <c r="P388" t="str">
        <f>VLOOKUP(A388,Groups!A:L,5,FALSE)</f>
        <v>SAMP</v>
      </c>
      <c r="Q388" s="62" t="str">
        <f>IF(G388="PA",IF(M388&lt;&gt;"",ISERROR(VLOOKUP(M388,ABBR!C:F,1,FALSE)),ISERROR(VLOOKUP(E388,ABBR!C:F,1,FALSE))),"")</f>
        <v/>
      </c>
    </row>
    <row r="389" spans="1:17" hidden="1" x14ac:dyDescent="0.25">
      <c r="A389" s="16" t="s">
        <v>81</v>
      </c>
      <c r="B389" s="17" t="s">
        <v>594</v>
      </c>
      <c r="C389" s="16" t="s">
        <v>860</v>
      </c>
      <c r="D389" s="17"/>
      <c r="E389" s="17" t="s">
        <v>596</v>
      </c>
      <c r="F389" s="18" t="s">
        <v>942</v>
      </c>
      <c r="G389" s="49" t="s">
        <v>862</v>
      </c>
      <c r="H389" s="17">
        <v>5</v>
      </c>
      <c r="O389" s="62" t="str">
        <f>IF(E389="PA",IF(K389&lt;&gt;"",ISERROR(VLOOKUP(K389,ABBR!A:D,1,FALSE)),ISERROR(VLOOKUP(C389,ABBR!A:D,1,FALSE))),"")</f>
        <v/>
      </c>
      <c r="P389" t="str">
        <f>VLOOKUP(A389,Groups!A:L,5,FALSE)</f>
        <v>SAMP</v>
      </c>
      <c r="Q389" s="62" t="str">
        <f>IF(G389="PA",IF(M389&lt;&gt;"",ISERROR(VLOOKUP(M389,ABBR!C:F,1,FALSE)),ISERROR(VLOOKUP(E389,ABBR!C:F,1,FALSE))),"")</f>
        <v/>
      </c>
    </row>
    <row r="390" spans="1:17" hidden="1" x14ac:dyDescent="0.25">
      <c r="A390" s="16" t="s">
        <v>81</v>
      </c>
      <c r="B390" s="17" t="s">
        <v>594</v>
      </c>
      <c r="C390" s="16" t="s">
        <v>863</v>
      </c>
      <c r="D390" s="17"/>
      <c r="E390" s="17" t="s">
        <v>608</v>
      </c>
      <c r="F390" s="18" t="s">
        <v>864</v>
      </c>
      <c r="G390" s="49" t="s">
        <v>865</v>
      </c>
      <c r="H390" s="17">
        <v>6</v>
      </c>
      <c r="O390" s="62" t="str">
        <f>IF(E390="PA",IF(K390&lt;&gt;"",ISERROR(VLOOKUP(K390,ABBR!A:D,1,FALSE)),ISERROR(VLOOKUP(C390,ABBR!A:D,1,FALSE))),"")</f>
        <v/>
      </c>
      <c r="P390" t="str">
        <f>VLOOKUP(A390,Groups!A:L,5,FALSE)</f>
        <v>SAMP</v>
      </c>
      <c r="Q390" s="62" t="str">
        <f>IF(G390="PA",IF(M390&lt;&gt;"",ISERROR(VLOOKUP(M390,ABBR!C:F,1,FALSE)),ISERROR(VLOOKUP(E390,ABBR!C:F,1,FALSE))),"")</f>
        <v/>
      </c>
    </row>
    <row r="391" spans="1:17" hidden="1" x14ac:dyDescent="0.25">
      <c r="A391" s="16" t="s">
        <v>81</v>
      </c>
      <c r="B391" s="17" t="s">
        <v>594</v>
      </c>
      <c r="C391" s="16" t="s">
        <v>866</v>
      </c>
      <c r="D391" s="17" t="s">
        <v>600</v>
      </c>
      <c r="E391" s="17" t="s">
        <v>601</v>
      </c>
      <c r="F391" s="18" t="s">
        <v>867</v>
      </c>
      <c r="G391" s="49" t="s">
        <v>853</v>
      </c>
      <c r="H391" s="17">
        <v>7</v>
      </c>
      <c r="O391" s="62" t="str">
        <f>IF(E391="PA",IF(K391&lt;&gt;"",ISERROR(VLOOKUP(K391,ABBR!A:D,1,FALSE)),ISERROR(VLOOKUP(C391,ABBR!A:D,1,FALSE))),"")</f>
        <v/>
      </c>
      <c r="P391" t="str">
        <f>VLOOKUP(A391,Groups!A:L,5,FALSE)</f>
        <v>SAMP</v>
      </c>
      <c r="Q391" s="62" t="str">
        <f>IF(G391="PA",IF(M391&lt;&gt;"",ISERROR(VLOOKUP(M391,ABBR!C:F,1,FALSE)),ISERROR(VLOOKUP(E391,ABBR!C:F,1,FALSE))),"")</f>
        <v/>
      </c>
    </row>
    <row r="392" spans="1:17" hidden="1" x14ac:dyDescent="0.25">
      <c r="A392" s="16" t="s">
        <v>81</v>
      </c>
      <c r="B392" s="17"/>
      <c r="C392" s="16" t="s">
        <v>868</v>
      </c>
      <c r="D392" s="17"/>
      <c r="E392" s="17" t="s">
        <v>608</v>
      </c>
      <c r="F392" s="18" t="s">
        <v>869</v>
      </c>
      <c r="G392" s="51" t="s">
        <v>1269</v>
      </c>
      <c r="H392" s="17">
        <v>8</v>
      </c>
      <c r="O392" s="62" t="str">
        <f>IF(E392="PA",IF(K392&lt;&gt;"",ISERROR(VLOOKUP(K392,ABBR!A:D,1,FALSE)),ISERROR(VLOOKUP(C392,ABBR!A:D,1,FALSE))),"")</f>
        <v/>
      </c>
      <c r="P392" t="str">
        <f>VLOOKUP(A392,Groups!A:L,5,FALSE)</f>
        <v>SAMP</v>
      </c>
      <c r="Q392" s="62" t="str">
        <f>IF(G392="PA",IF(M392&lt;&gt;"",ISERROR(VLOOKUP(M392,ABBR!C:F,1,FALSE)),ISERROR(VLOOKUP(E392,ABBR!C:F,1,FALSE))),"")</f>
        <v/>
      </c>
    </row>
    <row r="393" spans="1:17" ht="75" hidden="1" x14ac:dyDescent="0.25">
      <c r="A393" s="16" t="s">
        <v>81</v>
      </c>
      <c r="B393" s="17"/>
      <c r="C393" s="16" t="s">
        <v>871</v>
      </c>
      <c r="D393" s="17"/>
      <c r="E393" s="17" t="s">
        <v>608</v>
      </c>
      <c r="F393" s="18" t="s">
        <v>872</v>
      </c>
      <c r="G393" s="49" t="s">
        <v>1270</v>
      </c>
      <c r="H393" s="17">
        <v>9</v>
      </c>
      <c r="O393" s="62" t="str">
        <f>IF(E393="PA",IF(K393&lt;&gt;"",ISERROR(VLOOKUP(K393,ABBR!A:D,1,FALSE)),ISERROR(VLOOKUP(C393,ABBR!A:D,1,FALSE))),"")</f>
        <v/>
      </c>
      <c r="P393" t="str">
        <f>VLOOKUP(A393,Groups!A:L,5,FALSE)</f>
        <v>SAMP</v>
      </c>
      <c r="Q393" s="62" t="str">
        <f>IF(G393="PA",IF(M393&lt;&gt;"",ISERROR(VLOOKUP(M393,ABBR!C:F,1,FALSE)),ISERROR(VLOOKUP(E393,ABBR!C:F,1,FALSE))),"")</f>
        <v/>
      </c>
    </row>
    <row r="394" spans="1:17" hidden="1" x14ac:dyDescent="0.25">
      <c r="A394" s="16" t="s">
        <v>81</v>
      </c>
      <c r="B394" s="17"/>
      <c r="C394" s="16" t="s">
        <v>1271</v>
      </c>
      <c r="D394" s="17"/>
      <c r="E394" s="17" t="s">
        <v>618</v>
      </c>
      <c r="F394" s="18" t="s">
        <v>1272</v>
      </c>
      <c r="G394" s="49" t="s">
        <v>1273</v>
      </c>
      <c r="H394" s="17">
        <v>10</v>
      </c>
      <c r="O394" s="62" t="b">
        <f>IF(E394="PA",IF(K394&lt;&gt;"",ISERROR(VLOOKUP(K394,ABBR!A:D,1,FALSE)),ISERROR(VLOOKUP(C394,ABBR!A:D,1,FALSE))),"")</f>
        <v>0</v>
      </c>
      <c r="P394" t="str">
        <f>VLOOKUP(A394,Groups!A:L,5,FALSE)</f>
        <v>SAMP</v>
      </c>
      <c r="Q394" s="62" t="str">
        <f>IF(G394="PA",IF(M394&lt;&gt;"",ISERROR(VLOOKUP(M394,ABBR!C:F,1,FALSE)),ISERROR(VLOOKUP(E394,ABBR!C:F,1,FALSE))),"")</f>
        <v/>
      </c>
    </row>
    <row r="395" spans="1:17" ht="25" hidden="1" x14ac:dyDescent="0.25">
      <c r="A395" s="16" t="s">
        <v>81</v>
      </c>
      <c r="B395" s="17"/>
      <c r="C395" s="16" t="s">
        <v>1274</v>
      </c>
      <c r="D395" s="17" t="s">
        <v>766</v>
      </c>
      <c r="E395" s="17" t="s">
        <v>608</v>
      </c>
      <c r="F395" s="18" t="s">
        <v>1275</v>
      </c>
      <c r="G395" s="49" t="s">
        <v>1276</v>
      </c>
      <c r="H395" s="17">
        <v>11</v>
      </c>
      <c r="O395" s="62" t="str">
        <f>IF(E395="PA",IF(K395&lt;&gt;"",ISERROR(VLOOKUP(K395,ABBR!A:D,1,FALSE)),ISERROR(VLOOKUP(C395,ABBR!A:D,1,FALSE))),"")</f>
        <v/>
      </c>
      <c r="P395" t="str">
        <f>VLOOKUP(A395,Groups!A:L,5,FALSE)</f>
        <v>SAMP</v>
      </c>
      <c r="Q395" s="62" t="str">
        <f>IF(G395="PA",IF(M395&lt;&gt;"",ISERROR(VLOOKUP(M395,ABBR!C:F,1,FALSE)),ISERROR(VLOOKUP(E395,ABBR!C:F,1,FALSE))),"")</f>
        <v/>
      </c>
    </row>
    <row r="396" spans="1:17" hidden="1" x14ac:dyDescent="0.25">
      <c r="A396" s="16" t="s">
        <v>81</v>
      </c>
      <c r="B396" s="17"/>
      <c r="C396" s="16" t="s">
        <v>1277</v>
      </c>
      <c r="D396" s="17" t="s">
        <v>766</v>
      </c>
      <c r="E396" s="17" t="s">
        <v>767</v>
      </c>
      <c r="F396" s="18" t="s">
        <v>1278</v>
      </c>
      <c r="G396" s="49" t="s">
        <v>910</v>
      </c>
      <c r="H396" s="17">
        <v>12</v>
      </c>
      <c r="I396" s="30" t="s">
        <v>589</v>
      </c>
      <c r="J396" s="96" t="s">
        <v>1279</v>
      </c>
      <c r="O396" s="62" t="str">
        <f>IF(E396="PA",IF(K396&lt;&gt;"",ISERROR(VLOOKUP(K396,ABBR!A:D,1,FALSE)),ISERROR(VLOOKUP(C396,ABBR!A:D,1,FALSE))),"")</f>
        <v/>
      </c>
      <c r="P396" t="str">
        <f>VLOOKUP(A396,Groups!A:L,5,FALSE)</f>
        <v>SAMP</v>
      </c>
      <c r="Q396" s="62" t="str">
        <f>IF(G396="PA",IF(M396&lt;&gt;"",ISERROR(VLOOKUP(M396,ABBR!C:F,1,FALSE)),ISERROR(VLOOKUP(E396,ABBR!C:F,1,FALSE))),"")</f>
        <v/>
      </c>
    </row>
    <row r="397" spans="1:17" hidden="1" x14ac:dyDescent="0.25">
      <c r="A397" s="16" t="s">
        <v>81</v>
      </c>
      <c r="B397" s="17"/>
      <c r="C397" s="16" t="s">
        <v>1280</v>
      </c>
      <c r="D397" s="17" t="s">
        <v>766</v>
      </c>
      <c r="E397" s="17" t="s">
        <v>882</v>
      </c>
      <c r="F397" s="18" t="s">
        <v>1281</v>
      </c>
      <c r="G397" s="49" t="s">
        <v>1282</v>
      </c>
      <c r="H397" s="17">
        <v>13</v>
      </c>
      <c r="O397" s="62" t="str">
        <f>IF(E397="PA",IF(K397&lt;&gt;"",ISERROR(VLOOKUP(K397,ABBR!A:D,1,FALSE)),ISERROR(VLOOKUP(C397,ABBR!A:D,1,FALSE))),"")</f>
        <v/>
      </c>
      <c r="P397" t="str">
        <f>VLOOKUP(A397,Groups!A:L,5,FALSE)</f>
        <v>SAMP</v>
      </c>
      <c r="Q397" s="62" t="str">
        <f>IF(G397="PA",IF(M397&lt;&gt;"",ISERROR(VLOOKUP(M397,ABBR!C:F,1,FALSE)),ISERROR(VLOOKUP(E397,ABBR!C:F,1,FALSE))),"")</f>
        <v/>
      </c>
    </row>
    <row r="398" spans="1:17" hidden="1" x14ac:dyDescent="0.25">
      <c r="A398" s="16" t="s">
        <v>81</v>
      </c>
      <c r="B398" s="17"/>
      <c r="C398" s="16" t="s">
        <v>1283</v>
      </c>
      <c r="D398" s="17"/>
      <c r="E398" s="17" t="s">
        <v>608</v>
      </c>
      <c r="F398" s="18" t="s">
        <v>1284</v>
      </c>
      <c r="G398" s="49" t="s">
        <v>1285</v>
      </c>
      <c r="H398" s="17">
        <v>14</v>
      </c>
      <c r="O398" s="62" t="str">
        <f>IF(E398="PA",IF(K398&lt;&gt;"",ISERROR(VLOOKUP(K398,ABBR!A:D,1,FALSE)),ISERROR(VLOOKUP(C398,ABBR!A:D,1,FALSE))),"")</f>
        <v/>
      </c>
      <c r="P398" t="str">
        <f>VLOOKUP(A398,Groups!A:L,5,FALSE)</f>
        <v>SAMP</v>
      </c>
      <c r="Q398" s="62" t="str">
        <f>IF(G398="PA",IF(M398&lt;&gt;"",ISERROR(VLOOKUP(M398,ABBR!C:F,1,FALSE)),ISERROR(VLOOKUP(E398,ABBR!C:F,1,FALSE))),"")</f>
        <v/>
      </c>
    </row>
    <row r="399" spans="1:17" ht="25" hidden="1" x14ac:dyDescent="0.25">
      <c r="A399" s="16" t="s">
        <v>81</v>
      </c>
      <c r="B399" s="17"/>
      <c r="C399" s="16" t="s">
        <v>1286</v>
      </c>
      <c r="D399" s="17"/>
      <c r="E399" s="17" t="s">
        <v>608</v>
      </c>
      <c r="F399" s="18" t="s">
        <v>1287</v>
      </c>
      <c r="G399" s="49" t="s">
        <v>1288</v>
      </c>
      <c r="H399" s="17">
        <v>15</v>
      </c>
      <c r="O399" s="62" t="str">
        <f>IF(E399="PA",IF(K399&lt;&gt;"",ISERROR(VLOOKUP(K399,ABBR!A:D,1,FALSE)),ISERROR(VLOOKUP(C399,ABBR!A:D,1,FALSE))),"")</f>
        <v/>
      </c>
      <c r="P399" t="str">
        <f>VLOOKUP(A399,Groups!A:L,5,FALSE)</f>
        <v>SAMP</v>
      </c>
      <c r="Q399" s="62" t="str">
        <f>IF(G399="PA",IF(M399&lt;&gt;"",ISERROR(VLOOKUP(M399,ABBR!C:F,1,FALSE)),ISERROR(VLOOKUP(E399,ABBR!C:F,1,FALSE))),"")</f>
        <v/>
      </c>
    </row>
    <row r="400" spans="1:17" ht="37.5" hidden="1" x14ac:dyDescent="0.25">
      <c r="A400" s="16" t="s">
        <v>81</v>
      </c>
      <c r="B400" s="17"/>
      <c r="C400" s="16" t="s">
        <v>1289</v>
      </c>
      <c r="D400" s="17"/>
      <c r="E400" s="17" t="s">
        <v>608</v>
      </c>
      <c r="F400" s="18" t="s">
        <v>1290</v>
      </c>
      <c r="G400" s="49" t="s">
        <v>1291</v>
      </c>
      <c r="H400" s="17">
        <v>16</v>
      </c>
      <c r="O400" s="62" t="str">
        <f>IF(E400="PA",IF(K400&lt;&gt;"",ISERROR(VLOOKUP(K400,ABBR!A:D,1,FALSE)),ISERROR(VLOOKUP(C400,ABBR!A:D,1,FALSE))),"")</f>
        <v/>
      </c>
      <c r="P400" t="str">
        <f>VLOOKUP(A400,Groups!A:L,5,FALSE)</f>
        <v>SAMP</v>
      </c>
      <c r="Q400" s="62" t="str">
        <f>IF(G400="PA",IF(M400&lt;&gt;"",ISERROR(VLOOKUP(M400,ABBR!C:F,1,FALSE)),ISERROR(VLOOKUP(E400,ABBR!C:F,1,FALSE))),"")</f>
        <v/>
      </c>
    </row>
    <row r="401" spans="1:17" hidden="1" x14ac:dyDescent="0.25">
      <c r="A401" s="16" t="s">
        <v>81</v>
      </c>
      <c r="B401" s="17"/>
      <c r="C401" s="16" t="s">
        <v>1292</v>
      </c>
      <c r="D401" s="17"/>
      <c r="E401" s="17" t="s">
        <v>608</v>
      </c>
      <c r="F401" s="18" t="s">
        <v>950</v>
      </c>
      <c r="G401" s="27" t="s">
        <v>951</v>
      </c>
      <c r="H401" s="17">
        <v>17</v>
      </c>
      <c r="O401" s="62" t="str">
        <f>IF(E401="PA",IF(K401&lt;&gt;"",ISERROR(VLOOKUP(K401,ABBR!A:D,1,FALSE)),ISERROR(VLOOKUP(C401,ABBR!A:D,1,FALSE))),"")</f>
        <v/>
      </c>
      <c r="P401" t="str">
        <f>VLOOKUP(A401,Groups!A:L,5,FALSE)</f>
        <v>SAMP</v>
      </c>
      <c r="Q401" s="62" t="str">
        <f>IF(G401="PA",IF(M401&lt;&gt;"",ISERROR(VLOOKUP(M401,ABBR!C:F,1,FALSE)),ISERROR(VLOOKUP(E401,ABBR!C:F,1,FALSE))),"")</f>
        <v/>
      </c>
    </row>
    <row r="402" spans="1:17" ht="25" hidden="1" x14ac:dyDescent="0.25">
      <c r="A402" s="16" t="s">
        <v>81</v>
      </c>
      <c r="B402" s="17"/>
      <c r="C402" s="16" t="s">
        <v>1293</v>
      </c>
      <c r="D402" s="17"/>
      <c r="E402" s="17" t="s">
        <v>608</v>
      </c>
      <c r="F402" s="18" t="s">
        <v>934</v>
      </c>
      <c r="G402" s="49" t="s">
        <v>953</v>
      </c>
      <c r="H402" s="17">
        <v>18</v>
      </c>
      <c r="O402" s="62" t="str">
        <f>IF(E402="PA",IF(K402&lt;&gt;"",ISERROR(VLOOKUP(K402,ABBR!A:D,1,FALSE)),ISERROR(VLOOKUP(C402,ABBR!A:D,1,FALSE))),"")</f>
        <v/>
      </c>
      <c r="P402" t="str">
        <f>VLOOKUP(A402,Groups!A:L,5,FALSE)</f>
        <v>SAMP</v>
      </c>
      <c r="Q402" s="62" t="str">
        <f>IF(G402="PA",IF(M402&lt;&gt;"",ISERROR(VLOOKUP(M402,ABBR!C:F,1,FALSE)),ISERROR(VLOOKUP(E402,ABBR!C:F,1,FALSE))),"")</f>
        <v/>
      </c>
    </row>
    <row r="403" spans="1:17" hidden="1" x14ac:dyDescent="0.25">
      <c r="A403" s="16" t="s">
        <v>81</v>
      </c>
      <c r="B403" s="17"/>
      <c r="C403" s="16" t="s">
        <v>936</v>
      </c>
      <c r="D403" s="17"/>
      <c r="E403" s="22" t="s">
        <v>608</v>
      </c>
      <c r="F403" s="18" t="s">
        <v>937</v>
      </c>
      <c r="G403" s="49" t="s">
        <v>938</v>
      </c>
      <c r="H403" s="17">
        <v>19</v>
      </c>
      <c r="O403" s="62" t="str">
        <f>IF(E403="PA",IF(K403&lt;&gt;"",ISERROR(VLOOKUP(K403,ABBR!A:D,1,FALSE)),ISERROR(VLOOKUP(C403,ABBR!A:D,1,FALSE))),"")</f>
        <v/>
      </c>
      <c r="P403" t="str">
        <f>VLOOKUP(A403,Groups!A:L,5,FALSE)</f>
        <v>SAMP</v>
      </c>
      <c r="Q403" s="62" t="str">
        <f>IF(G403="PA",IF(M403&lt;&gt;"",ISERROR(VLOOKUP(M403,ABBR!C:F,1,FALSE)),ISERROR(VLOOKUP(E403,ABBR!C:F,1,FALSE))),"")</f>
        <v/>
      </c>
    </row>
    <row r="404" spans="1:17" hidden="1" x14ac:dyDescent="0.25">
      <c r="A404" s="16" t="s">
        <v>81</v>
      </c>
      <c r="B404" s="17"/>
      <c r="C404" s="16" t="s">
        <v>643</v>
      </c>
      <c r="D404" s="17"/>
      <c r="E404" s="17" t="s">
        <v>608</v>
      </c>
      <c r="F404" s="18" t="s">
        <v>1294</v>
      </c>
      <c r="G404" s="49" t="s">
        <v>1295</v>
      </c>
      <c r="H404" s="17">
        <v>20</v>
      </c>
      <c r="O404" s="62" t="str">
        <f>IF(E404="PA",IF(K404&lt;&gt;"",ISERROR(VLOOKUP(K404,ABBR!A:D,1,FALSE)),ISERROR(VLOOKUP(C404,ABBR!A:D,1,FALSE))),"")</f>
        <v/>
      </c>
      <c r="P404" t="str">
        <f>VLOOKUP(A404,Groups!A:L,5,FALSE)</f>
        <v>SAMP</v>
      </c>
      <c r="Q404" s="62" t="str">
        <f>IF(G404="PA",IF(M404&lt;&gt;"",ISERROR(VLOOKUP(M404,ABBR!C:F,1,FALSE)),ISERROR(VLOOKUP(E404,ABBR!C:F,1,FALSE))),"")</f>
        <v/>
      </c>
    </row>
    <row r="405" spans="1:17" hidden="1" x14ac:dyDescent="0.25">
      <c r="A405" s="16" t="s">
        <v>81</v>
      </c>
      <c r="B405" s="17"/>
      <c r="C405" s="16" t="s">
        <v>877</v>
      </c>
      <c r="D405" s="17" t="s">
        <v>600</v>
      </c>
      <c r="E405" s="17" t="s">
        <v>601</v>
      </c>
      <c r="F405" s="18" t="s">
        <v>878</v>
      </c>
      <c r="G405" s="49" t="s">
        <v>879</v>
      </c>
      <c r="H405" s="17">
        <v>21</v>
      </c>
      <c r="I405" s="30" t="s">
        <v>955</v>
      </c>
      <c r="J405" s="80">
        <v>4.0999999999999996</v>
      </c>
      <c r="O405" s="62" t="str">
        <f>IF(E405="PA",IF(K405&lt;&gt;"",ISERROR(VLOOKUP(K405,ABBR!A:D,1,FALSE)),ISERROR(VLOOKUP(C405,ABBR!A:D,1,FALSE))),"")</f>
        <v/>
      </c>
      <c r="P405" t="str">
        <f>VLOOKUP(A405,Groups!A:L,5,FALSE)</f>
        <v>SAMP</v>
      </c>
      <c r="Q405" s="62" t="str">
        <f>IF(G405="PA",IF(M405&lt;&gt;"",ISERROR(VLOOKUP(M405,ABBR!C:F,1,FALSE)),ISERROR(VLOOKUP(E405,ABBR!C:F,1,FALSE))),"")</f>
        <v/>
      </c>
    </row>
    <row r="406" spans="1:17" hidden="1" x14ac:dyDescent="0.25">
      <c r="A406" s="16" t="s">
        <v>81</v>
      </c>
      <c r="B406" s="17"/>
      <c r="C406" s="16" t="s">
        <v>1296</v>
      </c>
      <c r="D406" s="17"/>
      <c r="E406" s="17" t="s">
        <v>608</v>
      </c>
      <c r="F406" s="18" t="s">
        <v>921</v>
      </c>
      <c r="G406" s="94" t="s">
        <v>922</v>
      </c>
      <c r="H406" s="17">
        <v>22</v>
      </c>
      <c r="I406" s="30" t="s">
        <v>955</v>
      </c>
      <c r="J406" s="80">
        <v>4.0999999999999996</v>
      </c>
      <c r="M406" s="101"/>
      <c r="O406" s="62" t="str">
        <f>IF(E406="PA",IF(K406&lt;&gt;"",ISERROR(VLOOKUP(K406,ABBR!A:D,1,FALSE)),ISERROR(VLOOKUP(C406,ABBR!A:D,1,FALSE))),"")</f>
        <v/>
      </c>
      <c r="P406" t="str">
        <f>VLOOKUP(A406,Groups!A:L,5,FALSE)</f>
        <v>SAMP</v>
      </c>
      <c r="Q406" s="62" t="str">
        <f>IF(G406="PA",IF(M406&lt;&gt;"",ISERROR(VLOOKUP(M406,ABBR!C:F,1,FALSE)),ISERROR(VLOOKUP(E406,ABBR!C:F,1,FALSE))),"")</f>
        <v/>
      </c>
    </row>
    <row r="407" spans="1:17" hidden="1" x14ac:dyDescent="0.25">
      <c r="A407" s="16" t="s">
        <v>81</v>
      </c>
      <c r="B407" s="17" t="s">
        <v>1297</v>
      </c>
      <c r="C407" s="16" t="s">
        <v>1298</v>
      </c>
      <c r="D407" s="17" t="s">
        <v>766</v>
      </c>
      <c r="E407" s="17" t="s">
        <v>723</v>
      </c>
      <c r="F407" s="18" t="s">
        <v>1299</v>
      </c>
      <c r="G407" s="94" t="s">
        <v>1300</v>
      </c>
      <c r="H407" s="17"/>
      <c r="J407" s="80" t="s">
        <v>473</v>
      </c>
      <c r="M407" s="101"/>
      <c r="O407" s="62" t="str">
        <f>IF(E407="PA",IF(K407&lt;&gt;"",ISERROR(VLOOKUP(K407,ABBR!A:D,1,FALSE)),ISERROR(VLOOKUP(C407,ABBR!A:D,1,FALSE))),"")</f>
        <v/>
      </c>
      <c r="P407" t="str">
        <f>VLOOKUP(A407,Groups!A:L,5,FALSE)</f>
        <v>SAMP</v>
      </c>
      <c r="Q407" s="62" t="str">
        <f>IF(G407="PA",IF(M407&lt;&gt;"",ISERROR(VLOOKUP(M407,ABBR!C:F,1,FALSE)),ISERROR(VLOOKUP(E407,ABBR!C:F,1,FALSE))),"")</f>
        <v/>
      </c>
    </row>
    <row r="408" spans="1:17" hidden="1" x14ac:dyDescent="0.25">
      <c r="A408" s="16" t="s">
        <v>81</v>
      </c>
      <c r="B408" s="17" t="s">
        <v>1297</v>
      </c>
      <c r="C408" s="16" t="s">
        <v>1301</v>
      </c>
      <c r="D408" s="17" t="s">
        <v>766</v>
      </c>
      <c r="E408" s="17" t="s">
        <v>723</v>
      </c>
      <c r="F408" s="18" t="s">
        <v>1302</v>
      </c>
      <c r="G408" s="94" t="s">
        <v>1300</v>
      </c>
      <c r="H408" s="17"/>
      <c r="J408" s="80" t="s">
        <v>473</v>
      </c>
      <c r="M408" s="101"/>
      <c r="O408" s="62" t="str">
        <f>IF(E408="PA",IF(K408&lt;&gt;"",ISERROR(VLOOKUP(K408,ABBR!A:D,1,FALSE)),ISERROR(VLOOKUP(C408,ABBR!A:D,1,FALSE))),"")</f>
        <v/>
      </c>
      <c r="P408" t="str">
        <f>VLOOKUP(A408,Groups!A:L,5,FALSE)</f>
        <v>SAMP</v>
      </c>
      <c r="Q408" s="62" t="str">
        <f>IF(G408="PA",IF(M408&lt;&gt;"",ISERROR(VLOOKUP(M408,ABBR!C:F,1,FALSE)),ISERROR(VLOOKUP(E408,ABBR!C:F,1,FALSE))),"")</f>
        <v/>
      </c>
    </row>
    <row r="409" spans="1:17" ht="25" hidden="1" x14ac:dyDescent="0.25">
      <c r="A409" s="16" t="s">
        <v>81</v>
      </c>
      <c r="B409" s="17" t="s">
        <v>1297</v>
      </c>
      <c r="C409" s="16" t="s">
        <v>1303</v>
      </c>
      <c r="D409" s="17" t="s">
        <v>766</v>
      </c>
      <c r="E409" s="17" t="s">
        <v>723</v>
      </c>
      <c r="F409" s="18" t="s">
        <v>1304</v>
      </c>
      <c r="G409" s="94" t="s">
        <v>1300</v>
      </c>
      <c r="H409" s="17"/>
      <c r="J409" s="80" t="s">
        <v>473</v>
      </c>
      <c r="M409" s="101"/>
      <c r="O409" s="62" t="str">
        <f>IF(E409="PA",IF(K409&lt;&gt;"",ISERROR(VLOOKUP(K409,ABBR!A:D,1,FALSE)),ISERROR(VLOOKUP(C409,ABBR!A:D,1,FALSE))),"")</f>
        <v/>
      </c>
      <c r="P409" t="str">
        <f>VLOOKUP(A409,Groups!A:L,5,FALSE)</f>
        <v>SAMP</v>
      </c>
      <c r="Q409" s="62" t="str">
        <f>IF(G409="PA",IF(M409&lt;&gt;"",ISERROR(VLOOKUP(M409,ABBR!C:F,1,FALSE)),ISERROR(VLOOKUP(E409,ABBR!C:F,1,FALSE))),"")</f>
        <v/>
      </c>
    </row>
    <row r="410" spans="1:17" ht="25" hidden="1" x14ac:dyDescent="0.25">
      <c r="A410" s="16" t="s">
        <v>81</v>
      </c>
      <c r="B410" s="17" t="s">
        <v>1297</v>
      </c>
      <c r="C410" s="16" t="s">
        <v>1305</v>
      </c>
      <c r="D410" s="17" t="s">
        <v>766</v>
      </c>
      <c r="E410" s="17" t="s">
        <v>723</v>
      </c>
      <c r="F410" s="18" t="s">
        <v>1306</v>
      </c>
      <c r="G410" s="94" t="s">
        <v>1300</v>
      </c>
      <c r="H410" s="17"/>
      <c r="J410" s="80" t="s">
        <v>473</v>
      </c>
      <c r="M410" s="101"/>
      <c r="O410" s="62" t="str">
        <f>IF(E410="PA",IF(K410&lt;&gt;"",ISERROR(VLOOKUP(K410,ABBR!A:D,1,FALSE)),ISERROR(VLOOKUP(C410,ABBR!A:D,1,FALSE))),"")</f>
        <v/>
      </c>
      <c r="P410" t="str">
        <f>VLOOKUP(A410,Groups!A:L,5,FALSE)</f>
        <v>SAMP</v>
      </c>
      <c r="Q410" s="62" t="str">
        <f>IF(G410="PA",IF(M410&lt;&gt;"",ISERROR(VLOOKUP(M410,ABBR!C:F,1,FALSE)),ISERROR(VLOOKUP(E410,ABBR!C:F,1,FALSE))),"")</f>
        <v/>
      </c>
    </row>
    <row r="411" spans="1:17" hidden="1" x14ac:dyDescent="0.25">
      <c r="A411" s="16" t="s">
        <v>580</v>
      </c>
      <c r="B411" s="17" t="s">
        <v>594</v>
      </c>
      <c r="C411" s="16" t="s">
        <v>595</v>
      </c>
      <c r="D411" s="17"/>
      <c r="E411" s="17" t="s">
        <v>596</v>
      </c>
      <c r="F411" s="18" t="s">
        <v>1307</v>
      </c>
      <c r="G411" s="49" t="s">
        <v>1308</v>
      </c>
      <c r="H411" s="17">
        <v>1</v>
      </c>
      <c r="J411" s="62" t="s">
        <v>473</v>
      </c>
      <c r="O411" s="62" t="str">
        <f>IF(E411="PA",IF(K411&lt;&gt;"",ISERROR(VLOOKUP(K411,ABBR!A:D,1,FALSE)),ISERROR(VLOOKUP(C411,ABBR!A:D,1,FALSE))),"")</f>
        <v/>
      </c>
      <c r="P411" t="str">
        <f>VLOOKUP(A411,Groups!A:L,5,FALSE)</f>
        <v>CBRT</v>
      </c>
      <c r="Q411" s="62" t="str">
        <f>IF(G411="PA",IF(M411&lt;&gt;"",ISERROR(VLOOKUP(M411,ABBR!C:F,1,FALSE)),ISERROR(VLOOKUP(E411,ABBR!C:F,1,FALSE))),"")</f>
        <v/>
      </c>
    </row>
    <row r="412" spans="1:17" hidden="1" x14ac:dyDescent="0.25">
      <c r="A412" s="16" t="s">
        <v>580</v>
      </c>
      <c r="B412" s="17" t="s">
        <v>594</v>
      </c>
      <c r="C412" s="16" t="s">
        <v>851</v>
      </c>
      <c r="D412" s="17" t="s">
        <v>600</v>
      </c>
      <c r="E412" s="17" t="s">
        <v>601</v>
      </c>
      <c r="F412" s="18" t="s">
        <v>852</v>
      </c>
      <c r="G412" s="49" t="s">
        <v>1309</v>
      </c>
      <c r="H412" s="17">
        <v>2</v>
      </c>
      <c r="J412" s="62" t="s">
        <v>473</v>
      </c>
      <c r="O412" s="62" t="str">
        <f>IF(E412="PA",IF(K412&lt;&gt;"",ISERROR(VLOOKUP(K412,ABBR!A:D,1,FALSE)),ISERROR(VLOOKUP(C412,ABBR!A:D,1,FALSE))),"")</f>
        <v/>
      </c>
      <c r="P412" t="str">
        <f>VLOOKUP(A412,Groups!A:L,5,FALSE)</f>
        <v>CBRT</v>
      </c>
      <c r="Q412" s="62" t="str">
        <f>IF(G412="PA",IF(M412&lt;&gt;"",ISERROR(VLOOKUP(M412,ABBR!C:F,1,FALSE)),ISERROR(VLOOKUP(E412,ABBR!C:F,1,FALSE))),"")</f>
        <v/>
      </c>
    </row>
    <row r="413" spans="1:17" hidden="1" x14ac:dyDescent="0.25">
      <c r="A413" s="38" t="s">
        <v>580</v>
      </c>
      <c r="B413" s="17" t="s">
        <v>594</v>
      </c>
      <c r="C413" s="16" t="s">
        <v>854</v>
      </c>
      <c r="D413" s="17"/>
      <c r="E413" s="17" t="s">
        <v>608</v>
      </c>
      <c r="F413" s="18" t="s">
        <v>1310</v>
      </c>
      <c r="G413" s="49">
        <v>24</v>
      </c>
      <c r="H413" s="17">
        <v>3</v>
      </c>
      <c r="J413" s="62" t="s">
        <v>473</v>
      </c>
      <c r="O413" s="62" t="str">
        <f>IF(E413="PA",IF(K413&lt;&gt;"",ISERROR(VLOOKUP(K413,ABBR!A:D,1,FALSE)),ISERROR(VLOOKUP(C413,ABBR!A:D,1,FALSE))),"")</f>
        <v/>
      </c>
      <c r="P413" t="str">
        <f>VLOOKUP(A413,Groups!A:L,5,FALSE)</f>
        <v>CBRT</v>
      </c>
      <c r="Q413" s="62" t="str">
        <f>IF(G413="PA",IF(M413&lt;&gt;"",ISERROR(VLOOKUP(M413,ABBR!C:F,1,FALSE)),ISERROR(VLOOKUP(E413,ABBR!C:F,1,FALSE))),"")</f>
        <v/>
      </c>
    </row>
    <row r="414" spans="1:17" hidden="1" x14ac:dyDescent="0.25">
      <c r="A414" s="38" t="s">
        <v>580</v>
      </c>
      <c r="B414" s="17" t="s">
        <v>594</v>
      </c>
      <c r="C414" s="48" t="s">
        <v>857</v>
      </c>
      <c r="D414" s="17"/>
      <c r="E414" s="17" t="s">
        <v>608</v>
      </c>
      <c r="F414" s="18" t="s">
        <v>858</v>
      </c>
      <c r="G414" s="49" t="s">
        <v>1311</v>
      </c>
      <c r="H414" s="17">
        <v>4</v>
      </c>
      <c r="J414" s="62" t="s">
        <v>473</v>
      </c>
      <c r="O414" s="62" t="str">
        <f>IF(E414="PA",IF(K414&lt;&gt;"",ISERROR(VLOOKUP(K414,ABBR!A:D,1,FALSE)),ISERROR(VLOOKUP(C414,ABBR!A:D,1,FALSE))),"")</f>
        <v/>
      </c>
      <c r="P414" t="str">
        <f>VLOOKUP(A414,Groups!A:L,5,FALSE)</f>
        <v>CBRT</v>
      </c>
      <c r="Q414" s="62" t="str">
        <f>IF(G414="PA",IF(M414&lt;&gt;"",ISERROR(VLOOKUP(M414,ABBR!C:F,1,FALSE)),ISERROR(VLOOKUP(E414,ABBR!C:F,1,FALSE))),"")</f>
        <v/>
      </c>
    </row>
    <row r="415" spans="1:17" hidden="1" x14ac:dyDescent="0.25">
      <c r="A415" s="38" t="s">
        <v>580</v>
      </c>
      <c r="B415" s="17" t="s">
        <v>594</v>
      </c>
      <c r="C415" s="48" t="s">
        <v>860</v>
      </c>
      <c r="D415" s="17" t="s">
        <v>600</v>
      </c>
      <c r="E415" s="17" t="s">
        <v>601</v>
      </c>
      <c r="F415" s="18" t="s">
        <v>1312</v>
      </c>
      <c r="G415" s="49" t="s">
        <v>1309</v>
      </c>
      <c r="H415" s="17">
        <v>5</v>
      </c>
      <c r="J415" s="62" t="s">
        <v>473</v>
      </c>
      <c r="O415" s="62" t="str">
        <f>IF(E415="PA",IF(K415&lt;&gt;"",ISERROR(VLOOKUP(K415,ABBR!A:D,1,FALSE)),ISERROR(VLOOKUP(C415,ABBR!A:D,1,FALSE))),"")</f>
        <v/>
      </c>
      <c r="P415" t="str">
        <f>VLOOKUP(A415,Groups!A:L,5,FALSE)</f>
        <v>CBRT</v>
      </c>
      <c r="Q415" s="62" t="str">
        <f>IF(G415="PA",IF(M415&lt;&gt;"",ISERROR(VLOOKUP(M415,ABBR!C:F,1,FALSE)),ISERROR(VLOOKUP(E415,ABBR!C:F,1,FALSE))),"")</f>
        <v/>
      </c>
    </row>
    <row r="416" spans="1:17" hidden="1" x14ac:dyDescent="0.25">
      <c r="A416" s="38" t="s">
        <v>580</v>
      </c>
      <c r="B416" s="17" t="s">
        <v>594</v>
      </c>
      <c r="C416" s="48" t="s">
        <v>863</v>
      </c>
      <c r="D416" s="17"/>
      <c r="E416" s="17" t="s">
        <v>608</v>
      </c>
      <c r="F416" s="18" t="s">
        <v>864</v>
      </c>
      <c r="G416" s="49">
        <v>2</v>
      </c>
      <c r="H416" s="17">
        <v>6</v>
      </c>
      <c r="J416" s="62" t="s">
        <v>473</v>
      </c>
      <c r="O416" s="62" t="str">
        <f>IF(E416="PA",IF(K416&lt;&gt;"",ISERROR(VLOOKUP(K416,ABBR!A:D,1,FALSE)),ISERROR(VLOOKUP(C416,ABBR!A:D,1,FALSE))),"")</f>
        <v/>
      </c>
      <c r="P416" t="str">
        <f>VLOOKUP(A416,Groups!A:L,5,FALSE)</f>
        <v>CBRT</v>
      </c>
      <c r="Q416" s="62" t="str">
        <f>IF(G416="PA",IF(M416&lt;&gt;"",ISERROR(VLOOKUP(M416,ABBR!C:F,1,FALSE)),ISERROR(VLOOKUP(E416,ABBR!C:F,1,FALSE))),"")</f>
        <v/>
      </c>
    </row>
    <row r="417" spans="1:17" hidden="1" x14ac:dyDescent="0.25">
      <c r="A417" s="38" t="s">
        <v>580</v>
      </c>
      <c r="B417" s="17" t="s">
        <v>594</v>
      </c>
      <c r="C417" s="48" t="s">
        <v>866</v>
      </c>
      <c r="D417" s="17"/>
      <c r="E417" s="17" t="s">
        <v>608</v>
      </c>
      <c r="F417" s="18" t="s">
        <v>1313</v>
      </c>
      <c r="G417" s="49">
        <v>1</v>
      </c>
      <c r="H417" s="17">
        <v>7</v>
      </c>
      <c r="J417" s="62" t="s">
        <v>473</v>
      </c>
      <c r="O417" s="62" t="str">
        <f>IF(E417="PA",IF(K417&lt;&gt;"",ISERROR(VLOOKUP(K417,ABBR!A:D,1,FALSE)),ISERROR(VLOOKUP(C417,ABBR!A:D,1,FALSE))),"")</f>
        <v/>
      </c>
      <c r="P417" t="str">
        <f>VLOOKUP(A417,Groups!A:L,5,FALSE)</f>
        <v>CBRT</v>
      </c>
      <c r="Q417" s="62" t="str">
        <f>IF(G417="PA",IF(M417&lt;&gt;"",ISERROR(VLOOKUP(M417,ABBR!C:F,1,FALSE)),ISERROR(VLOOKUP(E417,ABBR!C:F,1,FALSE))),"")</f>
        <v/>
      </c>
    </row>
    <row r="418" spans="1:17" hidden="1" x14ac:dyDescent="0.25">
      <c r="A418" s="38" t="s">
        <v>580</v>
      </c>
      <c r="B418" s="17" t="s">
        <v>594</v>
      </c>
      <c r="C418" s="48" t="s">
        <v>1314</v>
      </c>
      <c r="D418" s="17"/>
      <c r="E418" s="17" t="s">
        <v>618</v>
      </c>
      <c r="F418" s="18" t="s">
        <v>1315</v>
      </c>
      <c r="G418" s="49" t="s">
        <v>1316</v>
      </c>
      <c r="H418" s="17">
        <v>8</v>
      </c>
      <c r="J418" s="62" t="s">
        <v>473</v>
      </c>
      <c r="O418" s="62" t="b">
        <f>IF(E418="PA",IF(K418&lt;&gt;"",ISERROR(VLOOKUP(K418,ABBR!A:D,1,FALSE)),ISERROR(VLOOKUP(C418,ABBR!A:D,1,FALSE))),"")</f>
        <v>0</v>
      </c>
      <c r="P418" t="str">
        <f>VLOOKUP(A418,Groups!A:L,5,FALSE)</f>
        <v>CBRT</v>
      </c>
      <c r="Q418" s="62" t="str">
        <f>IF(G418="PA",IF(M418&lt;&gt;"",ISERROR(VLOOKUP(M418,ABBR!C:F,1,FALSE)),ISERROR(VLOOKUP(E418,ABBR!C:F,1,FALSE))),"")</f>
        <v/>
      </c>
    </row>
    <row r="419" spans="1:17" hidden="1" x14ac:dyDescent="0.25">
      <c r="A419" s="38" t="s">
        <v>580</v>
      </c>
      <c r="B419" s="17" t="s">
        <v>594</v>
      </c>
      <c r="C419" s="48" t="s">
        <v>1317</v>
      </c>
      <c r="D419" s="17" t="s">
        <v>722</v>
      </c>
      <c r="E419" s="17" t="s">
        <v>601</v>
      </c>
      <c r="F419" s="18" t="s">
        <v>1318</v>
      </c>
      <c r="G419" s="49" t="s">
        <v>1319</v>
      </c>
      <c r="H419" s="17">
        <v>9</v>
      </c>
      <c r="J419" s="62" t="s">
        <v>473</v>
      </c>
      <c r="O419" s="62" t="str">
        <f>IF(E419="PA",IF(K419&lt;&gt;"",ISERROR(VLOOKUP(K419,ABBR!A:D,1,FALSE)),ISERROR(VLOOKUP(C419,ABBR!A:D,1,FALSE))),"")</f>
        <v/>
      </c>
      <c r="P419" t="str">
        <f>VLOOKUP(A419,Groups!A:L,5,FALSE)</f>
        <v>CBRT</v>
      </c>
      <c r="Q419" s="62" t="str">
        <f>IF(G419="PA",IF(M419&lt;&gt;"",ISERROR(VLOOKUP(M419,ABBR!C:F,1,FALSE)),ISERROR(VLOOKUP(E419,ABBR!C:F,1,FALSE))),"")</f>
        <v/>
      </c>
    </row>
    <row r="420" spans="1:17" hidden="1" x14ac:dyDescent="0.25">
      <c r="A420" s="38" t="s">
        <v>580</v>
      </c>
      <c r="B420" s="17" t="s">
        <v>1297</v>
      </c>
      <c r="C420" s="16" t="s">
        <v>1320</v>
      </c>
      <c r="D420" s="17" t="s">
        <v>1002</v>
      </c>
      <c r="E420" s="17" t="s">
        <v>1321</v>
      </c>
      <c r="F420" s="18" t="s">
        <v>1322</v>
      </c>
      <c r="G420" s="49">
        <v>1.845</v>
      </c>
      <c r="H420" s="17">
        <v>10</v>
      </c>
      <c r="J420" s="62" t="s">
        <v>473</v>
      </c>
      <c r="O420" s="62" t="str">
        <f>IF(E420="PA",IF(K420&lt;&gt;"",ISERROR(VLOOKUP(K420,ABBR!A:D,1,FALSE)),ISERROR(VLOOKUP(C420,ABBR!A:D,1,FALSE))),"")</f>
        <v/>
      </c>
      <c r="P420" t="str">
        <f>VLOOKUP(A420,Groups!A:L,5,FALSE)</f>
        <v>CBRT</v>
      </c>
      <c r="Q420" s="62" t="str">
        <f>IF(G420="PA",IF(M420&lt;&gt;"",ISERROR(VLOOKUP(M420,ABBR!C:F,1,FALSE)),ISERROR(VLOOKUP(E420,ABBR!C:F,1,FALSE))),"")</f>
        <v/>
      </c>
    </row>
    <row r="421" spans="1:17" hidden="1" x14ac:dyDescent="0.25">
      <c r="A421" s="38" t="s">
        <v>84</v>
      </c>
      <c r="B421" s="17" t="s">
        <v>594</v>
      </c>
      <c r="C421" s="16" t="s">
        <v>595</v>
      </c>
      <c r="D421" s="17"/>
      <c r="E421" s="17" t="s">
        <v>596</v>
      </c>
      <c r="F421" s="18" t="s">
        <v>597</v>
      </c>
      <c r="G421" s="49" t="s">
        <v>598</v>
      </c>
      <c r="H421" s="17">
        <v>1</v>
      </c>
      <c r="O421" s="62" t="str">
        <f>IF(E421="PA",IF(K421&lt;&gt;"",ISERROR(VLOOKUP(K421,ABBR!A:D,1,FALSE)),ISERROR(VLOOKUP(C421,ABBR!A:D,1,FALSE))),"")</f>
        <v/>
      </c>
      <c r="P421" t="str">
        <f>VLOOKUP(A421,Groups!A:L,5,FALSE)</f>
        <v>CBRG</v>
      </c>
      <c r="Q421" s="62" t="str">
        <f>IF(G421="PA",IF(M421&lt;&gt;"",ISERROR(VLOOKUP(M421,ABBR!C:F,1,FALSE)),ISERROR(VLOOKUP(E421,ABBR!C:F,1,FALSE))),"")</f>
        <v/>
      </c>
    </row>
    <row r="422" spans="1:17" hidden="1" x14ac:dyDescent="0.25">
      <c r="A422" s="38" t="s">
        <v>84</v>
      </c>
      <c r="B422" s="17" t="s">
        <v>594</v>
      </c>
      <c r="C422" s="16" t="s">
        <v>851</v>
      </c>
      <c r="D422" s="17" t="s">
        <v>600</v>
      </c>
      <c r="E422" s="17" t="s">
        <v>601</v>
      </c>
      <c r="F422" s="18" t="s">
        <v>852</v>
      </c>
      <c r="G422" s="49" t="s">
        <v>853</v>
      </c>
      <c r="H422" s="17">
        <f t="shared" ref="H422:H461" si="3">H421+1</f>
        <v>2</v>
      </c>
      <c r="O422" s="62" t="str">
        <f>IF(E422="PA",IF(K422&lt;&gt;"",ISERROR(VLOOKUP(K422,ABBR!A:D,1,FALSE)),ISERROR(VLOOKUP(C422,ABBR!A:D,1,FALSE))),"")</f>
        <v/>
      </c>
      <c r="P422" t="str">
        <f>VLOOKUP(A422,Groups!A:L,5,FALSE)</f>
        <v>CBRG</v>
      </c>
      <c r="Q422" s="62" t="str">
        <f>IF(G422="PA",IF(M422&lt;&gt;"",ISERROR(VLOOKUP(M422,ABBR!C:F,1,FALSE)),ISERROR(VLOOKUP(E422,ABBR!C:F,1,FALSE))),"")</f>
        <v/>
      </c>
    </row>
    <row r="423" spans="1:17" hidden="1" x14ac:dyDescent="0.25">
      <c r="A423" s="38" t="s">
        <v>84</v>
      </c>
      <c r="B423" s="17" t="s">
        <v>594</v>
      </c>
      <c r="C423" s="16" t="s">
        <v>854</v>
      </c>
      <c r="D423" s="17"/>
      <c r="E423" s="17" t="s">
        <v>608</v>
      </c>
      <c r="F423" s="18" t="s">
        <v>855</v>
      </c>
      <c r="G423" s="49" t="s">
        <v>941</v>
      </c>
      <c r="H423" s="17">
        <f t="shared" si="3"/>
        <v>3</v>
      </c>
      <c r="O423" s="62" t="str">
        <f>IF(E423="PA",IF(K423&lt;&gt;"",ISERROR(VLOOKUP(K423,ABBR!A:D,1,FALSE)),ISERROR(VLOOKUP(C423,ABBR!A:D,1,FALSE))),"")</f>
        <v/>
      </c>
      <c r="P423" t="str">
        <f>VLOOKUP(A423,Groups!A:L,5,FALSE)</f>
        <v>CBRG</v>
      </c>
      <c r="Q423" s="62" t="str">
        <f>IF(G423="PA",IF(M423&lt;&gt;"",ISERROR(VLOOKUP(M423,ABBR!C:F,1,FALSE)),ISERROR(VLOOKUP(E423,ABBR!C:F,1,FALSE))),"")</f>
        <v/>
      </c>
    </row>
    <row r="424" spans="1:17" hidden="1" x14ac:dyDescent="0.25">
      <c r="A424" s="38" t="s">
        <v>84</v>
      </c>
      <c r="B424" s="17" t="s">
        <v>594</v>
      </c>
      <c r="C424" s="16" t="s">
        <v>857</v>
      </c>
      <c r="D424" s="17"/>
      <c r="E424" s="17" t="s">
        <v>618</v>
      </c>
      <c r="F424" s="18" t="s">
        <v>858</v>
      </c>
      <c r="G424" s="49" t="s">
        <v>859</v>
      </c>
      <c r="H424" s="17">
        <f t="shared" si="3"/>
        <v>4</v>
      </c>
      <c r="O424" s="62" t="b">
        <f>IF(E424="PA",IF(K424&lt;&gt;"",ISERROR(VLOOKUP(K424,ABBR!A:D,1,FALSE)),ISERROR(VLOOKUP(C424,ABBR!A:D,1,FALSE))),"")</f>
        <v>0</v>
      </c>
      <c r="P424" t="str">
        <f>VLOOKUP(A424,Groups!A:L,5,FALSE)</f>
        <v>CBRG</v>
      </c>
      <c r="Q424" s="62" t="str">
        <f>IF(G424="PA",IF(M424&lt;&gt;"",ISERROR(VLOOKUP(M424,ABBR!C:F,1,FALSE)),ISERROR(VLOOKUP(E424,ABBR!C:F,1,FALSE))),"")</f>
        <v/>
      </c>
    </row>
    <row r="425" spans="1:17" hidden="1" x14ac:dyDescent="0.25">
      <c r="A425" s="38" t="s">
        <v>84</v>
      </c>
      <c r="B425" s="17" t="s">
        <v>594</v>
      </c>
      <c r="C425" s="16" t="s">
        <v>860</v>
      </c>
      <c r="D425" s="17"/>
      <c r="E425" s="17" t="s">
        <v>596</v>
      </c>
      <c r="F425" s="18" t="s">
        <v>942</v>
      </c>
      <c r="G425" s="49" t="s">
        <v>862</v>
      </c>
      <c r="H425" s="17">
        <f t="shared" si="3"/>
        <v>5</v>
      </c>
      <c r="O425" s="62" t="str">
        <f>IF(E425="PA",IF(K425&lt;&gt;"",ISERROR(VLOOKUP(K425,ABBR!A:D,1,FALSE)),ISERROR(VLOOKUP(C425,ABBR!A:D,1,FALSE))),"")</f>
        <v/>
      </c>
      <c r="P425" t="str">
        <f>VLOOKUP(A425,Groups!A:L,5,FALSE)</f>
        <v>CBRG</v>
      </c>
      <c r="Q425" s="62" t="str">
        <f>IF(G425="PA",IF(M425&lt;&gt;"",ISERROR(VLOOKUP(M425,ABBR!C:F,1,FALSE)),ISERROR(VLOOKUP(E425,ABBR!C:F,1,FALSE))),"")</f>
        <v/>
      </c>
    </row>
    <row r="426" spans="1:17" hidden="1" x14ac:dyDescent="0.25">
      <c r="A426" s="38" t="s">
        <v>84</v>
      </c>
      <c r="B426" s="17" t="s">
        <v>594</v>
      </c>
      <c r="C426" s="16" t="s">
        <v>863</v>
      </c>
      <c r="D426" s="17"/>
      <c r="E426" s="17" t="s">
        <v>608</v>
      </c>
      <c r="F426" s="18" t="s">
        <v>864</v>
      </c>
      <c r="G426" s="49" t="s">
        <v>865</v>
      </c>
      <c r="H426" s="17">
        <f t="shared" si="3"/>
        <v>6</v>
      </c>
      <c r="O426" s="62" t="str">
        <f>IF(E426="PA",IF(K426&lt;&gt;"",ISERROR(VLOOKUP(K426,ABBR!A:D,1,FALSE)),ISERROR(VLOOKUP(C426,ABBR!A:D,1,FALSE))),"")</f>
        <v/>
      </c>
      <c r="P426" t="str">
        <f>VLOOKUP(A426,Groups!A:L,5,FALSE)</f>
        <v>CBRG</v>
      </c>
      <c r="Q426" s="62" t="str">
        <f>IF(G426="PA",IF(M426&lt;&gt;"",ISERROR(VLOOKUP(M426,ABBR!C:F,1,FALSE)),ISERROR(VLOOKUP(E426,ABBR!C:F,1,FALSE))),"")</f>
        <v/>
      </c>
    </row>
    <row r="427" spans="1:17" hidden="1" x14ac:dyDescent="0.25">
      <c r="A427" s="38" t="s">
        <v>84</v>
      </c>
      <c r="B427" s="17" t="s">
        <v>594</v>
      </c>
      <c r="C427" s="16" t="s">
        <v>866</v>
      </c>
      <c r="D427" s="17" t="s">
        <v>600</v>
      </c>
      <c r="E427" s="17" t="s">
        <v>601</v>
      </c>
      <c r="F427" s="18" t="s">
        <v>867</v>
      </c>
      <c r="G427" s="49" t="s">
        <v>853</v>
      </c>
      <c r="H427" s="17">
        <f t="shared" si="3"/>
        <v>7</v>
      </c>
      <c r="O427" s="62" t="str">
        <f>IF(E427="PA",IF(K427&lt;&gt;"",ISERROR(VLOOKUP(K427,ABBR!A:D,1,FALSE)),ISERROR(VLOOKUP(C427,ABBR!A:D,1,FALSE))),"")</f>
        <v/>
      </c>
      <c r="P427" t="str">
        <f>VLOOKUP(A427,Groups!A:L,5,FALSE)</f>
        <v>CBRG</v>
      </c>
      <c r="Q427" s="62" t="str">
        <f>IF(G427="PA",IF(M427&lt;&gt;"",ISERROR(VLOOKUP(M427,ABBR!C:F,1,FALSE)),ISERROR(VLOOKUP(E427,ABBR!C:F,1,FALSE))),"")</f>
        <v/>
      </c>
    </row>
    <row r="428" spans="1:17" hidden="1" x14ac:dyDescent="0.25">
      <c r="A428" s="38" t="s">
        <v>84</v>
      </c>
      <c r="B428" s="17" t="s">
        <v>594</v>
      </c>
      <c r="C428" s="16" t="s">
        <v>1314</v>
      </c>
      <c r="D428" s="17"/>
      <c r="E428" s="17" t="s">
        <v>608</v>
      </c>
      <c r="F428" s="18" t="s">
        <v>1323</v>
      </c>
      <c r="G428" s="49" t="s">
        <v>631</v>
      </c>
      <c r="H428" s="17">
        <f t="shared" si="3"/>
        <v>8</v>
      </c>
      <c r="O428" s="62" t="str">
        <f>IF(E428="PA",IF(K428&lt;&gt;"",ISERROR(VLOOKUP(K428,ABBR!A:D,1,FALSE)),ISERROR(VLOOKUP(C428,ABBR!A:D,1,FALSE))),"")</f>
        <v/>
      </c>
      <c r="P428" t="str">
        <f>VLOOKUP(A428,Groups!A:L,5,FALSE)</f>
        <v>CBRG</v>
      </c>
      <c r="Q428" s="62" t="str">
        <f>IF(G428="PA",IF(M428&lt;&gt;"",ISERROR(VLOOKUP(M428,ABBR!C:F,1,FALSE)),ISERROR(VLOOKUP(E428,ABBR!C:F,1,FALSE))),"")</f>
        <v/>
      </c>
    </row>
    <row r="429" spans="1:17" hidden="1" x14ac:dyDescent="0.25">
      <c r="A429" s="38" t="s">
        <v>84</v>
      </c>
      <c r="B429" s="17"/>
      <c r="C429" s="16" t="s">
        <v>1324</v>
      </c>
      <c r="D429" s="17" t="s">
        <v>766</v>
      </c>
      <c r="E429" s="17" t="s">
        <v>882</v>
      </c>
      <c r="F429" s="18" t="s">
        <v>1325</v>
      </c>
      <c r="G429" s="49" t="s">
        <v>1326</v>
      </c>
      <c r="H429" s="17">
        <f t="shared" si="3"/>
        <v>9</v>
      </c>
      <c r="O429" s="62" t="str">
        <f>IF(E429="PA",IF(K429&lt;&gt;"",ISERROR(VLOOKUP(K429,ABBR!A:D,1,FALSE)),ISERROR(VLOOKUP(C429,ABBR!A:D,1,FALSE))),"")</f>
        <v/>
      </c>
      <c r="P429" t="str">
        <f>VLOOKUP(A429,Groups!A:L,5,FALSE)</f>
        <v>CBRG</v>
      </c>
      <c r="Q429" s="62" t="str">
        <f>IF(G429="PA",IF(M429&lt;&gt;"",ISERROR(VLOOKUP(M429,ABBR!C:F,1,FALSE)),ISERROR(VLOOKUP(E429,ABBR!C:F,1,FALSE))),"")</f>
        <v/>
      </c>
    </row>
    <row r="430" spans="1:17" hidden="1" x14ac:dyDescent="0.25">
      <c r="A430" s="38" t="s">
        <v>84</v>
      </c>
      <c r="B430" s="17"/>
      <c r="C430" s="16" t="s">
        <v>1327</v>
      </c>
      <c r="D430" s="17" t="s">
        <v>766</v>
      </c>
      <c r="E430" s="17" t="s">
        <v>882</v>
      </c>
      <c r="F430" s="18" t="s">
        <v>1328</v>
      </c>
      <c r="G430" s="49" t="s">
        <v>1329</v>
      </c>
      <c r="H430" s="17">
        <f t="shared" si="3"/>
        <v>10</v>
      </c>
      <c r="O430" s="62" t="str">
        <f>IF(E430="PA",IF(K430&lt;&gt;"",ISERROR(VLOOKUP(K430,ABBR!A:D,1,FALSE)),ISERROR(VLOOKUP(C430,ABBR!A:D,1,FALSE))),"")</f>
        <v/>
      </c>
      <c r="P430" t="str">
        <f>VLOOKUP(A430,Groups!A:L,5,FALSE)</f>
        <v>CBRG</v>
      </c>
      <c r="Q430" s="62" t="str">
        <f>IF(G430="PA",IF(M430&lt;&gt;"",ISERROR(VLOOKUP(M430,ABBR!C:F,1,FALSE)),ISERROR(VLOOKUP(E430,ABBR!C:F,1,FALSE))),"")</f>
        <v/>
      </c>
    </row>
    <row r="431" spans="1:17" hidden="1" x14ac:dyDescent="0.25">
      <c r="A431" s="38" t="s">
        <v>84</v>
      </c>
      <c r="B431" s="17"/>
      <c r="C431" s="16" t="s">
        <v>1330</v>
      </c>
      <c r="D431" s="17" t="s">
        <v>766</v>
      </c>
      <c r="E431" s="17" t="s">
        <v>608</v>
      </c>
      <c r="F431" s="18" t="s">
        <v>1331</v>
      </c>
      <c r="G431" s="49" t="s">
        <v>1226</v>
      </c>
      <c r="H431" s="17">
        <f t="shared" si="3"/>
        <v>11</v>
      </c>
      <c r="O431" s="62" t="str">
        <f>IF(E431="PA",IF(K431&lt;&gt;"",ISERROR(VLOOKUP(K431,ABBR!A:D,1,FALSE)),ISERROR(VLOOKUP(C431,ABBR!A:D,1,FALSE))),"")</f>
        <v/>
      </c>
      <c r="P431" t="str">
        <f>VLOOKUP(A431,Groups!A:L,5,FALSE)</f>
        <v>CBRG</v>
      </c>
      <c r="Q431" s="62" t="str">
        <f>IF(G431="PA",IF(M431&lt;&gt;"",ISERROR(VLOOKUP(M431,ABBR!C:F,1,FALSE)),ISERROR(VLOOKUP(E431,ABBR!C:F,1,FALSE))),"")</f>
        <v/>
      </c>
    </row>
    <row r="432" spans="1:17" hidden="1" x14ac:dyDescent="0.25">
      <c r="A432" s="38" t="s">
        <v>84</v>
      </c>
      <c r="B432" s="17"/>
      <c r="C432" s="16" t="s">
        <v>1332</v>
      </c>
      <c r="D432" s="17" t="s">
        <v>766</v>
      </c>
      <c r="E432" s="17" t="s">
        <v>608</v>
      </c>
      <c r="F432" s="18" t="s">
        <v>1333</v>
      </c>
      <c r="G432" s="49" t="s">
        <v>1334</v>
      </c>
      <c r="H432" s="17">
        <f t="shared" si="3"/>
        <v>12</v>
      </c>
      <c r="O432" s="62" t="str">
        <f>IF(E432="PA",IF(K432&lt;&gt;"",ISERROR(VLOOKUP(K432,ABBR!A:D,1,FALSE)),ISERROR(VLOOKUP(C432,ABBR!A:D,1,FALSE))),"")</f>
        <v/>
      </c>
      <c r="P432" t="str">
        <f>VLOOKUP(A432,Groups!A:L,5,FALSE)</f>
        <v>CBRG</v>
      </c>
      <c r="Q432" s="62" t="str">
        <f>IF(G432="PA",IF(M432&lt;&gt;"",ISERROR(VLOOKUP(M432,ABBR!C:F,1,FALSE)),ISERROR(VLOOKUP(E432,ABBR!C:F,1,FALSE))),"")</f>
        <v/>
      </c>
    </row>
    <row r="433" spans="1:17" hidden="1" x14ac:dyDescent="0.25">
      <c r="A433" s="38" t="s">
        <v>84</v>
      </c>
      <c r="B433" s="17"/>
      <c r="C433" s="16" t="s">
        <v>1335</v>
      </c>
      <c r="D433" s="17" t="s">
        <v>766</v>
      </c>
      <c r="E433" s="17" t="s">
        <v>608</v>
      </c>
      <c r="F433" s="18" t="s">
        <v>1336</v>
      </c>
      <c r="G433" s="49" t="s">
        <v>1337</v>
      </c>
      <c r="H433" s="17">
        <f t="shared" si="3"/>
        <v>13</v>
      </c>
      <c r="O433" s="62" t="str">
        <f>IF(E433="PA",IF(K433&lt;&gt;"",ISERROR(VLOOKUP(K433,ABBR!A:D,1,FALSE)),ISERROR(VLOOKUP(C433,ABBR!A:D,1,FALSE))),"")</f>
        <v/>
      </c>
      <c r="P433" t="str">
        <f>VLOOKUP(A433,Groups!A:L,5,FALSE)</f>
        <v>CBRG</v>
      </c>
      <c r="Q433" s="62" t="str">
        <f>IF(G433="PA",IF(M433&lt;&gt;"",ISERROR(VLOOKUP(M433,ABBR!C:F,1,FALSE)),ISERROR(VLOOKUP(E433,ABBR!C:F,1,FALSE))),"")</f>
        <v/>
      </c>
    </row>
    <row r="434" spans="1:17" hidden="1" x14ac:dyDescent="0.25">
      <c r="A434" s="38" t="s">
        <v>84</v>
      </c>
      <c r="B434" s="17"/>
      <c r="C434" s="16" t="s">
        <v>1338</v>
      </c>
      <c r="D434" s="17" t="s">
        <v>1077</v>
      </c>
      <c r="E434" s="17" t="s">
        <v>601</v>
      </c>
      <c r="F434" s="18" t="s">
        <v>1339</v>
      </c>
      <c r="G434" s="49" t="s">
        <v>1340</v>
      </c>
      <c r="H434" s="17">
        <f t="shared" si="3"/>
        <v>14</v>
      </c>
      <c r="O434" s="62" t="str">
        <f>IF(E434="PA",IF(K434&lt;&gt;"",ISERROR(VLOOKUP(K434,ABBR!A:D,1,FALSE)),ISERROR(VLOOKUP(C434,ABBR!A:D,1,FALSE))),"")</f>
        <v/>
      </c>
      <c r="P434" t="str">
        <f>VLOOKUP(A434,Groups!A:L,5,FALSE)</f>
        <v>CBRG</v>
      </c>
      <c r="Q434" s="62" t="str">
        <f>IF(G434="PA",IF(M434&lt;&gt;"",ISERROR(VLOOKUP(M434,ABBR!C:F,1,FALSE)),ISERROR(VLOOKUP(E434,ABBR!C:F,1,FALSE))),"")</f>
        <v/>
      </c>
    </row>
    <row r="435" spans="1:17" hidden="1" x14ac:dyDescent="0.25">
      <c r="A435" s="38" t="s">
        <v>84</v>
      </c>
      <c r="B435" s="17"/>
      <c r="C435" s="16" t="s">
        <v>1341</v>
      </c>
      <c r="D435" s="17" t="s">
        <v>1077</v>
      </c>
      <c r="E435" s="17" t="s">
        <v>601</v>
      </c>
      <c r="F435" s="18" t="s">
        <v>1342</v>
      </c>
      <c r="G435" s="49" t="s">
        <v>1343</v>
      </c>
      <c r="H435" s="17">
        <f t="shared" si="3"/>
        <v>15</v>
      </c>
      <c r="O435" s="62" t="str">
        <f>IF(E435="PA",IF(K435&lt;&gt;"",ISERROR(VLOOKUP(K435,ABBR!A:D,1,FALSE)),ISERROR(VLOOKUP(C435,ABBR!A:D,1,FALSE))),"")</f>
        <v/>
      </c>
      <c r="P435" t="str">
        <f>VLOOKUP(A435,Groups!A:L,5,FALSE)</f>
        <v>CBRG</v>
      </c>
      <c r="Q435" s="62" t="str">
        <f>IF(G435="PA",IF(M435&lt;&gt;"",ISERROR(VLOOKUP(M435,ABBR!C:F,1,FALSE)),ISERROR(VLOOKUP(E435,ABBR!C:F,1,FALSE))),"")</f>
        <v/>
      </c>
    </row>
    <row r="436" spans="1:17" hidden="1" x14ac:dyDescent="0.25">
      <c r="A436" s="38" t="s">
        <v>84</v>
      </c>
      <c r="B436" s="17"/>
      <c r="C436" s="16" t="s">
        <v>1344</v>
      </c>
      <c r="D436" s="17" t="s">
        <v>1345</v>
      </c>
      <c r="E436" s="17" t="s">
        <v>767</v>
      </c>
      <c r="F436" s="18" t="s">
        <v>1346</v>
      </c>
      <c r="G436" s="49" t="s">
        <v>910</v>
      </c>
      <c r="H436" s="17">
        <f t="shared" si="3"/>
        <v>16</v>
      </c>
      <c r="O436" s="62" t="str">
        <f>IF(E436="PA",IF(K436&lt;&gt;"",ISERROR(VLOOKUP(K436,ABBR!A:D,1,FALSE)),ISERROR(VLOOKUP(C436,ABBR!A:D,1,FALSE))),"")</f>
        <v/>
      </c>
      <c r="P436" t="str">
        <f>VLOOKUP(A436,Groups!A:L,5,FALSE)</f>
        <v>CBRG</v>
      </c>
      <c r="Q436" s="62" t="str">
        <f>IF(G436="PA",IF(M436&lt;&gt;"",ISERROR(VLOOKUP(M436,ABBR!C:F,1,FALSE)),ISERROR(VLOOKUP(E436,ABBR!C:F,1,FALSE))),"")</f>
        <v/>
      </c>
    </row>
    <row r="437" spans="1:17" hidden="1" x14ac:dyDescent="0.25">
      <c r="A437" s="38" t="s">
        <v>84</v>
      </c>
      <c r="B437" s="17"/>
      <c r="C437" s="16" t="s">
        <v>1347</v>
      </c>
      <c r="D437" s="17"/>
      <c r="E437" s="17" t="s">
        <v>608</v>
      </c>
      <c r="F437" s="18" t="s">
        <v>1348</v>
      </c>
      <c r="G437" s="49" t="s">
        <v>1349</v>
      </c>
      <c r="H437" s="17">
        <f t="shared" si="3"/>
        <v>17</v>
      </c>
      <c r="O437" s="62" t="str">
        <f>IF(E437="PA",IF(K437&lt;&gt;"",ISERROR(VLOOKUP(K437,ABBR!A:D,1,FALSE)),ISERROR(VLOOKUP(C437,ABBR!A:D,1,FALSE))),"")</f>
        <v/>
      </c>
      <c r="P437" t="str">
        <f>VLOOKUP(A437,Groups!A:L,5,FALSE)</f>
        <v>CBRG</v>
      </c>
      <c r="Q437" s="62" t="str">
        <f>IF(G437="PA",IF(M437&lt;&gt;"",ISERROR(VLOOKUP(M437,ABBR!C:F,1,FALSE)),ISERROR(VLOOKUP(E437,ABBR!C:F,1,FALSE))),"")</f>
        <v/>
      </c>
    </row>
    <row r="438" spans="1:17" hidden="1" x14ac:dyDescent="0.25">
      <c r="A438" s="38" t="s">
        <v>84</v>
      </c>
      <c r="B438" s="17"/>
      <c r="C438" s="16" t="s">
        <v>1350</v>
      </c>
      <c r="D438" s="17" t="s">
        <v>722</v>
      </c>
      <c r="E438" s="17" t="s">
        <v>723</v>
      </c>
      <c r="F438" s="18" t="s">
        <v>1351</v>
      </c>
      <c r="G438" s="49" t="s">
        <v>1352</v>
      </c>
      <c r="H438" s="17">
        <f t="shared" si="3"/>
        <v>18</v>
      </c>
      <c r="O438" s="62" t="str">
        <f>IF(E438="PA",IF(K438&lt;&gt;"",ISERROR(VLOOKUP(K438,ABBR!A:D,1,FALSE)),ISERROR(VLOOKUP(C438,ABBR!A:D,1,FALSE))),"")</f>
        <v/>
      </c>
      <c r="P438" t="str">
        <f>VLOOKUP(A438,Groups!A:L,5,FALSE)</f>
        <v>CBRG</v>
      </c>
      <c r="Q438" s="62" t="str">
        <f>IF(G438="PA",IF(M438&lt;&gt;"",ISERROR(VLOOKUP(M438,ABBR!C:F,1,FALSE)),ISERROR(VLOOKUP(E438,ABBR!C:F,1,FALSE))),"")</f>
        <v/>
      </c>
    </row>
    <row r="439" spans="1:17" hidden="1" x14ac:dyDescent="0.25">
      <c r="A439" s="38" t="s">
        <v>84</v>
      </c>
      <c r="B439" s="17"/>
      <c r="C439" s="16" t="s">
        <v>1353</v>
      </c>
      <c r="D439" s="17"/>
      <c r="E439" s="17" t="s">
        <v>608</v>
      </c>
      <c r="F439" s="18" t="s">
        <v>1354</v>
      </c>
      <c r="G439" s="49" t="s">
        <v>16</v>
      </c>
      <c r="H439" s="17">
        <f t="shared" si="3"/>
        <v>19</v>
      </c>
      <c r="M439" s="101"/>
      <c r="O439" s="62" t="str">
        <f>IF(E439="PA",IF(K439&lt;&gt;"",ISERROR(VLOOKUP(K439,ABBR!A:D,1,FALSE)),ISERROR(VLOOKUP(C439,ABBR!A:D,1,FALSE))),"")</f>
        <v/>
      </c>
      <c r="P439" t="str">
        <f>VLOOKUP(A439,Groups!A:L,5,FALSE)</f>
        <v>CBRG</v>
      </c>
      <c r="Q439" s="62" t="str">
        <f>IF(G439="PA",IF(M439&lt;&gt;"",ISERROR(VLOOKUP(M439,ABBR!C:F,1,FALSE)),ISERROR(VLOOKUP(E439,ABBR!C:F,1,FALSE))),"")</f>
        <v/>
      </c>
    </row>
    <row r="440" spans="1:17" hidden="1" x14ac:dyDescent="0.25">
      <c r="A440" s="38" t="s">
        <v>84</v>
      </c>
      <c r="B440" s="17"/>
      <c r="C440" s="16" t="s">
        <v>643</v>
      </c>
      <c r="D440" s="17"/>
      <c r="E440" s="17" t="s">
        <v>608</v>
      </c>
      <c r="F440" s="18" t="s">
        <v>954</v>
      </c>
      <c r="G440" s="49" t="s">
        <v>1295</v>
      </c>
      <c r="H440" s="17">
        <f t="shared" si="3"/>
        <v>20</v>
      </c>
      <c r="O440" s="62" t="str">
        <f>IF(E440="PA",IF(K440&lt;&gt;"",ISERROR(VLOOKUP(K440,ABBR!A:D,1,FALSE)),ISERROR(VLOOKUP(C440,ABBR!A:D,1,FALSE))),"")</f>
        <v/>
      </c>
      <c r="P440" t="str">
        <f>VLOOKUP(A440,Groups!A:L,5,FALSE)</f>
        <v>CBRG</v>
      </c>
      <c r="Q440" s="62" t="str">
        <f>IF(G440="PA",IF(M440&lt;&gt;"",ISERROR(VLOOKUP(M440,ABBR!C:F,1,FALSE)),ISERROR(VLOOKUP(E440,ABBR!C:F,1,FALSE))),"")</f>
        <v/>
      </c>
    </row>
    <row r="441" spans="1:17" hidden="1" x14ac:dyDescent="0.25">
      <c r="A441" s="38" t="s">
        <v>84</v>
      </c>
      <c r="B441" s="17"/>
      <c r="C441" s="16" t="s">
        <v>1355</v>
      </c>
      <c r="D441" s="17"/>
      <c r="E441" s="17" t="s">
        <v>608</v>
      </c>
      <c r="F441" s="18" t="s">
        <v>875</v>
      </c>
      <c r="G441" s="49" t="s">
        <v>876</v>
      </c>
      <c r="H441" s="17">
        <f t="shared" si="3"/>
        <v>21</v>
      </c>
      <c r="J441" s="80" t="s">
        <v>473</v>
      </c>
      <c r="O441" s="62" t="str">
        <f>IF(E441="PA",IF(K441&lt;&gt;"",ISERROR(VLOOKUP(K441,ABBR!A:D,1,FALSE)),ISERROR(VLOOKUP(C441,ABBR!A:D,1,FALSE))),"")</f>
        <v/>
      </c>
      <c r="P441" t="str">
        <f>VLOOKUP(A441,Groups!A:L,5,FALSE)</f>
        <v>CBRG</v>
      </c>
      <c r="Q441" s="62" t="str">
        <f>IF(G441="PA",IF(M441&lt;&gt;"",ISERROR(VLOOKUP(M441,ABBR!C:F,1,FALSE)),ISERROR(VLOOKUP(E441,ABBR!C:F,1,FALSE))),"")</f>
        <v/>
      </c>
    </row>
    <row r="442" spans="1:17" hidden="1" x14ac:dyDescent="0.25">
      <c r="A442" s="38" t="s">
        <v>84</v>
      </c>
      <c r="B442" s="17" t="s">
        <v>1297</v>
      </c>
      <c r="C442" s="16" t="s">
        <v>1356</v>
      </c>
      <c r="D442" s="17" t="s">
        <v>722</v>
      </c>
      <c r="E442" s="17" t="s">
        <v>723</v>
      </c>
      <c r="F442" s="18" t="s">
        <v>1357</v>
      </c>
      <c r="G442" s="49" t="s">
        <v>725</v>
      </c>
      <c r="H442" s="17">
        <f t="shared" si="3"/>
        <v>22</v>
      </c>
      <c r="J442" s="62" t="s">
        <v>473</v>
      </c>
      <c r="O442" s="62" t="str">
        <f>IF(E442="PA",IF(K442&lt;&gt;"",ISERROR(VLOOKUP(K442,ABBR!A:D,1,FALSE)),ISERROR(VLOOKUP(C442,ABBR!A:D,1,FALSE))),"")</f>
        <v/>
      </c>
      <c r="P442" t="str">
        <f>VLOOKUP(A442,Groups!A:L,5,FALSE)</f>
        <v>CBRG</v>
      </c>
      <c r="Q442" s="62" t="str">
        <f>IF(G442="PA",IF(M442&lt;&gt;"",ISERROR(VLOOKUP(M442,ABBR!C:F,1,FALSE)),ISERROR(VLOOKUP(E442,ABBR!C:F,1,FALSE))),"")</f>
        <v/>
      </c>
    </row>
    <row r="443" spans="1:17" hidden="1" x14ac:dyDescent="0.25">
      <c r="A443" s="38" t="s">
        <v>84</v>
      </c>
      <c r="B443" s="17" t="s">
        <v>1297</v>
      </c>
      <c r="C443" s="16" t="s">
        <v>1358</v>
      </c>
      <c r="D443" s="17" t="s">
        <v>766</v>
      </c>
      <c r="E443" s="17" t="s">
        <v>723</v>
      </c>
      <c r="F443" s="18" t="s">
        <v>1359</v>
      </c>
      <c r="G443" s="49">
        <v>6.4</v>
      </c>
      <c r="H443" s="17">
        <f t="shared" si="3"/>
        <v>23</v>
      </c>
      <c r="J443" s="62" t="s">
        <v>473</v>
      </c>
      <c r="O443" s="62" t="str">
        <f>IF(E443="PA",IF(K443&lt;&gt;"",ISERROR(VLOOKUP(K443,ABBR!A:D,1,FALSE)),ISERROR(VLOOKUP(C443,ABBR!A:D,1,FALSE))),"")</f>
        <v/>
      </c>
      <c r="P443" t="str">
        <f>VLOOKUP(A443,Groups!A:L,5,FALSE)</f>
        <v>CBRG</v>
      </c>
      <c r="Q443" s="62" t="str">
        <f>IF(G443="PA",IF(M443&lt;&gt;"",ISERROR(VLOOKUP(M443,ABBR!C:F,1,FALSE)),ISERROR(VLOOKUP(E443,ABBR!C:F,1,FALSE))),"")</f>
        <v/>
      </c>
    </row>
    <row r="444" spans="1:17" hidden="1" x14ac:dyDescent="0.25">
      <c r="A444" s="38" t="s">
        <v>84</v>
      </c>
      <c r="B444" s="17" t="s">
        <v>1297</v>
      </c>
      <c r="C444" s="16" t="s">
        <v>1360</v>
      </c>
      <c r="D444" s="17" t="s">
        <v>766</v>
      </c>
      <c r="E444" s="17" t="s">
        <v>723</v>
      </c>
      <c r="F444" s="18" t="s">
        <v>1361</v>
      </c>
      <c r="G444" s="49">
        <v>6.4</v>
      </c>
      <c r="H444" s="17">
        <f t="shared" si="3"/>
        <v>24</v>
      </c>
      <c r="J444" s="62" t="s">
        <v>473</v>
      </c>
      <c r="O444" s="62" t="str">
        <f>IF(E444="PA",IF(K444&lt;&gt;"",ISERROR(VLOOKUP(K444,ABBR!A:D,1,FALSE)),ISERROR(VLOOKUP(C444,ABBR!A:D,1,FALSE))),"")</f>
        <v/>
      </c>
      <c r="P444" t="str">
        <f>VLOOKUP(A444,Groups!A:L,5,FALSE)</f>
        <v>CBRG</v>
      </c>
      <c r="Q444" s="62" t="str">
        <f>IF(G444="PA",IF(M444&lt;&gt;"",ISERROR(VLOOKUP(M444,ABBR!C:F,1,FALSE)),ISERROR(VLOOKUP(E444,ABBR!C:F,1,FALSE))),"")</f>
        <v/>
      </c>
    </row>
    <row r="445" spans="1:17" hidden="1" x14ac:dyDescent="0.25">
      <c r="A445" s="38" t="s">
        <v>84</v>
      </c>
      <c r="B445" s="17" t="s">
        <v>1297</v>
      </c>
      <c r="C445" s="16" t="s">
        <v>1362</v>
      </c>
      <c r="D445" s="17" t="s">
        <v>722</v>
      </c>
      <c r="E445" s="17" t="s">
        <v>723</v>
      </c>
      <c r="F445" s="18" t="s">
        <v>1363</v>
      </c>
      <c r="G445" s="49">
        <v>2.5</v>
      </c>
      <c r="H445" s="17">
        <f t="shared" si="3"/>
        <v>25</v>
      </c>
      <c r="J445" s="62" t="s">
        <v>473</v>
      </c>
      <c r="O445" s="62" t="str">
        <f>IF(E445="PA",IF(K445&lt;&gt;"",ISERROR(VLOOKUP(K445,ABBR!A:D,1,FALSE)),ISERROR(VLOOKUP(C445,ABBR!A:D,1,FALSE))),"")</f>
        <v/>
      </c>
      <c r="P445" t="str">
        <f>VLOOKUP(A445,Groups!A:L,5,FALSE)</f>
        <v>CBRG</v>
      </c>
      <c r="Q445" s="62" t="str">
        <f>IF(G445="PA",IF(M445&lt;&gt;"",ISERROR(VLOOKUP(M445,ABBR!C:F,1,FALSE)),ISERROR(VLOOKUP(E445,ABBR!C:F,1,FALSE))),"")</f>
        <v/>
      </c>
    </row>
    <row r="446" spans="1:17" hidden="1" x14ac:dyDescent="0.25">
      <c r="A446" s="38" t="s">
        <v>84</v>
      </c>
      <c r="B446" s="17" t="s">
        <v>1297</v>
      </c>
      <c r="C446" s="16" t="s">
        <v>1364</v>
      </c>
      <c r="D446" s="17" t="s">
        <v>766</v>
      </c>
      <c r="E446" s="17" t="s">
        <v>723</v>
      </c>
      <c r="F446" s="18" t="s">
        <v>1365</v>
      </c>
      <c r="G446" s="49">
        <v>5.2</v>
      </c>
      <c r="H446" s="17">
        <f t="shared" si="3"/>
        <v>26</v>
      </c>
      <c r="J446" s="62" t="s">
        <v>473</v>
      </c>
      <c r="O446" s="62" t="str">
        <f>IF(E446="PA",IF(K446&lt;&gt;"",ISERROR(VLOOKUP(K446,ABBR!A:D,1,FALSE)),ISERROR(VLOOKUP(C446,ABBR!A:D,1,FALSE))),"")</f>
        <v/>
      </c>
      <c r="P446" t="str">
        <f>VLOOKUP(A446,Groups!A:L,5,FALSE)</f>
        <v>CBRG</v>
      </c>
      <c r="Q446" s="62" t="str">
        <f>IF(G446="PA",IF(M446&lt;&gt;"",ISERROR(VLOOKUP(M446,ABBR!C:F,1,FALSE)),ISERROR(VLOOKUP(E446,ABBR!C:F,1,FALSE))),"")</f>
        <v/>
      </c>
    </row>
    <row r="447" spans="1:17" hidden="1" x14ac:dyDescent="0.25">
      <c r="A447" s="38" t="s">
        <v>84</v>
      </c>
      <c r="B447" s="17" t="s">
        <v>1297</v>
      </c>
      <c r="C447" s="16" t="s">
        <v>1366</v>
      </c>
      <c r="D447" s="17" t="s">
        <v>766</v>
      </c>
      <c r="E447" s="17" t="s">
        <v>723</v>
      </c>
      <c r="F447" s="18" t="s">
        <v>1367</v>
      </c>
      <c r="G447" s="49">
        <v>5.2</v>
      </c>
      <c r="H447" s="17">
        <f t="shared" si="3"/>
        <v>27</v>
      </c>
      <c r="J447" s="62" t="s">
        <v>473</v>
      </c>
      <c r="O447" s="62" t="str">
        <f>IF(E447="PA",IF(K447&lt;&gt;"",ISERROR(VLOOKUP(K447,ABBR!A:D,1,FALSE)),ISERROR(VLOOKUP(C447,ABBR!A:D,1,FALSE))),"")</f>
        <v/>
      </c>
      <c r="P447" t="str">
        <f>VLOOKUP(A447,Groups!A:L,5,FALSE)</f>
        <v>CBRG</v>
      </c>
      <c r="Q447" s="62" t="str">
        <f>IF(G447="PA",IF(M447&lt;&gt;"",ISERROR(VLOOKUP(M447,ABBR!C:F,1,FALSE)),ISERROR(VLOOKUP(E447,ABBR!C:F,1,FALSE))),"")</f>
        <v/>
      </c>
    </row>
    <row r="448" spans="1:17" hidden="1" x14ac:dyDescent="0.25">
      <c r="A448" s="38" t="s">
        <v>84</v>
      </c>
      <c r="B448" s="17" t="s">
        <v>1297</v>
      </c>
      <c r="C448" s="16" t="s">
        <v>1368</v>
      </c>
      <c r="D448" s="17" t="s">
        <v>766</v>
      </c>
      <c r="E448" s="17" t="s">
        <v>723</v>
      </c>
      <c r="F448" s="18" t="s">
        <v>1369</v>
      </c>
      <c r="G448" s="49" t="s">
        <v>1073</v>
      </c>
      <c r="H448" s="17">
        <f t="shared" si="3"/>
        <v>28</v>
      </c>
      <c r="J448" s="62" t="s">
        <v>473</v>
      </c>
      <c r="O448" s="62" t="str">
        <f>IF(E448="PA",IF(K448&lt;&gt;"",ISERROR(VLOOKUP(K448,ABBR!A:D,1,FALSE)),ISERROR(VLOOKUP(C448,ABBR!A:D,1,FALSE))),"")</f>
        <v/>
      </c>
      <c r="P448" t="str">
        <f>VLOOKUP(A448,Groups!A:L,5,FALSE)</f>
        <v>CBRG</v>
      </c>
      <c r="Q448" s="62" t="str">
        <f>IF(G448="PA",IF(M448&lt;&gt;"",ISERROR(VLOOKUP(M448,ABBR!C:F,1,FALSE)),ISERROR(VLOOKUP(E448,ABBR!C:F,1,FALSE))),"")</f>
        <v/>
      </c>
    </row>
    <row r="449" spans="1:17" hidden="1" x14ac:dyDescent="0.25">
      <c r="A449" s="38" t="s">
        <v>84</v>
      </c>
      <c r="B449" s="17" t="s">
        <v>1297</v>
      </c>
      <c r="C449" s="16" t="s">
        <v>1370</v>
      </c>
      <c r="D449" s="17" t="s">
        <v>766</v>
      </c>
      <c r="E449" s="17" t="s">
        <v>723</v>
      </c>
      <c r="F449" s="18" t="s">
        <v>1371</v>
      </c>
      <c r="G449" s="49" t="s">
        <v>1372</v>
      </c>
      <c r="H449" s="17">
        <f t="shared" si="3"/>
        <v>29</v>
      </c>
      <c r="J449" s="62" t="s">
        <v>473</v>
      </c>
      <c r="O449" s="62" t="str">
        <f>IF(E449="PA",IF(K449&lt;&gt;"",ISERROR(VLOOKUP(K449,ABBR!A:D,1,FALSE)),ISERROR(VLOOKUP(C449,ABBR!A:D,1,FALSE))),"")</f>
        <v/>
      </c>
      <c r="P449" t="str">
        <f>VLOOKUP(A449,Groups!A:L,5,FALSE)</f>
        <v>CBRG</v>
      </c>
      <c r="Q449" s="62" t="str">
        <f>IF(G449="PA",IF(M449&lt;&gt;"",ISERROR(VLOOKUP(M449,ABBR!C:F,1,FALSE)),ISERROR(VLOOKUP(E449,ABBR!C:F,1,FALSE))),"")</f>
        <v/>
      </c>
    </row>
    <row r="450" spans="1:17" hidden="1" x14ac:dyDescent="0.25">
      <c r="A450" s="38" t="s">
        <v>84</v>
      </c>
      <c r="B450" s="17" t="s">
        <v>1297</v>
      </c>
      <c r="C450" s="48" t="s">
        <v>1373</v>
      </c>
      <c r="D450" s="17" t="s">
        <v>766</v>
      </c>
      <c r="E450" s="17" t="s">
        <v>723</v>
      </c>
      <c r="F450" s="18" t="s">
        <v>1374</v>
      </c>
      <c r="G450" s="49" t="s">
        <v>1024</v>
      </c>
      <c r="H450" s="17">
        <f t="shared" si="3"/>
        <v>30</v>
      </c>
      <c r="J450" s="62" t="s">
        <v>473</v>
      </c>
      <c r="O450" s="62" t="str">
        <f>IF(E450="PA",IF(K450&lt;&gt;"",ISERROR(VLOOKUP(K450,ABBR!A:D,1,FALSE)),ISERROR(VLOOKUP(C450,ABBR!A:D,1,FALSE))),"")</f>
        <v/>
      </c>
      <c r="P450" t="str">
        <f>VLOOKUP(A450,Groups!A:L,5,FALSE)</f>
        <v>CBRG</v>
      </c>
      <c r="Q450" s="62" t="str">
        <f>IF(G450="PA",IF(M450&lt;&gt;"",ISERROR(VLOOKUP(M450,ABBR!C:F,1,FALSE)),ISERROR(VLOOKUP(E450,ABBR!C:F,1,FALSE))),"")</f>
        <v/>
      </c>
    </row>
    <row r="451" spans="1:17" hidden="1" x14ac:dyDescent="0.25">
      <c r="A451" s="38" t="s">
        <v>84</v>
      </c>
      <c r="B451" s="17" t="s">
        <v>1297</v>
      </c>
      <c r="C451" s="48" t="s">
        <v>1375</v>
      </c>
      <c r="D451" s="17" t="s">
        <v>766</v>
      </c>
      <c r="E451" s="17" t="s">
        <v>723</v>
      </c>
      <c r="F451" s="18" t="s">
        <v>1376</v>
      </c>
      <c r="G451" s="49" t="s">
        <v>1024</v>
      </c>
      <c r="H451" s="17">
        <f t="shared" si="3"/>
        <v>31</v>
      </c>
      <c r="J451" s="62" t="s">
        <v>473</v>
      </c>
      <c r="O451" s="62" t="str">
        <f>IF(E451="PA",IF(K451&lt;&gt;"",ISERROR(VLOOKUP(K451,ABBR!A:D,1,FALSE)),ISERROR(VLOOKUP(C451,ABBR!A:D,1,FALSE))),"")</f>
        <v/>
      </c>
      <c r="P451" t="str">
        <f>VLOOKUP(A451,Groups!A:L,5,FALSE)</f>
        <v>CBRG</v>
      </c>
      <c r="Q451" s="62" t="str">
        <f>IF(G451="PA",IF(M451&lt;&gt;"",ISERROR(VLOOKUP(M451,ABBR!C:F,1,FALSE)),ISERROR(VLOOKUP(E451,ABBR!C:F,1,FALSE))),"")</f>
        <v/>
      </c>
    </row>
    <row r="452" spans="1:17" hidden="1" x14ac:dyDescent="0.25">
      <c r="A452" s="38" t="s">
        <v>84</v>
      </c>
      <c r="B452" s="17" t="s">
        <v>1297</v>
      </c>
      <c r="C452" s="48" t="s">
        <v>1377</v>
      </c>
      <c r="D452" s="17" t="s">
        <v>766</v>
      </c>
      <c r="E452" s="17" t="s">
        <v>723</v>
      </c>
      <c r="F452" s="18" t="s">
        <v>1378</v>
      </c>
      <c r="G452" s="49">
        <v>7.1</v>
      </c>
      <c r="H452" s="17">
        <f t="shared" si="3"/>
        <v>32</v>
      </c>
      <c r="J452" s="62" t="s">
        <v>473</v>
      </c>
      <c r="O452" s="62" t="str">
        <f>IF(E452="PA",IF(K452&lt;&gt;"",ISERROR(VLOOKUP(K452,ABBR!A:D,1,FALSE)),ISERROR(VLOOKUP(C452,ABBR!A:D,1,FALSE))),"")</f>
        <v/>
      </c>
      <c r="P452" t="str">
        <f>VLOOKUP(A452,Groups!A:L,5,FALSE)</f>
        <v>CBRG</v>
      </c>
      <c r="Q452" s="62" t="str">
        <f>IF(G452="PA",IF(M452&lt;&gt;"",ISERROR(VLOOKUP(M452,ABBR!C:F,1,FALSE)),ISERROR(VLOOKUP(E452,ABBR!C:F,1,FALSE))),"")</f>
        <v/>
      </c>
    </row>
    <row r="453" spans="1:17" hidden="1" x14ac:dyDescent="0.25">
      <c r="A453" s="38" t="s">
        <v>84</v>
      </c>
      <c r="B453" s="17" t="s">
        <v>1297</v>
      </c>
      <c r="C453" s="48" t="s">
        <v>1379</v>
      </c>
      <c r="D453" s="17" t="s">
        <v>1380</v>
      </c>
      <c r="E453" s="17" t="s">
        <v>723</v>
      </c>
      <c r="F453" s="18" t="s">
        <v>1381</v>
      </c>
      <c r="G453" s="49" t="s">
        <v>1300</v>
      </c>
      <c r="H453" s="17">
        <f t="shared" si="3"/>
        <v>33</v>
      </c>
      <c r="J453" s="62" t="s">
        <v>473</v>
      </c>
      <c r="O453" s="62" t="str">
        <f>IF(E453="PA",IF(K453&lt;&gt;"",ISERROR(VLOOKUP(K453,ABBR!A:D,1,FALSE)),ISERROR(VLOOKUP(C453,ABBR!A:D,1,FALSE))),"")</f>
        <v/>
      </c>
      <c r="P453" t="str">
        <f>VLOOKUP(A453,Groups!A:L,5,FALSE)</f>
        <v>CBRG</v>
      </c>
      <c r="Q453" s="62" t="str">
        <f>IF(G453="PA",IF(M453&lt;&gt;"",ISERROR(VLOOKUP(M453,ABBR!C:F,1,FALSE)),ISERROR(VLOOKUP(E453,ABBR!C:F,1,FALSE))),"")</f>
        <v/>
      </c>
    </row>
    <row r="454" spans="1:17" hidden="1" x14ac:dyDescent="0.25">
      <c r="A454" s="38" t="s">
        <v>84</v>
      </c>
      <c r="B454" s="17" t="s">
        <v>1297</v>
      </c>
      <c r="C454" s="48" t="s">
        <v>1382</v>
      </c>
      <c r="D454" s="17" t="s">
        <v>908</v>
      </c>
      <c r="E454" s="17" t="s">
        <v>723</v>
      </c>
      <c r="F454" s="18" t="s">
        <v>1383</v>
      </c>
      <c r="G454" s="49">
        <v>25.1</v>
      </c>
      <c r="H454" s="17">
        <f t="shared" si="3"/>
        <v>34</v>
      </c>
      <c r="J454" s="62" t="s">
        <v>473</v>
      </c>
      <c r="O454" s="62" t="str">
        <f>IF(E454="PA",IF(K454&lt;&gt;"",ISERROR(VLOOKUP(K454,ABBR!A:D,1,FALSE)),ISERROR(VLOOKUP(C454,ABBR!A:D,1,FALSE))),"")</f>
        <v/>
      </c>
      <c r="P454" t="str">
        <f>VLOOKUP(A454,Groups!A:L,5,FALSE)</f>
        <v>CBRG</v>
      </c>
      <c r="Q454" s="62" t="str">
        <f>IF(G454="PA",IF(M454&lt;&gt;"",ISERROR(VLOOKUP(M454,ABBR!C:F,1,FALSE)),ISERROR(VLOOKUP(E454,ABBR!C:F,1,FALSE))),"")</f>
        <v/>
      </c>
    </row>
    <row r="455" spans="1:17" hidden="1" x14ac:dyDescent="0.25">
      <c r="A455" s="38" t="s">
        <v>84</v>
      </c>
      <c r="B455" s="17" t="s">
        <v>1297</v>
      </c>
      <c r="C455" s="16" t="s">
        <v>1384</v>
      </c>
      <c r="D455" s="17" t="s">
        <v>1385</v>
      </c>
      <c r="E455" s="17" t="s">
        <v>601</v>
      </c>
      <c r="F455" s="18" t="s">
        <v>1386</v>
      </c>
      <c r="G455" s="49">
        <v>1.62</v>
      </c>
      <c r="H455" s="17">
        <f t="shared" si="3"/>
        <v>35</v>
      </c>
      <c r="J455" s="62" t="s">
        <v>473</v>
      </c>
      <c r="O455" s="62" t="str">
        <f>IF(E455="PA",IF(K455&lt;&gt;"",ISERROR(VLOOKUP(K455,ABBR!A:D,1,FALSE)),ISERROR(VLOOKUP(C455,ABBR!A:D,1,FALSE))),"")</f>
        <v/>
      </c>
      <c r="P455" t="str">
        <f>VLOOKUP(A455,Groups!A:L,5,FALSE)</f>
        <v>CBRG</v>
      </c>
      <c r="Q455" s="62" t="str">
        <f>IF(G455="PA",IF(M455&lt;&gt;"",ISERROR(VLOOKUP(M455,ABBR!C:F,1,FALSE)),ISERROR(VLOOKUP(E455,ABBR!C:F,1,FALSE))),"")</f>
        <v/>
      </c>
    </row>
    <row r="456" spans="1:17" hidden="1" x14ac:dyDescent="0.25">
      <c r="A456" s="38" t="s">
        <v>84</v>
      </c>
      <c r="B456" s="17" t="s">
        <v>1297</v>
      </c>
      <c r="C456" s="16" t="s">
        <v>1387</v>
      </c>
      <c r="D456" s="17"/>
      <c r="E456" s="17" t="s">
        <v>608</v>
      </c>
      <c r="F456" s="18" t="s">
        <v>1388</v>
      </c>
      <c r="G456" s="49" t="s">
        <v>1389</v>
      </c>
      <c r="H456" s="17">
        <f t="shared" si="3"/>
        <v>36</v>
      </c>
      <c r="J456" s="62" t="s">
        <v>473</v>
      </c>
      <c r="O456" s="62" t="str">
        <f>IF(E456="PA",IF(K456&lt;&gt;"",ISERROR(VLOOKUP(K456,ABBR!A:D,1,FALSE)),ISERROR(VLOOKUP(C456,ABBR!A:D,1,FALSE))),"")</f>
        <v/>
      </c>
      <c r="P456" t="str">
        <f>VLOOKUP(A456,Groups!A:L,5,FALSE)</f>
        <v>CBRG</v>
      </c>
      <c r="Q456" s="62" t="str">
        <f>IF(G456="PA",IF(M456&lt;&gt;"",ISERROR(VLOOKUP(M456,ABBR!C:F,1,FALSE)),ISERROR(VLOOKUP(E456,ABBR!C:F,1,FALSE))),"")</f>
        <v/>
      </c>
    </row>
    <row r="457" spans="1:17" hidden="1" x14ac:dyDescent="0.25">
      <c r="A457" s="38" t="s">
        <v>84</v>
      </c>
      <c r="B457" s="17" t="s">
        <v>1297</v>
      </c>
      <c r="C457" s="16" t="s">
        <v>1390</v>
      </c>
      <c r="D457" s="17"/>
      <c r="E457" s="17" t="s">
        <v>1391</v>
      </c>
      <c r="F457" s="18" t="s">
        <v>1392</v>
      </c>
      <c r="G457" s="49" t="b">
        <v>1</v>
      </c>
      <c r="H457" s="17">
        <f t="shared" si="3"/>
        <v>37</v>
      </c>
      <c r="J457" s="62" t="s">
        <v>473</v>
      </c>
      <c r="O457" s="62" t="str">
        <f>IF(E457="PA",IF(K457&lt;&gt;"",ISERROR(VLOOKUP(K457,ABBR!A:D,1,FALSE)),ISERROR(VLOOKUP(C457,ABBR!A:D,1,FALSE))),"")</f>
        <v/>
      </c>
      <c r="P457" t="str">
        <f>VLOOKUP(A457,Groups!A:L,5,FALSE)</f>
        <v>CBRG</v>
      </c>
      <c r="Q457" s="62" t="str">
        <f>IF(G457="PA",IF(M457&lt;&gt;"",ISERROR(VLOOKUP(M457,ABBR!C:F,1,FALSE)),ISERROR(VLOOKUP(E457,ABBR!C:F,1,FALSE))),"")</f>
        <v/>
      </c>
    </row>
    <row r="458" spans="1:17" hidden="1" x14ac:dyDescent="0.25">
      <c r="A458" s="38" t="s">
        <v>84</v>
      </c>
      <c r="B458" s="17"/>
      <c r="C458" s="16" t="s">
        <v>1393</v>
      </c>
      <c r="D458" s="17"/>
      <c r="E458" s="17" t="s">
        <v>608</v>
      </c>
      <c r="F458" s="18" t="s">
        <v>918</v>
      </c>
      <c r="G458" s="49" t="s">
        <v>1394</v>
      </c>
      <c r="H458" s="17">
        <f t="shared" si="3"/>
        <v>38</v>
      </c>
      <c r="J458" s="62" t="s">
        <v>473</v>
      </c>
      <c r="K458" s="62"/>
      <c r="L458" s="62"/>
      <c r="M458" s="62"/>
      <c r="N458" s="62"/>
      <c r="O458" s="62" t="str">
        <f>IF(E458="PA",IF(K458&lt;&gt;"",ISERROR(VLOOKUP(K458,ABBR!A:D,1,FALSE)),ISERROR(VLOOKUP(C458,ABBR!A:D,1,FALSE))),"")</f>
        <v/>
      </c>
      <c r="P458" t="str">
        <f>VLOOKUP(A458,Groups!A:L,5,FALSE)</f>
        <v>CBRG</v>
      </c>
      <c r="Q458" s="62" t="str">
        <f>IF(G458="PA",IF(M458&lt;&gt;"",ISERROR(VLOOKUP(M458,ABBR!C:F,1,FALSE)),ISERROR(VLOOKUP(E458,ABBR!C:F,1,FALSE))),"")</f>
        <v/>
      </c>
    </row>
    <row r="459" spans="1:17" hidden="1" x14ac:dyDescent="0.25">
      <c r="A459" s="38" t="s">
        <v>84</v>
      </c>
      <c r="B459" s="17"/>
      <c r="C459" s="16" t="s">
        <v>1395</v>
      </c>
      <c r="D459" s="17" t="s">
        <v>924</v>
      </c>
      <c r="E459" s="17" t="s">
        <v>925</v>
      </c>
      <c r="F459" s="18" t="s">
        <v>926</v>
      </c>
      <c r="G459" s="49" t="s">
        <v>927</v>
      </c>
      <c r="H459" s="17">
        <f t="shared" si="3"/>
        <v>39</v>
      </c>
      <c r="J459" s="62" t="s">
        <v>473</v>
      </c>
      <c r="K459" s="62"/>
      <c r="L459" s="62"/>
      <c r="M459" s="62"/>
      <c r="N459" s="62"/>
      <c r="O459" s="62" t="str">
        <f>IF(E459="PA",IF(K459&lt;&gt;"",ISERROR(VLOOKUP(K459,ABBR!A:D,1,FALSE)),ISERROR(VLOOKUP(C459,ABBR!A:D,1,FALSE))),"")</f>
        <v/>
      </c>
      <c r="P459" t="str">
        <f>VLOOKUP(A459,Groups!A:L,5,FALSE)</f>
        <v>CBRG</v>
      </c>
      <c r="Q459" s="62" t="str">
        <f>IF(G459="PA",IF(M459&lt;&gt;"",ISERROR(VLOOKUP(M459,ABBR!C:F,1,FALSE)),ISERROR(VLOOKUP(E459,ABBR!C:F,1,FALSE))),"")</f>
        <v/>
      </c>
    </row>
    <row r="460" spans="1:17" hidden="1" x14ac:dyDescent="0.25">
      <c r="A460" s="38" t="s">
        <v>84</v>
      </c>
      <c r="B460" s="17"/>
      <c r="C460" s="16" t="s">
        <v>1396</v>
      </c>
      <c r="D460" s="17"/>
      <c r="E460" s="17" t="s">
        <v>608</v>
      </c>
      <c r="F460" s="18" t="s">
        <v>929</v>
      </c>
      <c r="G460" s="49" t="s">
        <v>876</v>
      </c>
      <c r="H460" s="17">
        <f t="shared" si="3"/>
        <v>40</v>
      </c>
      <c r="J460" s="80" t="s">
        <v>473</v>
      </c>
      <c r="O460" s="62" t="str">
        <f>IF(E460="PA",IF(K460&lt;&gt;"",ISERROR(VLOOKUP(K460,ABBR!A:D,1,FALSE)),ISERROR(VLOOKUP(C460,ABBR!A:D,1,FALSE))),"")</f>
        <v/>
      </c>
      <c r="P460" t="str">
        <f>VLOOKUP(A460,Groups!A:L,5,FALSE)</f>
        <v>CBRG</v>
      </c>
      <c r="Q460" s="62" t="str">
        <f>IF(G460="PA",IF(M460&lt;&gt;"",ISERROR(VLOOKUP(M460,ABBR!C:F,1,FALSE)),ISERROR(VLOOKUP(E460,ABBR!C:F,1,FALSE))),"")</f>
        <v/>
      </c>
    </row>
    <row r="461" spans="1:17" hidden="1" x14ac:dyDescent="0.25">
      <c r="A461" s="38" t="s">
        <v>84</v>
      </c>
      <c r="B461" s="17"/>
      <c r="C461" s="16" t="s">
        <v>936</v>
      </c>
      <c r="D461" s="17"/>
      <c r="E461" s="17" t="s">
        <v>608</v>
      </c>
      <c r="F461" s="18" t="s">
        <v>937</v>
      </c>
      <c r="G461" s="49" t="s">
        <v>938</v>
      </c>
      <c r="H461" s="17">
        <f t="shared" si="3"/>
        <v>41</v>
      </c>
      <c r="J461" s="62" t="s">
        <v>473</v>
      </c>
      <c r="K461" s="62"/>
      <c r="L461" s="62"/>
      <c r="M461" s="62" t="s">
        <v>1397</v>
      </c>
      <c r="N461" s="62"/>
      <c r="O461" s="62" t="str">
        <f>IF(E461="PA",IF(K461&lt;&gt;"",ISERROR(VLOOKUP(K461,ABBR!A:D,1,FALSE)),ISERROR(VLOOKUP(C461,ABBR!A:D,1,FALSE))),"")</f>
        <v/>
      </c>
      <c r="P461" t="str">
        <f>VLOOKUP(A461,Groups!A:L,5,FALSE)</f>
        <v>CBRG</v>
      </c>
      <c r="Q461" s="62" t="str">
        <f>IF(G461="PA",IF(M461&lt;&gt;"",ISERROR(VLOOKUP(M461,ABBR!C:F,1,FALSE)),ISERROR(VLOOKUP(E461,ABBR!C:F,1,FALSE))),"")</f>
        <v/>
      </c>
    </row>
    <row r="462" spans="1:17" hidden="1" x14ac:dyDescent="0.25">
      <c r="A462" s="38" t="s">
        <v>88</v>
      </c>
      <c r="B462" s="17" t="s">
        <v>594</v>
      </c>
      <c r="C462" s="16" t="s">
        <v>595</v>
      </c>
      <c r="D462" s="17"/>
      <c r="E462" s="17" t="s">
        <v>596</v>
      </c>
      <c r="F462" s="18" t="s">
        <v>597</v>
      </c>
      <c r="G462" s="49" t="s">
        <v>598</v>
      </c>
      <c r="H462" s="17">
        <v>1</v>
      </c>
      <c r="O462" s="62" t="str">
        <f>IF(E462="PA",IF(K462&lt;&gt;"",ISERROR(VLOOKUP(K462,ABBR!A:D,1,FALSE)),ISERROR(VLOOKUP(C462,ABBR!A:D,1,FALSE))),"")</f>
        <v/>
      </c>
      <c r="P462" t="str">
        <f>VLOOKUP(A462,Groups!A:L,5,FALSE)</f>
        <v>LOCA</v>
      </c>
      <c r="Q462" s="62" t="str">
        <f>IF(G462="PA",IF(M462&lt;&gt;"",ISERROR(VLOOKUP(M462,ABBR!C:F,1,FALSE)),ISERROR(VLOOKUP(E462,ABBR!C:F,1,FALSE))),"")</f>
        <v/>
      </c>
    </row>
    <row r="463" spans="1:17" hidden="1" x14ac:dyDescent="0.25">
      <c r="A463" s="38" t="s">
        <v>88</v>
      </c>
      <c r="B463" s="17" t="s">
        <v>594</v>
      </c>
      <c r="C463" s="16" t="s">
        <v>1398</v>
      </c>
      <c r="D463" s="17" t="s">
        <v>600</v>
      </c>
      <c r="E463" s="17" t="s">
        <v>601</v>
      </c>
      <c r="F463" s="18" t="s">
        <v>1399</v>
      </c>
      <c r="G463" s="49" t="s">
        <v>1400</v>
      </c>
      <c r="H463" s="17">
        <v>2</v>
      </c>
      <c r="O463" s="62" t="str">
        <f>IF(E463="PA",IF(K463&lt;&gt;"",ISERROR(VLOOKUP(K463,ABBR!A:D,1,FALSE)),ISERROR(VLOOKUP(C463,ABBR!A:D,1,FALSE))),"")</f>
        <v/>
      </c>
      <c r="P463" t="str">
        <f>VLOOKUP(A463,Groups!A:L,5,FALSE)</f>
        <v>LOCA</v>
      </c>
      <c r="Q463" s="62" t="str">
        <f>IF(G463="PA",IF(M463&lt;&gt;"",ISERROR(VLOOKUP(M463,ABBR!C:F,1,FALSE)),ISERROR(VLOOKUP(E463,ABBR!C:F,1,FALSE))),"")</f>
        <v/>
      </c>
    </row>
    <row r="464" spans="1:17" hidden="1" x14ac:dyDescent="0.25">
      <c r="A464" s="38" t="s">
        <v>88</v>
      </c>
      <c r="B464" s="17" t="s">
        <v>594</v>
      </c>
      <c r="C464" s="16" t="s">
        <v>1401</v>
      </c>
      <c r="D464" s="17" t="s">
        <v>722</v>
      </c>
      <c r="E464" s="17" t="s">
        <v>767</v>
      </c>
      <c r="F464" s="18" t="s">
        <v>1402</v>
      </c>
      <c r="G464" s="49" t="s">
        <v>1403</v>
      </c>
      <c r="H464" s="17">
        <v>3</v>
      </c>
      <c r="O464" s="62" t="str">
        <f>IF(E464="PA",IF(K464&lt;&gt;"",ISERROR(VLOOKUP(K464,ABBR!A:D,1,FALSE)),ISERROR(VLOOKUP(C464,ABBR!A:D,1,FALSE))),"")</f>
        <v/>
      </c>
      <c r="P464" t="str">
        <f>VLOOKUP(A464,Groups!A:L,5,FALSE)</f>
        <v>LOCA</v>
      </c>
      <c r="Q464" s="62" t="str">
        <f>IF(G464="PA",IF(M464&lt;&gt;"",ISERROR(VLOOKUP(M464,ABBR!C:F,1,FALSE)),ISERROR(VLOOKUP(E464,ABBR!C:F,1,FALSE))),"")</f>
        <v/>
      </c>
    </row>
    <row r="465" spans="1:17" hidden="1" x14ac:dyDescent="0.25">
      <c r="A465" s="38" t="s">
        <v>88</v>
      </c>
      <c r="B465" s="17"/>
      <c r="C465" s="16" t="s">
        <v>1404</v>
      </c>
      <c r="D465" s="17"/>
      <c r="E465" s="17" t="s">
        <v>608</v>
      </c>
      <c r="F465" s="18" t="s">
        <v>642</v>
      </c>
      <c r="G465" s="49" t="s">
        <v>16</v>
      </c>
      <c r="H465" s="17">
        <v>4</v>
      </c>
      <c r="M465" s="101"/>
      <c r="O465" s="62" t="str">
        <f>IF(E465="PA",IF(K465&lt;&gt;"",ISERROR(VLOOKUP(K465,ABBR!A:D,1,FALSE)),ISERROR(VLOOKUP(C465,ABBR!A:D,1,FALSE))),"")</f>
        <v/>
      </c>
      <c r="P465" t="str">
        <f>VLOOKUP(A465,Groups!A:L,5,FALSE)</f>
        <v>LOCA</v>
      </c>
      <c r="Q465" s="62" t="str">
        <f>IF(G465="PA",IF(M465&lt;&gt;"",ISERROR(VLOOKUP(M465,ABBR!C:F,1,FALSE)),ISERROR(VLOOKUP(E465,ABBR!C:F,1,FALSE))),"")</f>
        <v/>
      </c>
    </row>
    <row r="466" spans="1:17" hidden="1" x14ac:dyDescent="0.25">
      <c r="A466" s="38" t="s">
        <v>88</v>
      </c>
      <c r="B466" s="17"/>
      <c r="C466" s="16" t="s">
        <v>643</v>
      </c>
      <c r="D466" s="17"/>
      <c r="E466" s="17" t="s">
        <v>608</v>
      </c>
      <c r="F466" s="18" t="s">
        <v>1405</v>
      </c>
      <c r="G466" s="49" t="s">
        <v>1268</v>
      </c>
      <c r="H466" s="17">
        <v>5</v>
      </c>
      <c r="O466" s="62" t="str">
        <f>IF(E466="PA",IF(K466&lt;&gt;"",ISERROR(VLOOKUP(K466,ABBR!A:D,1,FALSE)),ISERROR(VLOOKUP(C466,ABBR!A:D,1,FALSE))),"")</f>
        <v/>
      </c>
      <c r="P466" t="str">
        <f>VLOOKUP(A466,Groups!A:L,5,FALSE)</f>
        <v>LOCA</v>
      </c>
      <c r="Q466" s="62" t="str">
        <f>IF(G466="PA",IF(M466&lt;&gt;"",ISERROR(VLOOKUP(M466,ABBR!C:F,1,FALSE)),ISERROR(VLOOKUP(E466,ABBR!C:F,1,FALSE))),"")</f>
        <v/>
      </c>
    </row>
    <row r="467" spans="1:17" hidden="1" x14ac:dyDescent="0.25">
      <c r="A467" s="38" t="s">
        <v>88</v>
      </c>
      <c r="B467" s="17"/>
      <c r="C467" s="16" t="s">
        <v>1406</v>
      </c>
      <c r="D467" s="17"/>
      <c r="E467" s="17" t="s">
        <v>618</v>
      </c>
      <c r="F467" s="18" t="s">
        <v>1407</v>
      </c>
      <c r="G467" s="49" t="s">
        <v>1408</v>
      </c>
      <c r="H467" s="17">
        <v>6</v>
      </c>
      <c r="J467" s="62" t="s">
        <v>473</v>
      </c>
      <c r="K467" s="62"/>
      <c r="L467" s="62"/>
      <c r="M467" s="62"/>
      <c r="N467" s="62"/>
      <c r="O467" s="62" t="b">
        <f>IF(E467="PA",IF(K467&lt;&gt;"",ISERROR(VLOOKUP(K467,ABBR!A:D,1,FALSE)),ISERROR(VLOOKUP(C467,ABBR!A:D,1,FALSE))),"")</f>
        <v>0</v>
      </c>
      <c r="P467" t="str">
        <f>VLOOKUP(A467,Groups!A:L,5,FALSE)</f>
        <v>LOCA</v>
      </c>
      <c r="Q467" s="62" t="str">
        <f>IF(G467="PA",IF(M467&lt;&gt;"",ISERROR(VLOOKUP(M467,ABBR!C:F,1,FALSE)),ISERROR(VLOOKUP(E467,ABBR!C:F,1,FALSE))),"")</f>
        <v/>
      </c>
    </row>
    <row r="468" spans="1:17" hidden="1" x14ac:dyDescent="0.25">
      <c r="A468" s="38" t="s">
        <v>91</v>
      </c>
      <c r="B468" s="17" t="s">
        <v>594</v>
      </c>
      <c r="C468" s="16" t="s">
        <v>595</v>
      </c>
      <c r="D468" s="17"/>
      <c r="E468" s="17" t="s">
        <v>596</v>
      </c>
      <c r="F468" s="18" t="s">
        <v>597</v>
      </c>
      <c r="G468" s="49" t="s">
        <v>598</v>
      </c>
      <c r="H468" s="17">
        <v>1</v>
      </c>
      <c r="O468" s="62" t="str">
        <f>IF(E468="PA",IF(K468&lt;&gt;"",ISERROR(VLOOKUP(K468,ABBR!A:D,1,FALSE)),ISERROR(VLOOKUP(C468,ABBR!A:D,1,FALSE))),"")</f>
        <v/>
      </c>
      <c r="P468" t="str">
        <f>VLOOKUP(A468,Groups!A:L,5,FALSE)</f>
        <v>LOCA</v>
      </c>
      <c r="Q468" s="62" t="str">
        <f>IF(G468="PA",IF(M468&lt;&gt;"",ISERROR(VLOOKUP(M468,ABBR!C:F,1,FALSE)),ISERROR(VLOOKUP(E468,ABBR!C:F,1,FALSE))),"")</f>
        <v/>
      </c>
    </row>
    <row r="469" spans="1:17" hidden="1" x14ac:dyDescent="0.25">
      <c r="A469" s="38" t="s">
        <v>91</v>
      </c>
      <c r="B469" s="17" t="s">
        <v>594</v>
      </c>
      <c r="C469" s="16" t="s">
        <v>1409</v>
      </c>
      <c r="D469" s="17" t="s">
        <v>600</v>
      </c>
      <c r="E469" s="17" t="s">
        <v>601</v>
      </c>
      <c r="F469" s="18" t="s">
        <v>1410</v>
      </c>
      <c r="G469" s="49" t="s">
        <v>1411</v>
      </c>
      <c r="H469" s="17">
        <v>2</v>
      </c>
      <c r="O469" s="62" t="str">
        <f>IF(E469="PA",IF(K469&lt;&gt;"",ISERROR(VLOOKUP(K469,ABBR!A:D,1,FALSE)),ISERROR(VLOOKUP(C469,ABBR!A:D,1,FALSE))),"")</f>
        <v/>
      </c>
      <c r="P469" t="str">
        <f>VLOOKUP(A469,Groups!A:L,5,FALSE)</f>
        <v>LOCA</v>
      </c>
      <c r="Q469" s="62" t="str">
        <f>IF(G469="PA",IF(M469&lt;&gt;"",ISERROR(VLOOKUP(M469,ABBR!C:F,1,FALSE)),ISERROR(VLOOKUP(E469,ABBR!C:F,1,FALSE))),"")</f>
        <v/>
      </c>
    </row>
    <row r="470" spans="1:17" hidden="1" x14ac:dyDescent="0.25">
      <c r="A470" s="38" t="s">
        <v>91</v>
      </c>
      <c r="B470" s="17"/>
      <c r="C470" s="16" t="s">
        <v>1412</v>
      </c>
      <c r="D470" s="17" t="s">
        <v>600</v>
      </c>
      <c r="E470" s="17" t="s">
        <v>601</v>
      </c>
      <c r="F470" s="18" t="s">
        <v>1413</v>
      </c>
      <c r="G470" s="49" t="s">
        <v>1414</v>
      </c>
      <c r="H470" s="17">
        <v>3</v>
      </c>
      <c r="O470" s="62" t="str">
        <f>IF(E470="PA",IF(K470&lt;&gt;"",ISERROR(VLOOKUP(K470,ABBR!A:D,1,FALSE)),ISERROR(VLOOKUP(C470,ABBR!A:D,1,FALSE))),"")</f>
        <v/>
      </c>
      <c r="P470" t="str">
        <f>VLOOKUP(A470,Groups!A:L,5,FALSE)</f>
        <v>LOCA</v>
      </c>
      <c r="Q470" s="62" t="str">
        <f>IF(G470="PA",IF(M470&lt;&gt;"",ISERROR(VLOOKUP(M470,ABBR!C:F,1,FALSE)),ISERROR(VLOOKUP(E470,ABBR!C:F,1,FALSE))),"")</f>
        <v/>
      </c>
    </row>
    <row r="471" spans="1:17" hidden="1" x14ac:dyDescent="0.25">
      <c r="A471" s="38" t="s">
        <v>91</v>
      </c>
      <c r="B471" s="17"/>
      <c r="C471" s="16" t="s">
        <v>1415</v>
      </c>
      <c r="D471" s="17" t="s">
        <v>1416</v>
      </c>
      <c r="E471" s="17" t="s">
        <v>1417</v>
      </c>
      <c r="F471" s="18" t="s">
        <v>1418</v>
      </c>
      <c r="G471" s="49" t="s">
        <v>1419</v>
      </c>
      <c r="H471" s="17">
        <v>4</v>
      </c>
      <c r="O471" s="62" t="str">
        <f>IF(E471="PA",IF(K471&lt;&gt;"",ISERROR(VLOOKUP(K471,ABBR!A:D,1,FALSE)),ISERROR(VLOOKUP(C471,ABBR!A:D,1,FALSE))),"")</f>
        <v/>
      </c>
      <c r="P471" t="str">
        <f>VLOOKUP(A471,Groups!A:L,5,FALSE)</f>
        <v>LOCA</v>
      </c>
      <c r="Q471" s="62" t="str">
        <f>IF(G471="PA",IF(M471&lt;&gt;"",ISERROR(VLOOKUP(M471,ABBR!C:F,1,FALSE)),ISERROR(VLOOKUP(E471,ABBR!C:F,1,FALSE))),"")</f>
        <v/>
      </c>
    </row>
    <row r="472" spans="1:17" ht="25" hidden="1" x14ac:dyDescent="0.25">
      <c r="A472" s="38" t="s">
        <v>91</v>
      </c>
      <c r="B472" s="17"/>
      <c r="C472" s="16" t="s">
        <v>1420</v>
      </c>
      <c r="D472" s="17" t="s">
        <v>1421</v>
      </c>
      <c r="E472" s="17" t="s">
        <v>925</v>
      </c>
      <c r="F472" s="18" t="s">
        <v>1422</v>
      </c>
      <c r="G472" s="49" t="s">
        <v>1423</v>
      </c>
      <c r="H472" s="17">
        <v>5</v>
      </c>
      <c r="O472" s="62" t="str">
        <f>IF(E472="PA",IF(K472&lt;&gt;"",ISERROR(VLOOKUP(K472,ABBR!A:D,1,FALSE)),ISERROR(VLOOKUP(C472,ABBR!A:D,1,FALSE))),"")</f>
        <v/>
      </c>
      <c r="P472" t="str">
        <f>VLOOKUP(A472,Groups!A:L,5,FALSE)</f>
        <v>LOCA</v>
      </c>
      <c r="Q472" s="62" t="str">
        <f>IF(G472="PA",IF(M472&lt;&gt;"",ISERROR(VLOOKUP(M472,ABBR!C:F,1,FALSE)),ISERROR(VLOOKUP(E472,ABBR!C:F,1,FALSE))),"")</f>
        <v/>
      </c>
    </row>
    <row r="473" spans="1:17" hidden="1" x14ac:dyDescent="0.25">
      <c r="A473" s="38" t="s">
        <v>91</v>
      </c>
      <c r="B473" s="17"/>
      <c r="C473" s="16" t="s">
        <v>1424</v>
      </c>
      <c r="D473" s="17"/>
      <c r="E473" s="17" t="s">
        <v>608</v>
      </c>
      <c r="F473" s="18" t="s">
        <v>1425</v>
      </c>
      <c r="G473" s="49" t="s">
        <v>1426</v>
      </c>
      <c r="H473" s="17">
        <v>6</v>
      </c>
      <c r="O473" s="62" t="str">
        <f>IF(E473="PA",IF(K473&lt;&gt;"",ISERROR(VLOOKUP(K473,ABBR!A:D,1,FALSE)),ISERROR(VLOOKUP(C473,ABBR!A:D,1,FALSE))),"")</f>
        <v/>
      </c>
      <c r="P473" t="str">
        <f>VLOOKUP(A473,Groups!A:L,5,FALSE)</f>
        <v>LOCA</v>
      </c>
      <c r="Q473" s="62" t="str">
        <f>IF(G473="PA",IF(M473&lt;&gt;"",ISERROR(VLOOKUP(M473,ABBR!C:F,1,FALSE)),ISERROR(VLOOKUP(E473,ABBR!C:F,1,FALSE))),"")</f>
        <v/>
      </c>
    </row>
    <row r="474" spans="1:17" ht="25" hidden="1" x14ac:dyDescent="0.25">
      <c r="A474" s="38" t="s">
        <v>91</v>
      </c>
      <c r="B474" s="17"/>
      <c r="C474" s="16" t="s">
        <v>1427</v>
      </c>
      <c r="D474" s="17"/>
      <c r="E474" s="17" t="s">
        <v>608</v>
      </c>
      <c r="F474" s="18" t="s">
        <v>1428</v>
      </c>
      <c r="G474" s="49" t="s">
        <v>1429</v>
      </c>
      <c r="H474" s="17">
        <v>7</v>
      </c>
      <c r="O474" s="62" t="str">
        <f>IF(E474="PA",IF(K474&lt;&gt;"",ISERROR(VLOOKUP(K474,ABBR!A:D,1,FALSE)),ISERROR(VLOOKUP(C474,ABBR!A:D,1,FALSE))),"")</f>
        <v/>
      </c>
      <c r="P474" t="str">
        <f>VLOOKUP(A474,Groups!A:L,5,FALSE)</f>
        <v>LOCA</v>
      </c>
      <c r="Q474" s="62" t="str">
        <f>IF(G474="PA",IF(M474&lt;&gt;"",ISERROR(VLOOKUP(M474,ABBR!C:F,1,FALSE)),ISERROR(VLOOKUP(E474,ABBR!C:F,1,FALSE))),"")</f>
        <v/>
      </c>
    </row>
    <row r="475" spans="1:17" hidden="1" x14ac:dyDescent="0.25">
      <c r="A475" s="38" t="s">
        <v>91</v>
      </c>
      <c r="B475" s="17"/>
      <c r="C475" s="16" t="s">
        <v>643</v>
      </c>
      <c r="D475" s="17"/>
      <c r="E475" s="17" t="s">
        <v>608</v>
      </c>
      <c r="F475" s="18" t="s">
        <v>1267</v>
      </c>
      <c r="G475" s="49" t="s">
        <v>1268</v>
      </c>
      <c r="H475" s="17">
        <v>8</v>
      </c>
      <c r="O475" s="62" t="str">
        <f>IF(E475="PA",IF(K475&lt;&gt;"",ISERROR(VLOOKUP(K475,ABBR!A:D,1,FALSE)),ISERROR(VLOOKUP(C475,ABBR!A:D,1,FALSE))),"")</f>
        <v/>
      </c>
      <c r="P475" t="str">
        <f>VLOOKUP(A475,Groups!A:L,5,FALSE)</f>
        <v>LOCA</v>
      </c>
      <c r="Q475" s="62" t="str">
        <f>IF(G475="PA",IF(M475&lt;&gt;"",ISERROR(VLOOKUP(M475,ABBR!C:F,1,FALSE)),ISERROR(VLOOKUP(E475,ABBR!C:F,1,FALSE))),"")</f>
        <v/>
      </c>
    </row>
    <row r="476" spans="1:17" hidden="1" x14ac:dyDescent="0.25">
      <c r="A476" s="38" t="s">
        <v>94</v>
      </c>
      <c r="B476" s="23" t="s">
        <v>594</v>
      </c>
      <c r="C476" s="16" t="s">
        <v>595</v>
      </c>
      <c r="D476" s="23"/>
      <c r="E476" s="23" t="s">
        <v>596</v>
      </c>
      <c r="F476" s="18" t="s">
        <v>597</v>
      </c>
      <c r="G476" s="49" t="s">
        <v>598</v>
      </c>
      <c r="H476" s="23">
        <v>1</v>
      </c>
      <c r="I476" s="71"/>
      <c r="O476" s="62" t="str">
        <f>IF(E476="PA",IF(K476&lt;&gt;"",ISERROR(VLOOKUP(K476,ABBR!A:D,1,FALSE)),ISERROR(VLOOKUP(C476,ABBR!A:D,1,FALSE))),"")</f>
        <v/>
      </c>
      <c r="P476" t="str">
        <f>VLOOKUP(A476,Groups!A:L,5,FALSE)</f>
        <v>SAMP</v>
      </c>
      <c r="Q476" s="62" t="str">
        <f>IF(G476="PA",IF(M476&lt;&gt;"",ISERROR(VLOOKUP(M476,ABBR!C:F,1,FALSE)),ISERROR(VLOOKUP(E476,ABBR!C:F,1,FALSE))),"")</f>
        <v/>
      </c>
    </row>
    <row r="477" spans="1:17" hidden="1" x14ac:dyDescent="0.25">
      <c r="A477" s="38" t="s">
        <v>94</v>
      </c>
      <c r="B477" s="23" t="s">
        <v>594</v>
      </c>
      <c r="C477" s="16" t="s">
        <v>851</v>
      </c>
      <c r="D477" s="23" t="s">
        <v>600</v>
      </c>
      <c r="E477" s="23" t="s">
        <v>601</v>
      </c>
      <c r="F477" s="18" t="s">
        <v>852</v>
      </c>
      <c r="G477" s="27" t="s">
        <v>853</v>
      </c>
      <c r="H477" s="23">
        <v>2</v>
      </c>
      <c r="I477" s="72"/>
      <c r="O477" s="62" t="str">
        <f>IF(E477="PA",IF(K477&lt;&gt;"",ISERROR(VLOOKUP(K477,ABBR!A:D,1,FALSE)),ISERROR(VLOOKUP(C477,ABBR!A:D,1,FALSE))),"")</f>
        <v/>
      </c>
      <c r="P477" t="str">
        <f>VLOOKUP(A477,Groups!A:L,5,FALSE)</f>
        <v>SAMP</v>
      </c>
      <c r="Q477" s="62" t="str">
        <f>IF(G477="PA",IF(M477&lt;&gt;"",ISERROR(VLOOKUP(M477,ABBR!C:F,1,FALSE)),ISERROR(VLOOKUP(E477,ABBR!C:F,1,FALSE))),"")</f>
        <v/>
      </c>
    </row>
    <row r="478" spans="1:17" hidden="1" x14ac:dyDescent="0.25">
      <c r="A478" s="38" t="s">
        <v>94</v>
      </c>
      <c r="B478" s="23" t="s">
        <v>594</v>
      </c>
      <c r="C478" s="16" t="s">
        <v>854</v>
      </c>
      <c r="D478" s="23"/>
      <c r="E478" s="23" t="s">
        <v>608</v>
      </c>
      <c r="F478" s="21" t="s">
        <v>855</v>
      </c>
      <c r="G478" s="27" t="s">
        <v>941</v>
      </c>
      <c r="H478" s="23">
        <v>3</v>
      </c>
      <c r="I478" s="72"/>
      <c r="O478" s="62" t="str">
        <f>IF(E478="PA",IF(K478&lt;&gt;"",ISERROR(VLOOKUP(K478,ABBR!A:D,1,FALSE)),ISERROR(VLOOKUP(C478,ABBR!A:D,1,FALSE))),"")</f>
        <v/>
      </c>
      <c r="P478" t="str">
        <f>VLOOKUP(A478,Groups!A:L,5,FALSE)</f>
        <v>SAMP</v>
      </c>
      <c r="Q478" s="62" t="str">
        <f>IF(G478="PA",IF(M478&lt;&gt;"",ISERROR(VLOOKUP(M478,ABBR!C:F,1,FALSE)),ISERROR(VLOOKUP(E478,ABBR!C:F,1,FALSE))),"")</f>
        <v/>
      </c>
    </row>
    <row r="479" spans="1:17" hidden="1" x14ac:dyDescent="0.25">
      <c r="A479" s="38" t="s">
        <v>94</v>
      </c>
      <c r="B479" s="23" t="s">
        <v>594</v>
      </c>
      <c r="C479" s="16" t="s">
        <v>857</v>
      </c>
      <c r="D479" s="23"/>
      <c r="E479" s="17" t="s">
        <v>618</v>
      </c>
      <c r="F479" s="21" t="s">
        <v>858</v>
      </c>
      <c r="G479" s="49" t="s">
        <v>859</v>
      </c>
      <c r="H479" s="23">
        <v>4</v>
      </c>
      <c r="I479" s="73"/>
      <c r="O479" s="62" t="b">
        <f>IF(E479="PA",IF(K479&lt;&gt;"",ISERROR(VLOOKUP(K479,ABBR!A:D,1,FALSE)),ISERROR(VLOOKUP(C479,ABBR!A:D,1,FALSE))),"")</f>
        <v>0</v>
      </c>
      <c r="P479" t="str">
        <f>VLOOKUP(A479,Groups!A:L,5,FALSE)</f>
        <v>SAMP</v>
      </c>
      <c r="Q479" s="62" t="str">
        <f>IF(G479="PA",IF(M479&lt;&gt;"",ISERROR(VLOOKUP(M479,ABBR!C:F,1,FALSE)),ISERROR(VLOOKUP(E479,ABBR!C:F,1,FALSE))),"")</f>
        <v/>
      </c>
    </row>
    <row r="480" spans="1:17" hidden="1" x14ac:dyDescent="0.25">
      <c r="A480" s="38" t="s">
        <v>94</v>
      </c>
      <c r="B480" s="23" t="s">
        <v>594</v>
      </c>
      <c r="C480" s="16" t="s">
        <v>860</v>
      </c>
      <c r="D480" s="23"/>
      <c r="E480" s="23" t="s">
        <v>596</v>
      </c>
      <c r="F480" s="21" t="s">
        <v>942</v>
      </c>
      <c r="G480" s="27" t="s">
        <v>862</v>
      </c>
      <c r="H480" s="23">
        <v>5</v>
      </c>
      <c r="I480" s="72"/>
      <c r="O480" s="62" t="str">
        <f>IF(E480="PA",IF(K480&lt;&gt;"",ISERROR(VLOOKUP(K480,ABBR!A:D,1,FALSE)),ISERROR(VLOOKUP(C480,ABBR!A:D,1,FALSE))),"")</f>
        <v/>
      </c>
      <c r="P480" t="str">
        <f>VLOOKUP(A480,Groups!A:L,5,FALSE)</f>
        <v>SAMP</v>
      </c>
      <c r="Q480" s="62" t="str">
        <f>IF(G480="PA",IF(M480&lt;&gt;"",ISERROR(VLOOKUP(M480,ABBR!C:F,1,FALSE)),ISERROR(VLOOKUP(E480,ABBR!C:F,1,FALSE))),"")</f>
        <v/>
      </c>
    </row>
    <row r="481" spans="1:17" hidden="1" x14ac:dyDescent="0.25">
      <c r="A481" s="38" t="s">
        <v>94</v>
      </c>
      <c r="B481" s="17" t="s">
        <v>594</v>
      </c>
      <c r="C481" s="16" t="s">
        <v>1430</v>
      </c>
      <c r="D481" s="17"/>
      <c r="E481" s="17" t="s">
        <v>608</v>
      </c>
      <c r="F481" s="18" t="s">
        <v>1431</v>
      </c>
      <c r="G481" s="49" t="s">
        <v>1432</v>
      </c>
      <c r="H481" s="17">
        <v>6</v>
      </c>
      <c r="J481" s="62"/>
      <c r="K481" s="62"/>
      <c r="L481" s="62"/>
      <c r="M481" s="62"/>
      <c r="N481" s="62"/>
      <c r="O481" s="62" t="str">
        <f>IF(E481="PA",IF(K481&lt;&gt;"",ISERROR(VLOOKUP(K481,ABBR!A:D,1,FALSE)),ISERROR(VLOOKUP(C481,ABBR!A:D,1,FALSE))),"")</f>
        <v/>
      </c>
      <c r="P481" t="str">
        <f>VLOOKUP(A481,Groups!A:L,5,FALSE)</f>
        <v>SAMP</v>
      </c>
      <c r="Q481" s="62" t="str">
        <f>IF(G481="PA",IF(M481&lt;&gt;"",ISERROR(VLOOKUP(M481,ABBR!C:F,1,FALSE)),ISERROR(VLOOKUP(E481,ABBR!C:F,1,FALSE))),"")</f>
        <v/>
      </c>
    </row>
    <row r="482" spans="1:17" hidden="1" x14ac:dyDescent="0.25">
      <c r="A482" s="38" t="s">
        <v>94</v>
      </c>
      <c r="B482" s="21"/>
      <c r="C482" s="16" t="s">
        <v>1433</v>
      </c>
      <c r="D482" s="23"/>
      <c r="E482" s="23" t="s">
        <v>608</v>
      </c>
      <c r="F482" s="21" t="s">
        <v>1434</v>
      </c>
      <c r="G482" s="27" t="s">
        <v>1435</v>
      </c>
      <c r="H482" s="23">
        <v>7</v>
      </c>
      <c r="I482" s="72"/>
      <c r="O482" s="62" t="str">
        <f>IF(E482="PA",IF(K482&lt;&gt;"",ISERROR(VLOOKUP(K482,ABBR!A:D,1,FALSE)),ISERROR(VLOOKUP(C482,ABBR!A:D,1,FALSE))),"")</f>
        <v/>
      </c>
      <c r="P482" t="str">
        <f>VLOOKUP(A482,Groups!A:L,5,FALSE)</f>
        <v>SAMP</v>
      </c>
      <c r="Q482" s="62" t="str">
        <f>IF(G482="PA",IF(M482&lt;&gt;"",ISERROR(VLOOKUP(M482,ABBR!C:F,1,FALSE)),ISERROR(VLOOKUP(E482,ABBR!C:F,1,FALSE))),"")</f>
        <v/>
      </c>
    </row>
    <row r="483" spans="1:17" hidden="1" x14ac:dyDescent="0.25">
      <c r="A483" s="38" t="s">
        <v>94</v>
      </c>
      <c r="B483" s="21"/>
      <c r="C483" s="16" t="s">
        <v>1436</v>
      </c>
      <c r="D483" s="23"/>
      <c r="E483" s="23" t="s">
        <v>608</v>
      </c>
      <c r="F483" s="21" t="s">
        <v>1437</v>
      </c>
      <c r="G483" s="27" t="s">
        <v>951</v>
      </c>
      <c r="H483" s="23">
        <v>8</v>
      </c>
      <c r="I483" s="72"/>
      <c r="O483" s="62" t="str">
        <f>IF(E483="PA",IF(K483&lt;&gt;"",ISERROR(VLOOKUP(K483,ABBR!A:D,1,FALSE)),ISERROR(VLOOKUP(C483,ABBR!A:D,1,FALSE))),"")</f>
        <v/>
      </c>
      <c r="P483" t="str">
        <f>VLOOKUP(A483,Groups!A:L,5,FALSE)</f>
        <v>SAMP</v>
      </c>
      <c r="Q483" s="62" t="str">
        <f>IF(G483="PA",IF(M483&lt;&gt;"",ISERROR(VLOOKUP(M483,ABBR!C:F,1,FALSE)),ISERROR(VLOOKUP(E483,ABBR!C:F,1,FALSE))),"")</f>
        <v/>
      </c>
    </row>
    <row r="484" spans="1:17" hidden="1" x14ac:dyDescent="0.25">
      <c r="A484" s="38" t="s">
        <v>94</v>
      </c>
      <c r="B484" s="21"/>
      <c r="C484" s="16" t="s">
        <v>1438</v>
      </c>
      <c r="D484" s="23" t="s">
        <v>924</v>
      </c>
      <c r="E484" s="23" t="s">
        <v>925</v>
      </c>
      <c r="F484" s="21" t="s">
        <v>1439</v>
      </c>
      <c r="G484" s="27" t="s">
        <v>1440</v>
      </c>
      <c r="H484" s="23">
        <v>9</v>
      </c>
      <c r="I484" s="72"/>
      <c r="O484" s="62" t="str">
        <f>IF(E484="PA",IF(K484&lt;&gt;"",ISERROR(VLOOKUP(K484,ABBR!A:D,1,FALSE)),ISERROR(VLOOKUP(C484,ABBR!A:D,1,FALSE))),"")</f>
        <v/>
      </c>
      <c r="P484" t="str">
        <f>VLOOKUP(A484,Groups!A:L,5,FALSE)</f>
        <v>SAMP</v>
      </c>
      <c r="Q484" s="62" t="str">
        <f>IF(G484="PA",IF(M484&lt;&gt;"",ISERROR(VLOOKUP(M484,ABBR!C:F,1,FALSE)),ISERROR(VLOOKUP(E484,ABBR!C:F,1,FALSE))),"")</f>
        <v/>
      </c>
    </row>
    <row r="485" spans="1:17" hidden="1" x14ac:dyDescent="0.25">
      <c r="A485" s="38" t="s">
        <v>94</v>
      </c>
      <c r="B485" s="21"/>
      <c r="C485" s="48" t="s">
        <v>1441</v>
      </c>
      <c r="D485" s="23"/>
      <c r="E485" s="23" t="s">
        <v>608</v>
      </c>
      <c r="F485" s="21" t="s">
        <v>1442</v>
      </c>
      <c r="G485" s="27" t="s">
        <v>1443</v>
      </c>
      <c r="H485" s="23">
        <v>10</v>
      </c>
      <c r="I485" s="72"/>
      <c r="O485" s="62" t="str">
        <f>IF(E485="PA",IF(K485&lt;&gt;"",ISERROR(VLOOKUP(K485,ABBR!A:D,1,FALSE)),ISERROR(VLOOKUP(C485,ABBR!A:D,1,FALSE))),"")</f>
        <v/>
      </c>
      <c r="P485" t="str">
        <f>VLOOKUP(A485,Groups!A:L,5,FALSE)</f>
        <v>SAMP</v>
      </c>
      <c r="Q485" s="62" t="str">
        <f>IF(G485="PA",IF(M485&lt;&gt;"",ISERROR(VLOOKUP(M485,ABBR!C:F,1,FALSE)),ISERROR(VLOOKUP(E485,ABBR!C:F,1,FALSE))),"")</f>
        <v/>
      </c>
    </row>
    <row r="486" spans="1:17" hidden="1" x14ac:dyDescent="0.25">
      <c r="A486" s="38" t="s">
        <v>94</v>
      </c>
      <c r="B486" s="21"/>
      <c r="C486" s="48" t="s">
        <v>1444</v>
      </c>
      <c r="D486" s="23"/>
      <c r="E486" s="23" t="s">
        <v>608</v>
      </c>
      <c r="F486" s="21" t="s">
        <v>642</v>
      </c>
      <c r="G486" s="49" t="s">
        <v>16</v>
      </c>
      <c r="H486" s="23">
        <v>11</v>
      </c>
      <c r="I486" s="72"/>
      <c r="M486" s="101"/>
      <c r="O486" s="62" t="str">
        <f>IF(E486="PA",IF(K486&lt;&gt;"",ISERROR(VLOOKUP(K486,ABBR!A:D,1,FALSE)),ISERROR(VLOOKUP(C486,ABBR!A:D,1,FALSE))),"")</f>
        <v/>
      </c>
      <c r="P486" t="str">
        <f>VLOOKUP(A486,Groups!A:L,5,FALSE)</f>
        <v>SAMP</v>
      </c>
      <c r="Q486" s="62" t="str">
        <f>IF(G486="PA",IF(M486&lt;&gt;"",ISERROR(VLOOKUP(M486,ABBR!C:F,1,FALSE)),ISERROR(VLOOKUP(E486,ABBR!C:F,1,FALSE))),"")</f>
        <v/>
      </c>
    </row>
    <row r="487" spans="1:17" hidden="1" x14ac:dyDescent="0.25">
      <c r="A487" s="38" t="s">
        <v>94</v>
      </c>
      <c r="B487" s="21"/>
      <c r="C487" s="48" t="s">
        <v>1445</v>
      </c>
      <c r="D487" s="23"/>
      <c r="E487" s="23" t="s">
        <v>767</v>
      </c>
      <c r="F487" s="21" t="s">
        <v>1446</v>
      </c>
      <c r="G487" s="27" t="s">
        <v>631</v>
      </c>
      <c r="H487" s="23">
        <v>12</v>
      </c>
      <c r="I487" s="72"/>
      <c r="O487" s="62" t="str">
        <f>IF(E487="PA",IF(K487&lt;&gt;"",ISERROR(VLOOKUP(K487,ABBR!A:D,1,FALSE)),ISERROR(VLOOKUP(C487,ABBR!A:D,1,FALSE))),"")</f>
        <v/>
      </c>
      <c r="P487" t="str">
        <f>VLOOKUP(A487,Groups!A:L,5,FALSE)</f>
        <v>SAMP</v>
      </c>
      <c r="Q487" s="62" t="str">
        <f>IF(G487="PA",IF(M487&lt;&gt;"",ISERROR(VLOOKUP(M487,ABBR!C:F,1,FALSE)),ISERROR(VLOOKUP(E487,ABBR!C:F,1,FALSE))),"")</f>
        <v/>
      </c>
    </row>
    <row r="488" spans="1:17" hidden="1" x14ac:dyDescent="0.25">
      <c r="A488" s="38" t="s">
        <v>94</v>
      </c>
      <c r="B488" s="21"/>
      <c r="C488" s="48" t="s">
        <v>643</v>
      </c>
      <c r="D488" s="23"/>
      <c r="E488" s="23" t="s">
        <v>608</v>
      </c>
      <c r="F488" s="20" t="s">
        <v>1447</v>
      </c>
      <c r="G488" s="27" t="s">
        <v>1448</v>
      </c>
      <c r="H488" s="23">
        <v>13</v>
      </c>
      <c r="I488" s="72"/>
      <c r="O488" s="62" t="str">
        <f>IF(E488="PA",IF(K488&lt;&gt;"",ISERROR(VLOOKUP(K488,ABBR!A:D,1,FALSE)),ISERROR(VLOOKUP(C488,ABBR!A:D,1,FALSE))),"")</f>
        <v/>
      </c>
      <c r="P488" t="str">
        <f>VLOOKUP(A488,Groups!A:L,5,FALSE)</f>
        <v>SAMP</v>
      </c>
      <c r="Q488" s="62" t="str">
        <f>IF(G488="PA",IF(M488&lt;&gt;"",ISERROR(VLOOKUP(M488,ABBR!C:F,1,FALSE)),ISERROR(VLOOKUP(E488,ABBR!C:F,1,FALSE))),"")</f>
        <v/>
      </c>
    </row>
    <row r="489" spans="1:17" hidden="1" x14ac:dyDescent="0.25">
      <c r="A489" s="38" t="s">
        <v>98</v>
      </c>
      <c r="B489" s="17" t="s">
        <v>594</v>
      </c>
      <c r="C489" s="48" t="s">
        <v>595</v>
      </c>
      <c r="D489" s="17"/>
      <c r="E489" s="17" t="s">
        <v>596</v>
      </c>
      <c r="F489" s="18" t="s">
        <v>597</v>
      </c>
      <c r="G489" s="49" t="s">
        <v>598</v>
      </c>
      <c r="H489" s="17">
        <v>1</v>
      </c>
      <c r="O489" s="62" t="str">
        <f>IF(E489="PA",IF(K489&lt;&gt;"",ISERROR(VLOOKUP(K489,ABBR!A:D,1,FALSE)),ISERROR(VLOOKUP(C489,ABBR!A:D,1,FALSE))),"")</f>
        <v/>
      </c>
      <c r="P489" t="str">
        <f>VLOOKUP(A489,Groups!A:L,5,FALSE)</f>
        <v>SAMP</v>
      </c>
      <c r="Q489" s="62" t="str">
        <f>IF(G489="PA",IF(M489&lt;&gt;"",ISERROR(VLOOKUP(M489,ABBR!C:F,1,FALSE)),ISERROR(VLOOKUP(E489,ABBR!C:F,1,FALSE))),"")</f>
        <v/>
      </c>
    </row>
    <row r="490" spans="1:17" hidden="1" x14ac:dyDescent="0.25">
      <c r="A490" s="38" t="s">
        <v>98</v>
      </c>
      <c r="B490" s="17" t="s">
        <v>594</v>
      </c>
      <c r="C490" s="48" t="s">
        <v>851</v>
      </c>
      <c r="D490" s="17" t="s">
        <v>600</v>
      </c>
      <c r="E490" s="17" t="s">
        <v>601</v>
      </c>
      <c r="F490" s="18" t="s">
        <v>852</v>
      </c>
      <c r="G490" s="49" t="s">
        <v>853</v>
      </c>
      <c r="H490" s="17">
        <v>2</v>
      </c>
      <c r="O490" s="62" t="str">
        <f>IF(E490="PA",IF(K490&lt;&gt;"",ISERROR(VLOOKUP(K490,ABBR!A:D,1,FALSE)),ISERROR(VLOOKUP(C490,ABBR!A:D,1,FALSE))),"")</f>
        <v/>
      </c>
      <c r="P490" t="str">
        <f>VLOOKUP(A490,Groups!A:L,5,FALSE)</f>
        <v>SAMP</v>
      </c>
      <c r="Q490" s="62" t="str">
        <f>IF(G490="PA",IF(M490&lt;&gt;"",ISERROR(VLOOKUP(M490,ABBR!C:F,1,FALSE)),ISERROR(VLOOKUP(E490,ABBR!C:F,1,FALSE))),"")</f>
        <v/>
      </c>
    </row>
    <row r="491" spans="1:17" hidden="1" x14ac:dyDescent="0.25">
      <c r="A491" s="38" t="s">
        <v>98</v>
      </c>
      <c r="B491" s="17" t="s">
        <v>594</v>
      </c>
      <c r="C491" s="48" t="s">
        <v>854</v>
      </c>
      <c r="D491" s="17"/>
      <c r="E491" s="17" t="s">
        <v>608</v>
      </c>
      <c r="F491" s="18" t="s">
        <v>855</v>
      </c>
      <c r="G491" s="49" t="s">
        <v>941</v>
      </c>
      <c r="H491" s="17">
        <v>3</v>
      </c>
      <c r="O491" s="62" t="str">
        <f>IF(E491="PA",IF(K491&lt;&gt;"",ISERROR(VLOOKUP(K491,ABBR!A:D,1,FALSE)),ISERROR(VLOOKUP(C491,ABBR!A:D,1,FALSE))),"")</f>
        <v/>
      </c>
      <c r="P491" t="str">
        <f>VLOOKUP(A491,Groups!A:L,5,FALSE)</f>
        <v>SAMP</v>
      </c>
      <c r="Q491" s="62" t="str">
        <f>IF(G491="PA",IF(M491&lt;&gt;"",ISERROR(VLOOKUP(M491,ABBR!C:F,1,FALSE)),ISERROR(VLOOKUP(E491,ABBR!C:F,1,FALSE))),"")</f>
        <v/>
      </c>
    </row>
    <row r="492" spans="1:17" hidden="1" x14ac:dyDescent="0.25">
      <c r="A492" s="38" t="s">
        <v>98</v>
      </c>
      <c r="B492" s="17" t="s">
        <v>594</v>
      </c>
      <c r="C492" s="48" t="s">
        <v>857</v>
      </c>
      <c r="D492" s="17"/>
      <c r="E492" s="17" t="s">
        <v>618</v>
      </c>
      <c r="F492" s="18" t="s">
        <v>858</v>
      </c>
      <c r="G492" s="49" t="s">
        <v>859</v>
      </c>
      <c r="H492" s="17">
        <v>4</v>
      </c>
      <c r="O492" s="62" t="b">
        <f>IF(E492="PA",IF(K492&lt;&gt;"",ISERROR(VLOOKUP(K492,ABBR!A:D,1,FALSE)),ISERROR(VLOOKUP(C492,ABBR!A:D,1,FALSE))),"")</f>
        <v>0</v>
      </c>
      <c r="P492" t="str">
        <f>VLOOKUP(A492,Groups!A:L,5,FALSE)</f>
        <v>SAMP</v>
      </c>
      <c r="Q492" s="62" t="str">
        <f>IF(G492="PA",IF(M492&lt;&gt;"",ISERROR(VLOOKUP(M492,ABBR!C:F,1,FALSE)),ISERROR(VLOOKUP(E492,ABBR!C:F,1,FALSE))),"")</f>
        <v/>
      </c>
    </row>
    <row r="493" spans="1:17" hidden="1" x14ac:dyDescent="0.25">
      <c r="A493" s="38" t="s">
        <v>98</v>
      </c>
      <c r="B493" s="17" t="s">
        <v>594</v>
      </c>
      <c r="C493" s="48" t="s">
        <v>860</v>
      </c>
      <c r="D493" s="17"/>
      <c r="E493" s="17" t="s">
        <v>596</v>
      </c>
      <c r="F493" s="18" t="s">
        <v>942</v>
      </c>
      <c r="G493" s="49" t="s">
        <v>862</v>
      </c>
      <c r="H493" s="17">
        <v>5</v>
      </c>
      <c r="O493" s="62" t="str">
        <f>IF(E493="PA",IF(K493&lt;&gt;"",ISERROR(VLOOKUP(K493,ABBR!A:D,1,FALSE)),ISERROR(VLOOKUP(C493,ABBR!A:D,1,FALSE))),"")</f>
        <v/>
      </c>
      <c r="P493" t="str">
        <f>VLOOKUP(A493,Groups!A:L,5,FALSE)</f>
        <v>SAMP</v>
      </c>
      <c r="Q493" s="62" t="str">
        <f>IF(G493="PA",IF(M493&lt;&gt;"",ISERROR(VLOOKUP(M493,ABBR!C:F,1,FALSE)),ISERROR(VLOOKUP(E493,ABBR!C:F,1,FALSE))),"")</f>
        <v/>
      </c>
    </row>
    <row r="494" spans="1:17" hidden="1" x14ac:dyDescent="0.25">
      <c r="A494" s="38" t="s">
        <v>98</v>
      </c>
      <c r="B494" s="17" t="s">
        <v>594</v>
      </c>
      <c r="C494" s="48" t="s">
        <v>863</v>
      </c>
      <c r="D494" s="17"/>
      <c r="E494" s="17" t="s">
        <v>608</v>
      </c>
      <c r="F494" s="18" t="s">
        <v>864</v>
      </c>
      <c r="G494" s="49" t="s">
        <v>865</v>
      </c>
      <c r="H494" s="17">
        <v>6</v>
      </c>
      <c r="O494" s="62" t="str">
        <f>IF(E494="PA",IF(K494&lt;&gt;"",ISERROR(VLOOKUP(K494,ABBR!A:D,1,FALSE)),ISERROR(VLOOKUP(C494,ABBR!A:D,1,FALSE))),"")</f>
        <v/>
      </c>
      <c r="P494" t="str">
        <f>VLOOKUP(A494,Groups!A:L,5,FALSE)</f>
        <v>SAMP</v>
      </c>
      <c r="Q494" s="62" t="str">
        <f>IF(G494="PA",IF(M494&lt;&gt;"",ISERROR(VLOOKUP(M494,ABBR!C:F,1,FALSE)),ISERROR(VLOOKUP(E494,ABBR!C:F,1,FALSE))),"")</f>
        <v/>
      </c>
    </row>
    <row r="495" spans="1:17" hidden="1" x14ac:dyDescent="0.25">
      <c r="A495" s="38" t="s">
        <v>98</v>
      </c>
      <c r="B495" s="17" t="s">
        <v>594</v>
      </c>
      <c r="C495" s="48" t="s">
        <v>866</v>
      </c>
      <c r="D495" s="17" t="s">
        <v>600</v>
      </c>
      <c r="E495" s="17" t="s">
        <v>601</v>
      </c>
      <c r="F495" s="18" t="s">
        <v>867</v>
      </c>
      <c r="G495" s="49" t="s">
        <v>853</v>
      </c>
      <c r="H495" s="17">
        <v>7</v>
      </c>
      <c r="O495" s="62" t="str">
        <f>IF(E495="PA",IF(K495&lt;&gt;"",ISERROR(VLOOKUP(K495,ABBR!A:D,1,FALSE)),ISERROR(VLOOKUP(C495,ABBR!A:D,1,FALSE))),"")</f>
        <v/>
      </c>
      <c r="P495" t="str">
        <f>VLOOKUP(A495,Groups!A:L,5,FALSE)</f>
        <v>SAMP</v>
      </c>
      <c r="Q495" s="62" t="str">
        <f>IF(G495="PA",IF(M495&lt;&gt;"",ISERROR(VLOOKUP(M495,ABBR!C:F,1,FALSE)),ISERROR(VLOOKUP(E495,ABBR!C:F,1,FALSE))),"")</f>
        <v/>
      </c>
    </row>
    <row r="496" spans="1:17" hidden="1" x14ac:dyDescent="0.25">
      <c r="A496" s="38" t="s">
        <v>98</v>
      </c>
      <c r="B496" s="17" t="s">
        <v>594</v>
      </c>
      <c r="C496" s="48" t="s">
        <v>1449</v>
      </c>
      <c r="D496" s="17"/>
      <c r="E496" s="17" t="s">
        <v>608</v>
      </c>
      <c r="F496" s="18" t="s">
        <v>1313</v>
      </c>
      <c r="G496" s="49" t="s">
        <v>631</v>
      </c>
      <c r="H496" s="17">
        <v>8</v>
      </c>
      <c r="O496" s="62" t="str">
        <f>IF(E496="PA",IF(K496&lt;&gt;"",ISERROR(VLOOKUP(K496,ABBR!A:D,1,FALSE)),ISERROR(VLOOKUP(C496,ABBR!A:D,1,FALSE))),"")</f>
        <v/>
      </c>
      <c r="P496" t="str">
        <f>VLOOKUP(A496,Groups!A:L,5,FALSE)</f>
        <v>SAMP</v>
      </c>
      <c r="Q496" s="62" t="str">
        <f>IF(G496="PA",IF(M496&lt;&gt;"",ISERROR(VLOOKUP(M496,ABBR!C:F,1,FALSE)),ISERROR(VLOOKUP(E496,ABBR!C:F,1,FALSE))),"")</f>
        <v/>
      </c>
    </row>
    <row r="497" spans="1:17" ht="75" hidden="1" x14ac:dyDescent="0.25">
      <c r="A497" s="38" t="s">
        <v>98</v>
      </c>
      <c r="B497" s="17"/>
      <c r="C497" s="48" t="s">
        <v>871</v>
      </c>
      <c r="D497" s="17"/>
      <c r="E497" s="17" t="s">
        <v>608</v>
      </c>
      <c r="F497" s="18" t="s">
        <v>872</v>
      </c>
      <c r="G497" s="49" t="s">
        <v>1270</v>
      </c>
      <c r="H497" s="17">
        <v>9</v>
      </c>
      <c r="O497" s="62" t="str">
        <f>IF(E497="PA",IF(K497&lt;&gt;"",ISERROR(VLOOKUP(K497,ABBR!A:D,1,FALSE)),ISERROR(VLOOKUP(C497,ABBR!A:D,1,FALSE))),"")</f>
        <v/>
      </c>
      <c r="P497" t="str">
        <f>VLOOKUP(A497,Groups!A:L,5,FALSE)</f>
        <v>SAMP</v>
      </c>
      <c r="Q497" s="62" t="str">
        <f>IF(G497="PA",IF(M497&lt;&gt;"",ISERROR(VLOOKUP(M497,ABBR!C:F,1,FALSE)),ISERROR(VLOOKUP(E497,ABBR!C:F,1,FALSE))),"")</f>
        <v/>
      </c>
    </row>
    <row r="498" spans="1:17" hidden="1" x14ac:dyDescent="0.25">
      <c r="A498" s="38" t="s">
        <v>98</v>
      </c>
      <c r="B498" s="17"/>
      <c r="C498" s="48" t="s">
        <v>868</v>
      </c>
      <c r="D498" s="17"/>
      <c r="E498" s="17" t="s">
        <v>608</v>
      </c>
      <c r="F498" s="18" t="s">
        <v>869</v>
      </c>
      <c r="G498" s="51" t="s">
        <v>1269</v>
      </c>
      <c r="H498" s="17">
        <v>10</v>
      </c>
      <c r="O498" s="62" t="str">
        <f>IF(E498="PA",IF(K498&lt;&gt;"",ISERROR(VLOOKUP(K498,ABBR!A:D,1,FALSE)),ISERROR(VLOOKUP(C498,ABBR!A:D,1,FALSE))),"")</f>
        <v/>
      </c>
      <c r="P498" t="str">
        <f>VLOOKUP(A498,Groups!A:L,5,FALSE)</f>
        <v>SAMP</v>
      </c>
      <c r="Q498" s="62" t="str">
        <f>IF(G498="PA",IF(M498&lt;&gt;"",ISERROR(VLOOKUP(M498,ABBR!C:F,1,FALSE)),ISERROR(VLOOKUP(E498,ABBR!C:F,1,FALSE))),"")</f>
        <v/>
      </c>
    </row>
    <row r="499" spans="1:17" hidden="1" x14ac:dyDescent="0.25">
      <c r="A499" s="38" t="s">
        <v>98</v>
      </c>
      <c r="B499" s="17"/>
      <c r="C499" s="48" t="s">
        <v>1450</v>
      </c>
      <c r="D499" s="17"/>
      <c r="E499" s="17" t="s">
        <v>618</v>
      </c>
      <c r="F499" s="18" t="s">
        <v>1451</v>
      </c>
      <c r="G499" s="49" t="s">
        <v>1452</v>
      </c>
      <c r="H499" s="17">
        <v>11</v>
      </c>
      <c r="O499" s="62" t="b">
        <f>IF(E499="PA",IF(K499&lt;&gt;"",ISERROR(VLOOKUP(K499,ABBR!A:D,1,FALSE)),ISERROR(VLOOKUP(C499,ABBR!A:D,1,FALSE))),"")</f>
        <v>0</v>
      </c>
      <c r="P499" t="str">
        <f>VLOOKUP(A499,Groups!A:L,5,FALSE)</f>
        <v>SAMP</v>
      </c>
      <c r="Q499" s="62" t="str">
        <f>IF(G499="PA",IF(M499&lt;&gt;"",ISERROR(VLOOKUP(M499,ABBR!C:F,1,FALSE)),ISERROR(VLOOKUP(E499,ABBR!C:F,1,FALSE))),"")</f>
        <v/>
      </c>
    </row>
    <row r="500" spans="1:17" hidden="1" x14ac:dyDescent="0.25">
      <c r="A500" s="38" t="s">
        <v>98</v>
      </c>
      <c r="B500" s="17"/>
      <c r="C500" s="48" t="s">
        <v>1453</v>
      </c>
      <c r="D500" s="17"/>
      <c r="E500" s="17" t="s">
        <v>618</v>
      </c>
      <c r="F500" s="18" t="s">
        <v>1454</v>
      </c>
      <c r="G500" s="49" t="s">
        <v>1455</v>
      </c>
      <c r="H500" s="17">
        <v>12</v>
      </c>
      <c r="O500" s="62" t="b">
        <f>IF(E500="PA",IF(K500&lt;&gt;"",ISERROR(VLOOKUP(K500,ABBR!A:D,1,FALSE)),ISERROR(VLOOKUP(C500,ABBR!A:D,1,FALSE))),"")</f>
        <v>0</v>
      </c>
      <c r="P500" t="str">
        <f>VLOOKUP(A500,Groups!A:L,5,FALSE)</f>
        <v>SAMP</v>
      </c>
      <c r="Q500" s="62" t="str">
        <f>IF(G500="PA",IF(M500&lt;&gt;"",ISERROR(VLOOKUP(M500,ABBR!C:F,1,FALSE)),ISERROR(VLOOKUP(E500,ABBR!C:F,1,FALSE))),"")</f>
        <v/>
      </c>
    </row>
    <row r="501" spans="1:17" hidden="1" x14ac:dyDescent="0.25">
      <c r="A501" s="38" t="s">
        <v>98</v>
      </c>
      <c r="B501" s="17"/>
      <c r="C501" s="48" t="s">
        <v>1456</v>
      </c>
      <c r="D501" s="17" t="s">
        <v>766</v>
      </c>
      <c r="E501" s="17" t="s">
        <v>767</v>
      </c>
      <c r="F501" s="18" t="s">
        <v>1457</v>
      </c>
      <c r="G501" s="49" t="s">
        <v>1458</v>
      </c>
      <c r="H501" s="17">
        <v>13</v>
      </c>
      <c r="O501" s="62" t="str">
        <f>IF(E501="PA",IF(K501&lt;&gt;"",ISERROR(VLOOKUP(K501,ABBR!A:D,1,FALSE)),ISERROR(VLOOKUP(C501,ABBR!A:D,1,FALSE))),"")</f>
        <v/>
      </c>
      <c r="P501" t="str">
        <f>VLOOKUP(A501,Groups!A:L,5,FALSE)</f>
        <v>SAMP</v>
      </c>
      <c r="Q501" s="62" t="str">
        <f>IF(G501="PA",IF(M501&lt;&gt;"",ISERROR(VLOOKUP(M501,ABBR!C:F,1,FALSE)),ISERROR(VLOOKUP(E501,ABBR!C:F,1,FALSE))),"")</f>
        <v/>
      </c>
    </row>
    <row r="502" spans="1:17" hidden="1" x14ac:dyDescent="0.25">
      <c r="A502" s="38" t="s">
        <v>98</v>
      </c>
      <c r="B502" s="17"/>
      <c r="C502" s="48" t="s">
        <v>1459</v>
      </c>
      <c r="D502" s="17" t="s">
        <v>766</v>
      </c>
      <c r="E502" s="17" t="s">
        <v>767</v>
      </c>
      <c r="F502" s="18" t="s">
        <v>1460</v>
      </c>
      <c r="G502" s="49" t="s">
        <v>1091</v>
      </c>
      <c r="H502" s="17">
        <v>14</v>
      </c>
      <c r="O502" s="62" t="str">
        <f>IF(E502="PA",IF(K502&lt;&gt;"",ISERROR(VLOOKUP(K502,ABBR!A:D,1,FALSE)),ISERROR(VLOOKUP(C502,ABBR!A:D,1,FALSE))),"")</f>
        <v/>
      </c>
      <c r="P502" t="str">
        <f>VLOOKUP(A502,Groups!A:L,5,FALSE)</f>
        <v>SAMP</v>
      </c>
      <c r="Q502" s="62" t="str">
        <f>IF(G502="PA",IF(M502&lt;&gt;"",ISERROR(VLOOKUP(M502,ABBR!C:F,1,FALSE)),ISERROR(VLOOKUP(E502,ABBR!C:F,1,FALSE))),"")</f>
        <v/>
      </c>
    </row>
    <row r="503" spans="1:17" hidden="1" x14ac:dyDescent="0.25">
      <c r="A503" s="38" t="s">
        <v>98</v>
      </c>
      <c r="B503" s="17"/>
      <c r="C503" s="48" t="s">
        <v>1461</v>
      </c>
      <c r="D503" s="17" t="s">
        <v>1077</v>
      </c>
      <c r="E503" s="17" t="s">
        <v>1391</v>
      </c>
      <c r="F503" s="18" t="s">
        <v>1462</v>
      </c>
      <c r="G503" s="49" t="s">
        <v>1463</v>
      </c>
      <c r="H503" s="17">
        <v>15</v>
      </c>
      <c r="O503" s="62" t="str">
        <f>IF(E503="PA",IF(K503&lt;&gt;"",ISERROR(VLOOKUP(K503,ABBR!A:D,1,FALSE)),ISERROR(VLOOKUP(C503,ABBR!A:D,1,FALSE))),"")</f>
        <v/>
      </c>
      <c r="P503" t="str">
        <f>VLOOKUP(A503,Groups!A:L,5,FALSE)</f>
        <v>SAMP</v>
      </c>
      <c r="Q503" s="62" t="str">
        <f>IF(G503="PA",IF(M503&lt;&gt;"",ISERROR(VLOOKUP(M503,ABBR!C:F,1,FALSE)),ISERROR(VLOOKUP(E503,ABBR!C:F,1,FALSE))),"")</f>
        <v/>
      </c>
    </row>
    <row r="504" spans="1:17" hidden="1" x14ac:dyDescent="0.25">
      <c r="A504" s="38" t="s">
        <v>98</v>
      </c>
      <c r="B504" s="17"/>
      <c r="C504" s="48" t="s">
        <v>1464</v>
      </c>
      <c r="D504" s="17" t="s">
        <v>1077</v>
      </c>
      <c r="E504" s="17" t="s">
        <v>601</v>
      </c>
      <c r="F504" s="18" t="s">
        <v>1465</v>
      </c>
      <c r="G504" s="49" t="s">
        <v>1466</v>
      </c>
      <c r="H504" s="17">
        <v>16</v>
      </c>
      <c r="O504" s="62" t="str">
        <f>IF(E504="PA",IF(K504&lt;&gt;"",ISERROR(VLOOKUP(K504,ABBR!A:D,1,FALSE)),ISERROR(VLOOKUP(C504,ABBR!A:D,1,FALSE))),"")</f>
        <v/>
      </c>
      <c r="P504" t="str">
        <f>VLOOKUP(A504,Groups!A:L,5,FALSE)</f>
        <v>SAMP</v>
      </c>
      <c r="Q504" s="62" t="str">
        <f>IF(G504="PA",IF(M504&lt;&gt;"",ISERROR(VLOOKUP(M504,ABBR!C:F,1,FALSE)),ISERROR(VLOOKUP(E504,ABBR!C:F,1,FALSE))),"")</f>
        <v/>
      </c>
    </row>
    <row r="505" spans="1:17" ht="25" hidden="1" x14ac:dyDescent="0.25">
      <c r="A505" s="38" t="s">
        <v>98</v>
      </c>
      <c r="B505" s="17"/>
      <c r="C505" s="48" t="s">
        <v>1467</v>
      </c>
      <c r="D505" s="17" t="s">
        <v>766</v>
      </c>
      <c r="E505" s="17" t="s">
        <v>882</v>
      </c>
      <c r="F505" s="18" t="s">
        <v>1468</v>
      </c>
      <c r="G505" s="49" t="s">
        <v>1030</v>
      </c>
      <c r="H505" s="17">
        <v>17</v>
      </c>
      <c r="J505" s="62"/>
      <c r="K505" s="62"/>
      <c r="L505" s="62"/>
      <c r="M505" s="62"/>
      <c r="N505" s="62"/>
      <c r="O505" s="62" t="str">
        <f>IF(E505="PA",IF(K505&lt;&gt;"",ISERROR(VLOOKUP(K505,ABBR!A:D,1,FALSE)),ISERROR(VLOOKUP(C505,ABBR!A:D,1,FALSE))),"")</f>
        <v/>
      </c>
      <c r="P505" t="str">
        <f>VLOOKUP(A505,Groups!A:L,5,FALSE)</f>
        <v>SAMP</v>
      </c>
      <c r="Q505" s="62" t="str">
        <f>IF(G505="PA",IF(M505&lt;&gt;"",ISERROR(VLOOKUP(M505,ABBR!C:F,1,FALSE)),ISERROR(VLOOKUP(E505,ABBR!C:F,1,FALSE))),"")</f>
        <v/>
      </c>
    </row>
    <row r="506" spans="1:17" hidden="1" x14ac:dyDescent="0.25">
      <c r="A506" s="38" t="s">
        <v>98</v>
      </c>
      <c r="B506" s="17"/>
      <c r="C506" s="48" t="s">
        <v>1469</v>
      </c>
      <c r="D506" s="17" t="s">
        <v>766</v>
      </c>
      <c r="E506" s="17" t="s">
        <v>882</v>
      </c>
      <c r="F506" s="18" t="s">
        <v>1281</v>
      </c>
      <c r="G506" s="49" t="s">
        <v>1282</v>
      </c>
      <c r="H506" s="17">
        <v>18</v>
      </c>
      <c r="O506" s="62" t="str">
        <f>IF(E506="PA",IF(K506&lt;&gt;"",ISERROR(VLOOKUP(K506,ABBR!A:D,1,FALSE)),ISERROR(VLOOKUP(C506,ABBR!A:D,1,FALSE))),"")</f>
        <v/>
      </c>
      <c r="P506" t="str">
        <f>VLOOKUP(A506,Groups!A:L,5,FALSE)</f>
        <v>SAMP</v>
      </c>
      <c r="Q506" s="62" t="str">
        <f>IF(G506="PA",IF(M506&lt;&gt;"",ISERROR(VLOOKUP(M506,ABBR!C:F,1,FALSE)),ISERROR(VLOOKUP(E506,ABBR!C:F,1,FALSE))),"")</f>
        <v/>
      </c>
    </row>
    <row r="507" spans="1:17" hidden="1" x14ac:dyDescent="0.25">
      <c r="A507" s="38" t="s">
        <v>98</v>
      </c>
      <c r="B507" s="17"/>
      <c r="C507" s="48" t="s">
        <v>1470</v>
      </c>
      <c r="D507" s="17"/>
      <c r="E507" s="17" t="s">
        <v>608</v>
      </c>
      <c r="F507" s="18" t="s">
        <v>1284</v>
      </c>
      <c r="G507" s="49" t="s">
        <v>1285</v>
      </c>
      <c r="H507" s="17">
        <v>19</v>
      </c>
      <c r="O507" s="62" t="str">
        <f>IF(E507="PA",IF(K507&lt;&gt;"",ISERROR(VLOOKUP(K507,ABBR!A:D,1,FALSE)),ISERROR(VLOOKUP(C507,ABBR!A:D,1,FALSE))),"")</f>
        <v/>
      </c>
      <c r="P507" t="str">
        <f>VLOOKUP(A507,Groups!A:L,5,FALSE)</f>
        <v>SAMP</v>
      </c>
      <c r="Q507" s="62" t="str">
        <f>IF(G507="PA",IF(M507&lt;&gt;"",ISERROR(VLOOKUP(M507,ABBR!C:F,1,FALSE)),ISERROR(VLOOKUP(E507,ABBR!C:F,1,FALSE))),"")</f>
        <v/>
      </c>
    </row>
    <row r="508" spans="1:17" ht="25" hidden="1" x14ac:dyDescent="0.25">
      <c r="A508" s="38" t="s">
        <v>98</v>
      </c>
      <c r="B508" s="17"/>
      <c r="C508" s="48" t="s">
        <v>1471</v>
      </c>
      <c r="D508" s="17"/>
      <c r="E508" s="17" t="s">
        <v>608</v>
      </c>
      <c r="F508" s="18" t="s">
        <v>1287</v>
      </c>
      <c r="G508" s="49" t="s">
        <v>1472</v>
      </c>
      <c r="H508" s="17">
        <v>20</v>
      </c>
      <c r="O508" s="62" t="str">
        <f>IF(E508="PA",IF(K508&lt;&gt;"",ISERROR(VLOOKUP(K508,ABBR!A:D,1,FALSE)),ISERROR(VLOOKUP(C508,ABBR!A:D,1,FALSE))),"")</f>
        <v/>
      </c>
      <c r="P508" t="str">
        <f>VLOOKUP(A508,Groups!A:L,5,FALSE)</f>
        <v>SAMP</v>
      </c>
      <c r="Q508" s="62" t="str">
        <f>IF(G508="PA",IF(M508&lt;&gt;"",ISERROR(VLOOKUP(M508,ABBR!C:F,1,FALSE)),ISERROR(VLOOKUP(E508,ABBR!C:F,1,FALSE))),"")</f>
        <v/>
      </c>
    </row>
    <row r="509" spans="1:17" ht="25" hidden="1" x14ac:dyDescent="0.25">
      <c r="A509" s="38" t="s">
        <v>98</v>
      </c>
      <c r="B509" s="17"/>
      <c r="C509" s="48" t="s">
        <v>1473</v>
      </c>
      <c r="D509" s="17"/>
      <c r="E509" s="17" t="s">
        <v>608</v>
      </c>
      <c r="F509" s="18" t="s">
        <v>918</v>
      </c>
      <c r="G509" s="49" t="s">
        <v>1474</v>
      </c>
      <c r="H509" s="17">
        <v>21</v>
      </c>
      <c r="O509" s="62" t="str">
        <f>IF(E509="PA",IF(K509&lt;&gt;"",ISERROR(VLOOKUP(K509,ABBR!A:D,1,FALSE)),ISERROR(VLOOKUP(C509,ABBR!A:D,1,FALSE))),"")</f>
        <v/>
      </c>
      <c r="P509" t="str">
        <f>VLOOKUP(A509,Groups!A:L,5,FALSE)</f>
        <v>SAMP</v>
      </c>
      <c r="Q509" s="62" t="str">
        <f>IF(G509="PA",IF(M509&lt;&gt;"",ISERROR(VLOOKUP(M509,ABBR!C:F,1,FALSE)),ISERROR(VLOOKUP(E509,ABBR!C:F,1,FALSE))),"")</f>
        <v/>
      </c>
    </row>
    <row r="510" spans="1:17" hidden="1" x14ac:dyDescent="0.25">
      <c r="A510" s="38" t="s">
        <v>98</v>
      </c>
      <c r="B510" s="17"/>
      <c r="C510" s="48" t="s">
        <v>1475</v>
      </c>
      <c r="D510" s="17"/>
      <c r="E510" s="17" t="s">
        <v>608</v>
      </c>
      <c r="F510" s="18" t="s">
        <v>950</v>
      </c>
      <c r="G510" s="27" t="s">
        <v>951</v>
      </c>
      <c r="H510" s="17">
        <v>22</v>
      </c>
      <c r="O510" s="62" t="str">
        <f>IF(E510="PA",IF(K510&lt;&gt;"",ISERROR(VLOOKUP(K510,ABBR!A:D,1,FALSE)),ISERROR(VLOOKUP(C510,ABBR!A:D,1,FALSE))),"")</f>
        <v/>
      </c>
      <c r="P510" t="str">
        <f>VLOOKUP(A510,Groups!A:L,5,FALSE)</f>
        <v>SAMP</v>
      </c>
      <c r="Q510" s="62" t="str">
        <f>IF(G510="PA",IF(M510&lt;&gt;"",ISERROR(VLOOKUP(M510,ABBR!C:F,1,FALSE)),ISERROR(VLOOKUP(E510,ABBR!C:F,1,FALSE))),"")</f>
        <v/>
      </c>
    </row>
    <row r="511" spans="1:17" ht="25" hidden="1" x14ac:dyDescent="0.25">
      <c r="A511" s="38" t="s">
        <v>98</v>
      </c>
      <c r="B511" s="17"/>
      <c r="C511" s="48" t="s">
        <v>1476</v>
      </c>
      <c r="D511" s="17"/>
      <c r="E511" s="17" t="s">
        <v>608</v>
      </c>
      <c r="F511" s="18" t="s">
        <v>934</v>
      </c>
      <c r="G511" s="49" t="s">
        <v>953</v>
      </c>
      <c r="H511" s="17">
        <v>23</v>
      </c>
      <c r="O511" s="62" t="str">
        <f>IF(E511="PA",IF(K511&lt;&gt;"",ISERROR(VLOOKUP(K511,ABBR!A:D,1,FALSE)),ISERROR(VLOOKUP(C511,ABBR!A:D,1,FALSE))),"")</f>
        <v/>
      </c>
      <c r="P511" t="str">
        <f>VLOOKUP(A511,Groups!A:L,5,FALSE)</f>
        <v>SAMP</v>
      </c>
      <c r="Q511" s="62" t="str">
        <f>IF(G511="PA",IF(M511&lt;&gt;"",ISERROR(VLOOKUP(M511,ABBR!C:F,1,FALSE)),ISERROR(VLOOKUP(E511,ABBR!C:F,1,FALSE))),"")</f>
        <v/>
      </c>
    </row>
    <row r="512" spans="1:17" hidden="1" x14ac:dyDescent="0.25">
      <c r="A512" s="38" t="s">
        <v>98</v>
      </c>
      <c r="B512" s="17"/>
      <c r="C512" s="48" t="s">
        <v>936</v>
      </c>
      <c r="D512" s="17"/>
      <c r="E512" s="22" t="s">
        <v>608</v>
      </c>
      <c r="F512" s="18" t="s">
        <v>937</v>
      </c>
      <c r="G512" s="49" t="s">
        <v>938</v>
      </c>
      <c r="H512" s="17">
        <v>24</v>
      </c>
      <c r="O512" s="62" t="str">
        <f>IF(E512="PA",IF(K512&lt;&gt;"",ISERROR(VLOOKUP(K512,ABBR!A:D,1,FALSE)),ISERROR(VLOOKUP(C512,ABBR!A:D,1,FALSE))),"")</f>
        <v/>
      </c>
      <c r="P512" t="str">
        <f>VLOOKUP(A512,Groups!A:L,5,FALSE)</f>
        <v>SAMP</v>
      </c>
      <c r="Q512" s="62" t="str">
        <f>IF(G512="PA",IF(M512&lt;&gt;"",ISERROR(VLOOKUP(M512,ABBR!C:F,1,FALSE)),ISERROR(VLOOKUP(E512,ABBR!C:F,1,FALSE))),"")</f>
        <v/>
      </c>
    </row>
    <row r="513" spans="1:17" hidden="1" x14ac:dyDescent="0.25">
      <c r="A513" s="38" t="s">
        <v>98</v>
      </c>
      <c r="B513" s="17"/>
      <c r="C513" s="48" t="s">
        <v>643</v>
      </c>
      <c r="D513" s="17"/>
      <c r="E513" s="17" t="s">
        <v>608</v>
      </c>
      <c r="F513" s="18" t="s">
        <v>1294</v>
      </c>
      <c r="G513" s="49" t="s">
        <v>1477</v>
      </c>
      <c r="H513" s="17">
        <v>25</v>
      </c>
      <c r="O513" s="62" t="str">
        <f>IF(E513="PA",IF(K513&lt;&gt;"",ISERROR(VLOOKUP(K513,ABBR!A:D,1,FALSE)),ISERROR(VLOOKUP(C513,ABBR!A:D,1,FALSE))),"")</f>
        <v/>
      </c>
      <c r="P513" t="str">
        <f>VLOOKUP(A513,Groups!A:L,5,FALSE)</f>
        <v>SAMP</v>
      </c>
      <c r="Q513" s="62" t="str">
        <f>IF(G513="PA",IF(M513&lt;&gt;"",ISERROR(VLOOKUP(M513,ABBR!C:F,1,FALSE)),ISERROR(VLOOKUP(E513,ABBR!C:F,1,FALSE))),"")</f>
        <v/>
      </c>
    </row>
    <row r="514" spans="1:17" hidden="1" x14ac:dyDescent="0.25">
      <c r="A514" s="38" t="s">
        <v>98</v>
      </c>
      <c r="B514" s="17"/>
      <c r="C514" s="48" t="s">
        <v>877</v>
      </c>
      <c r="D514" s="17" t="s">
        <v>600</v>
      </c>
      <c r="E514" s="17" t="s">
        <v>601</v>
      </c>
      <c r="F514" s="18" t="s">
        <v>878</v>
      </c>
      <c r="G514" s="49" t="s">
        <v>879</v>
      </c>
      <c r="H514" s="17">
        <v>26</v>
      </c>
      <c r="I514" s="30" t="s">
        <v>955</v>
      </c>
      <c r="J514" s="80">
        <v>4.0999999999999996</v>
      </c>
      <c r="O514" s="62" t="str">
        <f>IF(E514="PA",IF(K514&lt;&gt;"",ISERROR(VLOOKUP(K514,ABBR!A:D,1,FALSE)),ISERROR(VLOOKUP(C514,ABBR!A:D,1,FALSE))),"")</f>
        <v/>
      </c>
      <c r="P514" t="str">
        <f>VLOOKUP(A514,Groups!A:L,5,FALSE)</f>
        <v>SAMP</v>
      </c>
      <c r="Q514" s="62" t="str">
        <f>IF(G514="PA",IF(M514&lt;&gt;"",ISERROR(VLOOKUP(M514,ABBR!C:F,1,FALSE)),ISERROR(VLOOKUP(E514,ABBR!C:F,1,FALSE))),"")</f>
        <v/>
      </c>
    </row>
    <row r="515" spans="1:17" hidden="1" x14ac:dyDescent="0.25">
      <c r="A515" s="38" t="s">
        <v>98</v>
      </c>
      <c r="B515" s="17"/>
      <c r="C515" s="48" t="s">
        <v>1478</v>
      </c>
      <c r="D515" s="17"/>
      <c r="E515" s="17" t="s">
        <v>608</v>
      </c>
      <c r="F515" s="18" t="s">
        <v>921</v>
      </c>
      <c r="G515" s="94" t="s">
        <v>922</v>
      </c>
      <c r="H515" s="17">
        <v>27</v>
      </c>
      <c r="I515" s="30" t="s">
        <v>955</v>
      </c>
      <c r="J515" s="80">
        <v>4.0999999999999996</v>
      </c>
      <c r="M515" s="101"/>
      <c r="O515" s="62" t="str">
        <f>IF(E515="PA",IF(K515&lt;&gt;"",ISERROR(VLOOKUP(K515,ABBR!A:D,1,FALSE)),ISERROR(VLOOKUP(C515,ABBR!A:D,1,FALSE))),"")</f>
        <v/>
      </c>
      <c r="P515" t="str">
        <f>VLOOKUP(A515,Groups!A:L,5,FALSE)</f>
        <v>SAMP</v>
      </c>
      <c r="Q515" s="62" t="str">
        <f>IF(G515="PA",IF(M515&lt;&gt;"",ISERROR(VLOOKUP(M515,ABBR!C:F,1,FALSE)),ISERROR(VLOOKUP(E515,ABBR!C:F,1,FALSE))),"")</f>
        <v/>
      </c>
    </row>
    <row r="516" spans="1:17" hidden="1" x14ac:dyDescent="0.25">
      <c r="A516" s="38" t="s">
        <v>98</v>
      </c>
      <c r="B516" s="17"/>
      <c r="C516" s="48" t="s">
        <v>1479</v>
      </c>
      <c r="D516" s="17" t="s">
        <v>1077</v>
      </c>
      <c r="E516" s="17" t="s">
        <v>601</v>
      </c>
      <c r="F516" s="18" t="s">
        <v>1480</v>
      </c>
      <c r="G516" s="49" t="s">
        <v>1466</v>
      </c>
      <c r="H516" s="17">
        <v>28</v>
      </c>
      <c r="J516" s="62" t="s">
        <v>473</v>
      </c>
      <c r="K516" s="62"/>
      <c r="L516" s="62"/>
      <c r="M516" s="62"/>
      <c r="N516" s="62"/>
      <c r="O516" s="62" t="str">
        <f>IF(E516="PA",IF(K516&lt;&gt;"",ISERROR(VLOOKUP(K516,ABBR!A:D,1,FALSE)),ISERROR(VLOOKUP(C516,ABBR!A:D,1,FALSE))),"")</f>
        <v/>
      </c>
      <c r="P516" t="str">
        <f>VLOOKUP(A516,Groups!A:L,5,FALSE)</f>
        <v>SAMP</v>
      </c>
      <c r="Q516" s="62" t="str">
        <f>IF(G516="PA",IF(M516&lt;&gt;"",ISERROR(VLOOKUP(M516,ABBR!C:F,1,FALSE)),ISERROR(VLOOKUP(E516,ABBR!C:F,1,FALSE))),"")</f>
        <v/>
      </c>
    </row>
    <row r="517" spans="1:17" ht="25" hidden="1" x14ac:dyDescent="0.25">
      <c r="A517" s="38" t="s">
        <v>98</v>
      </c>
      <c r="B517" s="17"/>
      <c r="C517" s="16" t="s">
        <v>1481</v>
      </c>
      <c r="D517" s="17" t="s">
        <v>766</v>
      </c>
      <c r="E517" s="17" t="s">
        <v>723</v>
      </c>
      <c r="F517" s="18" t="s">
        <v>1482</v>
      </c>
      <c r="G517" s="49" t="s">
        <v>1483</v>
      </c>
      <c r="H517" s="17">
        <v>29</v>
      </c>
      <c r="J517" s="62" t="s">
        <v>473</v>
      </c>
      <c r="K517" s="62"/>
      <c r="L517" s="62"/>
      <c r="M517" s="62"/>
      <c r="N517" s="62"/>
      <c r="O517" s="62" t="str">
        <f>IF(E517="PA",IF(K517&lt;&gt;"",ISERROR(VLOOKUP(K517,ABBR!A:D,1,FALSE)),ISERROR(VLOOKUP(C517,ABBR!A:D,1,FALSE))),"")</f>
        <v/>
      </c>
      <c r="P517" t="str">
        <f>VLOOKUP(A517,Groups!A:L,5,FALSE)</f>
        <v>SAMP</v>
      </c>
      <c r="Q517" s="62" t="str">
        <f>IF(G517="PA",IF(M517&lt;&gt;"",ISERROR(VLOOKUP(M517,ABBR!C:F,1,FALSE)),ISERROR(VLOOKUP(E517,ABBR!C:F,1,FALSE))),"")</f>
        <v/>
      </c>
    </row>
    <row r="518" spans="1:17" hidden="1" x14ac:dyDescent="0.25">
      <c r="A518" s="38" t="s">
        <v>98</v>
      </c>
      <c r="B518" s="17"/>
      <c r="C518" s="16" t="s">
        <v>1484</v>
      </c>
      <c r="D518" s="17" t="s">
        <v>1077</v>
      </c>
      <c r="E518" s="17" t="s">
        <v>601</v>
      </c>
      <c r="F518" s="18" t="s">
        <v>1485</v>
      </c>
      <c r="G518" s="49" t="s">
        <v>1486</v>
      </c>
      <c r="H518" s="17">
        <v>30</v>
      </c>
      <c r="J518" s="62"/>
      <c r="K518" s="62"/>
      <c r="L518" s="62"/>
      <c r="M518" s="62"/>
      <c r="N518" s="62"/>
      <c r="O518" s="62" t="str">
        <f>IF(E518="PA",IF(K518&lt;&gt;"",ISERROR(VLOOKUP(K518,ABBR!A:D,1,FALSE)),ISERROR(VLOOKUP(C518,ABBR!A:D,1,FALSE))),"")</f>
        <v/>
      </c>
      <c r="P518" t="str">
        <f>VLOOKUP(A518,Groups!A:L,5,FALSE)</f>
        <v>SAMP</v>
      </c>
      <c r="Q518" s="62" t="str">
        <f>IF(G518="PA",IF(M518&lt;&gt;"",ISERROR(VLOOKUP(M518,ABBR!C:F,1,FALSE)),ISERROR(VLOOKUP(E518,ABBR!C:F,1,FALSE))),"")</f>
        <v/>
      </c>
    </row>
    <row r="519" spans="1:17" hidden="1" x14ac:dyDescent="0.25">
      <c r="A519" s="38" t="s">
        <v>98</v>
      </c>
      <c r="B519" s="17"/>
      <c r="C519" s="16" t="s">
        <v>1487</v>
      </c>
      <c r="D519" s="17" t="s">
        <v>766</v>
      </c>
      <c r="E519" s="17" t="s">
        <v>723</v>
      </c>
      <c r="F519" s="18" t="s">
        <v>1488</v>
      </c>
      <c r="G519" s="49" t="s">
        <v>1489</v>
      </c>
      <c r="H519" s="17">
        <v>31</v>
      </c>
      <c r="J519" s="62" t="s">
        <v>473</v>
      </c>
      <c r="K519" s="62"/>
      <c r="L519" s="62"/>
      <c r="M519" s="62"/>
      <c r="N519" s="62"/>
      <c r="O519" s="62" t="str">
        <f>IF(E519="PA",IF(K519&lt;&gt;"",ISERROR(VLOOKUP(K519,ABBR!A:D,1,FALSE)),ISERROR(VLOOKUP(C519,ABBR!A:D,1,FALSE))),"")</f>
        <v/>
      </c>
      <c r="P519" t="str">
        <f>VLOOKUP(A519,Groups!A:L,5,FALSE)</f>
        <v>SAMP</v>
      </c>
      <c r="Q519" s="62" t="str">
        <f>IF(G519="PA",IF(M519&lt;&gt;"",ISERROR(VLOOKUP(M519,ABBR!C:F,1,FALSE)),ISERROR(VLOOKUP(E519,ABBR!C:F,1,FALSE))),"")</f>
        <v/>
      </c>
    </row>
    <row r="520" spans="1:17" hidden="1" x14ac:dyDescent="0.25">
      <c r="A520" s="38" t="s">
        <v>98</v>
      </c>
      <c r="B520" s="17"/>
      <c r="C520" s="16" t="s">
        <v>1490</v>
      </c>
      <c r="D520" s="17"/>
      <c r="E520" s="17" t="s">
        <v>608</v>
      </c>
      <c r="F520" s="18" t="s">
        <v>1491</v>
      </c>
      <c r="G520" s="49" t="s">
        <v>1492</v>
      </c>
      <c r="H520" s="17">
        <v>32</v>
      </c>
      <c r="J520" s="62" t="s">
        <v>473</v>
      </c>
      <c r="K520" s="62"/>
      <c r="L520" s="62"/>
      <c r="M520" s="62"/>
      <c r="N520" s="62"/>
      <c r="O520" s="62" t="str">
        <f>IF(E520="PA",IF(K520&lt;&gt;"",ISERROR(VLOOKUP(K520,ABBR!A:D,1,FALSE)),ISERROR(VLOOKUP(C520,ABBR!A:D,1,FALSE))),"")</f>
        <v/>
      </c>
      <c r="P520" t="str">
        <f>VLOOKUP(A520,Groups!A:L,5,FALSE)</f>
        <v>SAMP</v>
      </c>
      <c r="Q520" s="62" t="str">
        <f>IF(G520="PA",IF(M520&lt;&gt;"",ISERROR(VLOOKUP(M520,ABBR!C:F,1,FALSE)),ISERROR(VLOOKUP(E520,ABBR!C:F,1,FALSE))),"")</f>
        <v/>
      </c>
    </row>
    <row r="521" spans="1:17" hidden="1" x14ac:dyDescent="0.25">
      <c r="A521" s="38" t="s">
        <v>98</v>
      </c>
      <c r="B521" s="17"/>
      <c r="C521" s="48" t="s">
        <v>1493</v>
      </c>
      <c r="D521" s="17" t="s">
        <v>924</v>
      </c>
      <c r="E521" s="17" t="s">
        <v>925</v>
      </c>
      <c r="F521" s="18" t="s">
        <v>926</v>
      </c>
      <c r="G521" s="49" t="s">
        <v>927</v>
      </c>
      <c r="H521" s="17">
        <v>33</v>
      </c>
      <c r="J521" s="62" t="s">
        <v>473</v>
      </c>
      <c r="K521" s="62"/>
      <c r="L521" s="62"/>
      <c r="M521" s="62"/>
      <c r="N521" s="62"/>
      <c r="O521" s="62" t="str">
        <f>IF(E521="PA",IF(K521&lt;&gt;"",ISERROR(VLOOKUP(K521,ABBR!A:D,1,FALSE)),ISERROR(VLOOKUP(C521,ABBR!A:D,1,FALSE))),"")</f>
        <v/>
      </c>
      <c r="P521" t="str">
        <f>VLOOKUP(A521,Groups!A:L,5,FALSE)</f>
        <v>SAMP</v>
      </c>
      <c r="Q521" s="62" t="str">
        <f>IF(G521="PA",IF(M521&lt;&gt;"",ISERROR(VLOOKUP(M521,ABBR!C:F,1,FALSE)),ISERROR(VLOOKUP(E521,ABBR!C:F,1,FALSE))),"")</f>
        <v/>
      </c>
    </row>
    <row r="522" spans="1:17" hidden="1" x14ac:dyDescent="0.25">
      <c r="A522" s="38" t="s">
        <v>98</v>
      </c>
      <c r="B522" s="17"/>
      <c r="C522" s="48" t="s">
        <v>1494</v>
      </c>
      <c r="D522" s="17"/>
      <c r="E522" s="17" t="s">
        <v>608</v>
      </c>
      <c r="F522" s="18" t="s">
        <v>875</v>
      </c>
      <c r="G522" s="49" t="s">
        <v>876</v>
      </c>
      <c r="H522" s="17">
        <v>34</v>
      </c>
      <c r="J522" s="62" t="s">
        <v>473</v>
      </c>
      <c r="K522" s="62"/>
      <c r="L522" s="62"/>
      <c r="M522" s="62"/>
      <c r="N522" s="62"/>
      <c r="O522" s="62" t="str">
        <f>IF(E522="PA",IF(K522&lt;&gt;"",ISERROR(VLOOKUP(K522,ABBR!A:D,1,FALSE)),ISERROR(VLOOKUP(C522,ABBR!A:D,1,FALSE))),"")</f>
        <v/>
      </c>
      <c r="P522" t="str">
        <f>VLOOKUP(A522,Groups!A:L,5,FALSE)</f>
        <v>SAMP</v>
      </c>
      <c r="Q522" s="62" t="str">
        <f>IF(G522="PA",IF(M522&lt;&gt;"",ISERROR(VLOOKUP(M522,ABBR!C:F,1,FALSE)),ISERROR(VLOOKUP(E522,ABBR!C:F,1,FALSE))),"")</f>
        <v/>
      </c>
    </row>
    <row r="523" spans="1:17" hidden="1" x14ac:dyDescent="0.25">
      <c r="A523" s="38" t="s">
        <v>98</v>
      </c>
      <c r="B523" s="17"/>
      <c r="C523" s="48" t="s">
        <v>1495</v>
      </c>
      <c r="D523" s="17"/>
      <c r="E523" s="17" t="s">
        <v>608</v>
      </c>
      <c r="F523" s="18" t="s">
        <v>929</v>
      </c>
      <c r="G523" s="49" t="s">
        <v>876</v>
      </c>
      <c r="H523" s="17">
        <v>35</v>
      </c>
      <c r="J523" s="62" t="s">
        <v>473</v>
      </c>
      <c r="K523" s="62"/>
      <c r="L523" s="62"/>
      <c r="M523" s="62"/>
      <c r="N523" s="62"/>
      <c r="O523" s="62" t="str">
        <f>IF(E523="PA",IF(K523&lt;&gt;"",ISERROR(VLOOKUP(K523,ABBR!A:D,1,FALSE)),ISERROR(VLOOKUP(C523,ABBR!A:D,1,FALSE))),"")</f>
        <v/>
      </c>
      <c r="P523" t="str">
        <f>VLOOKUP(A523,Groups!A:L,5,FALSE)</f>
        <v>SAMP</v>
      </c>
      <c r="Q523" s="62" t="str">
        <f>IF(G523="PA",IF(M523&lt;&gt;"",ISERROR(VLOOKUP(M523,ABBR!C:F,1,FALSE)),ISERROR(VLOOKUP(E523,ABBR!C:F,1,FALSE))),"")</f>
        <v/>
      </c>
    </row>
    <row r="524" spans="1:17" hidden="1" x14ac:dyDescent="0.25">
      <c r="A524" s="38" t="s">
        <v>100</v>
      </c>
      <c r="B524" s="17" t="s">
        <v>594</v>
      </c>
      <c r="C524" s="48" t="s">
        <v>595</v>
      </c>
      <c r="D524" s="17"/>
      <c r="E524" s="17" t="s">
        <v>596</v>
      </c>
      <c r="F524" s="18" t="s">
        <v>597</v>
      </c>
      <c r="G524" s="49" t="s">
        <v>598</v>
      </c>
      <c r="H524" s="17">
        <v>1</v>
      </c>
      <c r="O524" s="62" t="str">
        <f>IF(E524="PA",IF(K524&lt;&gt;"",ISERROR(VLOOKUP(K524,ABBR!A:D,1,FALSE)),ISERROR(VLOOKUP(C524,ABBR!A:D,1,FALSE))),"")</f>
        <v/>
      </c>
      <c r="P524" t="str">
        <f>VLOOKUP(A524,Groups!A:L,5,FALSE)</f>
        <v>CMPG</v>
      </c>
      <c r="Q524" s="62" t="str">
        <f>IF(G524="PA",IF(M524&lt;&gt;"",ISERROR(VLOOKUP(M524,ABBR!C:F,1,FALSE)),ISERROR(VLOOKUP(E524,ABBR!C:F,1,FALSE))),"")</f>
        <v/>
      </c>
    </row>
    <row r="525" spans="1:17" hidden="1" x14ac:dyDescent="0.25">
      <c r="A525" s="38" t="s">
        <v>100</v>
      </c>
      <c r="B525" s="17" t="s">
        <v>594</v>
      </c>
      <c r="C525" s="48" t="s">
        <v>851</v>
      </c>
      <c r="D525" s="17" t="s">
        <v>600</v>
      </c>
      <c r="E525" s="17" t="s">
        <v>601</v>
      </c>
      <c r="F525" s="18" t="s">
        <v>852</v>
      </c>
      <c r="G525" s="49" t="s">
        <v>853</v>
      </c>
      <c r="H525" s="17">
        <v>2</v>
      </c>
      <c r="O525" s="62" t="str">
        <f>IF(E525="PA",IF(K525&lt;&gt;"",ISERROR(VLOOKUP(K525,ABBR!A:D,1,FALSE)),ISERROR(VLOOKUP(C525,ABBR!A:D,1,FALSE))),"")</f>
        <v/>
      </c>
      <c r="P525" t="str">
        <f>VLOOKUP(A525,Groups!A:L,5,FALSE)</f>
        <v>CMPG</v>
      </c>
      <c r="Q525" s="62" t="str">
        <f>IF(G525="PA",IF(M525&lt;&gt;"",ISERROR(VLOOKUP(M525,ABBR!C:F,1,FALSE)),ISERROR(VLOOKUP(E525,ABBR!C:F,1,FALSE))),"")</f>
        <v/>
      </c>
    </row>
    <row r="526" spans="1:17" hidden="1" x14ac:dyDescent="0.25">
      <c r="A526" s="38" t="s">
        <v>100</v>
      </c>
      <c r="B526" s="17" t="s">
        <v>594</v>
      </c>
      <c r="C526" s="48" t="s">
        <v>854</v>
      </c>
      <c r="D526" s="17"/>
      <c r="E526" s="17" t="s">
        <v>608</v>
      </c>
      <c r="F526" s="18" t="s">
        <v>855</v>
      </c>
      <c r="G526" s="49" t="s">
        <v>941</v>
      </c>
      <c r="H526" s="17">
        <v>3</v>
      </c>
      <c r="O526" s="62" t="str">
        <f>IF(E526="PA",IF(K526&lt;&gt;"",ISERROR(VLOOKUP(K526,ABBR!A:D,1,FALSE)),ISERROR(VLOOKUP(C526,ABBR!A:D,1,FALSE))),"")</f>
        <v/>
      </c>
      <c r="P526" t="str">
        <f>VLOOKUP(A526,Groups!A:L,5,FALSE)</f>
        <v>CMPG</v>
      </c>
      <c r="Q526" s="62" t="str">
        <f>IF(G526="PA",IF(M526&lt;&gt;"",ISERROR(VLOOKUP(M526,ABBR!C:F,1,FALSE)),ISERROR(VLOOKUP(E526,ABBR!C:F,1,FALSE))),"")</f>
        <v/>
      </c>
    </row>
    <row r="527" spans="1:17" hidden="1" x14ac:dyDescent="0.25">
      <c r="A527" s="38" t="s">
        <v>100</v>
      </c>
      <c r="B527" s="17" t="s">
        <v>594</v>
      </c>
      <c r="C527" s="16" t="s">
        <v>857</v>
      </c>
      <c r="D527" s="17"/>
      <c r="E527" s="17" t="s">
        <v>618</v>
      </c>
      <c r="F527" s="18" t="s">
        <v>858</v>
      </c>
      <c r="G527" s="49" t="s">
        <v>859</v>
      </c>
      <c r="H527" s="17">
        <v>4</v>
      </c>
      <c r="O527" s="62" t="b">
        <f>IF(E527="PA",IF(K527&lt;&gt;"",ISERROR(VLOOKUP(K527,ABBR!A:D,1,FALSE)),ISERROR(VLOOKUP(C527,ABBR!A:D,1,FALSE))),"")</f>
        <v>0</v>
      </c>
      <c r="P527" t="str">
        <f>VLOOKUP(A527,Groups!A:L,5,FALSE)</f>
        <v>CMPG</v>
      </c>
      <c r="Q527" s="62" t="str">
        <f>IF(G527="PA",IF(M527&lt;&gt;"",ISERROR(VLOOKUP(M527,ABBR!C:F,1,FALSE)),ISERROR(VLOOKUP(E527,ABBR!C:F,1,FALSE))),"")</f>
        <v/>
      </c>
    </row>
    <row r="528" spans="1:17" hidden="1" x14ac:dyDescent="0.25">
      <c r="A528" s="38" t="s">
        <v>100</v>
      </c>
      <c r="B528" s="17" t="s">
        <v>594</v>
      </c>
      <c r="C528" s="16" t="s">
        <v>860</v>
      </c>
      <c r="D528" s="17"/>
      <c r="E528" s="17" t="s">
        <v>596</v>
      </c>
      <c r="F528" s="18" t="s">
        <v>942</v>
      </c>
      <c r="G528" s="49" t="s">
        <v>862</v>
      </c>
      <c r="H528" s="17">
        <v>5</v>
      </c>
      <c r="O528" s="62" t="str">
        <f>IF(E528="PA",IF(K528&lt;&gt;"",ISERROR(VLOOKUP(K528,ABBR!A:D,1,FALSE)),ISERROR(VLOOKUP(C528,ABBR!A:D,1,FALSE))),"")</f>
        <v/>
      </c>
      <c r="P528" t="str">
        <f>VLOOKUP(A528,Groups!A:L,5,FALSE)</f>
        <v>CMPG</v>
      </c>
      <c r="Q528" s="62" t="str">
        <f>IF(G528="PA",IF(M528&lt;&gt;"",ISERROR(VLOOKUP(M528,ABBR!C:F,1,FALSE)),ISERROR(VLOOKUP(E528,ABBR!C:F,1,FALSE))),"")</f>
        <v/>
      </c>
    </row>
    <row r="529" spans="1:17" hidden="1" x14ac:dyDescent="0.25">
      <c r="A529" s="38" t="s">
        <v>100</v>
      </c>
      <c r="B529" s="17" t="s">
        <v>594</v>
      </c>
      <c r="C529" s="16" t="s">
        <v>863</v>
      </c>
      <c r="D529" s="17"/>
      <c r="E529" s="17" t="s">
        <v>608</v>
      </c>
      <c r="F529" s="18" t="s">
        <v>864</v>
      </c>
      <c r="G529" s="49" t="s">
        <v>865</v>
      </c>
      <c r="H529" s="17">
        <v>6</v>
      </c>
      <c r="O529" s="62" t="str">
        <f>IF(E529="PA",IF(K529&lt;&gt;"",ISERROR(VLOOKUP(K529,ABBR!A:D,1,FALSE)),ISERROR(VLOOKUP(C529,ABBR!A:D,1,FALSE))),"")</f>
        <v/>
      </c>
      <c r="P529" t="str">
        <f>VLOOKUP(A529,Groups!A:L,5,FALSE)</f>
        <v>CMPG</v>
      </c>
      <c r="Q529" s="62" t="str">
        <f>IF(G529="PA",IF(M529&lt;&gt;"",ISERROR(VLOOKUP(M529,ABBR!C:F,1,FALSE)),ISERROR(VLOOKUP(E529,ABBR!C:F,1,FALSE))),"")</f>
        <v/>
      </c>
    </row>
    <row r="530" spans="1:17" hidden="1" x14ac:dyDescent="0.25">
      <c r="A530" s="38" t="s">
        <v>100</v>
      </c>
      <c r="B530" s="17" t="s">
        <v>594</v>
      </c>
      <c r="C530" s="16" t="s">
        <v>866</v>
      </c>
      <c r="D530" s="17" t="s">
        <v>600</v>
      </c>
      <c r="E530" s="17" t="s">
        <v>601</v>
      </c>
      <c r="F530" s="18" t="s">
        <v>867</v>
      </c>
      <c r="G530" s="49" t="s">
        <v>853</v>
      </c>
      <c r="H530" s="17">
        <v>7</v>
      </c>
      <c r="O530" s="62" t="str">
        <f>IF(E530="PA",IF(K530&lt;&gt;"",ISERROR(VLOOKUP(K530,ABBR!A:D,1,FALSE)),ISERROR(VLOOKUP(C530,ABBR!A:D,1,FALSE))),"")</f>
        <v/>
      </c>
      <c r="P530" t="str">
        <f>VLOOKUP(A530,Groups!A:L,5,FALSE)</f>
        <v>CMPG</v>
      </c>
      <c r="Q530" s="62" t="str">
        <f>IF(G530="PA",IF(M530&lt;&gt;"",ISERROR(VLOOKUP(M530,ABBR!C:F,1,FALSE)),ISERROR(VLOOKUP(E530,ABBR!C:F,1,FALSE))),"")</f>
        <v/>
      </c>
    </row>
    <row r="531" spans="1:17" hidden="1" x14ac:dyDescent="0.25">
      <c r="A531" s="38" t="s">
        <v>100</v>
      </c>
      <c r="B531" s="17" t="s">
        <v>594</v>
      </c>
      <c r="C531" s="16" t="s">
        <v>1449</v>
      </c>
      <c r="D531" s="17"/>
      <c r="E531" s="17" t="s">
        <v>608</v>
      </c>
      <c r="F531" s="18" t="s">
        <v>1313</v>
      </c>
      <c r="G531" s="49" t="s">
        <v>631</v>
      </c>
      <c r="H531" s="17">
        <v>8</v>
      </c>
      <c r="O531" s="62" t="str">
        <f>IF(E531="PA",IF(K531&lt;&gt;"",ISERROR(VLOOKUP(K531,ABBR!A:D,1,FALSE)),ISERROR(VLOOKUP(C531,ABBR!A:D,1,FALSE))),"")</f>
        <v/>
      </c>
      <c r="P531" t="str">
        <f>VLOOKUP(A531,Groups!A:L,5,FALSE)</f>
        <v>CMPG</v>
      </c>
      <c r="Q531" s="62" t="str">
        <f>IF(G531="PA",IF(M531&lt;&gt;"",ISERROR(VLOOKUP(M531,ABBR!C:F,1,FALSE)),ISERROR(VLOOKUP(E531,ABBR!C:F,1,FALSE))),"")</f>
        <v/>
      </c>
    </row>
    <row r="532" spans="1:17" hidden="1" x14ac:dyDescent="0.25">
      <c r="A532" s="38" t="s">
        <v>100</v>
      </c>
      <c r="B532" s="17" t="s">
        <v>594</v>
      </c>
      <c r="C532" s="16" t="s">
        <v>1496</v>
      </c>
      <c r="D532" s="17"/>
      <c r="E532" s="17" t="s">
        <v>608</v>
      </c>
      <c r="F532" s="18" t="s">
        <v>1497</v>
      </c>
      <c r="G532" s="49" t="s">
        <v>631</v>
      </c>
      <c r="H532" s="17">
        <v>9</v>
      </c>
      <c r="O532" s="62" t="str">
        <f>IF(E532="PA",IF(K532&lt;&gt;"",ISERROR(VLOOKUP(K532,ABBR!A:D,1,FALSE)),ISERROR(VLOOKUP(C532,ABBR!A:D,1,FALSE))),"")</f>
        <v/>
      </c>
      <c r="P532" t="str">
        <f>VLOOKUP(A532,Groups!A:L,5,FALSE)</f>
        <v>CMPG</v>
      </c>
      <c r="Q532" s="62" t="str">
        <f>IF(G532="PA",IF(M532&lt;&gt;"",ISERROR(VLOOKUP(M532,ABBR!C:F,1,FALSE)),ISERROR(VLOOKUP(E532,ABBR!C:F,1,FALSE))),"")</f>
        <v/>
      </c>
    </row>
    <row r="533" spans="1:17" hidden="1" x14ac:dyDescent="0.25">
      <c r="A533" s="38" t="s">
        <v>100</v>
      </c>
      <c r="B533" s="17"/>
      <c r="C533" s="16" t="s">
        <v>1498</v>
      </c>
      <c r="D533" s="17" t="s">
        <v>766</v>
      </c>
      <c r="E533" s="17" t="s">
        <v>608</v>
      </c>
      <c r="F533" s="18" t="s">
        <v>1499</v>
      </c>
      <c r="G533" s="49" t="s">
        <v>1500</v>
      </c>
      <c r="H533" s="17">
        <v>10</v>
      </c>
      <c r="J533" s="62"/>
      <c r="K533" s="62"/>
      <c r="L533" s="62"/>
      <c r="M533" s="62"/>
      <c r="N533" s="62"/>
      <c r="O533" s="62" t="str">
        <f>IF(E533="PA",IF(K533&lt;&gt;"",ISERROR(VLOOKUP(K533,ABBR!A:D,1,FALSE)),ISERROR(VLOOKUP(C533,ABBR!A:D,1,FALSE))),"")</f>
        <v/>
      </c>
      <c r="P533" t="str">
        <f>VLOOKUP(A533,Groups!A:L,5,FALSE)</f>
        <v>CMPG</v>
      </c>
      <c r="Q533" s="62" t="str">
        <f>IF(G533="PA",IF(M533&lt;&gt;"",ISERROR(VLOOKUP(M533,ABBR!C:F,1,FALSE)),ISERROR(VLOOKUP(E533,ABBR!C:F,1,FALSE))),"")</f>
        <v/>
      </c>
    </row>
    <row r="534" spans="1:17" hidden="1" x14ac:dyDescent="0.25">
      <c r="A534" s="38" t="s">
        <v>100</v>
      </c>
      <c r="B534" s="17"/>
      <c r="C534" s="16" t="s">
        <v>1501</v>
      </c>
      <c r="D534" s="17" t="s">
        <v>1077</v>
      </c>
      <c r="E534" s="17" t="s">
        <v>1321</v>
      </c>
      <c r="F534" s="18" t="s">
        <v>1502</v>
      </c>
      <c r="G534" s="49" t="s">
        <v>1503</v>
      </c>
      <c r="H534" s="17">
        <v>11</v>
      </c>
      <c r="J534" s="62"/>
      <c r="K534" s="62"/>
      <c r="L534" s="62"/>
      <c r="M534" s="62"/>
      <c r="N534" s="62"/>
      <c r="O534" s="62" t="str">
        <f>IF(E534="PA",IF(K534&lt;&gt;"",ISERROR(VLOOKUP(K534,ABBR!A:D,1,FALSE)),ISERROR(VLOOKUP(C534,ABBR!A:D,1,FALSE))),"")</f>
        <v/>
      </c>
      <c r="P534" t="str">
        <f>VLOOKUP(A534,Groups!A:L,5,FALSE)</f>
        <v>CMPG</v>
      </c>
      <c r="Q534" s="62" t="str">
        <f>IF(G534="PA",IF(M534&lt;&gt;"",ISERROR(VLOOKUP(M534,ABBR!C:F,1,FALSE)),ISERROR(VLOOKUP(E534,ABBR!C:F,1,FALSE))),"")</f>
        <v/>
      </c>
    </row>
    <row r="535" spans="1:17" hidden="1" x14ac:dyDescent="0.25">
      <c r="A535" s="38" t="s">
        <v>100</v>
      </c>
      <c r="B535" s="17"/>
      <c r="C535" s="16" t="s">
        <v>1504</v>
      </c>
      <c r="D535" s="17"/>
      <c r="E535" s="17" t="s">
        <v>608</v>
      </c>
      <c r="F535" s="18" t="s">
        <v>642</v>
      </c>
      <c r="G535" s="49" t="s">
        <v>16</v>
      </c>
      <c r="H535" s="17">
        <v>12</v>
      </c>
      <c r="M535" s="101"/>
      <c r="O535" s="62" t="str">
        <f>IF(E535="PA",IF(K535&lt;&gt;"",ISERROR(VLOOKUP(K535,ABBR!A:D,1,FALSE)),ISERROR(VLOOKUP(C535,ABBR!A:D,1,FALSE))),"")</f>
        <v/>
      </c>
      <c r="P535" t="str">
        <f>VLOOKUP(A535,Groups!A:L,5,FALSE)</f>
        <v>CMPG</v>
      </c>
      <c r="Q535" s="62" t="str">
        <f>IF(G535="PA",IF(M535&lt;&gt;"",ISERROR(VLOOKUP(M535,ABBR!C:F,1,FALSE)),ISERROR(VLOOKUP(E535,ABBR!C:F,1,FALSE))),"")</f>
        <v/>
      </c>
    </row>
    <row r="536" spans="1:17" hidden="1" x14ac:dyDescent="0.25">
      <c r="A536" s="38" t="s">
        <v>100</v>
      </c>
      <c r="B536" s="17"/>
      <c r="C536" s="16" t="s">
        <v>643</v>
      </c>
      <c r="D536" s="17"/>
      <c r="E536" s="17" t="s">
        <v>608</v>
      </c>
      <c r="F536" s="18" t="s">
        <v>954</v>
      </c>
      <c r="G536" s="49" t="s">
        <v>1477</v>
      </c>
      <c r="H536" s="17">
        <v>13</v>
      </c>
      <c r="O536" s="62" t="str">
        <f>IF(E536="PA",IF(K536&lt;&gt;"",ISERROR(VLOOKUP(K536,ABBR!A:D,1,FALSE)),ISERROR(VLOOKUP(C536,ABBR!A:D,1,FALSE))),"")</f>
        <v/>
      </c>
      <c r="P536" t="str">
        <f>VLOOKUP(A536,Groups!A:L,5,FALSE)</f>
        <v>CMPG</v>
      </c>
      <c r="Q536" s="62" t="str">
        <f>IF(G536="PA",IF(M536&lt;&gt;"",ISERROR(VLOOKUP(M536,ABBR!C:F,1,FALSE)),ISERROR(VLOOKUP(E536,ABBR!C:F,1,FALSE))),"")</f>
        <v/>
      </c>
    </row>
    <row r="537" spans="1:17" hidden="1" x14ac:dyDescent="0.25">
      <c r="A537" s="38" t="s">
        <v>518</v>
      </c>
      <c r="B537" s="17" t="s">
        <v>594</v>
      </c>
      <c r="C537" s="16" t="s">
        <v>595</v>
      </c>
      <c r="D537" s="17"/>
      <c r="E537" s="17" t="s">
        <v>596</v>
      </c>
      <c r="F537" s="18" t="s">
        <v>597</v>
      </c>
      <c r="G537" s="49" t="s">
        <v>598</v>
      </c>
      <c r="H537" s="17">
        <v>1</v>
      </c>
      <c r="J537" s="62" t="s">
        <v>473</v>
      </c>
      <c r="K537" s="62"/>
      <c r="L537" s="62"/>
      <c r="M537" s="62"/>
      <c r="N537" s="62"/>
      <c r="O537" s="62" t="str">
        <f>IF(E537="PA",IF(K537&lt;&gt;"",ISERROR(VLOOKUP(K537,ABBR!A:D,1,FALSE)),ISERROR(VLOOKUP(C537,ABBR!A:D,1,FALSE))),"")</f>
        <v/>
      </c>
      <c r="P537" t="str">
        <f>VLOOKUP(A537,Groups!A:L,5,FALSE)</f>
        <v>CONS</v>
      </c>
      <c r="Q537" s="62" t="str">
        <f>IF(G537="PA",IF(M537&lt;&gt;"",ISERROR(VLOOKUP(M537,ABBR!C:F,1,FALSE)),ISERROR(VLOOKUP(E537,ABBR!C:F,1,FALSE))),"")</f>
        <v/>
      </c>
    </row>
    <row r="538" spans="1:17" hidden="1" x14ac:dyDescent="0.25">
      <c r="A538" s="38" t="s">
        <v>518</v>
      </c>
      <c r="B538" s="17" t="s">
        <v>594</v>
      </c>
      <c r="C538" s="16" t="s">
        <v>851</v>
      </c>
      <c r="D538" s="17" t="s">
        <v>600</v>
      </c>
      <c r="E538" s="17" t="s">
        <v>601</v>
      </c>
      <c r="F538" s="18" t="s">
        <v>852</v>
      </c>
      <c r="G538" s="49" t="s">
        <v>853</v>
      </c>
      <c r="H538" s="17">
        <v>2</v>
      </c>
      <c r="J538" s="62" t="s">
        <v>473</v>
      </c>
      <c r="K538" s="62"/>
      <c r="L538" s="62"/>
      <c r="M538" s="62"/>
      <c r="N538" s="62"/>
      <c r="O538" s="62" t="str">
        <f>IF(E538="PA",IF(K538&lt;&gt;"",ISERROR(VLOOKUP(K538,ABBR!A:D,1,FALSE)),ISERROR(VLOOKUP(C538,ABBR!A:D,1,FALSE))),"")</f>
        <v/>
      </c>
      <c r="P538" t="str">
        <f>VLOOKUP(A538,Groups!A:L,5,FALSE)</f>
        <v>CONS</v>
      </c>
      <c r="Q538" s="62" t="str">
        <f>IF(G538="PA",IF(M538&lt;&gt;"",ISERROR(VLOOKUP(M538,ABBR!C:F,1,FALSE)),ISERROR(VLOOKUP(E538,ABBR!C:F,1,FALSE))),"")</f>
        <v/>
      </c>
    </row>
    <row r="539" spans="1:17" hidden="1" x14ac:dyDescent="0.25">
      <c r="A539" s="38" t="s">
        <v>518</v>
      </c>
      <c r="B539" s="17" t="s">
        <v>594</v>
      </c>
      <c r="C539" s="16" t="s">
        <v>854</v>
      </c>
      <c r="D539" s="17"/>
      <c r="E539" s="17" t="s">
        <v>608</v>
      </c>
      <c r="F539" s="18" t="s">
        <v>855</v>
      </c>
      <c r="G539" s="49" t="s">
        <v>856</v>
      </c>
      <c r="H539" s="17">
        <v>3</v>
      </c>
      <c r="J539" s="62" t="s">
        <v>473</v>
      </c>
      <c r="K539" s="62"/>
      <c r="L539" s="62"/>
      <c r="M539" s="62"/>
      <c r="N539" s="62"/>
      <c r="O539" s="62" t="str">
        <f>IF(E539="PA",IF(K539&lt;&gt;"",ISERROR(VLOOKUP(K539,ABBR!A:D,1,FALSE)),ISERROR(VLOOKUP(C539,ABBR!A:D,1,FALSE))),"")</f>
        <v/>
      </c>
      <c r="P539" t="str">
        <f>VLOOKUP(A539,Groups!A:L,5,FALSE)</f>
        <v>CONS</v>
      </c>
      <c r="Q539" s="62" t="str">
        <f>IF(G539="PA",IF(M539&lt;&gt;"",ISERROR(VLOOKUP(M539,ABBR!C:F,1,FALSE)),ISERROR(VLOOKUP(E539,ABBR!C:F,1,FALSE))),"")</f>
        <v/>
      </c>
    </row>
    <row r="540" spans="1:17" hidden="1" x14ac:dyDescent="0.25">
      <c r="A540" s="38" t="s">
        <v>518</v>
      </c>
      <c r="B540" s="17" t="s">
        <v>594</v>
      </c>
      <c r="C540" s="16" t="s">
        <v>857</v>
      </c>
      <c r="D540" s="17"/>
      <c r="E540" s="17" t="s">
        <v>618</v>
      </c>
      <c r="F540" s="18" t="s">
        <v>858</v>
      </c>
      <c r="G540" s="49" t="s">
        <v>859</v>
      </c>
      <c r="H540" s="17">
        <v>4</v>
      </c>
      <c r="J540" s="62" t="s">
        <v>473</v>
      </c>
      <c r="K540" s="62"/>
      <c r="L540" s="62"/>
      <c r="M540" s="62"/>
      <c r="N540" s="62"/>
      <c r="O540" s="62" t="b">
        <f>IF(E540="PA",IF(K540&lt;&gt;"",ISERROR(VLOOKUP(K540,ABBR!A:D,1,FALSE)),ISERROR(VLOOKUP(C540,ABBR!A:D,1,FALSE))),"")</f>
        <v>0</v>
      </c>
      <c r="P540" t="str">
        <f>VLOOKUP(A540,Groups!A:L,5,FALSE)</f>
        <v>CONS</v>
      </c>
      <c r="Q540" s="62" t="str">
        <f>IF(G540="PA",IF(M540&lt;&gt;"",ISERROR(VLOOKUP(M540,ABBR!C:F,1,FALSE)),ISERROR(VLOOKUP(E540,ABBR!C:F,1,FALSE))),"")</f>
        <v/>
      </c>
    </row>
    <row r="541" spans="1:17" hidden="1" x14ac:dyDescent="0.25">
      <c r="A541" s="38" t="s">
        <v>518</v>
      </c>
      <c r="B541" s="17" t="s">
        <v>594</v>
      </c>
      <c r="C541" s="16" t="s">
        <v>860</v>
      </c>
      <c r="D541" s="17"/>
      <c r="E541" s="17" t="s">
        <v>596</v>
      </c>
      <c r="F541" s="18" t="s">
        <v>861</v>
      </c>
      <c r="G541" s="49" t="s">
        <v>862</v>
      </c>
      <c r="H541" s="17">
        <v>5</v>
      </c>
      <c r="J541" s="62" t="s">
        <v>473</v>
      </c>
      <c r="K541" s="62"/>
      <c r="L541" s="62"/>
      <c r="M541" s="62"/>
      <c r="N541" s="62"/>
      <c r="O541" s="62" t="str">
        <f>IF(E541="PA",IF(K541&lt;&gt;"",ISERROR(VLOOKUP(K541,ABBR!A:D,1,FALSE)),ISERROR(VLOOKUP(C541,ABBR!A:D,1,FALSE))),"")</f>
        <v/>
      </c>
      <c r="P541" t="str">
        <f>VLOOKUP(A541,Groups!A:L,5,FALSE)</f>
        <v>CONS</v>
      </c>
      <c r="Q541" s="62" t="str">
        <f>IF(G541="PA",IF(M541&lt;&gt;"",ISERROR(VLOOKUP(M541,ABBR!C:F,1,FALSE)),ISERROR(VLOOKUP(E541,ABBR!C:F,1,FALSE))),"")</f>
        <v/>
      </c>
    </row>
    <row r="542" spans="1:17" hidden="1" x14ac:dyDescent="0.25">
      <c r="A542" s="38" t="s">
        <v>518</v>
      </c>
      <c r="B542" s="17" t="s">
        <v>594</v>
      </c>
      <c r="C542" s="16" t="s">
        <v>863</v>
      </c>
      <c r="D542" s="17"/>
      <c r="E542" s="17" t="s">
        <v>608</v>
      </c>
      <c r="F542" s="18" t="s">
        <v>864</v>
      </c>
      <c r="G542" s="49" t="s">
        <v>865</v>
      </c>
      <c r="H542" s="17">
        <v>6</v>
      </c>
      <c r="J542" s="62" t="s">
        <v>473</v>
      </c>
      <c r="K542" s="62"/>
      <c r="L542" s="62"/>
      <c r="M542" s="62"/>
      <c r="N542" s="62"/>
      <c r="O542" s="62" t="str">
        <f>IF(E542="PA",IF(K542&lt;&gt;"",ISERROR(VLOOKUP(K542,ABBR!A:D,1,FALSE)),ISERROR(VLOOKUP(C542,ABBR!A:D,1,FALSE))),"")</f>
        <v/>
      </c>
      <c r="P542" t="str">
        <f>VLOOKUP(A542,Groups!A:L,5,FALSE)</f>
        <v>CONS</v>
      </c>
      <c r="Q542" s="62" t="str">
        <f>IF(G542="PA",IF(M542&lt;&gt;"",ISERROR(VLOOKUP(M542,ABBR!C:F,1,FALSE)),ISERROR(VLOOKUP(E542,ABBR!C:F,1,FALSE))),"")</f>
        <v/>
      </c>
    </row>
    <row r="543" spans="1:17" hidden="1" x14ac:dyDescent="0.25">
      <c r="A543" s="38" t="s">
        <v>518</v>
      </c>
      <c r="B543" s="17" t="s">
        <v>594</v>
      </c>
      <c r="C543" s="16" t="s">
        <v>866</v>
      </c>
      <c r="D543" s="17" t="s">
        <v>600</v>
      </c>
      <c r="E543" s="17" t="s">
        <v>601</v>
      </c>
      <c r="F543" s="18" t="s">
        <v>867</v>
      </c>
      <c r="G543" s="49" t="s">
        <v>853</v>
      </c>
      <c r="H543" s="17">
        <v>7</v>
      </c>
      <c r="J543" s="62" t="s">
        <v>473</v>
      </c>
      <c r="K543" s="62"/>
      <c r="L543" s="62"/>
      <c r="M543" s="62"/>
      <c r="N543" s="62"/>
      <c r="O543" s="62" t="str">
        <f>IF(E543="PA",IF(K543&lt;&gt;"",ISERROR(VLOOKUP(K543,ABBR!A:D,1,FALSE)),ISERROR(VLOOKUP(C543,ABBR!A:D,1,FALSE))),"")</f>
        <v/>
      </c>
      <c r="P543" t="str">
        <f>VLOOKUP(A543,Groups!A:L,5,FALSE)</f>
        <v>CONS</v>
      </c>
      <c r="Q543" s="62" t="str">
        <f>IF(G543="PA",IF(M543&lt;&gt;"",ISERROR(VLOOKUP(M543,ABBR!C:F,1,FALSE)),ISERROR(VLOOKUP(E543,ABBR!C:F,1,FALSE))),"")</f>
        <v/>
      </c>
    </row>
    <row r="544" spans="1:17" hidden="1" x14ac:dyDescent="0.25">
      <c r="A544" s="38" t="s">
        <v>518</v>
      </c>
      <c r="B544" s="17" t="s">
        <v>594</v>
      </c>
      <c r="C544" s="16" t="s">
        <v>1505</v>
      </c>
      <c r="D544" s="17"/>
      <c r="E544" s="17" t="s">
        <v>608</v>
      </c>
      <c r="F544" s="18" t="s">
        <v>1506</v>
      </c>
      <c r="G544" s="49" t="s">
        <v>1507</v>
      </c>
      <c r="H544" s="17">
        <v>8</v>
      </c>
      <c r="J544" s="62" t="s">
        <v>473</v>
      </c>
      <c r="K544" s="62"/>
      <c r="L544" s="62"/>
      <c r="M544" s="62"/>
      <c r="N544" s="62"/>
      <c r="O544" s="62" t="str">
        <f>IF(E544="PA",IF(K544&lt;&gt;"",ISERROR(VLOOKUP(K544,ABBR!A:D,1,FALSE)),ISERROR(VLOOKUP(C544,ABBR!A:D,1,FALSE))),"")</f>
        <v/>
      </c>
      <c r="P544" t="str">
        <f>VLOOKUP(A544,Groups!A:L,5,FALSE)</f>
        <v>CONS</v>
      </c>
      <c r="Q544" s="62" t="str">
        <f>IF(G544="PA",IF(M544&lt;&gt;"",ISERROR(VLOOKUP(M544,ABBR!C:F,1,FALSE)),ISERROR(VLOOKUP(E544,ABBR!C:F,1,FALSE))),"")</f>
        <v/>
      </c>
    </row>
    <row r="545" spans="1:17" hidden="1" x14ac:dyDescent="0.25">
      <c r="A545" s="38" t="s">
        <v>518</v>
      </c>
      <c r="B545" s="17" t="s">
        <v>594</v>
      </c>
      <c r="C545" s="16" t="s">
        <v>1508</v>
      </c>
      <c r="D545" s="17" t="s">
        <v>893</v>
      </c>
      <c r="E545" s="17" t="s">
        <v>608</v>
      </c>
      <c r="F545" s="18" t="s">
        <v>1509</v>
      </c>
      <c r="G545" s="49" t="s">
        <v>1510</v>
      </c>
      <c r="H545" s="17">
        <v>9</v>
      </c>
      <c r="J545" s="62" t="s">
        <v>473</v>
      </c>
      <c r="K545" s="62"/>
      <c r="L545" s="62"/>
      <c r="M545" s="62"/>
      <c r="N545" s="62"/>
      <c r="O545" s="62" t="str">
        <f>IF(E545="PA",IF(K545&lt;&gt;"",ISERROR(VLOOKUP(K545,ABBR!A:D,1,FALSE)),ISERROR(VLOOKUP(C545,ABBR!A:D,1,FALSE))),"")</f>
        <v/>
      </c>
      <c r="P545" t="str">
        <f>VLOOKUP(A545,Groups!A:L,5,FALSE)</f>
        <v>CONS</v>
      </c>
      <c r="Q545" s="62" t="str">
        <f>IF(G545="PA",IF(M545&lt;&gt;"",ISERROR(VLOOKUP(M545,ABBR!C:F,1,FALSE)),ISERROR(VLOOKUP(E545,ABBR!C:F,1,FALSE))),"")</f>
        <v/>
      </c>
    </row>
    <row r="546" spans="1:17" hidden="1" x14ac:dyDescent="0.25">
      <c r="A546" s="38" t="s">
        <v>518</v>
      </c>
      <c r="B546" s="17"/>
      <c r="C546" s="16" t="s">
        <v>1511</v>
      </c>
      <c r="D546" s="17" t="s">
        <v>722</v>
      </c>
      <c r="E546" s="17" t="s">
        <v>1321</v>
      </c>
      <c r="F546" s="18" t="s">
        <v>1512</v>
      </c>
      <c r="G546" s="49" t="s">
        <v>1513</v>
      </c>
      <c r="H546" s="17">
        <v>10</v>
      </c>
      <c r="J546" s="62" t="s">
        <v>473</v>
      </c>
      <c r="K546" s="62"/>
      <c r="N546" s="62"/>
      <c r="O546" s="62" t="str">
        <f>IF(E546="PA",IF(K546&lt;&gt;"",ISERROR(VLOOKUP(K546,ABBR!A:D,1,FALSE)),ISERROR(VLOOKUP(C546,ABBR!A:D,1,FALSE))),"")</f>
        <v/>
      </c>
      <c r="P546" t="str">
        <f>VLOOKUP(A546,Groups!A:L,5,FALSE)</f>
        <v>CONS</v>
      </c>
      <c r="Q546" s="62" t="str">
        <f>IF(G546="PA",IF(M546&lt;&gt;"",ISERROR(VLOOKUP(M546,ABBR!C:F,1,FALSE)),ISERROR(VLOOKUP(E546,ABBR!C:F,1,FALSE))),"")</f>
        <v/>
      </c>
    </row>
    <row r="547" spans="1:17" hidden="1" x14ac:dyDescent="0.25">
      <c r="A547" s="38" t="s">
        <v>102</v>
      </c>
      <c r="B547" s="17" t="s">
        <v>594</v>
      </c>
      <c r="C547" s="16" t="s">
        <v>595</v>
      </c>
      <c r="D547" s="17"/>
      <c r="E547" s="17" t="s">
        <v>596</v>
      </c>
      <c r="F547" s="18" t="s">
        <v>597</v>
      </c>
      <c r="G547" s="49" t="s">
        <v>598</v>
      </c>
      <c r="H547" s="17">
        <v>1</v>
      </c>
      <c r="O547" s="62" t="str">
        <f>IF(E547="PA",IF(K547&lt;&gt;"",ISERROR(VLOOKUP(K547,ABBR!A:D,1,FALSE)),ISERROR(VLOOKUP(C547,ABBR!A:D,1,FALSE))),"")</f>
        <v/>
      </c>
      <c r="P547" t="str">
        <f>VLOOKUP(A547,Groups!A:L,5,FALSE)</f>
        <v>SAMP</v>
      </c>
      <c r="Q547" s="62" t="str">
        <f>IF(G547="PA",IF(M547&lt;&gt;"",ISERROR(VLOOKUP(M547,ABBR!C:F,1,FALSE)),ISERROR(VLOOKUP(E547,ABBR!C:F,1,FALSE))),"")</f>
        <v/>
      </c>
    </row>
    <row r="548" spans="1:17" hidden="1" x14ac:dyDescent="0.25">
      <c r="A548" s="38" t="s">
        <v>102</v>
      </c>
      <c r="B548" s="17" t="s">
        <v>594</v>
      </c>
      <c r="C548" s="16" t="s">
        <v>851</v>
      </c>
      <c r="D548" s="17" t="s">
        <v>600</v>
      </c>
      <c r="E548" s="17" t="s">
        <v>601</v>
      </c>
      <c r="F548" s="18" t="s">
        <v>852</v>
      </c>
      <c r="G548" s="49" t="s">
        <v>853</v>
      </c>
      <c r="H548" s="17">
        <v>2</v>
      </c>
      <c r="O548" s="62" t="str">
        <f>IF(E548="PA",IF(K548&lt;&gt;"",ISERROR(VLOOKUP(K548,ABBR!A:D,1,FALSE)),ISERROR(VLOOKUP(C548,ABBR!A:D,1,FALSE))),"")</f>
        <v/>
      </c>
      <c r="P548" t="str">
        <f>VLOOKUP(A548,Groups!A:L,5,FALSE)</f>
        <v>SAMP</v>
      </c>
      <c r="Q548" s="62" t="str">
        <f>IF(G548="PA",IF(M548&lt;&gt;"",ISERROR(VLOOKUP(M548,ABBR!C:F,1,FALSE)),ISERROR(VLOOKUP(E548,ABBR!C:F,1,FALSE))),"")</f>
        <v/>
      </c>
    </row>
    <row r="549" spans="1:17" hidden="1" x14ac:dyDescent="0.25">
      <c r="A549" s="38" t="s">
        <v>102</v>
      </c>
      <c r="B549" s="17" t="s">
        <v>594</v>
      </c>
      <c r="C549" s="16" t="s">
        <v>854</v>
      </c>
      <c r="D549" s="17"/>
      <c r="E549" s="17" t="s">
        <v>608</v>
      </c>
      <c r="F549" s="18" t="s">
        <v>855</v>
      </c>
      <c r="G549" s="49" t="s">
        <v>941</v>
      </c>
      <c r="H549" s="17">
        <v>3</v>
      </c>
      <c r="O549" s="62" t="str">
        <f>IF(E549="PA",IF(K549&lt;&gt;"",ISERROR(VLOOKUP(K549,ABBR!A:D,1,FALSE)),ISERROR(VLOOKUP(C549,ABBR!A:D,1,FALSE))),"")</f>
        <v/>
      </c>
      <c r="P549" t="str">
        <f>VLOOKUP(A549,Groups!A:L,5,FALSE)</f>
        <v>SAMP</v>
      </c>
      <c r="Q549" s="62" t="str">
        <f>IF(G549="PA",IF(M549&lt;&gt;"",ISERROR(VLOOKUP(M549,ABBR!C:F,1,FALSE)),ISERROR(VLOOKUP(E549,ABBR!C:F,1,FALSE))),"")</f>
        <v/>
      </c>
    </row>
    <row r="550" spans="1:17" hidden="1" x14ac:dyDescent="0.25">
      <c r="A550" s="38" t="s">
        <v>102</v>
      </c>
      <c r="B550" s="17" t="s">
        <v>594</v>
      </c>
      <c r="C550" s="16" t="s">
        <v>857</v>
      </c>
      <c r="D550" s="17"/>
      <c r="E550" s="17" t="s">
        <v>618</v>
      </c>
      <c r="F550" s="18" t="s">
        <v>858</v>
      </c>
      <c r="G550" s="49" t="s">
        <v>859</v>
      </c>
      <c r="H550" s="17">
        <v>4</v>
      </c>
      <c r="O550" s="62" t="b">
        <f>IF(E550="PA",IF(K550&lt;&gt;"",ISERROR(VLOOKUP(K550,ABBR!A:D,1,FALSE)),ISERROR(VLOOKUP(C550,ABBR!A:D,1,FALSE))),"")</f>
        <v>0</v>
      </c>
      <c r="P550" t="str">
        <f>VLOOKUP(A550,Groups!A:L,5,FALSE)</f>
        <v>SAMP</v>
      </c>
      <c r="Q550" s="62" t="str">
        <f>IF(G550="PA",IF(M550&lt;&gt;"",ISERROR(VLOOKUP(M550,ABBR!C:F,1,FALSE)),ISERROR(VLOOKUP(E550,ABBR!C:F,1,FALSE))),"")</f>
        <v/>
      </c>
    </row>
    <row r="551" spans="1:17" hidden="1" x14ac:dyDescent="0.25">
      <c r="A551" s="38" t="s">
        <v>102</v>
      </c>
      <c r="B551" s="17" t="s">
        <v>594</v>
      </c>
      <c r="C551" s="16" t="s">
        <v>860</v>
      </c>
      <c r="D551" s="17"/>
      <c r="E551" s="17" t="s">
        <v>596</v>
      </c>
      <c r="F551" s="18" t="s">
        <v>942</v>
      </c>
      <c r="G551" s="49" t="s">
        <v>862</v>
      </c>
      <c r="H551" s="17">
        <v>5</v>
      </c>
      <c r="O551" s="62" t="str">
        <f>IF(E551="PA",IF(K551&lt;&gt;"",ISERROR(VLOOKUP(K551,ABBR!A:D,1,FALSE)),ISERROR(VLOOKUP(C551,ABBR!A:D,1,FALSE))),"")</f>
        <v/>
      </c>
      <c r="P551" t="str">
        <f>VLOOKUP(A551,Groups!A:L,5,FALSE)</f>
        <v>SAMP</v>
      </c>
      <c r="Q551" s="62" t="str">
        <f>IF(G551="PA",IF(M551&lt;&gt;"",ISERROR(VLOOKUP(M551,ABBR!C:F,1,FALSE)),ISERROR(VLOOKUP(E551,ABBR!C:F,1,FALSE))),"")</f>
        <v/>
      </c>
    </row>
    <row r="552" spans="1:17" hidden="1" x14ac:dyDescent="0.25">
      <c r="A552" s="38" t="s">
        <v>102</v>
      </c>
      <c r="B552" s="17" t="s">
        <v>594</v>
      </c>
      <c r="C552" s="16" t="s">
        <v>863</v>
      </c>
      <c r="D552" s="17"/>
      <c r="E552" s="17" t="s">
        <v>608</v>
      </c>
      <c r="F552" s="18" t="s">
        <v>864</v>
      </c>
      <c r="G552" s="49" t="s">
        <v>865</v>
      </c>
      <c r="H552" s="17">
        <v>6</v>
      </c>
      <c r="O552" s="62" t="str">
        <f>IF(E552="PA",IF(K552&lt;&gt;"",ISERROR(VLOOKUP(K552,ABBR!A:D,1,FALSE)),ISERROR(VLOOKUP(C552,ABBR!A:D,1,FALSE))),"")</f>
        <v/>
      </c>
      <c r="P552" t="str">
        <f>VLOOKUP(A552,Groups!A:L,5,FALSE)</f>
        <v>SAMP</v>
      </c>
      <c r="Q552" s="62" t="str">
        <f>IF(G552="PA",IF(M552&lt;&gt;"",ISERROR(VLOOKUP(M552,ABBR!C:F,1,FALSE)),ISERROR(VLOOKUP(E552,ABBR!C:F,1,FALSE))),"")</f>
        <v/>
      </c>
    </row>
    <row r="553" spans="1:17" hidden="1" x14ac:dyDescent="0.25">
      <c r="A553" s="38" t="s">
        <v>102</v>
      </c>
      <c r="B553" s="17" t="s">
        <v>594</v>
      </c>
      <c r="C553" s="16" t="s">
        <v>866</v>
      </c>
      <c r="D553" s="17" t="s">
        <v>600</v>
      </c>
      <c r="E553" s="17" t="s">
        <v>601</v>
      </c>
      <c r="F553" s="18" t="s">
        <v>867</v>
      </c>
      <c r="G553" s="49" t="s">
        <v>853</v>
      </c>
      <c r="H553" s="17">
        <v>7</v>
      </c>
      <c r="O553" s="62" t="str">
        <f>IF(E553="PA",IF(K553&lt;&gt;"",ISERROR(VLOOKUP(K553,ABBR!A:D,1,FALSE)),ISERROR(VLOOKUP(C553,ABBR!A:D,1,FALSE))),"")</f>
        <v/>
      </c>
      <c r="P553" t="str">
        <f>VLOOKUP(A553,Groups!A:L,5,FALSE)</f>
        <v>SAMP</v>
      </c>
      <c r="Q553" s="62" t="str">
        <f>IF(G553="PA",IF(M553&lt;&gt;"",ISERROR(VLOOKUP(M553,ABBR!C:F,1,FALSE)),ISERROR(VLOOKUP(E553,ABBR!C:F,1,FALSE))),"")</f>
        <v/>
      </c>
    </row>
    <row r="554" spans="1:17" hidden="1" x14ac:dyDescent="0.25">
      <c r="A554" s="38" t="s">
        <v>102</v>
      </c>
      <c r="B554" s="17"/>
      <c r="C554" s="48" t="s">
        <v>868</v>
      </c>
      <c r="D554" s="17"/>
      <c r="E554" s="17" t="s">
        <v>608</v>
      </c>
      <c r="F554" s="18" t="s">
        <v>869</v>
      </c>
      <c r="G554" s="51" t="s">
        <v>1269</v>
      </c>
      <c r="H554" s="17">
        <v>8</v>
      </c>
      <c r="O554" s="62" t="str">
        <f>IF(E554="PA",IF(K554&lt;&gt;"",ISERROR(VLOOKUP(K554,ABBR!A:D,1,FALSE)),ISERROR(VLOOKUP(C554,ABBR!A:D,1,FALSE))),"")</f>
        <v/>
      </c>
      <c r="P554" t="str">
        <f>VLOOKUP(A554,Groups!A:L,5,FALSE)</f>
        <v>SAMP</v>
      </c>
      <c r="Q554" s="62" t="str">
        <f>IF(G554="PA",IF(M554&lt;&gt;"",ISERROR(VLOOKUP(M554,ABBR!C:F,1,FALSE)),ISERROR(VLOOKUP(E554,ABBR!C:F,1,FALSE))),"")</f>
        <v/>
      </c>
    </row>
    <row r="555" spans="1:17" ht="37.5" hidden="1" x14ac:dyDescent="0.25">
      <c r="A555" s="38" t="s">
        <v>102</v>
      </c>
      <c r="B555" s="17"/>
      <c r="C555" s="48" t="s">
        <v>871</v>
      </c>
      <c r="D555" s="17"/>
      <c r="E555" s="17" t="s">
        <v>608</v>
      </c>
      <c r="F555" s="18" t="s">
        <v>872</v>
      </c>
      <c r="G555" s="49" t="s">
        <v>1514</v>
      </c>
      <c r="H555" s="17">
        <v>9</v>
      </c>
      <c r="O555" s="62" t="str">
        <f>IF(E555="PA",IF(K555&lt;&gt;"",ISERROR(VLOOKUP(K555,ABBR!A:D,1,FALSE)),ISERROR(VLOOKUP(C555,ABBR!A:D,1,FALSE))),"")</f>
        <v/>
      </c>
      <c r="P555" t="str">
        <f>VLOOKUP(A555,Groups!A:L,5,FALSE)</f>
        <v>SAMP</v>
      </c>
      <c r="Q555" s="62" t="str">
        <f>IF(G555="PA",IF(M555&lt;&gt;"",ISERROR(VLOOKUP(M555,ABBR!C:F,1,FALSE)),ISERROR(VLOOKUP(E555,ABBR!C:F,1,FALSE))),"")</f>
        <v/>
      </c>
    </row>
    <row r="556" spans="1:17" hidden="1" x14ac:dyDescent="0.25">
      <c r="A556" s="38" t="s">
        <v>102</v>
      </c>
      <c r="B556" s="17"/>
      <c r="C556" s="48" t="s">
        <v>1515</v>
      </c>
      <c r="D556" s="17"/>
      <c r="E556" s="17" t="s">
        <v>618</v>
      </c>
      <c r="F556" s="18" t="s">
        <v>1516</v>
      </c>
      <c r="G556" s="8" t="s">
        <v>1517</v>
      </c>
      <c r="H556" s="17">
        <v>10</v>
      </c>
      <c r="O556" s="62" t="b">
        <f>IF(E556="PA",IF(K556&lt;&gt;"",ISERROR(VLOOKUP(K556,ABBR!A:D,1,FALSE)),ISERROR(VLOOKUP(C556,ABBR!A:D,1,FALSE))),"")</f>
        <v>0</v>
      </c>
      <c r="P556" t="str">
        <f>VLOOKUP(A556,Groups!A:L,5,FALSE)</f>
        <v>SAMP</v>
      </c>
      <c r="Q556" s="62" t="str">
        <f>IF(G556="PA",IF(M556&lt;&gt;"",ISERROR(VLOOKUP(M556,ABBR!C:F,1,FALSE)),ISERROR(VLOOKUP(E556,ABBR!C:F,1,FALSE))),"")</f>
        <v/>
      </c>
    </row>
    <row r="557" spans="1:17" hidden="1" x14ac:dyDescent="0.25">
      <c r="A557" s="38" t="s">
        <v>102</v>
      </c>
      <c r="B557" s="17"/>
      <c r="C557" s="48" t="s">
        <v>1518</v>
      </c>
      <c r="D557" s="17"/>
      <c r="E557" s="17" t="s">
        <v>618</v>
      </c>
      <c r="F557" s="18" t="s">
        <v>1272</v>
      </c>
      <c r="G557" s="49" t="s">
        <v>1273</v>
      </c>
      <c r="H557" s="17">
        <v>11</v>
      </c>
      <c r="O557" s="62" t="b">
        <f>IF(E557="PA",IF(K557&lt;&gt;"",ISERROR(VLOOKUP(K557,ABBR!A:D,1,FALSE)),ISERROR(VLOOKUP(C557,ABBR!A:D,1,FALSE))),"")</f>
        <v>0</v>
      </c>
      <c r="P557" t="str">
        <f>VLOOKUP(A557,Groups!A:L,5,FALSE)</f>
        <v>SAMP</v>
      </c>
      <c r="Q557" s="62" t="str">
        <f>IF(G557="PA",IF(M557&lt;&gt;"",ISERROR(VLOOKUP(M557,ABBR!C:F,1,FALSE)),ISERROR(VLOOKUP(E557,ABBR!C:F,1,FALSE))),"")</f>
        <v/>
      </c>
    </row>
    <row r="558" spans="1:17" hidden="1" x14ac:dyDescent="0.25">
      <c r="A558" s="38" t="s">
        <v>102</v>
      </c>
      <c r="B558" s="17"/>
      <c r="C558" s="48" t="s">
        <v>1519</v>
      </c>
      <c r="D558" s="17" t="s">
        <v>722</v>
      </c>
      <c r="E558" s="17" t="s">
        <v>601</v>
      </c>
      <c r="F558" s="18" t="s">
        <v>1520</v>
      </c>
      <c r="G558" s="49" t="s">
        <v>1521</v>
      </c>
      <c r="H558" s="17">
        <v>12</v>
      </c>
      <c r="O558" s="62" t="str">
        <f>IF(E558="PA",IF(K558&lt;&gt;"",ISERROR(VLOOKUP(K558,ABBR!A:D,1,FALSE)),ISERROR(VLOOKUP(C558,ABBR!A:D,1,FALSE))),"")</f>
        <v/>
      </c>
      <c r="P558" t="str">
        <f>VLOOKUP(A558,Groups!A:L,5,FALSE)</f>
        <v>SAMP</v>
      </c>
      <c r="Q558" s="62" t="str">
        <f>IF(G558="PA",IF(M558&lt;&gt;"",ISERROR(VLOOKUP(M558,ABBR!C:F,1,FALSE)),ISERROR(VLOOKUP(E558,ABBR!C:F,1,FALSE))),"")</f>
        <v/>
      </c>
    </row>
    <row r="559" spans="1:17" hidden="1" x14ac:dyDescent="0.25">
      <c r="A559" s="38" t="s">
        <v>102</v>
      </c>
      <c r="B559" s="17"/>
      <c r="C559" s="48" t="s">
        <v>1522</v>
      </c>
      <c r="D559" s="17" t="s">
        <v>722</v>
      </c>
      <c r="E559" s="17" t="s">
        <v>601</v>
      </c>
      <c r="F559" s="16" t="s">
        <v>1523</v>
      </c>
      <c r="G559" s="8">
        <v>19.25</v>
      </c>
      <c r="H559" s="17">
        <v>13</v>
      </c>
      <c r="O559" s="62" t="str">
        <f>IF(E559="PA",IF(K559&lt;&gt;"",ISERROR(VLOOKUP(K559,ABBR!A:D,1,FALSE)),ISERROR(VLOOKUP(C559,ABBR!A:D,1,FALSE))),"")</f>
        <v/>
      </c>
      <c r="P559" t="str">
        <f>VLOOKUP(A559,Groups!A:L,5,FALSE)</f>
        <v>SAMP</v>
      </c>
      <c r="Q559" s="62" t="str">
        <f>IF(G559="PA",IF(M559&lt;&gt;"",ISERROR(VLOOKUP(M559,ABBR!C:F,1,FALSE)),ISERROR(VLOOKUP(E559,ABBR!C:F,1,FALSE))),"")</f>
        <v/>
      </c>
    </row>
    <row r="560" spans="1:17" hidden="1" x14ac:dyDescent="0.25">
      <c r="A560" s="38" t="s">
        <v>102</v>
      </c>
      <c r="B560" s="17"/>
      <c r="C560" s="16" t="s">
        <v>1524</v>
      </c>
      <c r="D560" s="17" t="s">
        <v>766</v>
      </c>
      <c r="E560" s="17" t="s">
        <v>608</v>
      </c>
      <c r="F560" s="18" t="s">
        <v>1336</v>
      </c>
      <c r="G560" s="49" t="s">
        <v>1525</v>
      </c>
      <c r="H560" s="17">
        <v>14</v>
      </c>
      <c r="O560" s="62" t="str">
        <f>IF(E560="PA",IF(K560&lt;&gt;"",ISERROR(VLOOKUP(K560,ABBR!A:D,1,FALSE)),ISERROR(VLOOKUP(C560,ABBR!A:D,1,FALSE))),"")</f>
        <v/>
      </c>
      <c r="P560" t="str">
        <f>VLOOKUP(A560,Groups!A:L,5,FALSE)</f>
        <v>SAMP</v>
      </c>
      <c r="Q560" s="62" t="str">
        <f>IF(G560="PA",IF(M560&lt;&gt;"",ISERROR(VLOOKUP(M560,ABBR!C:F,1,FALSE)),ISERROR(VLOOKUP(E560,ABBR!C:F,1,FALSE))),"")</f>
        <v/>
      </c>
    </row>
    <row r="561" spans="1:17" hidden="1" x14ac:dyDescent="0.25">
      <c r="A561" s="38" t="s">
        <v>102</v>
      </c>
      <c r="B561" s="17"/>
      <c r="C561" s="16" t="s">
        <v>1526</v>
      </c>
      <c r="D561" s="17" t="s">
        <v>766</v>
      </c>
      <c r="E561" s="17" t="s">
        <v>608</v>
      </c>
      <c r="F561" s="18" t="s">
        <v>1527</v>
      </c>
      <c r="G561" s="49" t="s">
        <v>1528</v>
      </c>
      <c r="H561" s="17">
        <v>15</v>
      </c>
      <c r="O561" s="62" t="str">
        <f>IF(E561="PA",IF(K561&lt;&gt;"",ISERROR(VLOOKUP(K561,ABBR!A:D,1,FALSE)),ISERROR(VLOOKUP(C561,ABBR!A:D,1,FALSE))),"")</f>
        <v/>
      </c>
      <c r="P561" t="str">
        <f>VLOOKUP(A561,Groups!A:L,5,FALSE)</f>
        <v>SAMP</v>
      </c>
      <c r="Q561" s="62" t="str">
        <f>IF(G561="PA",IF(M561&lt;&gt;"",ISERROR(VLOOKUP(M561,ABBR!C:F,1,FALSE)),ISERROR(VLOOKUP(E561,ABBR!C:F,1,FALSE))),"")</f>
        <v/>
      </c>
    </row>
    <row r="562" spans="1:17" hidden="1" x14ac:dyDescent="0.25">
      <c r="A562" s="38" t="s">
        <v>102</v>
      </c>
      <c r="B562" s="17"/>
      <c r="C562" s="16" t="s">
        <v>1529</v>
      </c>
      <c r="D562" s="17" t="s">
        <v>1077</v>
      </c>
      <c r="E562" s="17" t="s">
        <v>601</v>
      </c>
      <c r="F562" s="18" t="s">
        <v>1339</v>
      </c>
      <c r="G562" s="49" t="s">
        <v>1530</v>
      </c>
      <c r="H562" s="17">
        <v>16</v>
      </c>
      <c r="O562" s="62" t="str">
        <f>IF(E562="PA",IF(K562&lt;&gt;"",ISERROR(VLOOKUP(K562,ABBR!A:D,1,FALSE)),ISERROR(VLOOKUP(C562,ABBR!A:D,1,FALSE))),"")</f>
        <v/>
      </c>
      <c r="P562" t="str">
        <f>VLOOKUP(A562,Groups!A:L,5,FALSE)</f>
        <v>SAMP</v>
      </c>
      <c r="Q562" s="62" t="str">
        <f>IF(G562="PA",IF(M562&lt;&gt;"",ISERROR(VLOOKUP(M562,ABBR!C:F,1,FALSE)),ISERROR(VLOOKUP(E562,ABBR!C:F,1,FALSE))),"")</f>
        <v/>
      </c>
    </row>
    <row r="563" spans="1:17" hidden="1" x14ac:dyDescent="0.25">
      <c r="A563" s="38" t="s">
        <v>102</v>
      </c>
      <c r="B563" s="17"/>
      <c r="C563" s="16" t="s">
        <v>1531</v>
      </c>
      <c r="D563" s="17" t="s">
        <v>1077</v>
      </c>
      <c r="E563" s="17" t="s">
        <v>601</v>
      </c>
      <c r="F563" s="18" t="s">
        <v>1532</v>
      </c>
      <c r="G563" s="49" t="s">
        <v>1533</v>
      </c>
      <c r="H563" s="17">
        <v>17</v>
      </c>
      <c r="O563" s="62" t="str">
        <f>IF(E563="PA",IF(K563&lt;&gt;"",ISERROR(VLOOKUP(K563,ABBR!A:D,1,FALSE)),ISERROR(VLOOKUP(C563,ABBR!A:D,1,FALSE))),"")</f>
        <v/>
      </c>
      <c r="P563" t="str">
        <f>VLOOKUP(A563,Groups!A:L,5,FALSE)</f>
        <v>SAMP</v>
      </c>
      <c r="Q563" s="62" t="str">
        <f>IF(G563="PA",IF(M563&lt;&gt;"",ISERROR(VLOOKUP(M563,ABBR!C:F,1,FALSE)),ISERROR(VLOOKUP(E563,ABBR!C:F,1,FALSE))),"")</f>
        <v/>
      </c>
    </row>
    <row r="564" spans="1:17" hidden="1" x14ac:dyDescent="0.25">
      <c r="A564" s="38" t="s">
        <v>102</v>
      </c>
      <c r="B564" s="17"/>
      <c r="C564" s="16" t="s">
        <v>1534</v>
      </c>
      <c r="D564" s="17" t="s">
        <v>1077</v>
      </c>
      <c r="E564" s="17" t="s">
        <v>1391</v>
      </c>
      <c r="F564" s="18" t="s">
        <v>1462</v>
      </c>
      <c r="G564" s="49" t="s">
        <v>1463</v>
      </c>
      <c r="H564" s="17">
        <v>18</v>
      </c>
      <c r="O564" s="62" t="str">
        <f>IF(E564="PA",IF(K564&lt;&gt;"",ISERROR(VLOOKUP(K564,ABBR!A:D,1,FALSE)),ISERROR(VLOOKUP(C564,ABBR!A:D,1,FALSE))),"")</f>
        <v/>
      </c>
      <c r="P564" t="str">
        <f>VLOOKUP(A564,Groups!A:L,5,FALSE)</f>
        <v>SAMP</v>
      </c>
      <c r="Q564" s="62" t="str">
        <f>IF(G564="PA",IF(M564&lt;&gt;"",ISERROR(VLOOKUP(M564,ABBR!C:F,1,FALSE)),ISERROR(VLOOKUP(E564,ABBR!C:F,1,FALSE))),"")</f>
        <v/>
      </c>
    </row>
    <row r="565" spans="1:17" hidden="1" x14ac:dyDescent="0.25">
      <c r="A565" s="38" t="s">
        <v>102</v>
      </c>
      <c r="B565" s="17"/>
      <c r="C565" s="16" t="s">
        <v>1535</v>
      </c>
      <c r="D565" s="17" t="s">
        <v>766</v>
      </c>
      <c r="E565" s="17" t="s">
        <v>767</v>
      </c>
      <c r="F565" s="18" t="s">
        <v>1536</v>
      </c>
      <c r="G565" s="49" t="s">
        <v>1537</v>
      </c>
      <c r="H565" s="17">
        <v>19</v>
      </c>
      <c r="O565" s="62" t="str">
        <f>IF(E565="PA",IF(K565&lt;&gt;"",ISERROR(VLOOKUP(K565,ABBR!A:D,1,FALSE)),ISERROR(VLOOKUP(C565,ABBR!A:D,1,FALSE))),"")</f>
        <v/>
      </c>
      <c r="P565" t="str">
        <f>VLOOKUP(A565,Groups!A:L,5,FALSE)</f>
        <v>SAMP</v>
      </c>
      <c r="Q565" s="62" t="str">
        <f>IF(G565="PA",IF(M565&lt;&gt;"",ISERROR(VLOOKUP(M565,ABBR!C:F,1,FALSE)),ISERROR(VLOOKUP(E565,ABBR!C:F,1,FALSE))),"")</f>
        <v/>
      </c>
    </row>
    <row r="566" spans="1:17" hidden="1" x14ac:dyDescent="0.25">
      <c r="A566" s="38" t="s">
        <v>102</v>
      </c>
      <c r="B566" s="17"/>
      <c r="C566" s="16" t="s">
        <v>1538</v>
      </c>
      <c r="D566" s="17" t="s">
        <v>1345</v>
      </c>
      <c r="E566" s="17" t="s">
        <v>882</v>
      </c>
      <c r="F566" s="18" t="s">
        <v>1539</v>
      </c>
      <c r="G566" s="49" t="s">
        <v>1116</v>
      </c>
      <c r="H566" s="17">
        <v>20</v>
      </c>
      <c r="O566" s="62" t="str">
        <f>IF(E566="PA",IF(K566&lt;&gt;"",ISERROR(VLOOKUP(K566,ABBR!A:D,1,FALSE)),ISERROR(VLOOKUP(C566,ABBR!A:D,1,FALSE))),"")</f>
        <v/>
      </c>
      <c r="P566" t="str">
        <f>VLOOKUP(A566,Groups!A:L,5,FALSE)</f>
        <v>SAMP</v>
      </c>
      <c r="Q566" s="62" t="str">
        <f>IF(G566="PA",IF(M566&lt;&gt;"",ISERROR(VLOOKUP(M566,ABBR!C:F,1,FALSE)),ISERROR(VLOOKUP(E566,ABBR!C:F,1,FALSE))),"")</f>
        <v/>
      </c>
    </row>
    <row r="567" spans="1:17" ht="37.5" hidden="1" x14ac:dyDescent="0.25">
      <c r="A567" s="38" t="s">
        <v>102</v>
      </c>
      <c r="B567" s="17"/>
      <c r="C567" s="16" t="s">
        <v>1540</v>
      </c>
      <c r="D567" s="17" t="s">
        <v>766</v>
      </c>
      <c r="E567" s="17" t="s">
        <v>723</v>
      </c>
      <c r="F567" s="18" t="s">
        <v>1541</v>
      </c>
      <c r="G567" s="49" t="s">
        <v>1542</v>
      </c>
      <c r="H567" s="17">
        <v>21</v>
      </c>
      <c r="O567" s="62" t="str">
        <f>IF(E567="PA",IF(K567&lt;&gt;"",ISERROR(VLOOKUP(K567,ABBR!A:D,1,FALSE)),ISERROR(VLOOKUP(C567,ABBR!A:D,1,FALSE))),"")</f>
        <v/>
      </c>
      <c r="P567" t="str">
        <f>VLOOKUP(A567,Groups!A:L,5,FALSE)</f>
        <v>SAMP</v>
      </c>
      <c r="Q567" s="62" t="str">
        <f>IF(G567="PA",IF(M567&lt;&gt;"",ISERROR(VLOOKUP(M567,ABBR!C:F,1,FALSE)),ISERROR(VLOOKUP(E567,ABBR!C:F,1,FALSE))),"")</f>
        <v/>
      </c>
    </row>
    <row r="568" spans="1:17" hidden="1" x14ac:dyDescent="0.25">
      <c r="A568" s="38" t="s">
        <v>102</v>
      </c>
      <c r="B568" s="17"/>
      <c r="C568" s="16" t="s">
        <v>1543</v>
      </c>
      <c r="D568" s="17"/>
      <c r="E568" s="17" t="s">
        <v>1321</v>
      </c>
      <c r="F568" s="18" t="s">
        <v>1544</v>
      </c>
      <c r="G568" s="49" t="s">
        <v>1545</v>
      </c>
      <c r="H568" s="17">
        <v>22</v>
      </c>
      <c r="O568" s="62" t="str">
        <f>IF(E568="PA",IF(K568&lt;&gt;"",ISERROR(VLOOKUP(K568,ABBR!A:D,1,FALSE)),ISERROR(VLOOKUP(C568,ABBR!A:D,1,FALSE))),"")</f>
        <v/>
      </c>
      <c r="P568" t="str">
        <f>VLOOKUP(A568,Groups!A:L,5,FALSE)</f>
        <v>SAMP</v>
      </c>
      <c r="Q568" s="62" t="str">
        <f>IF(G568="PA",IF(M568&lt;&gt;"",ISERROR(VLOOKUP(M568,ABBR!C:F,1,FALSE)),ISERROR(VLOOKUP(E568,ABBR!C:F,1,FALSE))),"")</f>
        <v/>
      </c>
    </row>
    <row r="569" spans="1:17" ht="25" hidden="1" x14ac:dyDescent="0.25">
      <c r="A569" s="38" t="s">
        <v>102</v>
      </c>
      <c r="B569" s="17"/>
      <c r="C569" s="16" t="s">
        <v>1546</v>
      </c>
      <c r="D569" s="17"/>
      <c r="E569" s="17" t="s">
        <v>608</v>
      </c>
      <c r="F569" s="18" t="s">
        <v>1287</v>
      </c>
      <c r="G569" s="49" t="s">
        <v>1547</v>
      </c>
      <c r="H569" s="17">
        <v>23</v>
      </c>
      <c r="O569" s="62" t="str">
        <f>IF(E569="PA",IF(K569&lt;&gt;"",ISERROR(VLOOKUP(K569,ABBR!A:D,1,FALSE)),ISERROR(VLOOKUP(C569,ABBR!A:D,1,FALSE))),"")</f>
        <v/>
      </c>
      <c r="P569" t="str">
        <f>VLOOKUP(A569,Groups!A:L,5,FALSE)</f>
        <v>SAMP</v>
      </c>
      <c r="Q569" s="62" t="str">
        <f>IF(G569="PA",IF(M569&lt;&gt;"",ISERROR(VLOOKUP(M569,ABBR!C:F,1,FALSE)),ISERROR(VLOOKUP(E569,ABBR!C:F,1,FALSE))),"")</f>
        <v/>
      </c>
    </row>
    <row r="570" spans="1:17" hidden="1" x14ac:dyDescent="0.25">
      <c r="A570" s="16" t="s">
        <v>102</v>
      </c>
      <c r="B570" s="17"/>
      <c r="C570" s="16" t="s">
        <v>1548</v>
      </c>
      <c r="D570" s="17"/>
      <c r="E570" s="17" t="s">
        <v>608</v>
      </c>
      <c r="F570" s="18" t="s">
        <v>918</v>
      </c>
      <c r="G570" s="49" t="s">
        <v>1549</v>
      </c>
      <c r="H570" s="17">
        <v>24</v>
      </c>
      <c r="O570" s="62" t="str">
        <f>IF(E570="PA",IF(K570&lt;&gt;"",ISERROR(VLOOKUP(K570,ABBR!A:D,1,FALSE)),ISERROR(VLOOKUP(C570,ABBR!A:D,1,FALSE))),"")</f>
        <v/>
      </c>
      <c r="P570" t="str">
        <f>VLOOKUP(A570,Groups!A:L,5,FALSE)</f>
        <v>SAMP</v>
      </c>
      <c r="Q570" s="62" t="str">
        <f>IF(G570="PA",IF(M570&lt;&gt;"",ISERROR(VLOOKUP(M570,ABBR!C:F,1,FALSE)),ISERROR(VLOOKUP(E570,ABBR!C:F,1,FALSE))),"")</f>
        <v/>
      </c>
    </row>
    <row r="571" spans="1:17" hidden="1" x14ac:dyDescent="0.25">
      <c r="A571" s="16" t="s">
        <v>102</v>
      </c>
      <c r="B571" s="17"/>
      <c r="C571" s="16" t="s">
        <v>1550</v>
      </c>
      <c r="D571" s="17"/>
      <c r="E571" s="17" t="s">
        <v>608</v>
      </c>
      <c r="F571" s="18" t="s">
        <v>950</v>
      </c>
      <c r="G571" s="27" t="s">
        <v>951</v>
      </c>
      <c r="H571" s="17">
        <v>25</v>
      </c>
      <c r="O571" s="62" t="str">
        <f>IF(E571="PA",IF(K571&lt;&gt;"",ISERROR(VLOOKUP(K571,ABBR!A:D,1,FALSE)),ISERROR(VLOOKUP(C571,ABBR!A:D,1,FALSE))),"")</f>
        <v/>
      </c>
      <c r="P571" t="str">
        <f>VLOOKUP(A571,Groups!A:L,5,FALSE)</f>
        <v>SAMP</v>
      </c>
      <c r="Q571" s="62" t="str">
        <f>IF(G571="PA",IF(M571&lt;&gt;"",ISERROR(VLOOKUP(M571,ABBR!C:F,1,FALSE)),ISERROR(VLOOKUP(E571,ABBR!C:F,1,FALSE))),"")</f>
        <v/>
      </c>
    </row>
    <row r="572" spans="1:17" ht="25" hidden="1" x14ac:dyDescent="0.25">
      <c r="A572" s="16" t="s">
        <v>102</v>
      </c>
      <c r="B572" s="17"/>
      <c r="C572" s="16" t="s">
        <v>1551</v>
      </c>
      <c r="D572" s="17"/>
      <c r="E572" s="17" t="s">
        <v>608</v>
      </c>
      <c r="F572" s="18" t="s">
        <v>934</v>
      </c>
      <c r="G572" s="49" t="s">
        <v>953</v>
      </c>
      <c r="H572" s="17">
        <v>26</v>
      </c>
      <c r="O572" s="62" t="str">
        <f>IF(E572="PA",IF(K572&lt;&gt;"",ISERROR(VLOOKUP(K572,ABBR!A:D,1,FALSE)),ISERROR(VLOOKUP(C572,ABBR!A:D,1,FALSE))),"")</f>
        <v/>
      </c>
      <c r="P572" t="str">
        <f>VLOOKUP(A572,Groups!A:L,5,FALSE)</f>
        <v>SAMP</v>
      </c>
      <c r="Q572" s="62" t="str">
        <f>IF(G572="PA",IF(M572&lt;&gt;"",ISERROR(VLOOKUP(M572,ABBR!C:F,1,FALSE)),ISERROR(VLOOKUP(E572,ABBR!C:F,1,FALSE))),"")</f>
        <v/>
      </c>
    </row>
    <row r="573" spans="1:17" hidden="1" x14ac:dyDescent="0.25">
      <c r="A573" s="16" t="s">
        <v>102</v>
      </c>
      <c r="B573" s="17"/>
      <c r="C573" s="16" t="s">
        <v>936</v>
      </c>
      <c r="D573" s="17"/>
      <c r="E573" s="22" t="s">
        <v>608</v>
      </c>
      <c r="F573" s="18" t="s">
        <v>937</v>
      </c>
      <c r="G573" s="49" t="s">
        <v>938</v>
      </c>
      <c r="H573" s="17">
        <v>27</v>
      </c>
      <c r="O573" s="62" t="str">
        <f>IF(E573="PA",IF(K573&lt;&gt;"",ISERROR(VLOOKUP(K573,ABBR!A:D,1,FALSE)),ISERROR(VLOOKUP(C573,ABBR!A:D,1,FALSE))),"")</f>
        <v/>
      </c>
      <c r="P573" t="str">
        <f>VLOOKUP(A573,Groups!A:L,5,FALSE)</f>
        <v>SAMP</v>
      </c>
      <c r="Q573" s="62" t="str">
        <f>IF(G573="PA",IF(M573&lt;&gt;"",ISERROR(VLOOKUP(M573,ABBR!C:F,1,FALSE)),ISERROR(VLOOKUP(E573,ABBR!C:F,1,FALSE))),"")</f>
        <v/>
      </c>
    </row>
    <row r="574" spans="1:17" hidden="1" x14ac:dyDescent="0.25">
      <c r="A574" s="16" t="s">
        <v>102</v>
      </c>
      <c r="B574" s="17"/>
      <c r="C574" s="16" t="s">
        <v>643</v>
      </c>
      <c r="D574" s="17"/>
      <c r="E574" s="17" t="s">
        <v>608</v>
      </c>
      <c r="F574" s="18" t="s">
        <v>1294</v>
      </c>
      <c r="G574" s="49" t="s">
        <v>1552</v>
      </c>
      <c r="H574" s="17">
        <v>28</v>
      </c>
      <c r="O574" s="62" t="str">
        <f>IF(E574="PA",IF(K574&lt;&gt;"",ISERROR(VLOOKUP(K574,ABBR!A:D,1,FALSE)),ISERROR(VLOOKUP(C574,ABBR!A:D,1,FALSE))),"")</f>
        <v/>
      </c>
      <c r="P574" t="str">
        <f>VLOOKUP(A574,Groups!A:L,5,FALSE)</f>
        <v>SAMP</v>
      </c>
      <c r="Q574" s="62" t="str">
        <f>IF(G574="PA",IF(M574&lt;&gt;"",ISERROR(VLOOKUP(M574,ABBR!C:F,1,FALSE)),ISERROR(VLOOKUP(E574,ABBR!C:F,1,FALSE))),"")</f>
        <v/>
      </c>
    </row>
    <row r="575" spans="1:17" hidden="1" x14ac:dyDescent="0.25">
      <c r="A575" s="16" t="s">
        <v>102</v>
      </c>
      <c r="B575" s="17"/>
      <c r="C575" s="16" t="s">
        <v>877</v>
      </c>
      <c r="D575" s="17" t="s">
        <v>600</v>
      </c>
      <c r="E575" s="17" t="s">
        <v>601</v>
      </c>
      <c r="F575" s="18" t="s">
        <v>878</v>
      </c>
      <c r="G575" s="49" t="s">
        <v>879</v>
      </c>
      <c r="H575" s="17">
        <v>29</v>
      </c>
      <c r="I575" s="30" t="s">
        <v>955</v>
      </c>
      <c r="J575" s="80">
        <v>4.0999999999999996</v>
      </c>
      <c r="O575" s="62" t="str">
        <f>IF(E575="PA",IF(K575&lt;&gt;"",ISERROR(VLOOKUP(K575,ABBR!A:D,1,FALSE)),ISERROR(VLOOKUP(C575,ABBR!A:D,1,FALSE))),"")</f>
        <v/>
      </c>
      <c r="P575" t="str">
        <f>VLOOKUP(A575,Groups!A:L,5,FALSE)</f>
        <v>SAMP</v>
      </c>
      <c r="Q575" s="62" t="str">
        <f>IF(G575="PA",IF(M575&lt;&gt;"",ISERROR(VLOOKUP(M575,ABBR!C:F,1,FALSE)),ISERROR(VLOOKUP(E575,ABBR!C:F,1,FALSE))),"")</f>
        <v/>
      </c>
    </row>
    <row r="576" spans="1:17" ht="25" hidden="1" x14ac:dyDescent="0.25">
      <c r="A576" s="16" t="s">
        <v>102</v>
      </c>
      <c r="B576" s="17"/>
      <c r="C576" s="16" t="s">
        <v>1553</v>
      </c>
      <c r="D576" s="17"/>
      <c r="E576" s="17" t="s">
        <v>608</v>
      </c>
      <c r="F576" s="18" t="s">
        <v>1554</v>
      </c>
      <c r="G576" s="49" t="s">
        <v>1555</v>
      </c>
      <c r="H576" s="17">
        <v>30</v>
      </c>
      <c r="I576" s="30" t="s">
        <v>955</v>
      </c>
      <c r="J576" s="80">
        <v>4.0999999999999996</v>
      </c>
      <c r="O576" s="62" t="str">
        <f>IF(E576="PA",IF(K576&lt;&gt;"",ISERROR(VLOOKUP(K576,ABBR!A:D,1,FALSE)),ISERROR(VLOOKUP(C576,ABBR!A:D,1,FALSE))),"")</f>
        <v/>
      </c>
      <c r="P576" t="str">
        <f>VLOOKUP(A576,Groups!A:L,5,FALSE)</f>
        <v>SAMP</v>
      </c>
      <c r="Q576" s="62" t="str">
        <f>IF(G576="PA",IF(M576&lt;&gt;"",ISERROR(VLOOKUP(M576,ABBR!C:F,1,FALSE)),ISERROR(VLOOKUP(E576,ABBR!C:F,1,FALSE))),"")</f>
        <v/>
      </c>
    </row>
    <row r="577" spans="1:17" hidden="1" x14ac:dyDescent="0.25">
      <c r="A577" s="16" t="s">
        <v>102</v>
      </c>
      <c r="B577" s="17"/>
      <c r="C577" s="16" t="s">
        <v>1556</v>
      </c>
      <c r="D577" s="17"/>
      <c r="E577" s="17" t="s">
        <v>608</v>
      </c>
      <c r="F577" s="18" t="s">
        <v>1557</v>
      </c>
      <c r="G577" s="49" t="s">
        <v>1558</v>
      </c>
      <c r="H577" s="17">
        <v>31</v>
      </c>
      <c r="I577" s="30" t="s">
        <v>955</v>
      </c>
      <c r="J577" s="80">
        <v>4.0999999999999996</v>
      </c>
      <c r="O577" s="62" t="str">
        <f>IF(E577="PA",IF(K577&lt;&gt;"",ISERROR(VLOOKUP(K577,ABBR!A:D,1,FALSE)),ISERROR(VLOOKUP(C577,ABBR!A:D,1,FALSE))),"")</f>
        <v/>
      </c>
      <c r="P577" t="str">
        <f>VLOOKUP(A577,Groups!A:L,5,FALSE)</f>
        <v>SAMP</v>
      </c>
      <c r="Q577" s="62" t="str">
        <f>IF(G577="PA",IF(M577&lt;&gt;"",ISERROR(VLOOKUP(M577,ABBR!C:F,1,FALSE)),ISERROR(VLOOKUP(E577,ABBR!C:F,1,FALSE))),"")</f>
        <v/>
      </c>
    </row>
    <row r="578" spans="1:17" hidden="1" x14ac:dyDescent="0.25">
      <c r="A578" s="16" t="s">
        <v>102</v>
      </c>
      <c r="B578" s="17"/>
      <c r="C578" s="16" t="s">
        <v>1559</v>
      </c>
      <c r="D578" s="17"/>
      <c r="E578" s="17" t="s">
        <v>674</v>
      </c>
      <c r="F578" s="18" t="s">
        <v>1560</v>
      </c>
      <c r="G578" s="49" t="s">
        <v>677</v>
      </c>
      <c r="H578" s="17">
        <v>32</v>
      </c>
      <c r="I578" s="30" t="s">
        <v>955</v>
      </c>
      <c r="J578" s="80">
        <v>4.0999999999999996</v>
      </c>
      <c r="O578" s="62" t="str">
        <f>IF(E578="PA",IF(K578&lt;&gt;"",ISERROR(VLOOKUP(K578,ABBR!A:D,1,FALSE)),ISERROR(VLOOKUP(C578,ABBR!A:D,1,FALSE))),"")</f>
        <v/>
      </c>
      <c r="P578" t="str">
        <f>VLOOKUP(A578,Groups!A:L,5,FALSE)</f>
        <v>SAMP</v>
      </c>
      <c r="Q578" s="62" t="str">
        <f>IF(G578="PA",IF(M578&lt;&gt;"",ISERROR(VLOOKUP(M578,ABBR!C:F,1,FALSE)),ISERROR(VLOOKUP(E578,ABBR!C:F,1,FALSE))),"")</f>
        <v/>
      </c>
    </row>
    <row r="579" spans="1:17" hidden="1" x14ac:dyDescent="0.25">
      <c r="A579" s="16" t="s">
        <v>102</v>
      </c>
      <c r="B579" s="17"/>
      <c r="C579" s="16" t="s">
        <v>1561</v>
      </c>
      <c r="D579" s="17" t="s">
        <v>1345</v>
      </c>
      <c r="E579" s="17" t="s">
        <v>767</v>
      </c>
      <c r="F579" s="18" t="s">
        <v>1562</v>
      </c>
      <c r="G579" s="49" t="s">
        <v>1563</v>
      </c>
      <c r="H579" s="17">
        <v>33</v>
      </c>
      <c r="J579" s="62" t="s">
        <v>558</v>
      </c>
      <c r="K579" s="62"/>
      <c r="M579" s="62"/>
      <c r="N579" s="62"/>
      <c r="O579" s="62" t="str">
        <f>IF(E579="PA",IF(K579&lt;&gt;"",ISERROR(VLOOKUP(K579,ABBR!A:D,1,FALSE)),ISERROR(VLOOKUP(C579,ABBR!A:D,1,FALSE))),"")</f>
        <v/>
      </c>
      <c r="P579" t="str">
        <f>VLOOKUP(A579,Groups!A:L,5,FALSE)</f>
        <v>SAMP</v>
      </c>
      <c r="Q579" s="62" t="str">
        <f>IF(G579="PA",IF(M579&lt;&gt;"",ISERROR(VLOOKUP(M579,ABBR!C:F,1,FALSE)),ISERROR(VLOOKUP(E579,ABBR!C:F,1,FALSE))),"")</f>
        <v/>
      </c>
    </row>
    <row r="580" spans="1:17" hidden="1" x14ac:dyDescent="0.25">
      <c r="A580" s="16" t="s">
        <v>102</v>
      </c>
      <c r="B580" s="17"/>
      <c r="C580" s="16" t="s">
        <v>1564</v>
      </c>
      <c r="D580" s="17" t="s">
        <v>924</v>
      </c>
      <c r="E580" s="17" t="s">
        <v>925</v>
      </c>
      <c r="F580" s="18" t="s">
        <v>926</v>
      </c>
      <c r="G580" s="49" t="s">
        <v>927</v>
      </c>
      <c r="H580" s="17">
        <v>34</v>
      </c>
      <c r="J580" s="62" t="s">
        <v>473</v>
      </c>
      <c r="K580" s="62"/>
      <c r="M580" s="62"/>
      <c r="N580" s="62"/>
      <c r="O580" s="62" t="str">
        <f>IF(E580="PA",IF(K580&lt;&gt;"",ISERROR(VLOOKUP(K580,ABBR!A:D,1,FALSE)),ISERROR(VLOOKUP(C580,ABBR!A:D,1,FALSE))),"")</f>
        <v/>
      </c>
      <c r="P580" t="str">
        <f>VLOOKUP(A580,Groups!A:L,5,FALSE)</f>
        <v>SAMP</v>
      </c>
      <c r="Q580" s="62" t="str">
        <f>IF(G580="PA",IF(M580&lt;&gt;"",ISERROR(VLOOKUP(M580,ABBR!C:F,1,FALSE)),ISERROR(VLOOKUP(E580,ABBR!C:F,1,FALSE))),"")</f>
        <v/>
      </c>
    </row>
    <row r="581" spans="1:17" hidden="1" x14ac:dyDescent="0.25">
      <c r="A581" s="16" t="s">
        <v>102</v>
      </c>
      <c r="B581" s="17"/>
      <c r="C581" s="16" t="s">
        <v>1565</v>
      </c>
      <c r="D581" s="17"/>
      <c r="E581" s="17" t="s">
        <v>608</v>
      </c>
      <c r="F581" s="18" t="s">
        <v>875</v>
      </c>
      <c r="G581" s="49" t="s">
        <v>876</v>
      </c>
      <c r="H581" s="17">
        <v>35</v>
      </c>
      <c r="J581" s="62" t="s">
        <v>473</v>
      </c>
      <c r="K581" s="62"/>
      <c r="M581" s="62"/>
      <c r="N581" s="62"/>
      <c r="O581" s="62" t="str">
        <f>IF(E581="PA",IF(K581&lt;&gt;"",ISERROR(VLOOKUP(K581,ABBR!A:D,1,FALSE)),ISERROR(VLOOKUP(C581,ABBR!A:D,1,FALSE))),"")</f>
        <v/>
      </c>
      <c r="P581" t="str">
        <f>VLOOKUP(A581,Groups!A:L,5,FALSE)</f>
        <v>SAMP</v>
      </c>
      <c r="Q581" s="62" t="str">
        <f>IF(G581="PA",IF(M581&lt;&gt;"",ISERROR(VLOOKUP(M581,ABBR!C:F,1,FALSE)),ISERROR(VLOOKUP(E581,ABBR!C:F,1,FALSE))),"")</f>
        <v/>
      </c>
    </row>
    <row r="582" spans="1:17" hidden="1" x14ac:dyDescent="0.25">
      <c r="A582" s="16" t="s">
        <v>102</v>
      </c>
      <c r="B582" s="17"/>
      <c r="C582" s="16" t="s">
        <v>1566</v>
      </c>
      <c r="D582" s="17"/>
      <c r="E582" s="17" t="s">
        <v>608</v>
      </c>
      <c r="F582" s="18" t="s">
        <v>929</v>
      </c>
      <c r="G582" s="49" t="s">
        <v>876</v>
      </c>
      <c r="H582" s="17">
        <v>36</v>
      </c>
      <c r="J582" s="62" t="s">
        <v>473</v>
      </c>
      <c r="K582" s="62"/>
      <c r="M582" s="62"/>
      <c r="N582" s="62"/>
      <c r="O582" s="62" t="str">
        <f>IF(E582="PA",IF(K582&lt;&gt;"",ISERROR(VLOOKUP(K582,ABBR!A:D,1,FALSE)),ISERROR(VLOOKUP(C582,ABBR!A:D,1,FALSE))),"")</f>
        <v/>
      </c>
      <c r="P582" t="str">
        <f>VLOOKUP(A582,Groups!A:L,5,FALSE)</f>
        <v>SAMP</v>
      </c>
      <c r="Q582" s="62" t="str">
        <f>IF(G582="PA",IF(M582&lt;&gt;"",ISERROR(VLOOKUP(M582,ABBR!C:F,1,FALSE)),ISERROR(VLOOKUP(E582,ABBR!C:F,1,FALSE))),"")</f>
        <v/>
      </c>
    </row>
    <row r="583" spans="1:17" hidden="1" x14ac:dyDescent="0.25">
      <c r="A583" s="16" t="s">
        <v>104</v>
      </c>
      <c r="B583" s="17" t="s">
        <v>594</v>
      </c>
      <c r="C583" s="16" t="s">
        <v>595</v>
      </c>
      <c r="D583" s="17"/>
      <c r="E583" s="17" t="s">
        <v>596</v>
      </c>
      <c r="F583" s="18" t="s">
        <v>597</v>
      </c>
      <c r="G583" s="49" t="s">
        <v>598</v>
      </c>
      <c r="H583" s="17">
        <v>1</v>
      </c>
      <c r="O583" s="62" t="str">
        <f>IF(E583="PA",IF(K583&lt;&gt;"",ISERROR(VLOOKUP(K583,ABBR!A:D,1,FALSE)),ISERROR(VLOOKUP(C583,ABBR!A:D,1,FALSE))),"")</f>
        <v/>
      </c>
      <c r="P583" t="str">
        <f>VLOOKUP(A583,Groups!A:L,5,FALSE)</f>
        <v>CONG</v>
      </c>
      <c r="Q583" s="62" t="str">
        <f>IF(G583="PA",IF(M583&lt;&gt;"",ISERROR(VLOOKUP(M583,ABBR!C:F,1,FALSE)),ISERROR(VLOOKUP(E583,ABBR!C:F,1,FALSE))),"")</f>
        <v/>
      </c>
    </row>
    <row r="584" spans="1:17" hidden="1" x14ac:dyDescent="0.25">
      <c r="A584" s="16" t="s">
        <v>104</v>
      </c>
      <c r="B584" s="17" t="s">
        <v>594</v>
      </c>
      <c r="C584" s="16" t="s">
        <v>851</v>
      </c>
      <c r="D584" s="17" t="s">
        <v>600</v>
      </c>
      <c r="E584" s="17" t="s">
        <v>601</v>
      </c>
      <c r="F584" s="18" t="s">
        <v>852</v>
      </c>
      <c r="G584" s="49" t="s">
        <v>853</v>
      </c>
      <c r="H584" s="17">
        <v>2</v>
      </c>
      <c r="O584" s="62" t="str">
        <f>IF(E584="PA",IF(K584&lt;&gt;"",ISERROR(VLOOKUP(K584,ABBR!A:D,1,FALSE)),ISERROR(VLOOKUP(C584,ABBR!A:D,1,FALSE))),"")</f>
        <v/>
      </c>
      <c r="P584" t="str">
        <f>VLOOKUP(A584,Groups!A:L,5,FALSE)</f>
        <v>CONG</v>
      </c>
      <c r="Q584" s="62" t="str">
        <f>IF(G584="PA",IF(M584&lt;&gt;"",ISERROR(VLOOKUP(M584,ABBR!C:F,1,FALSE)),ISERROR(VLOOKUP(E584,ABBR!C:F,1,FALSE))),"")</f>
        <v/>
      </c>
    </row>
    <row r="585" spans="1:17" hidden="1" x14ac:dyDescent="0.25">
      <c r="A585" s="16" t="s">
        <v>104</v>
      </c>
      <c r="B585" s="17" t="s">
        <v>594</v>
      </c>
      <c r="C585" s="16" t="s">
        <v>854</v>
      </c>
      <c r="D585" s="17"/>
      <c r="E585" s="17" t="s">
        <v>608</v>
      </c>
      <c r="F585" s="18" t="s">
        <v>855</v>
      </c>
      <c r="G585" s="49" t="s">
        <v>941</v>
      </c>
      <c r="H585" s="17">
        <v>3</v>
      </c>
      <c r="O585" s="62" t="str">
        <f>IF(E585="PA",IF(K585&lt;&gt;"",ISERROR(VLOOKUP(K585,ABBR!A:D,1,FALSE)),ISERROR(VLOOKUP(C585,ABBR!A:D,1,FALSE))),"")</f>
        <v/>
      </c>
      <c r="P585" t="str">
        <f>VLOOKUP(A585,Groups!A:L,5,FALSE)</f>
        <v>CONG</v>
      </c>
      <c r="Q585" s="62" t="str">
        <f>IF(G585="PA",IF(M585&lt;&gt;"",ISERROR(VLOOKUP(M585,ABBR!C:F,1,FALSE)),ISERROR(VLOOKUP(E585,ABBR!C:F,1,FALSE))),"")</f>
        <v/>
      </c>
    </row>
    <row r="586" spans="1:17" hidden="1" x14ac:dyDescent="0.25">
      <c r="A586" s="16" t="s">
        <v>104</v>
      </c>
      <c r="B586" s="17" t="s">
        <v>594</v>
      </c>
      <c r="C586" s="16" t="s">
        <v>857</v>
      </c>
      <c r="D586" s="17"/>
      <c r="E586" s="17" t="s">
        <v>618</v>
      </c>
      <c r="F586" s="18" t="s">
        <v>858</v>
      </c>
      <c r="G586" s="49" t="s">
        <v>859</v>
      </c>
      <c r="H586" s="17">
        <v>4</v>
      </c>
      <c r="O586" s="62" t="b">
        <f>IF(E586="PA",IF(K586&lt;&gt;"",ISERROR(VLOOKUP(K586,ABBR!A:D,1,FALSE)),ISERROR(VLOOKUP(C586,ABBR!A:D,1,FALSE))),"")</f>
        <v>0</v>
      </c>
      <c r="P586" t="str">
        <f>VLOOKUP(A586,Groups!A:L,5,FALSE)</f>
        <v>CONG</v>
      </c>
      <c r="Q586" s="62" t="str">
        <f>IF(G586="PA",IF(M586&lt;&gt;"",ISERROR(VLOOKUP(M586,ABBR!C:F,1,FALSE)),ISERROR(VLOOKUP(E586,ABBR!C:F,1,FALSE))),"")</f>
        <v/>
      </c>
    </row>
    <row r="587" spans="1:17" hidden="1" x14ac:dyDescent="0.25">
      <c r="A587" s="16" t="s">
        <v>104</v>
      </c>
      <c r="B587" s="17" t="s">
        <v>594</v>
      </c>
      <c r="C587" s="16" t="s">
        <v>860</v>
      </c>
      <c r="D587" s="17"/>
      <c r="E587" s="17" t="s">
        <v>596</v>
      </c>
      <c r="F587" s="18" t="s">
        <v>942</v>
      </c>
      <c r="G587" s="49" t="s">
        <v>862</v>
      </c>
      <c r="H587" s="17">
        <v>5</v>
      </c>
      <c r="O587" s="62" t="str">
        <f>IF(E587="PA",IF(K587&lt;&gt;"",ISERROR(VLOOKUP(K587,ABBR!A:D,1,FALSE)),ISERROR(VLOOKUP(C587,ABBR!A:D,1,FALSE))),"")</f>
        <v/>
      </c>
      <c r="P587" t="str">
        <f>VLOOKUP(A587,Groups!A:L,5,FALSE)</f>
        <v>CONG</v>
      </c>
      <c r="Q587" s="62" t="str">
        <f>IF(G587="PA",IF(M587&lt;&gt;"",ISERROR(VLOOKUP(M587,ABBR!C:F,1,FALSE)),ISERROR(VLOOKUP(E587,ABBR!C:F,1,FALSE))),"")</f>
        <v/>
      </c>
    </row>
    <row r="588" spans="1:17" hidden="1" x14ac:dyDescent="0.25">
      <c r="A588" s="16" t="s">
        <v>104</v>
      </c>
      <c r="B588" s="17" t="s">
        <v>594</v>
      </c>
      <c r="C588" s="16" t="s">
        <v>863</v>
      </c>
      <c r="D588" s="17"/>
      <c r="E588" s="17" t="s">
        <v>608</v>
      </c>
      <c r="F588" s="18" t="s">
        <v>864</v>
      </c>
      <c r="G588" s="49" t="s">
        <v>865</v>
      </c>
      <c r="H588" s="17">
        <v>6</v>
      </c>
      <c r="O588" s="62" t="str">
        <f>IF(E588="PA",IF(K588&lt;&gt;"",ISERROR(VLOOKUP(K588,ABBR!A:D,1,FALSE)),ISERROR(VLOOKUP(C588,ABBR!A:D,1,FALSE))),"")</f>
        <v/>
      </c>
      <c r="P588" t="str">
        <f>VLOOKUP(A588,Groups!A:L,5,FALSE)</f>
        <v>CONG</v>
      </c>
      <c r="Q588" s="62" t="str">
        <f>IF(G588="PA",IF(M588&lt;&gt;"",ISERROR(VLOOKUP(M588,ABBR!C:F,1,FALSE)),ISERROR(VLOOKUP(E588,ABBR!C:F,1,FALSE))),"")</f>
        <v/>
      </c>
    </row>
    <row r="589" spans="1:17" hidden="1" x14ac:dyDescent="0.25">
      <c r="A589" s="16" t="s">
        <v>104</v>
      </c>
      <c r="B589" s="17" t="s">
        <v>594</v>
      </c>
      <c r="C589" s="16" t="s">
        <v>866</v>
      </c>
      <c r="D589" s="17" t="s">
        <v>600</v>
      </c>
      <c r="E589" s="17" t="s">
        <v>601</v>
      </c>
      <c r="F589" s="18" t="s">
        <v>867</v>
      </c>
      <c r="G589" s="49" t="s">
        <v>853</v>
      </c>
      <c r="H589" s="17">
        <v>7</v>
      </c>
      <c r="O589" s="62" t="str">
        <f>IF(E589="PA",IF(K589&lt;&gt;"",ISERROR(VLOOKUP(K589,ABBR!A:D,1,FALSE)),ISERROR(VLOOKUP(C589,ABBR!A:D,1,FALSE))),"")</f>
        <v/>
      </c>
      <c r="P589" t="str">
        <f>VLOOKUP(A589,Groups!A:L,5,FALSE)</f>
        <v>CONG</v>
      </c>
      <c r="Q589" s="62" t="str">
        <f>IF(G589="PA",IF(M589&lt;&gt;"",ISERROR(VLOOKUP(M589,ABBR!C:F,1,FALSE)),ISERROR(VLOOKUP(E589,ABBR!C:F,1,FALSE))),"")</f>
        <v/>
      </c>
    </row>
    <row r="590" spans="1:17" hidden="1" x14ac:dyDescent="0.25">
      <c r="A590" s="16" t="s">
        <v>104</v>
      </c>
      <c r="B590" s="17" t="s">
        <v>594</v>
      </c>
      <c r="C590" s="16" t="s">
        <v>1505</v>
      </c>
      <c r="D590" s="17"/>
      <c r="E590" s="17" t="s">
        <v>608</v>
      </c>
      <c r="F590" s="18" t="s">
        <v>1567</v>
      </c>
      <c r="G590" s="49" t="s">
        <v>1507</v>
      </c>
      <c r="H590" s="17">
        <v>8</v>
      </c>
      <c r="O590" s="62" t="str">
        <f>IF(E590="PA",IF(K590&lt;&gt;"",ISERROR(VLOOKUP(K590,ABBR!A:D,1,FALSE)),ISERROR(VLOOKUP(C590,ABBR!A:D,1,FALSE))),"")</f>
        <v/>
      </c>
      <c r="P590" t="str">
        <f>VLOOKUP(A590,Groups!A:L,5,FALSE)</f>
        <v>CONG</v>
      </c>
      <c r="Q590" s="62" t="str">
        <f>IF(G590="PA",IF(M590&lt;&gt;"",ISERROR(VLOOKUP(M590,ABBR!C:F,1,FALSE)),ISERROR(VLOOKUP(E590,ABBR!C:F,1,FALSE))),"")</f>
        <v/>
      </c>
    </row>
    <row r="591" spans="1:17" hidden="1" x14ac:dyDescent="0.25">
      <c r="A591" s="16" t="s">
        <v>104</v>
      </c>
      <c r="B591" s="17"/>
      <c r="C591" s="16" t="s">
        <v>1568</v>
      </c>
      <c r="D591" s="17"/>
      <c r="E591" s="17" t="s">
        <v>1321</v>
      </c>
      <c r="F591" s="18" t="s">
        <v>1569</v>
      </c>
      <c r="G591" s="49" t="s">
        <v>1545</v>
      </c>
      <c r="H591" s="17">
        <v>9</v>
      </c>
      <c r="O591" s="62" t="str">
        <f>IF(E591="PA",IF(K591&lt;&gt;"",ISERROR(VLOOKUP(K591,ABBR!A:D,1,FALSE)),ISERROR(VLOOKUP(C591,ABBR!A:D,1,FALSE))),"")</f>
        <v/>
      </c>
      <c r="P591" t="str">
        <f>VLOOKUP(A591,Groups!A:L,5,FALSE)</f>
        <v>CONG</v>
      </c>
      <c r="Q591" s="62" t="str">
        <f>IF(G591="PA",IF(M591&lt;&gt;"",ISERROR(VLOOKUP(M591,ABBR!C:F,1,FALSE)),ISERROR(VLOOKUP(E591,ABBR!C:F,1,FALSE))),"")</f>
        <v/>
      </c>
    </row>
    <row r="592" spans="1:17" hidden="1" x14ac:dyDescent="0.25">
      <c r="A592" s="16" t="s">
        <v>104</v>
      </c>
      <c r="B592" s="17"/>
      <c r="C592" s="16" t="s">
        <v>1570</v>
      </c>
      <c r="D592" s="17" t="s">
        <v>1345</v>
      </c>
      <c r="E592" s="17" t="s">
        <v>767</v>
      </c>
      <c r="F592" s="18" t="s">
        <v>1571</v>
      </c>
      <c r="G592" s="49" t="s">
        <v>1572</v>
      </c>
      <c r="H592" s="17">
        <v>10</v>
      </c>
      <c r="O592" s="62" t="str">
        <f>IF(E592="PA",IF(K592&lt;&gt;"",ISERROR(VLOOKUP(K592,ABBR!A:D,1,FALSE)),ISERROR(VLOOKUP(C592,ABBR!A:D,1,FALSE))),"")</f>
        <v/>
      </c>
      <c r="P592" t="str">
        <f>VLOOKUP(A592,Groups!A:L,5,FALSE)</f>
        <v>CONG</v>
      </c>
      <c r="Q592" s="62" t="str">
        <f>IF(G592="PA",IF(M592&lt;&gt;"",ISERROR(VLOOKUP(M592,ABBR!C:F,1,FALSE)),ISERROR(VLOOKUP(E592,ABBR!C:F,1,FALSE))),"")</f>
        <v/>
      </c>
    </row>
    <row r="593" spans="1:17" hidden="1" x14ac:dyDescent="0.25">
      <c r="A593" s="16" t="s">
        <v>104</v>
      </c>
      <c r="B593" s="17"/>
      <c r="C593" s="16" t="s">
        <v>1573</v>
      </c>
      <c r="D593" s="17"/>
      <c r="E593" s="17" t="s">
        <v>1321</v>
      </c>
      <c r="F593" s="18" t="s">
        <v>1574</v>
      </c>
      <c r="G593" s="49" t="s">
        <v>1575</v>
      </c>
      <c r="H593" s="17">
        <v>11</v>
      </c>
      <c r="I593" s="30" t="s">
        <v>1576</v>
      </c>
      <c r="O593" s="62" t="str">
        <f>IF(E593="PA",IF(K593&lt;&gt;"",ISERROR(VLOOKUP(K593,ABBR!A:D,1,FALSE)),ISERROR(VLOOKUP(C593,ABBR!A:D,1,FALSE))),"")</f>
        <v/>
      </c>
      <c r="P593" t="str">
        <f>VLOOKUP(A593,Groups!A:L,5,FALSE)</f>
        <v>CONG</v>
      </c>
      <c r="Q593" s="62" t="str">
        <f>IF(G593="PA",IF(M593&lt;&gt;"",ISERROR(VLOOKUP(M593,ABBR!C:F,1,FALSE)),ISERROR(VLOOKUP(E593,ABBR!C:F,1,FALSE))),"")</f>
        <v/>
      </c>
    </row>
    <row r="594" spans="1:17" ht="25" hidden="1" x14ac:dyDescent="0.25">
      <c r="A594" s="16" t="s">
        <v>104</v>
      </c>
      <c r="B594" s="17"/>
      <c r="C594" s="16" t="s">
        <v>1577</v>
      </c>
      <c r="D594" s="17" t="s">
        <v>1578</v>
      </c>
      <c r="E594" s="17" t="s">
        <v>882</v>
      </c>
      <c r="F594" s="18" t="s">
        <v>1579</v>
      </c>
      <c r="G594" s="49" t="s">
        <v>1580</v>
      </c>
      <c r="H594" s="17">
        <v>12</v>
      </c>
      <c r="O594" s="62" t="str">
        <f>IF(E594="PA",IF(K594&lt;&gt;"",ISERROR(VLOOKUP(K594,ABBR!A:D,1,FALSE)),ISERROR(VLOOKUP(C594,ABBR!A:D,1,FALSE))),"")</f>
        <v/>
      </c>
      <c r="P594" t="str">
        <f>VLOOKUP(A594,Groups!A:L,5,FALSE)</f>
        <v>CONG</v>
      </c>
      <c r="Q594" s="62" t="str">
        <f>IF(G594="PA",IF(M594&lt;&gt;"",ISERROR(VLOOKUP(M594,ABBR!C:F,1,FALSE)),ISERROR(VLOOKUP(E594,ABBR!C:F,1,FALSE))),"")</f>
        <v/>
      </c>
    </row>
    <row r="595" spans="1:17" ht="25" hidden="1" x14ac:dyDescent="0.25">
      <c r="A595" s="16" t="s">
        <v>104</v>
      </c>
      <c r="B595" s="17"/>
      <c r="C595" s="16" t="s">
        <v>1581</v>
      </c>
      <c r="D595" s="17"/>
      <c r="E595" s="17" t="s">
        <v>882</v>
      </c>
      <c r="F595" s="18" t="s">
        <v>1582</v>
      </c>
      <c r="G595" s="49" t="s">
        <v>1583</v>
      </c>
      <c r="H595" s="17">
        <v>13</v>
      </c>
      <c r="O595" s="62" t="str">
        <f>IF(E595="PA",IF(K595&lt;&gt;"",ISERROR(VLOOKUP(K595,ABBR!A:D,1,FALSE)),ISERROR(VLOOKUP(C595,ABBR!A:D,1,FALSE))),"")</f>
        <v/>
      </c>
      <c r="P595" t="str">
        <f>VLOOKUP(A595,Groups!A:L,5,FALSE)</f>
        <v>CONG</v>
      </c>
      <c r="Q595" s="62" t="str">
        <f>IF(G595="PA",IF(M595&lt;&gt;"",ISERROR(VLOOKUP(M595,ABBR!C:F,1,FALSE)),ISERROR(VLOOKUP(E595,ABBR!C:F,1,FALSE))),"")</f>
        <v/>
      </c>
    </row>
    <row r="596" spans="1:17" ht="25" hidden="1" x14ac:dyDescent="0.25">
      <c r="A596" s="16" t="s">
        <v>104</v>
      </c>
      <c r="B596" s="17"/>
      <c r="C596" s="16" t="s">
        <v>1584</v>
      </c>
      <c r="D596" s="17" t="s">
        <v>1585</v>
      </c>
      <c r="E596" s="17" t="s">
        <v>882</v>
      </c>
      <c r="F596" s="18" t="s">
        <v>1586</v>
      </c>
      <c r="G596" s="49" t="s">
        <v>1489</v>
      </c>
      <c r="H596" s="17">
        <v>14</v>
      </c>
      <c r="O596" s="62" t="str">
        <f>IF(E596="PA",IF(K596&lt;&gt;"",ISERROR(VLOOKUP(K596,ABBR!A:D,1,FALSE)),ISERROR(VLOOKUP(C596,ABBR!A:D,1,FALSE))),"")</f>
        <v/>
      </c>
      <c r="P596" t="str">
        <f>VLOOKUP(A596,Groups!A:L,5,FALSE)</f>
        <v>CONG</v>
      </c>
      <c r="Q596" s="62" t="str">
        <f>IF(G596="PA",IF(M596&lt;&gt;"",ISERROR(VLOOKUP(M596,ABBR!C:F,1,FALSE)),ISERROR(VLOOKUP(E596,ABBR!C:F,1,FALSE))),"")</f>
        <v/>
      </c>
    </row>
    <row r="597" spans="1:17" ht="25" hidden="1" x14ac:dyDescent="0.25">
      <c r="A597" s="16" t="s">
        <v>104</v>
      </c>
      <c r="B597" s="17"/>
      <c r="C597" s="16" t="s">
        <v>1587</v>
      </c>
      <c r="D597" s="17" t="s">
        <v>1585</v>
      </c>
      <c r="E597" s="17" t="s">
        <v>882</v>
      </c>
      <c r="F597" s="18" t="s">
        <v>1588</v>
      </c>
      <c r="G597" s="49" t="s">
        <v>884</v>
      </c>
      <c r="H597" s="17">
        <v>15</v>
      </c>
      <c r="O597" s="62" t="str">
        <f>IF(E597="PA",IF(K597&lt;&gt;"",ISERROR(VLOOKUP(K597,ABBR!A:D,1,FALSE)),ISERROR(VLOOKUP(C597,ABBR!A:D,1,FALSE))),"")</f>
        <v/>
      </c>
      <c r="P597" t="str">
        <f>VLOOKUP(A597,Groups!A:L,5,FALSE)</f>
        <v>CONG</v>
      </c>
      <c r="Q597" s="62" t="str">
        <f>IF(G597="PA",IF(M597&lt;&gt;"",ISERROR(VLOOKUP(M597,ABBR!C:F,1,FALSE)),ISERROR(VLOOKUP(E597,ABBR!C:F,1,FALSE))),"")</f>
        <v/>
      </c>
    </row>
    <row r="598" spans="1:17" hidden="1" x14ac:dyDescent="0.25">
      <c r="A598" s="16" t="s">
        <v>104</v>
      </c>
      <c r="B598" s="17"/>
      <c r="C598" s="16" t="s">
        <v>1589</v>
      </c>
      <c r="D598" s="17" t="s">
        <v>1590</v>
      </c>
      <c r="E598" s="17" t="s">
        <v>723</v>
      </c>
      <c r="F598" s="18" t="s">
        <v>1591</v>
      </c>
      <c r="G598" s="49" t="s">
        <v>1592</v>
      </c>
      <c r="H598" s="17">
        <v>16</v>
      </c>
      <c r="O598" s="62" t="str">
        <f>IF(E598="PA",IF(K598&lt;&gt;"",ISERROR(VLOOKUP(K598,ABBR!A:D,1,FALSE)),ISERROR(VLOOKUP(C598,ABBR!A:D,1,FALSE))),"")</f>
        <v/>
      </c>
      <c r="P598" t="str">
        <f>VLOOKUP(A598,Groups!A:L,5,FALSE)</f>
        <v>CONG</v>
      </c>
      <c r="Q598" s="62" t="str">
        <f>IF(G598="PA",IF(M598&lt;&gt;"",ISERROR(VLOOKUP(M598,ABBR!C:F,1,FALSE)),ISERROR(VLOOKUP(E598,ABBR!C:F,1,FALSE))),"")</f>
        <v/>
      </c>
    </row>
    <row r="599" spans="1:17" hidden="1" x14ac:dyDescent="0.25">
      <c r="A599" s="16" t="s">
        <v>104</v>
      </c>
      <c r="B599" s="17"/>
      <c r="C599" s="16" t="s">
        <v>1593</v>
      </c>
      <c r="D599" s="17"/>
      <c r="E599" s="17" t="s">
        <v>608</v>
      </c>
      <c r="F599" s="18" t="s">
        <v>642</v>
      </c>
      <c r="G599" s="49" t="s">
        <v>16</v>
      </c>
      <c r="H599" s="17">
        <v>17</v>
      </c>
      <c r="M599" s="101"/>
      <c r="O599" s="62" t="str">
        <f>IF(E599="PA",IF(K599&lt;&gt;"",ISERROR(VLOOKUP(K599,ABBR!A:D,1,FALSE)),ISERROR(VLOOKUP(C599,ABBR!A:D,1,FALSE))),"")</f>
        <v/>
      </c>
      <c r="P599" t="str">
        <f>VLOOKUP(A599,Groups!A:L,5,FALSE)</f>
        <v>CONG</v>
      </c>
      <c r="Q599" s="62" t="str">
        <f>IF(G599="PA",IF(M599&lt;&gt;"",ISERROR(VLOOKUP(M599,ABBR!C:F,1,FALSE)),ISERROR(VLOOKUP(E599,ABBR!C:F,1,FALSE))),"")</f>
        <v/>
      </c>
    </row>
    <row r="600" spans="1:17" hidden="1" x14ac:dyDescent="0.25">
      <c r="A600" s="16" t="s">
        <v>104</v>
      </c>
      <c r="B600" s="17"/>
      <c r="C600" s="16" t="s">
        <v>643</v>
      </c>
      <c r="D600" s="17"/>
      <c r="E600" s="17" t="s">
        <v>608</v>
      </c>
      <c r="F600" s="18" t="s">
        <v>954</v>
      </c>
      <c r="G600" s="49" t="s">
        <v>1552</v>
      </c>
      <c r="H600" s="17">
        <v>18</v>
      </c>
      <c r="O600" s="62" t="str">
        <f>IF(E600="PA",IF(K600&lt;&gt;"",ISERROR(VLOOKUP(K600,ABBR!A:D,1,FALSE)),ISERROR(VLOOKUP(C600,ABBR!A:D,1,FALSE))),"")</f>
        <v/>
      </c>
      <c r="P600" t="str">
        <f>VLOOKUP(A600,Groups!A:L,5,FALSE)</f>
        <v>CONG</v>
      </c>
      <c r="Q600" s="62" t="str">
        <f>IF(G600="PA",IF(M600&lt;&gt;"",ISERROR(VLOOKUP(M600,ABBR!C:F,1,FALSE)),ISERROR(VLOOKUP(E600,ABBR!C:F,1,FALSE))),"")</f>
        <v/>
      </c>
    </row>
    <row r="601" spans="1:17" hidden="1" x14ac:dyDescent="0.25">
      <c r="A601" s="16" t="s">
        <v>108</v>
      </c>
      <c r="B601" s="17" t="s">
        <v>594</v>
      </c>
      <c r="C601" s="16" t="s">
        <v>595</v>
      </c>
      <c r="D601" s="17"/>
      <c r="E601" s="17" t="s">
        <v>596</v>
      </c>
      <c r="F601" s="18" t="s">
        <v>597</v>
      </c>
      <c r="G601" s="49" t="s">
        <v>598</v>
      </c>
      <c r="H601" s="17">
        <v>1</v>
      </c>
      <c r="O601" s="62" t="str">
        <f>IF(E601="PA",IF(K601&lt;&gt;"",ISERROR(VLOOKUP(K601,ABBR!A:D,1,FALSE)),ISERROR(VLOOKUP(C601,ABBR!A:D,1,FALSE))),"")</f>
        <v/>
      </c>
      <c r="P601" t="str">
        <f>VLOOKUP(A601,Groups!A:L,5,FALSE)</f>
        <v>LOCA</v>
      </c>
      <c r="Q601" s="62" t="str">
        <f>IF(G601="PA",IF(M601&lt;&gt;"",ISERROR(VLOOKUP(M601,ABBR!C:F,1,FALSE)),ISERROR(VLOOKUP(E601,ABBR!C:F,1,FALSE))),"")</f>
        <v/>
      </c>
    </row>
    <row r="602" spans="1:17" hidden="1" x14ac:dyDescent="0.25">
      <c r="A602" s="16" t="s">
        <v>108</v>
      </c>
      <c r="B602" s="17" t="s">
        <v>594</v>
      </c>
      <c r="C602" s="16" t="s">
        <v>1594</v>
      </c>
      <c r="D602" s="17" t="s">
        <v>600</v>
      </c>
      <c r="E602" s="17" t="s">
        <v>601</v>
      </c>
      <c r="F602" s="18" t="s">
        <v>1595</v>
      </c>
      <c r="G602" s="49" t="s">
        <v>1596</v>
      </c>
      <c r="H602" s="17">
        <v>2</v>
      </c>
      <c r="O602" s="62" t="str">
        <f>IF(E602="PA",IF(K602&lt;&gt;"",ISERROR(VLOOKUP(K602,ABBR!A:D,1,FALSE)),ISERROR(VLOOKUP(C602,ABBR!A:D,1,FALSE))),"")</f>
        <v/>
      </c>
      <c r="P602" t="str">
        <f>VLOOKUP(A602,Groups!A:L,5,FALSE)</f>
        <v>LOCA</v>
      </c>
      <c r="Q602" s="62" t="str">
        <f>IF(G602="PA",IF(M602&lt;&gt;"",ISERROR(VLOOKUP(M602,ABBR!C:F,1,FALSE)),ISERROR(VLOOKUP(E602,ABBR!C:F,1,FALSE))),"")</f>
        <v/>
      </c>
    </row>
    <row r="603" spans="1:17" hidden="1" x14ac:dyDescent="0.25">
      <c r="A603" s="16" t="s">
        <v>108</v>
      </c>
      <c r="B603" s="17" t="s">
        <v>594</v>
      </c>
      <c r="C603" s="16" t="s">
        <v>1597</v>
      </c>
      <c r="D603" s="17" t="s">
        <v>600</v>
      </c>
      <c r="E603" s="17" t="s">
        <v>601</v>
      </c>
      <c r="F603" s="18" t="s">
        <v>1598</v>
      </c>
      <c r="G603" s="49" t="s">
        <v>1599</v>
      </c>
      <c r="H603" s="17">
        <v>3</v>
      </c>
      <c r="O603" s="62" t="str">
        <f>IF(E603="PA",IF(K603&lt;&gt;"",ISERROR(VLOOKUP(K603,ABBR!A:D,1,FALSE)),ISERROR(VLOOKUP(C603,ABBR!A:D,1,FALSE))),"")</f>
        <v/>
      </c>
      <c r="P603" t="str">
        <f>VLOOKUP(A603,Groups!A:L,5,FALSE)</f>
        <v>LOCA</v>
      </c>
      <c r="Q603" s="62" t="str">
        <f>IF(G603="PA",IF(M603&lt;&gt;"",ISERROR(VLOOKUP(M603,ABBR!C:F,1,FALSE)),ISERROR(VLOOKUP(E603,ABBR!C:F,1,FALSE))),"")</f>
        <v/>
      </c>
    </row>
    <row r="604" spans="1:17" hidden="1" x14ac:dyDescent="0.25">
      <c r="A604" s="16" t="s">
        <v>108</v>
      </c>
      <c r="B604" s="17"/>
      <c r="C604" s="16" t="s">
        <v>1600</v>
      </c>
      <c r="D604" s="17" t="s">
        <v>766</v>
      </c>
      <c r="E604" s="17" t="s">
        <v>767</v>
      </c>
      <c r="F604" s="18" t="s">
        <v>1601</v>
      </c>
      <c r="G604" s="49" t="s">
        <v>1602</v>
      </c>
      <c r="H604" s="17">
        <v>4</v>
      </c>
      <c r="O604" s="62" t="str">
        <f>IF(E604="PA",IF(K604&lt;&gt;"",ISERROR(VLOOKUP(K604,ABBR!A:D,1,FALSE)),ISERROR(VLOOKUP(C604,ABBR!A:D,1,FALSE))),"")</f>
        <v/>
      </c>
      <c r="P604" t="str">
        <f>VLOOKUP(A604,Groups!A:L,5,FALSE)</f>
        <v>LOCA</v>
      </c>
      <c r="Q604" s="62" t="str">
        <f>IF(G604="PA",IF(M604&lt;&gt;"",ISERROR(VLOOKUP(M604,ABBR!C:F,1,FALSE)),ISERROR(VLOOKUP(E604,ABBR!C:F,1,FALSE))),"")</f>
        <v/>
      </c>
    </row>
    <row r="605" spans="1:17" hidden="1" x14ac:dyDescent="0.25">
      <c r="A605" s="16" t="s">
        <v>108</v>
      </c>
      <c r="B605" s="17"/>
      <c r="C605" s="16" t="s">
        <v>1603</v>
      </c>
      <c r="D605" s="17" t="s">
        <v>766</v>
      </c>
      <c r="E605" s="17" t="s">
        <v>767</v>
      </c>
      <c r="F605" s="18" t="s">
        <v>1604</v>
      </c>
      <c r="G605" s="49" t="s">
        <v>1282</v>
      </c>
      <c r="H605" s="17">
        <v>5</v>
      </c>
      <c r="O605" s="62" t="str">
        <f>IF(E605="PA",IF(K605&lt;&gt;"",ISERROR(VLOOKUP(K605,ABBR!A:D,1,FALSE)),ISERROR(VLOOKUP(C605,ABBR!A:D,1,FALSE))),"")</f>
        <v/>
      </c>
      <c r="P605" t="str">
        <f>VLOOKUP(A605,Groups!A:L,5,FALSE)</f>
        <v>LOCA</v>
      </c>
      <c r="Q605" s="62" t="str">
        <f>IF(G605="PA",IF(M605&lt;&gt;"",ISERROR(VLOOKUP(M605,ABBR!C:F,1,FALSE)),ISERROR(VLOOKUP(E605,ABBR!C:F,1,FALSE))),"")</f>
        <v/>
      </c>
    </row>
    <row r="606" spans="1:17" hidden="1" x14ac:dyDescent="0.25">
      <c r="A606" s="16" t="s">
        <v>108</v>
      </c>
      <c r="B606" s="17"/>
      <c r="C606" s="16" t="s">
        <v>1605</v>
      </c>
      <c r="D606" s="17" t="s">
        <v>766</v>
      </c>
      <c r="E606" s="17" t="s">
        <v>767</v>
      </c>
      <c r="F606" s="18" t="s">
        <v>1606</v>
      </c>
      <c r="G606" s="49" t="s">
        <v>897</v>
      </c>
      <c r="H606" s="17">
        <v>6</v>
      </c>
      <c r="O606" s="62" t="str">
        <f>IF(E606="PA",IF(K606&lt;&gt;"",ISERROR(VLOOKUP(K606,ABBR!A:D,1,FALSE)),ISERROR(VLOOKUP(C606,ABBR!A:D,1,FALSE))),"")</f>
        <v/>
      </c>
      <c r="P606" t="str">
        <f>VLOOKUP(A606,Groups!A:L,5,FALSE)</f>
        <v>LOCA</v>
      </c>
      <c r="Q606" s="62" t="str">
        <f>IF(G606="PA",IF(M606&lt;&gt;"",ISERROR(VLOOKUP(M606,ABBR!C:F,1,FALSE)),ISERROR(VLOOKUP(E606,ABBR!C:F,1,FALSE))),"")</f>
        <v/>
      </c>
    </row>
    <row r="607" spans="1:17" hidden="1" x14ac:dyDescent="0.25">
      <c r="A607" s="16" t="s">
        <v>108</v>
      </c>
      <c r="B607" s="17"/>
      <c r="C607" s="16" t="s">
        <v>1607</v>
      </c>
      <c r="D607" s="17" t="s">
        <v>722</v>
      </c>
      <c r="E607" s="17" t="s">
        <v>767</v>
      </c>
      <c r="F607" s="18" t="s">
        <v>1608</v>
      </c>
      <c r="G607" s="49" t="s">
        <v>1027</v>
      </c>
      <c r="H607" s="17">
        <v>7</v>
      </c>
      <c r="O607" s="62" t="str">
        <f>IF(E607="PA",IF(K607&lt;&gt;"",ISERROR(VLOOKUP(K607,ABBR!A:D,1,FALSE)),ISERROR(VLOOKUP(C607,ABBR!A:D,1,FALSE))),"")</f>
        <v/>
      </c>
      <c r="P607" t="str">
        <f>VLOOKUP(A607,Groups!A:L,5,FALSE)</f>
        <v>LOCA</v>
      </c>
      <c r="Q607" s="62" t="str">
        <f>IF(G607="PA",IF(M607&lt;&gt;"",ISERROR(VLOOKUP(M607,ABBR!C:F,1,FALSE)),ISERROR(VLOOKUP(E607,ABBR!C:F,1,FALSE))),"")</f>
        <v/>
      </c>
    </row>
    <row r="608" spans="1:17" hidden="1" x14ac:dyDescent="0.25">
      <c r="A608" s="16" t="s">
        <v>108</v>
      </c>
      <c r="B608" s="17"/>
      <c r="C608" s="16" t="s">
        <v>1609</v>
      </c>
      <c r="D608" s="17" t="s">
        <v>1416</v>
      </c>
      <c r="E608" s="17" t="s">
        <v>1417</v>
      </c>
      <c r="F608" s="18" t="s">
        <v>1610</v>
      </c>
      <c r="G608" s="49" t="s">
        <v>1611</v>
      </c>
      <c r="H608" s="17">
        <v>8</v>
      </c>
      <c r="O608" s="62" t="str">
        <f>IF(E608="PA",IF(K608&lt;&gt;"",ISERROR(VLOOKUP(K608,ABBR!A:D,1,FALSE)),ISERROR(VLOOKUP(C608,ABBR!A:D,1,FALSE))),"")</f>
        <v/>
      </c>
      <c r="P608" t="str">
        <f>VLOOKUP(A608,Groups!A:L,5,FALSE)</f>
        <v>LOCA</v>
      </c>
      <c r="Q608" s="62" t="str">
        <f>IF(G608="PA",IF(M608&lt;&gt;"",ISERROR(VLOOKUP(M608,ABBR!C:F,1,FALSE)),ISERROR(VLOOKUP(E608,ABBR!C:F,1,FALSE))),"")</f>
        <v/>
      </c>
    </row>
    <row r="609" spans="1:17" ht="25" hidden="1" x14ac:dyDescent="0.25">
      <c r="A609" s="16" t="s">
        <v>108</v>
      </c>
      <c r="B609" s="17"/>
      <c r="C609" s="16" t="s">
        <v>1612</v>
      </c>
      <c r="D609" s="17"/>
      <c r="E609" s="17" t="s">
        <v>608</v>
      </c>
      <c r="F609" s="18" t="s">
        <v>642</v>
      </c>
      <c r="G609" s="49" t="s">
        <v>1613</v>
      </c>
      <c r="H609" s="17">
        <v>9</v>
      </c>
      <c r="O609" s="62" t="str">
        <f>IF(E609="PA",IF(K609&lt;&gt;"",ISERROR(VLOOKUP(K609,ABBR!A:D,1,FALSE)),ISERROR(VLOOKUP(C609,ABBR!A:D,1,FALSE))),"")</f>
        <v/>
      </c>
      <c r="P609" t="str">
        <f>VLOOKUP(A609,Groups!A:L,5,FALSE)</f>
        <v>LOCA</v>
      </c>
      <c r="Q609" s="62" t="str">
        <f>IF(G609="PA",IF(M609&lt;&gt;"",ISERROR(VLOOKUP(M609,ABBR!C:F,1,FALSE)),ISERROR(VLOOKUP(E609,ABBR!C:F,1,FALSE))),"")</f>
        <v/>
      </c>
    </row>
    <row r="610" spans="1:17" ht="25" hidden="1" x14ac:dyDescent="0.25">
      <c r="A610" s="16" t="s">
        <v>108</v>
      </c>
      <c r="B610" s="17"/>
      <c r="C610" s="16" t="s">
        <v>643</v>
      </c>
      <c r="D610" s="17"/>
      <c r="E610" s="17" t="s">
        <v>608</v>
      </c>
      <c r="F610" s="18" t="s">
        <v>1614</v>
      </c>
      <c r="G610" s="49" t="s">
        <v>1615</v>
      </c>
      <c r="H610" s="17">
        <v>10</v>
      </c>
      <c r="O610" s="62" t="str">
        <f>IF(E610="PA",IF(K610&lt;&gt;"",ISERROR(VLOOKUP(K610,ABBR!A:D,1,FALSE)),ISERROR(VLOOKUP(C610,ABBR!A:D,1,FALSE))),"")</f>
        <v/>
      </c>
      <c r="P610" t="str">
        <f>VLOOKUP(A610,Groups!A:L,5,FALSE)</f>
        <v>LOCA</v>
      </c>
      <c r="Q610" s="62" t="str">
        <f>IF(G610="PA",IF(M610&lt;&gt;"",ISERROR(VLOOKUP(M610,ABBR!C:F,1,FALSE)),ISERROR(VLOOKUP(E610,ABBR!C:F,1,FALSE))),"")</f>
        <v/>
      </c>
    </row>
    <row r="611" spans="1:17" hidden="1" x14ac:dyDescent="0.25">
      <c r="A611" s="16" t="s">
        <v>111</v>
      </c>
      <c r="B611" s="44" t="s">
        <v>594</v>
      </c>
      <c r="C611" s="16" t="s">
        <v>595</v>
      </c>
      <c r="D611" s="44"/>
      <c r="E611" s="44" t="s">
        <v>596</v>
      </c>
      <c r="F611" s="45" t="s">
        <v>597</v>
      </c>
      <c r="G611" s="47" t="s">
        <v>598</v>
      </c>
      <c r="H611" s="17">
        <v>1</v>
      </c>
      <c r="I611" s="30" t="s">
        <v>955</v>
      </c>
      <c r="J611" s="80">
        <v>4.0999999999999996</v>
      </c>
      <c r="O611" s="62" t="str">
        <f>IF(E611="PA",IF(K611&lt;&gt;"",ISERROR(VLOOKUP(K611,ABBR!A:D,1,FALSE)),ISERROR(VLOOKUP(C611,ABBR!A:D,1,FALSE))),"")</f>
        <v/>
      </c>
      <c r="P611" t="str">
        <f>VLOOKUP(A611,Groups!A:L,5,FALSE)</f>
        <v>CTRG</v>
      </c>
      <c r="Q611" s="62" t="str">
        <f>IF(G611="PA",IF(M611&lt;&gt;"",ISERROR(VLOOKUP(M611,ABBR!C:F,1,FALSE)),ISERROR(VLOOKUP(E611,ABBR!C:F,1,FALSE))),"")</f>
        <v/>
      </c>
    </row>
    <row r="612" spans="1:17" hidden="1" x14ac:dyDescent="0.25">
      <c r="A612" s="16" t="s">
        <v>111</v>
      </c>
      <c r="B612" s="44" t="s">
        <v>594</v>
      </c>
      <c r="C612" s="16" t="s">
        <v>851</v>
      </c>
      <c r="D612" s="44" t="s">
        <v>600</v>
      </c>
      <c r="E612" s="44" t="s">
        <v>601</v>
      </c>
      <c r="F612" s="45" t="s">
        <v>852</v>
      </c>
      <c r="G612" s="47">
        <v>24.55</v>
      </c>
      <c r="H612" s="17">
        <v>2</v>
      </c>
      <c r="I612" s="30" t="s">
        <v>955</v>
      </c>
      <c r="J612" s="80">
        <v>4.0999999999999996</v>
      </c>
      <c r="O612" s="62" t="str">
        <f>IF(E612="PA",IF(K612&lt;&gt;"",ISERROR(VLOOKUP(K612,ABBR!A:D,1,FALSE)),ISERROR(VLOOKUP(C612,ABBR!A:D,1,FALSE))),"")</f>
        <v/>
      </c>
      <c r="P612" t="str">
        <f>VLOOKUP(A612,Groups!A:L,5,FALSE)</f>
        <v>CTRG</v>
      </c>
      <c r="Q612" s="62" t="str">
        <f>IF(G612="PA",IF(M612&lt;&gt;"",ISERROR(VLOOKUP(M612,ABBR!C:F,1,FALSE)),ISERROR(VLOOKUP(E612,ABBR!C:F,1,FALSE))),"")</f>
        <v/>
      </c>
    </row>
    <row r="613" spans="1:17" hidden="1" x14ac:dyDescent="0.25">
      <c r="A613" s="16" t="s">
        <v>111</v>
      </c>
      <c r="B613" s="44" t="s">
        <v>594</v>
      </c>
      <c r="C613" s="16" t="s">
        <v>854</v>
      </c>
      <c r="D613" s="44"/>
      <c r="E613" s="44" t="s">
        <v>608</v>
      </c>
      <c r="F613" s="45" t="s">
        <v>855</v>
      </c>
      <c r="G613" s="47">
        <v>24</v>
      </c>
      <c r="H613" s="17">
        <v>3</v>
      </c>
      <c r="I613" s="30" t="s">
        <v>955</v>
      </c>
      <c r="J613" s="80">
        <v>4.0999999999999996</v>
      </c>
      <c r="O613" s="62" t="str">
        <f>IF(E613="PA",IF(K613&lt;&gt;"",ISERROR(VLOOKUP(K613,ABBR!A:D,1,FALSE)),ISERROR(VLOOKUP(C613,ABBR!A:D,1,FALSE))),"")</f>
        <v/>
      </c>
      <c r="P613" t="str">
        <f>VLOOKUP(A613,Groups!A:L,5,FALSE)</f>
        <v>CTRG</v>
      </c>
      <c r="Q613" s="62" t="str">
        <f>IF(G613="PA",IF(M613&lt;&gt;"",ISERROR(VLOOKUP(M613,ABBR!C:F,1,FALSE)),ISERROR(VLOOKUP(E613,ABBR!C:F,1,FALSE))),"")</f>
        <v/>
      </c>
    </row>
    <row r="614" spans="1:17" hidden="1" x14ac:dyDescent="0.25">
      <c r="A614" s="16" t="s">
        <v>111</v>
      </c>
      <c r="B614" s="44" t="s">
        <v>594</v>
      </c>
      <c r="C614" s="16" t="s">
        <v>857</v>
      </c>
      <c r="D614" s="44"/>
      <c r="E614" s="44" t="s">
        <v>618</v>
      </c>
      <c r="F614" s="45" t="s">
        <v>858</v>
      </c>
      <c r="G614" s="47" t="s">
        <v>859</v>
      </c>
      <c r="H614" s="17">
        <v>4</v>
      </c>
      <c r="I614" s="30" t="s">
        <v>955</v>
      </c>
      <c r="J614" s="80">
        <v>4.0999999999999996</v>
      </c>
      <c r="O614" s="62" t="b">
        <f>IF(E614="PA",IF(K614&lt;&gt;"",ISERROR(VLOOKUP(K614,ABBR!A:D,1,FALSE)),ISERROR(VLOOKUP(C614,ABBR!A:D,1,FALSE))),"")</f>
        <v>0</v>
      </c>
      <c r="P614" t="str">
        <f>VLOOKUP(A614,Groups!A:L,5,FALSE)</f>
        <v>CTRG</v>
      </c>
      <c r="Q614" s="62" t="str">
        <f>IF(G614="PA",IF(M614&lt;&gt;"",ISERROR(VLOOKUP(M614,ABBR!C:F,1,FALSE)),ISERROR(VLOOKUP(E614,ABBR!C:F,1,FALSE))),"")</f>
        <v/>
      </c>
    </row>
    <row r="615" spans="1:17" hidden="1" x14ac:dyDescent="0.25">
      <c r="A615" s="16" t="s">
        <v>111</v>
      </c>
      <c r="B615" s="44" t="s">
        <v>594</v>
      </c>
      <c r="C615" s="16" t="s">
        <v>860</v>
      </c>
      <c r="D615" s="44"/>
      <c r="E615" s="44" t="s">
        <v>596</v>
      </c>
      <c r="F615" s="45" t="s">
        <v>942</v>
      </c>
      <c r="G615" s="49" t="s">
        <v>862</v>
      </c>
      <c r="H615" s="17">
        <v>5</v>
      </c>
      <c r="I615" s="30" t="s">
        <v>955</v>
      </c>
      <c r="J615" s="80">
        <v>4.0999999999999996</v>
      </c>
      <c r="O615" s="62" t="str">
        <f>IF(E615="PA",IF(K615&lt;&gt;"",ISERROR(VLOOKUP(K615,ABBR!A:D,1,FALSE)),ISERROR(VLOOKUP(C615,ABBR!A:D,1,FALSE))),"")</f>
        <v/>
      </c>
      <c r="P615" t="str">
        <f>VLOOKUP(A615,Groups!A:L,5,FALSE)</f>
        <v>CTRG</v>
      </c>
      <c r="Q615" s="62" t="str">
        <f>IF(G615="PA",IF(M615&lt;&gt;"",ISERROR(VLOOKUP(M615,ABBR!C:F,1,FALSE)),ISERROR(VLOOKUP(E615,ABBR!C:F,1,FALSE))),"")</f>
        <v/>
      </c>
    </row>
    <row r="616" spans="1:17" hidden="1" x14ac:dyDescent="0.25">
      <c r="A616" s="16" t="s">
        <v>111</v>
      </c>
      <c r="B616" s="44" t="s">
        <v>594</v>
      </c>
      <c r="C616" s="16" t="s">
        <v>863</v>
      </c>
      <c r="D616" s="44"/>
      <c r="E616" s="44" t="s">
        <v>608</v>
      </c>
      <c r="F616" s="45" t="s">
        <v>864</v>
      </c>
      <c r="G616" s="49" t="s">
        <v>865</v>
      </c>
      <c r="H616" s="17">
        <v>6</v>
      </c>
      <c r="I616" s="30" t="s">
        <v>955</v>
      </c>
      <c r="J616" s="80">
        <v>4.0999999999999996</v>
      </c>
      <c r="O616" s="62" t="str">
        <f>IF(E616="PA",IF(K616&lt;&gt;"",ISERROR(VLOOKUP(K616,ABBR!A:D,1,FALSE)),ISERROR(VLOOKUP(C616,ABBR!A:D,1,FALSE))),"")</f>
        <v/>
      </c>
      <c r="P616" t="str">
        <f>VLOOKUP(A616,Groups!A:L,5,FALSE)</f>
        <v>CTRG</v>
      </c>
      <c r="Q616" s="62" t="str">
        <f>IF(G616="PA",IF(M616&lt;&gt;"",ISERROR(VLOOKUP(M616,ABBR!C:F,1,FALSE)),ISERROR(VLOOKUP(E616,ABBR!C:F,1,FALSE))),"")</f>
        <v/>
      </c>
    </row>
    <row r="617" spans="1:17" hidden="1" x14ac:dyDescent="0.25">
      <c r="A617" s="16" t="s">
        <v>111</v>
      </c>
      <c r="B617" s="44" t="s">
        <v>594</v>
      </c>
      <c r="C617" s="16" t="s">
        <v>866</v>
      </c>
      <c r="D617" s="44" t="s">
        <v>600</v>
      </c>
      <c r="E617" s="44" t="s">
        <v>601</v>
      </c>
      <c r="F617" s="45" t="s">
        <v>867</v>
      </c>
      <c r="G617" s="47">
        <v>24.55</v>
      </c>
      <c r="H617" s="17">
        <v>7</v>
      </c>
      <c r="I617" s="30" t="s">
        <v>955</v>
      </c>
      <c r="J617" s="80">
        <v>4.0999999999999996</v>
      </c>
      <c r="O617" s="62" t="str">
        <f>IF(E617="PA",IF(K617&lt;&gt;"",ISERROR(VLOOKUP(K617,ABBR!A:D,1,FALSE)),ISERROR(VLOOKUP(C617,ABBR!A:D,1,FALSE))),"")</f>
        <v/>
      </c>
      <c r="P617" t="str">
        <f>VLOOKUP(A617,Groups!A:L,5,FALSE)</f>
        <v>CTRG</v>
      </c>
      <c r="Q617" s="62" t="str">
        <f>IF(G617="PA",IF(M617&lt;&gt;"",ISERROR(VLOOKUP(M617,ABBR!C:F,1,FALSE)),ISERROR(VLOOKUP(E617,ABBR!C:F,1,FALSE))),"")</f>
        <v/>
      </c>
    </row>
    <row r="618" spans="1:17" hidden="1" x14ac:dyDescent="0.25">
      <c r="A618" s="16" t="s">
        <v>111</v>
      </c>
      <c r="B618" s="17" t="s">
        <v>594</v>
      </c>
      <c r="C618" s="16" t="s">
        <v>1616</v>
      </c>
      <c r="D618" s="17"/>
      <c r="E618" s="17" t="s">
        <v>608</v>
      </c>
      <c r="F618" s="18" t="s">
        <v>1617</v>
      </c>
      <c r="G618" s="49" t="s">
        <v>1229</v>
      </c>
      <c r="H618" s="17">
        <v>8</v>
      </c>
      <c r="I618" s="30" t="s">
        <v>955</v>
      </c>
      <c r="J618" s="80">
        <v>4.0999999999999996</v>
      </c>
      <c r="O618" s="62" t="str">
        <f>IF(E618="PA",IF(K618&lt;&gt;"",ISERROR(VLOOKUP(K618,ABBR!A:D,1,FALSE)),ISERROR(VLOOKUP(C618,ABBR!A:D,1,FALSE))),"")</f>
        <v/>
      </c>
      <c r="P618" t="str">
        <f>VLOOKUP(A618,Groups!A:L,5,FALSE)</f>
        <v>CTRG</v>
      </c>
      <c r="Q618" s="62" t="str">
        <f>IF(G618="PA",IF(M618&lt;&gt;"",ISERROR(VLOOKUP(M618,ABBR!C:F,1,FALSE)),ISERROR(VLOOKUP(E618,ABBR!C:F,1,FALSE))),"")</f>
        <v/>
      </c>
    </row>
    <row r="619" spans="1:17" hidden="1" x14ac:dyDescent="0.25">
      <c r="A619" s="16" t="s">
        <v>111</v>
      </c>
      <c r="B619" s="17"/>
      <c r="C619" s="16" t="s">
        <v>1618</v>
      </c>
      <c r="D619" s="17" t="s">
        <v>1345</v>
      </c>
      <c r="E619" s="17" t="s">
        <v>723</v>
      </c>
      <c r="F619" s="18" t="s">
        <v>1619</v>
      </c>
      <c r="G619" s="49" t="s">
        <v>1620</v>
      </c>
      <c r="H619" s="17">
        <v>9</v>
      </c>
      <c r="I619" s="30" t="s">
        <v>955</v>
      </c>
      <c r="J619" s="80">
        <v>4.0999999999999996</v>
      </c>
      <c r="O619" s="62" t="str">
        <f>IF(E619="PA",IF(K619&lt;&gt;"",ISERROR(VLOOKUP(K619,ABBR!A:D,1,FALSE)),ISERROR(VLOOKUP(C619,ABBR!A:D,1,FALSE))),"")</f>
        <v/>
      </c>
      <c r="P619" t="str">
        <f>VLOOKUP(A619,Groups!A:L,5,FALSE)</f>
        <v>CTRG</v>
      </c>
      <c r="Q619" s="62" t="str">
        <f>IF(G619="PA",IF(M619&lt;&gt;"",ISERROR(VLOOKUP(M619,ABBR!C:F,1,FALSE)),ISERROR(VLOOKUP(E619,ABBR!C:F,1,FALSE))),"")</f>
        <v/>
      </c>
    </row>
    <row r="620" spans="1:17" hidden="1" x14ac:dyDescent="0.25">
      <c r="A620" s="16" t="s">
        <v>111</v>
      </c>
      <c r="B620" s="17"/>
      <c r="C620" s="16" t="s">
        <v>1621</v>
      </c>
      <c r="D620" s="17" t="s">
        <v>1345</v>
      </c>
      <c r="E620" s="17" t="s">
        <v>723</v>
      </c>
      <c r="F620" s="18" t="s">
        <v>1622</v>
      </c>
      <c r="G620" s="49" t="s">
        <v>1623</v>
      </c>
      <c r="H620" s="17">
        <v>10</v>
      </c>
      <c r="I620" s="30" t="s">
        <v>955</v>
      </c>
      <c r="J620" s="80">
        <v>4.0999999999999996</v>
      </c>
      <c r="O620" s="62" t="str">
        <f>IF(E620="PA",IF(K620&lt;&gt;"",ISERROR(VLOOKUP(K620,ABBR!A:D,1,FALSE)),ISERROR(VLOOKUP(C620,ABBR!A:D,1,FALSE))),"")</f>
        <v/>
      </c>
      <c r="P620" t="str">
        <f>VLOOKUP(A620,Groups!A:L,5,FALSE)</f>
        <v>CTRG</v>
      </c>
      <c r="Q620" s="62" t="str">
        <f>IF(G620="PA",IF(M620&lt;&gt;"",ISERROR(VLOOKUP(M620,ABBR!C:F,1,FALSE)),ISERROR(VLOOKUP(E620,ABBR!C:F,1,FALSE))),"")</f>
        <v/>
      </c>
    </row>
    <row r="621" spans="1:17" hidden="1" x14ac:dyDescent="0.25">
      <c r="A621" s="16" t="s">
        <v>111</v>
      </c>
      <c r="B621" s="17"/>
      <c r="C621" s="16" t="s">
        <v>1624</v>
      </c>
      <c r="D621" s="17" t="s">
        <v>1345</v>
      </c>
      <c r="E621" s="17" t="s">
        <v>723</v>
      </c>
      <c r="F621" s="18" t="s">
        <v>1625</v>
      </c>
      <c r="G621" s="49" t="s">
        <v>1623</v>
      </c>
      <c r="H621" s="17">
        <v>11</v>
      </c>
      <c r="I621" s="30" t="s">
        <v>955</v>
      </c>
      <c r="J621" s="80">
        <v>4.0999999999999996</v>
      </c>
      <c r="O621" s="62" t="str">
        <f>IF(E621="PA",IF(K621&lt;&gt;"",ISERROR(VLOOKUP(K621,ABBR!A:D,1,FALSE)),ISERROR(VLOOKUP(C621,ABBR!A:D,1,FALSE))),"")</f>
        <v/>
      </c>
      <c r="P621" t="str">
        <f>VLOOKUP(A621,Groups!A:L,5,FALSE)</f>
        <v>CTRG</v>
      </c>
      <c r="Q621" s="62" t="str">
        <f>IF(G621="PA",IF(M621&lt;&gt;"",ISERROR(VLOOKUP(M621,ABBR!C:F,1,FALSE)),ISERROR(VLOOKUP(E621,ABBR!C:F,1,FALSE))),"")</f>
        <v/>
      </c>
    </row>
    <row r="622" spans="1:17" hidden="1" x14ac:dyDescent="0.25">
      <c r="A622" s="16" t="s">
        <v>111</v>
      </c>
      <c r="B622" s="17"/>
      <c r="C622" s="16" t="s">
        <v>1626</v>
      </c>
      <c r="D622" s="17" t="s">
        <v>766</v>
      </c>
      <c r="E622" s="17" t="s">
        <v>601</v>
      </c>
      <c r="F622" s="18" t="s">
        <v>1627</v>
      </c>
      <c r="G622" s="49" t="s">
        <v>1628</v>
      </c>
      <c r="H622" s="17">
        <v>12</v>
      </c>
      <c r="I622" s="30" t="s">
        <v>955</v>
      </c>
      <c r="J622" s="80">
        <v>4.0999999999999996</v>
      </c>
      <c r="O622" s="62" t="str">
        <f>IF(E622="PA",IF(K622&lt;&gt;"",ISERROR(VLOOKUP(K622,ABBR!A:D,1,FALSE)),ISERROR(VLOOKUP(C622,ABBR!A:D,1,FALSE))),"")</f>
        <v/>
      </c>
      <c r="P622" t="str">
        <f>VLOOKUP(A622,Groups!A:L,5,FALSE)</f>
        <v>CTRG</v>
      </c>
      <c r="Q622" s="62" t="str">
        <f>IF(G622="PA",IF(M622&lt;&gt;"",ISERROR(VLOOKUP(M622,ABBR!C:F,1,FALSE)),ISERROR(VLOOKUP(E622,ABBR!C:F,1,FALSE))),"")</f>
        <v/>
      </c>
    </row>
    <row r="623" spans="1:17" hidden="1" x14ac:dyDescent="0.25">
      <c r="A623" s="16" t="s">
        <v>111</v>
      </c>
      <c r="B623" s="17"/>
      <c r="C623" s="16" t="s">
        <v>1629</v>
      </c>
      <c r="D623" s="17" t="s">
        <v>766</v>
      </c>
      <c r="E623" s="17" t="s">
        <v>601</v>
      </c>
      <c r="F623" s="18" t="s">
        <v>1630</v>
      </c>
      <c r="G623" s="49" t="s">
        <v>1631</v>
      </c>
      <c r="H623" s="17">
        <v>13</v>
      </c>
      <c r="I623" s="30" t="s">
        <v>955</v>
      </c>
      <c r="J623" s="80">
        <v>4.0999999999999996</v>
      </c>
      <c r="O623" s="62" t="str">
        <f>IF(E623="PA",IF(K623&lt;&gt;"",ISERROR(VLOOKUP(K623,ABBR!A:D,1,FALSE)),ISERROR(VLOOKUP(C623,ABBR!A:D,1,FALSE))),"")</f>
        <v/>
      </c>
      <c r="P623" t="str">
        <f>VLOOKUP(A623,Groups!A:L,5,FALSE)</f>
        <v>CTRG</v>
      </c>
      <c r="Q623" s="62" t="str">
        <f>IF(G623="PA",IF(M623&lt;&gt;"",ISERROR(VLOOKUP(M623,ABBR!C:F,1,FALSE)),ISERROR(VLOOKUP(E623,ABBR!C:F,1,FALSE))),"")</f>
        <v/>
      </c>
    </row>
    <row r="624" spans="1:17" hidden="1" x14ac:dyDescent="0.25">
      <c r="A624" s="16" t="s">
        <v>111</v>
      </c>
      <c r="B624" s="17"/>
      <c r="C624" s="16" t="s">
        <v>1632</v>
      </c>
      <c r="D624" s="17"/>
      <c r="E624" s="17" t="s">
        <v>618</v>
      </c>
      <c r="F624" s="18" t="s">
        <v>1633</v>
      </c>
      <c r="G624" s="49" t="s">
        <v>1634</v>
      </c>
      <c r="H624" s="17">
        <v>14</v>
      </c>
      <c r="I624" s="30" t="s">
        <v>955</v>
      </c>
      <c r="J624" s="80">
        <v>4.0999999999999996</v>
      </c>
      <c r="O624" s="62" t="b">
        <f>IF(E624="PA",IF(K624&lt;&gt;"",ISERROR(VLOOKUP(K624,ABBR!A:D,1,FALSE)),ISERROR(VLOOKUP(C624,ABBR!A:D,1,FALSE))),"")</f>
        <v>0</v>
      </c>
      <c r="P624" t="str">
        <f>VLOOKUP(A624,Groups!A:L,5,FALSE)</f>
        <v>CTRG</v>
      </c>
      <c r="Q624" s="62" t="str">
        <f>IF(G624="PA",IF(M624&lt;&gt;"",ISERROR(VLOOKUP(M624,ABBR!C:F,1,FALSE)),ISERROR(VLOOKUP(E624,ABBR!C:F,1,FALSE))),"")</f>
        <v/>
      </c>
    </row>
    <row r="625" spans="1:17" hidden="1" x14ac:dyDescent="0.25">
      <c r="A625" s="16" t="s">
        <v>111</v>
      </c>
      <c r="B625" s="17"/>
      <c r="C625" s="16" t="s">
        <v>1635</v>
      </c>
      <c r="D625" s="17" t="s">
        <v>1345</v>
      </c>
      <c r="E625" s="17" t="s">
        <v>723</v>
      </c>
      <c r="F625" s="18" t="s">
        <v>1636</v>
      </c>
      <c r="G625" s="49" t="s">
        <v>1637</v>
      </c>
      <c r="H625" s="17">
        <v>15</v>
      </c>
      <c r="I625" s="30" t="s">
        <v>955</v>
      </c>
      <c r="J625" s="80">
        <v>4.0999999999999996</v>
      </c>
      <c r="O625" s="62" t="str">
        <f>IF(E625="PA",IF(K625&lt;&gt;"",ISERROR(VLOOKUP(K625,ABBR!A:D,1,FALSE)),ISERROR(VLOOKUP(C625,ABBR!A:D,1,FALSE))),"")</f>
        <v/>
      </c>
      <c r="P625" t="str">
        <f>VLOOKUP(A625,Groups!A:L,5,FALSE)</f>
        <v>CTRG</v>
      </c>
      <c r="Q625" s="62" t="str">
        <f>IF(G625="PA",IF(M625&lt;&gt;"",ISERROR(VLOOKUP(M625,ABBR!C:F,1,FALSE)),ISERROR(VLOOKUP(E625,ABBR!C:F,1,FALSE))),"")</f>
        <v/>
      </c>
    </row>
    <row r="626" spans="1:17" hidden="1" x14ac:dyDescent="0.25">
      <c r="A626" s="16" t="s">
        <v>111</v>
      </c>
      <c r="B626" s="17"/>
      <c r="C626" s="16" t="s">
        <v>1638</v>
      </c>
      <c r="D626" s="17" t="s">
        <v>1639</v>
      </c>
      <c r="E626" s="17" t="s">
        <v>1417</v>
      </c>
      <c r="F626" s="18" t="s">
        <v>1640</v>
      </c>
      <c r="G626" s="49" t="s">
        <v>1641</v>
      </c>
      <c r="H626" s="17">
        <v>16</v>
      </c>
      <c r="I626" s="30" t="s">
        <v>955</v>
      </c>
      <c r="J626" s="80">
        <v>4.0999999999999996</v>
      </c>
      <c r="O626" s="62" t="str">
        <f>IF(E626="PA",IF(K626&lt;&gt;"",ISERROR(VLOOKUP(K626,ABBR!A:D,1,FALSE)),ISERROR(VLOOKUP(C626,ABBR!A:D,1,FALSE))),"")</f>
        <v/>
      </c>
      <c r="P626" t="str">
        <f>VLOOKUP(A626,Groups!A:L,5,FALSE)</f>
        <v>CTRG</v>
      </c>
      <c r="Q626" s="62" t="str">
        <f>IF(G626="PA",IF(M626&lt;&gt;"",ISERROR(VLOOKUP(M626,ABBR!C:F,1,FALSE)),ISERROR(VLOOKUP(E626,ABBR!C:F,1,FALSE))),"")</f>
        <v/>
      </c>
    </row>
    <row r="627" spans="1:17" hidden="1" x14ac:dyDescent="0.25">
      <c r="A627" s="16" t="s">
        <v>111</v>
      </c>
      <c r="B627" s="17"/>
      <c r="C627" s="16" t="s">
        <v>1642</v>
      </c>
      <c r="D627" s="17" t="s">
        <v>722</v>
      </c>
      <c r="E627" s="17" t="s">
        <v>601</v>
      </c>
      <c r="F627" s="18" t="s">
        <v>1643</v>
      </c>
      <c r="G627" s="49" t="s">
        <v>1644</v>
      </c>
      <c r="H627" s="17">
        <v>17</v>
      </c>
      <c r="I627" s="30" t="s">
        <v>955</v>
      </c>
      <c r="J627" s="80">
        <v>4.0999999999999996</v>
      </c>
      <c r="O627" s="62" t="str">
        <f>IF(E627="PA",IF(K627&lt;&gt;"",ISERROR(VLOOKUP(K627,ABBR!A:D,1,FALSE)),ISERROR(VLOOKUP(C627,ABBR!A:D,1,FALSE))),"")</f>
        <v/>
      </c>
      <c r="P627" t="str">
        <f>VLOOKUP(A627,Groups!A:L,5,FALSE)</f>
        <v>CTRG</v>
      </c>
      <c r="Q627" s="62" t="str">
        <f>IF(G627="PA",IF(M627&lt;&gt;"",ISERROR(VLOOKUP(M627,ABBR!C:F,1,FALSE)),ISERROR(VLOOKUP(E627,ABBR!C:F,1,FALSE))),"")</f>
        <v/>
      </c>
    </row>
    <row r="628" spans="1:17" hidden="1" x14ac:dyDescent="0.25">
      <c r="A628" s="16" t="s">
        <v>111</v>
      </c>
      <c r="B628" s="17"/>
      <c r="C628" s="16" t="s">
        <v>1645</v>
      </c>
      <c r="D628" s="17" t="s">
        <v>722</v>
      </c>
      <c r="E628" s="17" t="s">
        <v>601</v>
      </c>
      <c r="F628" s="18" t="s">
        <v>1646</v>
      </c>
      <c r="G628" s="49" t="s">
        <v>1647</v>
      </c>
      <c r="H628" s="17">
        <v>18</v>
      </c>
      <c r="I628" s="30" t="s">
        <v>955</v>
      </c>
      <c r="J628" s="80">
        <v>4.0999999999999996</v>
      </c>
      <c r="O628" s="62" t="str">
        <f>IF(E628="PA",IF(K628&lt;&gt;"",ISERROR(VLOOKUP(K628,ABBR!A:D,1,FALSE)),ISERROR(VLOOKUP(C628,ABBR!A:D,1,FALSE))),"")</f>
        <v/>
      </c>
      <c r="P628" t="str">
        <f>VLOOKUP(A628,Groups!A:L,5,FALSE)</f>
        <v>CTRG</v>
      </c>
      <c r="Q628" s="62" t="str">
        <f>IF(G628="PA",IF(M628&lt;&gt;"",ISERROR(VLOOKUP(M628,ABBR!C:F,1,FALSE)),ISERROR(VLOOKUP(E628,ABBR!C:F,1,FALSE))),"")</f>
        <v/>
      </c>
    </row>
    <row r="629" spans="1:17" hidden="1" x14ac:dyDescent="0.25">
      <c r="A629" s="16" t="s">
        <v>111</v>
      </c>
      <c r="B629" s="17"/>
      <c r="C629" s="16" t="s">
        <v>1648</v>
      </c>
      <c r="D629" s="17" t="s">
        <v>766</v>
      </c>
      <c r="E629" s="17" t="s">
        <v>608</v>
      </c>
      <c r="F629" s="18" t="s">
        <v>1649</v>
      </c>
      <c r="G629" s="49" t="s">
        <v>1525</v>
      </c>
      <c r="H629" s="17">
        <v>19</v>
      </c>
      <c r="I629" s="30" t="s">
        <v>955</v>
      </c>
      <c r="J629" s="80">
        <v>4.0999999999999996</v>
      </c>
      <c r="O629" s="62" t="str">
        <f>IF(E629="PA",IF(K629&lt;&gt;"",ISERROR(VLOOKUP(K629,ABBR!A:D,1,FALSE)),ISERROR(VLOOKUP(C629,ABBR!A:D,1,FALSE))),"")</f>
        <v/>
      </c>
      <c r="P629" t="str">
        <f>VLOOKUP(A629,Groups!A:L,5,FALSE)</f>
        <v>CTRG</v>
      </c>
      <c r="Q629" s="62" t="str">
        <f>IF(G629="PA",IF(M629&lt;&gt;"",ISERROR(VLOOKUP(M629,ABBR!C:F,1,FALSE)),ISERROR(VLOOKUP(E629,ABBR!C:F,1,FALSE))),"")</f>
        <v/>
      </c>
    </row>
    <row r="630" spans="1:17" hidden="1" x14ac:dyDescent="0.25">
      <c r="A630" s="16" t="s">
        <v>111</v>
      </c>
      <c r="B630" s="17"/>
      <c r="C630" s="16" t="s">
        <v>1650</v>
      </c>
      <c r="D630" s="17" t="s">
        <v>1077</v>
      </c>
      <c r="E630" s="17" t="s">
        <v>601</v>
      </c>
      <c r="F630" s="18" t="s">
        <v>1651</v>
      </c>
      <c r="G630" s="49" t="s">
        <v>1652</v>
      </c>
      <c r="H630" s="17">
        <v>20</v>
      </c>
      <c r="I630" s="30" t="s">
        <v>955</v>
      </c>
      <c r="J630" s="80">
        <v>4.0999999999999996</v>
      </c>
      <c r="O630" s="62" t="str">
        <f>IF(E630="PA",IF(K630&lt;&gt;"",ISERROR(VLOOKUP(K630,ABBR!A:D,1,FALSE)),ISERROR(VLOOKUP(C630,ABBR!A:D,1,FALSE))),"")</f>
        <v/>
      </c>
      <c r="P630" t="str">
        <f>VLOOKUP(A630,Groups!A:L,5,FALSE)</f>
        <v>CTRG</v>
      </c>
      <c r="Q630" s="62" t="str">
        <f>IF(G630="PA",IF(M630&lt;&gt;"",ISERROR(VLOOKUP(M630,ABBR!C:F,1,FALSE)),ISERROR(VLOOKUP(E630,ABBR!C:F,1,FALSE))),"")</f>
        <v/>
      </c>
    </row>
    <row r="631" spans="1:17" hidden="1" x14ac:dyDescent="0.25">
      <c r="A631" s="16" t="s">
        <v>111</v>
      </c>
      <c r="B631" s="17"/>
      <c r="C631" s="16" t="s">
        <v>1653</v>
      </c>
      <c r="D631" s="17" t="s">
        <v>1077</v>
      </c>
      <c r="E631" s="17" t="s">
        <v>601</v>
      </c>
      <c r="F631" s="18" t="s">
        <v>1654</v>
      </c>
      <c r="G631" s="49" t="s">
        <v>1343</v>
      </c>
      <c r="H631" s="17">
        <v>21</v>
      </c>
      <c r="I631" s="30" t="s">
        <v>955</v>
      </c>
      <c r="J631" s="80">
        <v>4.0999999999999996</v>
      </c>
      <c r="O631" s="62" t="str">
        <f>IF(E631="PA",IF(K631&lt;&gt;"",ISERROR(VLOOKUP(K631,ABBR!A:D,1,FALSE)),ISERROR(VLOOKUP(C631,ABBR!A:D,1,FALSE))),"")</f>
        <v/>
      </c>
      <c r="P631" t="str">
        <f>VLOOKUP(A631,Groups!A:L,5,FALSE)</f>
        <v>CTRG</v>
      </c>
      <c r="Q631" s="62" t="str">
        <f>IF(G631="PA",IF(M631&lt;&gt;"",ISERROR(VLOOKUP(M631,ABBR!C:F,1,FALSE)),ISERROR(VLOOKUP(E631,ABBR!C:F,1,FALSE))),"")</f>
        <v/>
      </c>
    </row>
    <row r="632" spans="1:17" hidden="1" x14ac:dyDescent="0.25">
      <c r="A632" s="16" t="s">
        <v>111</v>
      </c>
      <c r="B632" s="17"/>
      <c r="C632" s="16" t="s">
        <v>1655</v>
      </c>
      <c r="D632" s="17" t="s">
        <v>766</v>
      </c>
      <c r="E632" s="17" t="s">
        <v>723</v>
      </c>
      <c r="F632" s="18" t="s">
        <v>1656</v>
      </c>
      <c r="G632" s="49" t="s">
        <v>1657</v>
      </c>
      <c r="H632" s="17">
        <v>22</v>
      </c>
      <c r="I632" s="30" t="s">
        <v>955</v>
      </c>
      <c r="J632" s="80">
        <v>4.0999999999999996</v>
      </c>
      <c r="O632" s="62" t="str">
        <f>IF(E632="PA",IF(K632&lt;&gt;"",ISERROR(VLOOKUP(K632,ABBR!A:D,1,FALSE)),ISERROR(VLOOKUP(C632,ABBR!A:D,1,FALSE))),"")</f>
        <v/>
      </c>
      <c r="P632" t="str">
        <f>VLOOKUP(A632,Groups!A:L,5,FALSE)</f>
        <v>CTRG</v>
      </c>
      <c r="Q632" s="62" t="str">
        <f>IF(G632="PA",IF(M632&lt;&gt;"",ISERROR(VLOOKUP(M632,ABBR!C:F,1,FALSE)),ISERROR(VLOOKUP(E632,ABBR!C:F,1,FALSE))),"")</f>
        <v/>
      </c>
    </row>
    <row r="633" spans="1:17" hidden="1" x14ac:dyDescent="0.25">
      <c r="A633" s="16" t="s">
        <v>111</v>
      </c>
      <c r="B633" s="17"/>
      <c r="C633" s="16" t="s">
        <v>1658</v>
      </c>
      <c r="D633" s="17"/>
      <c r="E633" s="17" t="s">
        <v>1321</v>
      </c>
      <c r="F633" s="18" t="s">
        <v>1659</v>
      </c>
      <c r="G633" s="49" t="s">
        <v>1660</v>
      </c>
      <c r="H633" s="17">
        <v>23</v>
      </c>
      <c r="I633" s="30" t="s">
        <v>955</v>
      </c>
      <c r="J633" s="80">
        <v>4.0999999999999996</v>
      </c>
      <c r="O633" s="62" t="str">
        <f>IF(E633="PA",IF(K633&lt;&gt;"",ISERROR(VLOOKUP(K633,ABBR!A:D,1,FALSE)),ISERROR(VLOOKUP(C633,ABBR!A:D,1,FALSE))),"")</f>
        <v/>
      </c>
      <c r="P633" t="str">
        <f>VLOOKUP(A633,Groups!A:L,5,FALSE)</f>
        <v>CTRG</v>
      </c>
      <c r="Q633" s="62" t="str">
        <f>IF(G633="PA",IF(M633&lt;&gt;"",ISERROR(VLOOKUP(M633,ABBR!C:F,1,FALSE)),ISERROR(VLOOKUP(E633,ABBR!C:F,1,FALSE))),"")</f>
        <v/>
      </c>
    </row>
    <row r="634" spans="1:17" hidden="1" x14ac:dyDescent="0.25">
      <c r="A634" s="16" t="s">
        <v>111</v>
      </c>
      <c r="B634" s="17"/>
      <c r="C634" s="16" t="s">
        <v>1661</v>
      </c>
      <c r="D634" s="17" t="s">
        <v>1345</v>
      </c>
      <c r="E634" s="17" t="s">
        <v>723</v>
      </c>
      <c r="F634" s="18" t="s">
        <v>1662</v>
      </c>
      <c r="G634" s="49" t="s">
        <v>1663</v>
      </c>
      <c r="H634" s="17">
        <v>24</v>
      </c>
      <c r="I634" s="30" t="s">
        <v>955</v>
      </c>
      <c r="J634" s="80">
        <v>4.0999999999999996</v>
      </c>
      <c r="O634" s="62" t="str">
        <f>IF(E634="PA",IF(K634&lt;&gt;"",ISERROR(VLOOKUP(K634,ABBR!A:D,1,FALSE)),ISERROR(VLOOKUP(C634,ABBR!A:D,1,FALSE))),"")</f>
        <v/>
      </c>
      <c r="P634" t="str">
        <f>VLOOKUP(A634,Groups!A:L,5,FALSE)</f>
        <v>CTRG</v>
      </c>
      <c r="Q634" s="62" t="str">
        <f>IF(G634="PA",IF(M634&lt;&gt;"",ISERROR(VLOOKUP(M634,ABBR!C:F,1,FALSE)),ISERROR(VLOOKUP(E634,ABBR!C:F,1,FALSE))),"")</f>
        <v/>
      </c>
    </row>
    <row r="635" spans="1:17" hidden="1" x14ac:dyDescent="0.25">
      <c r="A635" s="16" t="s">
        <v>111</v>
      </c>
      <c r="B635" s="17"/>
      <c r="C635" s="16" t="s">
        <v>1664</v>
      </c>
      <c r="D635" s="17" t="s">
        <v>1345</v>
      </c>
      <c r="E635" s="17" t="s">
        <v>723</v>
      </c>
      <c r="F635" s="18" t="s">
        <v>1665</v>
      </c>
      <c r="G635" s="49" t="s">
        <v>1666</v>
      </c>
      <c r="H635" s="17">
        <v>25</v>
      </c>
      <c r="I635" s="30" t="s">
        <v>955</v>
      </c>
      <c r="J635" s="80">
        <v>4.0999999999999996</v>
      </c>
      <c r="O635" s="62" t="str">
        <f>IF(E635="PA",IF(K635&lt;&gt;"",ISERROR(VLOOKUP(K635,ABBR!A:D,1,FALSE)),ISERROR(VLOOKUP(C635,ABBR!A:D,1,FALSE))),"")</f>
        <v/>
      </c>
      <c r="P635" t="str">
        <f>VLOOKUP(A635,Groups!A:L,5,FALSE)</f>
        <v>CTRG</v>
      </c>
      <c r="Q635" s="62" t="str">
        <f>IF(G635="PA",IF(M635&lt;&gt;"",ISERROR(VLOOKUP(M635,ABBR!C:F,1,FALSE)),ISERROR(VLOOKUP(E635,ABBR!C:F,1,FALSE))),"")</f>
        <v/>
      </c>
    </row>
    <row r="636" spans="1:17" hidden="1" x14ac:dyDescent="0.25">
      <c r="A636" s="16" t="s">
        <v>111</v>
      </c>
      <c r="B636" s="17"/>
      <c r="C636" s="16" t="s">
        <v>1667</v>
      </c>
      <c r="D636" s="17" t="s">
        <v>1345</v>
      </c>
      <c r="E636" s="17" t="s">
        <v>723</v>
      </c>
      <c r="F636" s="18" t="s">
        <v>1668</v>
      </c>
      <c r="G636" s="49" t="s">
        <v>1666</v>
      </c>
      <c r="H636" s="17">
        <v>26</v>
      </c>
      <c r="I636" s="30" t="s">
        <v>955</v>
      </c>
      <c r="J636" s="80">
        <v>4.0999999999999996</v>
      </c>
      <c r="O636" s="62" t="str">
        <f>IF(E636="PA",IF(K636&lt;&gt;"",ISERROR(VLOOKUP(K636,ABBR!A:D,1,FALSE)),ISERROR(VLOOKUP(C636,ABBR!A:D,1,FALSE))),"")</f>
        <v/>
      </c>
      <c r="P636" t="str">
        <f>VLOOKUP(A636,Groups!A:L,5,FALSE)</f>
        <v>CTRG</v>
      </c>
      <c r="Q636" s="62" t="str">
        <f>IF(G636="PA",IF(M636&lt;&gt;"",ISERROR(VLOOKUP(M636,ABBR!C:F,1,FALSE)),ISERROR(VLOOKUP(E636,ABBR!C:F,1,FALSE))),"")</f>
        <v/>
      </c>
    </row>
    <row r="637" spans="1:17" hidden="1" x14ac:dyDescent="0.25">
      <c r="A637" s="16" t="s">
        <v>111</v>
      </c>
      <c r="B637" s="17"/>
      <c r="C637" s="16" t="s">
        <v>1669</v>
      </c>
      <c r="D637" s="17" t="s">
        <v>1345</v>
      </c>
      <c r="E637" s="17" t="s">
        <v>723</v>
      </c>
      <c r="F637" s="18" t="s">
        <v>1670</v>
      </c>
      <c r="G637" s="49" t="s">
        <v>1666</v>
      </c>
      <c r="H637" s="17">
        <v>27</v>
      </c>
      <c r="I637" s="30" t="s">
        <v>955</v>
      </c>
      <c r="J637" s="80">
        <v>4.0999999999999996</v>
      </c>
      <c r="O637" s="62" t="str">
        <f>IF(E637="PA",IF(K637&lt;&gt;"",ISERROR(VLOOKUP(K637,ABBR!A:D,1,FALSE)),ISERROR(VLOOKUP(C637,ABBR!A:D,1,FALSE))),"")</f>
        <v/>
      </c>
      <c r="P637" t="str">
        <f>VLOOKUP(A637,Groups!A:L,5,FALSE)</f>
        <v>CTRG</v>
      </c>
      <c r="Q637" s="62" t="str">
        <f>IF(G637="PA",IF(M637&lt;&gt;"",ISERROR(VLOOKUP(M637,ABBR!C:F,1,FALSE)),ISERROR(VLOOKUP(E637,ABBR!C:F,1,FALSE))),"")</f>
        <v/>
      </c>
    </row>
    <row r="638" spans="1:17" hidden="1" x14ac:dyDescent="0.25">
      <c r="A638" s="16" t="s">
        <v>111</v>
      </c>
      <c r="B638" s="17"/>
      <c r="C638" s="16" t="s">
        <v>1671</v>
      </c>
      <c r="D638" s="17" t="s">
        <v>1345</v>
      </c>
      <c r="E638" s="17" t="s">
        <v>723</v>
      </c>
      <c r="F638" s="18" t="s">
        <v>1672</v>
      </c>
      <c r="G638" s="49" t="s">
        <v>1673</v>
      </c>
      <c r="H638" s="17">
        <v>28</v>
      </c>
      <c r="I638" s="30" t="s">
        <v>955</v>
      </c>
      <c r="J638" s="80">
        <v>4.0999999999999996</v>
      </c>
      <c r="O638" s="62" t="str">
        <f>IF(E638="PA",IF(K638&lt;&gt;"",ISERROR(VLOOKUP(K638,ABBR!A:D,1,FALSE)),ISERROR(VLOOKUP(C638,ABBR!A:D,1,FALSE))),"")</f>
        <v/>
      </c>
      <c r="P638" t="str">
        <f>VLOOKUP(A638,Groups!A:L,5,FALSE)</f>
        <v>CTRG</v>
      </c>
      <c r="Q638" s="62" t="str">
        <f>IF(G638="PA",IF(M638&lt;&gt;"",ISERROR(VLOOKUP(M638,ABBR!C:F,1,FALSE)),ISERROR(VLOOKUP(E638,ABBR!C:F,1,FALSE))),"")</f>
        <v/>
      </c>
    </row>
    <row r="639" spans="1:17" hidden="1" x14ac:dyDescent="0.25">
      <c r="A639" s="16" t="s">
        <v>111</v>
      </c>
      <c r="B639" s="17"/>
      <c r="C639" s="16" t="s">
        <v>1674</v>
      </c>
      <c r="D639" s="17"/>
      <c r="E639" s="17" t="s">
        <v>601</v>
      </c>
      <c r="F639" s="18" t="s">
        <v>1675</v>
      </c>
      <c r="G639" s="49" t="s">
        <v>1530</v>
      </c>
      <c r="H639" s="17">
        <v>29</v>
      </c>
      <c r="I639" s="30" t="s">
        <v>955</v>
      </c>
      <c r="J639" s="80">
        <v>4.0999999999999996</v>
      </c>
      <c r="O639" s="62" t="str">
        <f>IF(E639="PA",IF(K639&lt;&gt;"",ISERROR(VLOOKUP(K639,ABBR!A:D,1,FALSE)),ISERROR(VLOOKUP(C639,ABBR!A:D,1,FALSE))),"")</f>
        <v/>
      </c>
      <c r="P639" t="str">
        <f>VLOOKUP(A639,Groups!A:L,5,FALSE)</f>
        <v>CTRG</v>
      </c>
      <c r="Q639" s="62" t="str">
        <f>IF(G639="PA",IF(M639&lt;&gt;"",ISERROR(VLOOKUP(M639,ABBR!C:F,1,FALSE)),ISERROR(VLOOKUP(E639,ABBR!C:F,1,FALSE))),"")</f>
        <v/>
      </c>
    </row>
    <row r="640" spans="1:17" hidden="1" x14ac:dyDescent="0.25">
      <c r="A640" s="16" t="s">
        <v>111</v>
      </c>
      <c r="B640" s="17"/>
      <c r="C640" s="16" t="s">
        <v>1676</v>
      </c>
      <c r="D640" s="17" t="s">
        <v>766</v>
      </c>
      <c r="E640" s="17" t="s">
        <v>1321</v>
      </c>
      <c r="F640" s="18" t="s">
        <v>1677</v>
      </c>
      <c r="G640" s="49" t="s">
        <v>1678</v>
      </c>
      <c r="H640" s="17">
        <v>30</v>
      </c>
      <c r="I640" s="30" t="s">
        <v>955</v>
      </c>
      <c r="J640" s="80">
        <v>4.0999999999999996</v>
      </c>
      <c r="O640" s="62" t="str">
        <f>IF(E640="PA",IF(K640&lt;&gt;"",ISERROR(VLOOKUP(K640,ABBR!A:D,1,FALSE)),ISERROR(VLOOKUP(C640,ABBR!A:D,1,FALSE))),"")</f>
        <v/>
      </c>
      <c r="P640" t="str">
        <f>VLOOKUP(A640,Groups!A:L,5,FALSE)</f>
        <v>CTRG</v>
      </c>
      <c r="Q640" s="62" t="str">
        <f>IF(G640="PA",IF(M640&lt;&gt;"",ISERROR(VLOOKUP(M640,ABBR!C:F,1,FALSE)),ISERROR(VLOOKUP(E640,ABBR!C:F,1,FALSE))),"")</f>
        <v/>
      </c>
    </row>
    <row r="641" spans="1:17" ht="25" hidden="1" x14ac:dyDescent="0.25">
      <c r="A641" s="16" t="s">
        <v>111</v>
      </c>
      <c r="B641" s="17"/>
      <c r="C641" s="16" t="s">
        <v>1679</v>
      </c>
      <c r="D641" s="17" t="s">
        <v>766</v>
      </c>
      <c r="E641" s="17" t="s">
        <v>1321</v>
      </c>
      <c r="F641" s="18" t="s">
        <v>1680</v>
      </c>
      <c r="G641" s="49" t="s">
        <v>1681</v>
      </c>
      <c r="H641" s="17">
        <v>31</v>
      </c>
      <c r="I641" s="30" t="s">
        <v>955</v>
      </c>
      <c r="J641" s="80">
        <v>4.0999999999999996</v>
      </c>
      <c r="O641" s="62" t="str">
        <f>IF(E641="PA",IF(K641&lt;&gt;"",ISERROR(VLOOKUP(K641,ABBR!A:D,1,FALSE)),ISERROR(VLOOKUP(C641,ABBR!A:D,1,FALSE))),"")</f>
        <v/>
      </c>
      <c r="P641" t="str">
        <f>VLOOKUP(A641,Groups!A:L,5,FALSE)</f>
        <v>CTRG</v>
      </c>
      <c r="Q641" s="62" t="str">
        <f>IF(G641="PA",IF(M641&lt;&gt;"",ISERROR(VLOOKUP(M641,ABBR!C:F,1,FALSE)),ISERROR(VLOOKUP(E641,ABBR!C:F,1,FALSE))),"")</f>
        <v/>
      </c>
    </row>
    <row r="642" spans="1:17" ht="25" hidden="1" x14ac:dyDescent="0.25">
      <c r="A642" s="16" t="s">
        <v>111</v>
      </c>
      <c r="B642" s="17"/>
      <c r="C642" s="16" t="s">
        <v>1682</v>
      </c>
      <c r="D642" s="17" t="s">
        <v>766</v>
      </c>
      <c r="E642" s="17" t="s">
        <v>1321</v>
      </c>
      <c r="F642" s="18" t="s">
        <v>1683</v>
      </c>
      <c r="G642" s="49" t="s">
        <v>1684</v>
      </c>
      <c r="H642" s="17">
        <v>32</v>
      </c>
      <c r="I642" s="30" t="s">
        <v>955</v>
      </c>
      <c r="J642" s="80">
        <v>4.0999999999999996</v>
      </c>
      <c r="O642" s="62" t="str">
        <f>IF(E642="PA",IF(K642&lt;&gt;"",ISERROR(VLOOKUP(K642,ABBR!A:D,1,FALSE)),ISERROR(VLOOKUP(C642,ABBR!A:D,1,FALSE))),"")</f>
        <v/>
      </c>
      <c r="P642" t="str">
        <f>VLOOKUP(A642,Groups!A:L,5,FALSE)</f>
        <v>CTRG</v>
      </c>
      <c r="Q642" s="62" t="str">
        <f>IF(G642="PA",IF(M642&lt;&gt;"",ISERROR(VLOOKUP(M642,ABBR!C:F,1,FALSE)),ISERROR(VLOOKUP(E642,ABBR!C:F,1,FALSE))),"")</f>
        <v/>
      </c>
    </row>
    <row r="643" spans="1:17" hidden="1" x14ac:dyDescent="0.25">
      <c r="A643" s="16" t="s">
        <v>111</v>
      </c>
      <c r="B643" s="17"/>
      <c r="C643" s="16" t="s">
        <v>1685</v>
      </c>
      <c r="D643" s="17" t="s">
        <v>766</v>
      </c>
      <c r="E643" s="17" t="s">
        <v>723</v>
      </c>
      <c r="F643" s="18" t="s">
        <v>1686</v>
      </c>
      <c r="G643" s="49" t="s">
        <v>1687</v>
      </c>
      <c r="H643" s="17">
        <v>33</v>
      </c>
      <c r="I643" s="30" t="s">
        <v>955</v>
      </c>
      <c r="J643" s="80">
        <v>4.0999999999999996</v>
      </c>
      <c r="O643" s="62" t="str">
        <f>IF(E643="PA",IF(K643&lt;&gt;"",ISERROR(VLOOKUP(K643,ABBR!A:D,1,FALSE)),ISERROR(VLOOKUP(C643,ABBR!A:D,1,FALSE))),"")</f>
        <v/>
      </c>
      <c r="P643" t="str">
        <f>VLOOKUP(A643,Groups!A:L,5,FALSE)</f>
        <v>CTRG</v>
      </c>
      <c r="Q643" s="62" t="str">
        <f>IF(G643="PA",IF(M643&lt;&gt;"",ISERROR(VLOOKUP(M643,ABBR!C:F,1,FALSE)),ISERROR(VLOOKUP(E643,ABBR!C:F,1,FALSE))),"")</f>
        <v/>
      </c>
    </row>
    <row r="644" spans="1:17" ht="25" hidden="1" x14ac:dyDescent="0.25">
      <c r="A644" s="16" t="s">
        <v>111</v>
      </c>
      <c r="B644" s="17"/>
      <c r="C644" s="16" t="s">
        <v>1688</v>
      </c>
      <c r="D644" s="17"/>
      <c r="E644" s="17" t="s">
        <v>608</v>
      </c>
      <c r="F644" s="18" t="s">
        <v>1689</v>
      </c>
      <c r="G644" s="49" t="s">
        <v>1690</v>
      </c>
      <c r="H644" s="17">
        <v>34</v>
      </c>
      <c r="I644" s="30" t="s">
        <v>955</v>
      </c>
      <c r="J644" s="80">
        <v>4.0999999999999996</v>
      </c>
      <c r="O644" s="62" t="str">
        <f>IF(E644="PA",IF(K644&lt;&gt;"",ISERROR(VLOOKUP(K644,ABBR!A:D,1,FALSE)),ISERROR(VLOOKUP(C644,ABBR!A:D,1,FALSE))),"")</f>
        <v/>
      </c>
      <c r="P644" t="str">
        <f>VLOOKUP(A644,Groups!A:L,5,FALSE)</f>
        <v>CTRG</v>
      </c>
      <c r="Q644" s="62" t="str">
        <f>IF(G644="PA",IF(M644&lt;&gt;"",ISERROR(VLOOKUP(M644,ABBR!C:F,1,FALSE)),ISERROR(VLOOKUP(E644,ABBR!C:F,1,FALSE))),"")</f>
        <v/>
      </c>
    </row>
    <row r="645" spans="1:17" hidden="1" x14ac:dyDescent="0.25">
      <c r="A645" s="16" t="s">
        <v>111</v>
      </c>
      <c r="B645" s="17"/>
      <c r="C645" s="16" t="s">
        <v>1691</v>
      </c>
      <c r="D645" s="17"/>
      <c r="E645" s="17" t="s">
        <v>618</v>
      </c>
      <c r="F645" s="18" t="s">
        <v>1692</v>
      </c>
      <c r="G645" s="49" t="s">
        <v>1693</v>
      </c>
      <c r="H645" s="17">
        <v>35</v>
      </c>
      <c r="I645" s="30" t="s">
        <v>955</v>
      </c>
      <c r="J645" s="80">
        <v>4.0999999999999996</v>
      </c>
      <c r="O645" s="62" t="b">
        <f>IF(E645="PA",IF(K645&lt;&gt;"",ISERROR(VLOOKUP(K645,ABBR!A:D,1,FALSE)),ISERROR(VLOOKUP(C645,ABBR!A:D,1,FALSE))),"")</f>
        <v>0</v>
      </c>
      <c r="P645" t="str">
        <f>VLOOKUP(A645,Groups!A:L,5,FALSE)</f>
        <v>CTRG</v>
      </c>
      <c r="Q645" s="62" t="str">
        <f>IF(G645="PA",IF(M645&lt;&gt;"",ISERROR(VLOOKUP(M645,ABBR!C:F,1,FALSE)),ISERROR(VLOOKUP(E645,ABBR!C:F,1,FALSE))),"")</f>
        <v/>
      </c>
    </row>
    <row r="646" spans="1:17" hidden="1" x14ac:dyDescent="0.25">
      <c r="A646" s="16" t="s">
        <v>111</v>
      </c>
      <c r="B646" s="17"/>
      <c r="C646" s="16" t="s">
        <v>1694</v>
      </c>
      <c r="D646" s="17" t="s">
        <v>722</v>
      </c>
      <c r="E646" s="17" t="s">
        <v>601</v>
      </c>
      <c r="F646" s="18" t="s">
        <v>1695</v>
      </c>
      <c r="G646" s="49" t="s">
        <v>1696</v>
      </c>
      <c r="H646" s="17">
        <v>36</v>
      </c>
      <c r="I646" s="30" t="s">
        <v>955</v>
      </c>
      <c r="J646" s="80">
        <v>4.0999999999999996</v>
      </c>
      <c r="O646" s="62" t="str">
        <f>IF(E646="PA",IF(K646&lt;&gt;"",ISERROR(VLOOKUP(K646,ABBR!A:D,1,FALSE)),ISERROR(VLOOKUP(C646,ABBR!A:D,1,FALSE))),"")</f>
        <v/>
      </c>
      <c r="P646" t="str">
        <f>VLOOKUP(A646,Groups!A:L,5,FALSE)</f>
        <v>CTRG</v>
      </c>
      <c r="Q646" s="62" t="str">
        <f>IF(G646="PA",IF(M646&lt;&gt;"",ISERROR(VLOOKUP(M646,ABBR!C:F,1,FALSE)),ISERROR(VLOOKUP(E646,ABBR!C:F,1,FALSE))),"")</f>
        <v/>
      </c>
    </row>
    <row r="647" spans="1:17" hidden="1" x14ac:dyDescent="0.25">
      <c r="A647" s="16" t="s">
        <v>111</v>
      </c>
      <c r="B647" s="17"/>
      <c r="C647" s="16" t="s">
        <v>1697</v>
      </c>
      <c r="D647" s="17" t="s">
        <v>1698</v>
      </c>
      <c r="E647" s="17" t="s">
        <v>1699</v>
      </c>
      <c r="F647" s="18" t="s">
        <v>1700</v>
      </c>
      <c r="G647" s="49" t="s">
        <v>1701</v>
      </c>
      <c r="H647" s="17">
        <v>37</v>
      </c>
      <c r="I647" s="30" t="s">
        <v>955</v>
      </c>
      <c r="J647" s="80">
        <v>4.0999999999999996</v>
      </c>
      <c r="O647" s="62" t="str">
        <f>IF(E647="PA",IF(K647&lt;&gt;"",ISERROR(VLOOKUP(K647,ABBR!A:D,1,FALSE)),ISERROR(VLOOKUP(C647,ABBR!A:D,1,FALSE))),"")</f>
        <v/>
      </c>
      <c r="P647" t="str">
        <f>VLOOKUP(A647,Groups!A:L,5,FALSE)</f>
        <v>CTRG</v>
      </c>
      <c r="Q647" s="62" t="str">
        <f>IF(G647="PA",IF(M647&lt;&gt;"",ISERROR(VLOOKUP(M647,ABBR!C:F,1,FALSE)),ISERROR(VLOOKUP(E647,ABBR!C:F,1,FALSE))),"")</f>
        <v/>
      </c>
    </row>
    <row r="648" spans="1:17" hidden="1" x14ac:dyDescent="0.25">
      <c r="A648" s="16" t="s">
        <v>111</v>
      </c>
      <c r="B648" s="17"/>
      <c r="C648" s="16" t="s">
        <v>1702</v>
      </c>
      <c r="D648" s="17"/>
      <c r="E648" s="17" t="s">
        <v>608</v>
      </c>
      <c r="F648" s="18" t="s">
        <v>1703</v>
      </c>
      <c r="G648" s="49" t="s">
        <v>1704</v>
      </c>
      <c r="H648" s="17">
        <v>38</v>
      </c>
      <c r="I648" s="30" t="s">
        <v>955</v>
      </c>
      <c r="J648" s="80">
        <v>4.0999999999999996</v>
      </c>
      <c r="O648" s="62" t="str">
        <f>IF(E648="PA",IF(K648&lt;&gt;"",ISERROR(VLOOKUP(K648,ABBR!A:D,1,FALSE)),ISERROR(VLOOKUP(C648,ABBR!A:D,1,FALSE))),"")</f>
        <v/>
      </c>
      <c r="P648" t="str">
        <f>VLOOKUP(A648,Groups!A:L,5,FALSE)</f>
        <v>CTRG</v>
      </c>
      <c r="Q648" s="62" t="str">
        <f>IF(G648="PA",IF(M648&lt;&gt;"",ISERROR(VLOOKUP(M648,ABBR!C:F,1,FALSE)),ISERROR(VLOOKUP(E648,ABBR!C:F,1,FALSE))),"")</f>
        <v/>
      </c>
    </row>
    <row r="649" spans="1:17" hidden="1" x14ac:dyDescent="0.25">
      <c r="A649" s="16" t="s">
        <v>111</v>
      </c>
      <c r="B649" s="17"/>
      <c r="C649" s="16" t="s">
        <v>1705</v>
      </c>
      <c r="D649" s="17" t="s">
        <v>1706</v>
      </c>
      <c r="E649" s="17" t="s">
        <v>767</v>
      </c>
      <c r="F649" s="18" t="s">
        <v>1707</v>
      </c>
      <c r="G649" s="49" t="s">
        <v>1708</v>
      </c>
      <c r="H649" s="17">
        <v>39</v>
      </c>
      <c r="I649" s="30" t="s">
        <v>955</v>
      </c>
      <c r="J649" s="80">
        <v>4.0999999999999996</v>
      </c>
      <c r="O649" s="62" t="str">
        <f>IF(E649="PA",IF(K649&lt;&gt;"",ISERROR(VLOOKUP(K649,ABBR!A:D,1,FALSE)),ISERROR(VLOOKUP(C649,ABBR!A:D,1,FALSE))),"")</f>
        <v/>
      </c>
      <c r="P649" t="str">
        <f>VLOOKUP(A649,Groups!A:L,5,FALSE)</f>
        <v>CTRG</v>
      </c>
      <c r="Q649" s="62" t="str">
        <f>IF(G649="PA",IF(M649&lt;&gt;"",ISERROR(VLOOKUP(M649,ABBR!C:F,1,FALSE)),ISERROR(VLOOKUP(E649,ABBR!C:F,1,FALSE))),"")</f>
        <v/>
      </c>
    </row>
    <row r="650" spans="1:17" hidden="1" x14ac:dyDescent="0.25">
      <c r="A650" s="16" t="s">
        <v>111</v>
      </c>
      <c r="B650" s="17"/>
      <c r="C650" s="16" t="s">
        <v>1709</v>
      </c>
      <c r="D650" s="17" t="s">
        <v>1710</v>
      </c>
      <c r="E650" s="17" t="s">
        <v>723</v>
      </c>
      <c r="F650" s="18" t="s">
        <v>1711</v>
      </c>
      <c r="G650" s="49" t="s">
        <v>1712</v>
      </c>
      <c r="H650" s="17">
        <v>40</v>
      </c>
      <c r="I650" s="30" t="s">
        <v>955</v>
      </c>
      <c r="J650" s="80">
        <v>4.0999999999999996</v>
      </c>
      <c r="O650" s="62" t="str">
        <f>IF(E650="PA",IF(K650&lt;&gt;"",ISERROR(VLOOKUP(K650,ABBR!A:D,1,FALSE)),ISERROR(VLOOKUP(C650,ABBR!A:D,1,FALSE))),"")</f>
        <v/>
      </c>
      <c r="P650" t="str">
        <f>VLOOKUP(A650,Groups!A:L,5,FALSE)</f>
        <v>CTRG</v>
      </c>
      <c r="Q650" s="62" t="str">
        <f>IF(G650="PA",IF(M650&lt;&gt;"",ISERROR(VLOOKUP(M650,ABBR!C:F,1,FALSE)),ISERROR(VLOOKUP(E650,ABBR!C:F,1,FALSE))),"")</f>
        <v/>
      </c>
    </row>
    <row r="651" spans="1:17" hidden="1" x14ac:dyDescent="0.25">
      <c r="A651" s="16" t="s">
        <v>111</v>
      </c>
      <c r="B651" s="17"/>
      <c r="C651" s="16" t="s">
        <v>1713</v>
      </c>
      <c r="D651" s="17"/>
      <c r="E651" s="17" t="s">
        <v>608</v>
      </c>
      <c r="F651" s="18" t="s">
        <v>642</v>
      </c>
      <c r="G651" s="49" t="s">
        <v>16</v>
      </c>
      <c r="H651" s="17">
        <v>41</v>
      </c>
      <c r="I651" s="30" t="s">
        <v>955</v>
      </c>
      <c r="J651" s="80">
        <v>4.0999999999999996</v>
      </c>
      <c r="M651" s="101"/>
      <c r="O651" s="62" t="str">
        <f>IF(E651="PA",IF(K651&lt;&gt;"",ISERROR(VLOOKUP(K651,ABBR!A:D,1,FALSE)),ISERROR(VLOOKUP(C651,ABBR!A:D,1,FALSE))),"")</f>
        <v/>
      </c>
      <c r="P651" t="str">
        <f>VLOOKUP(A651,Groups!A:L,5,FALSE)</f>
        <v>CTRG</v>
      </c>
      <c r="Q651" s="62" t="str">
        <f>IF(G651="PA",IF(M651&lt;&gt;"",ISERROR(VLOOKUP(M651,ABBR!C:F,1,FALSE)),ISERROR(VLOOKUP(E651,ABBR!C:F,1,FALSE))),"")</f>
        <v/>
      </c>
    </row>
    <row r="652" spans="1:17" hidden="1" x14ac:dyDescent="0.25">
      <c r="A652" s="16" t="s">
        <v>111</v>
      </c>
      <c r="B652" s="17"/>
      <c r="C652" s="16" t="s">
        <v>643</v>
      </c>
      <c r="D652" s="17"/>
      <c r="E652" s="17" t="s">
        <v>608</v>
      </c>
      <c r="F652" s="18" t="s">
        <v>1714</v>
      </c>
      <c r="G652" s="49" t="s">
        <v>940</v>
      </c>
      <c r="H652" s="17">
        <v>42</v>
      </c>
      <c r="I652" s="30" t="s">
        <v>955</v>
      </c>
      <c r="J652" s="80">
        <v>4.0999999999999996</v>
      </c>
      <c r="O652" s="62" t="str">
        <f>IF(E652="PA",IF(K652&lt;&gt;"",ISERROR(VLOOKUP(K652,ABBR!A:D,1,FALSE)),ISERROR(VLOOKUP(C652,ABBR!A:D,1,FALSE))),"")</f>
        <v/>
      </c>
      <c r="P652" t="str">
        <f>VLOOKUP(A652,Groups!A:L,5,FALSE)</f>
        <v>CTRG</v>
      </c>
      <c r="Q652" s="62" t="str">
        <f>IF(G652="PA",IF(M652&lt;&gt;"",ISERROR(VLOOKUP(M652,ABBR!C:F,1,FALSE)),ISERROR(VLOOKUP(E652,ABBR!C:F,1,FALSE))),"")</f>
        <v/>
      </c>
    </row>
    <row r="653" spans="1:17" hidden="1" x14ac:dyDescent="0.25">
      <c r="A653" s="16" t="s">
        <v>116</v>
      </c>
      <c r="B653" s="44" t="s">
        <v>594</v>
      </c>
      <c r="C653" s="16" t="s">
        <v>595</v>
      </c>
      <c r="D653" s="44"/>
      <c r="E653" s="44" t="s">
        <v>596</v>
      </c>
      <c r="F653" s="45" t="s">
        <v>597</v>
      </c>
      <c r="G653" s="47" t="s">
        <v>598</v>
      </c>
      <c r="H653" s="17">
        <v>1</v>
      </c>
      <c r="I653" s="30" t="s">
        <v>955</v>
      </c>
      <c r="J653" s="80">
        <v>4.0999999999999996</v>
      </c>
      <c r="O653" s="62" t="str">
        <f>IF(E653="PA",IF(K653&lt;&gt;"",ISERROR(VLOOKUP(K653,ABBR!A:D,1,FALSE)),ISERROR(VLOOKUP(C653,ABBR!A:D,1,FALSE))),"")</f>
        <v/>
      </c>
      <c r="P653" t="str">
        <f>VLOOKUP(A653,Groups!A:L,5,FALSE)</f>
        <v>CTRP</v>
      </c>
      <c r="Q653" s="62" t="str">
        <f>IF(G653="PA",IF(M653&lt;&gt;"",ISERROR(VLOOKUP(M653,ABBR!C:F,1,FALSE)),ISERROR(VLOOKUP(E653,ABBR!C:F,1,FALSE))),"")</f>
        <v/>
      </c>
    </row>
    <row r="654" spans="1:17" hidden="1" x14ac:dyDescent="0.25">
      <c r="A654" s="16" t="s">
        <v>116</v>
      </c>
      <c r="B654" s="44" t="s">
        <v>594</v>
      </c>
      <c r="C654" s="16" t="s">
        <v>851</v>
      </c>
      <c r="D654" s="44" t="s">
        <v>600</v>
      </c>
      <c r="E654" s="44" t="s">
        <v>601</v>
      </c>
      <c r="F654" s="45" t="s">
        <v>852</v>
      </c>
      <c r="G654" s="47">
        <v>24.55</v>
      </c>
      <c r="H654" s="17">
        <v>2</v>
      </c>
      <c r="I654" s="30" t="s">
        <v>955</v>
      </c>
      <c r="J654" s="80">
        <v>4.0999999999999996</v>
      </c>
      <c r="O654" s="62" t="str">
        <f>IF(E654="PA",IF(K654&lt;&gt;"",ISERROR(VLOOKUP(K654,ABBR!A:D,1,FALSE)),ISERROR(VLOOKUP(C654,ABBR!A:D,1,FALSE))),"")</f>
        <v/>
      </c>
      <c r="P654" t="str">
        <f>VLOOKUP(A654,Groups!A:L,5,FALSE)</f>
        <v>CTRP</v>
      </c>
      <c r="Q654" s="62" t="str">
        <f>IF(G654="PA",IF(M654&lt;&gt;"",ISERROR(VLOOKUP(M654,ABBR!C:F,1,FALSE)),ISERROR(VLOOKUP(E654,ABBR!C:F,1,FALSE))),"")</f>
        <v/>
      </c>
    </row>
    <row r="655" spans="1:17" hidden="1" x14ac:dyDescent="0.25">
      <c r="A655" s="16" t="s">
        <v>116</v>
      </c>
      <c r="B655" s="44" t="s">
        <v>594</v>
      </c>
      <c r="C655" s="16" t="s">
        <v>854</v>
      </c>
      <c r="D655" s="44"/>
      <c r="E655" s="44" t="s">
        <v>608</v>
      </c>
      <c r="F655" s="45" t="s">
        <v>855</v>
      </c>
      <c r="G655" s="47">
        <v>24</v>
      </c>
      <c r="H655" s="17">
        <v>3</v>
      </c>
      <c r="I655" s="30" t="s">
        <v>955</v>
      </c>
      <c r="J655" s="80">
        <v>4.0999999999999996</v>
      </c>
      <c r="O655" s="62" t="str">
        <f>IF(E655="PA",IF(K655&lt;&gt;"",ISERROR(VLOOKUP(K655,ABBR!A:D,1,FALSE)),ISERROR(VLOOKUP(C655,ABBR!A:D,1,FALSE))),"")</f>
        <v/>
      </c>
      <c r="P655" t="str">
        <f>VLOOKUP(A655,Groups!A:L,5,FALSE)</f>
        <v>CTRP</v>
      </c>
      <c r="Q655" s="62" t="str">
        <f>IF(G655="PA",IF(M655&lt;&gt;"",ISERROR(VLOOKUP(M655,ABBR!C:F,1,FALSE)),ISERROR(VLOOKUP(E655,ABBR!C:F,1,FALSE))),"")</f>
        <v/>
      </c>
    </row>
    <row r="656" spans="1:17" hidden="1" x14ac:dyDescent="0.25">
      <c r="A656" s="16" t="s">
        <v>116</v>
      </c>
      <c r="B656" s="44" t="s">
        <v>594</v>
      </c>
      <c r="C656" s="16" t="s">
        <v>857</v>
      </c>
      <c r="D656" s="44"/>
      <c r="E656" s="44" t="s">
        <v>618</v>
      </c>
      <c r="F656" s="45" t="s">
        <v>858</v>
      </c>
      <c r="G656" s="47" t="s">
        <v>859</v>
      </c>
      <c r="H656" s="17">
        <v>4</v>
      </c>
      <c r="I656" s="30" t="s">
        <v>955</v>
      </c>
      <c r="J656" s="80">
        <v>4.0999999999999996</v>
      </c>
      <c r="O656" s="62" t="b">
        <f>IF(E656="PA",IF(K656&lt;&gt;"",ISERROR(VLOOKUP(K656,ABBR!A:D,1,FALSE)),ISERROR(VLOOKUP(C656,ABBR!A:D,1,FALSE))),"")</f>
        <v>0</v>
      </c>
      <c r="P656" t="str">
        <f>VLOOKUP(A656,Groups!A:L,5,FALSE)</f>
        <v>CTRP</v>
      </c>
      <c r="Q656" s="62" t="str">
        <f>IF(G656="PA",IF(M656&lt;&gt;"",ISERROR(VLOOKUP(M656,ABBR!C:F,1,FALSE)),ISERROR(VLOOKUP(E656,ABBR!C:F,1,FALSE))),"")</f>
        <v/>
      </c>
    </row>
    <row r="657" spans="1:17" hidden="1" x14ac:dyDescent="0.25">
      <c r="A657" s="16" t="s">
        <v>116</v>
      </c>
      <c r="B657" s="44" t="s">
        <v>594</v>
      </c>
      <c r="C657" s="16" t="s">
        <v>860</v>
      </c>
      <c r="D657" s="44"/>
      <c r="E657" s="44" t="s">
        <v>596</v>
      </c>
      <c r="F657" s="45" t="s">
        <v>942</v>
      </c>
      <c r="G657" s="49" t="s">
        <v>862</v>
      </c>
      <c r="H657" s="17">
        <v>5</v>
      </c>
      <c r="I657" s="30" t="s">
        <v>955</v>
      </c>
      <c r="J657" s="80">
        <v>4.0999999999999996</v>
      </c>
      <c r="O657" s="62" t="str">
        <f>IF(E657="PA",IF(K657&lt;&gt;"",ISERROR(VLOOKUP(K657,ABBR!A:D,1,FALSE)),ISERROR(VLOOKUP(C657,ABBR!A:D,1,FALSE))),"")</f>
        <v/>
      </c>
      <c r="P657" t="str">
        <f>VLOOKUP(A657,Groups!A:L,5,FALSE)</f>
        <v>CTRP</v>
      </c>
      <c r="Q657" s="62" t="str">
        <f>IF(G657="PA",IF(M657&lt;&gt;"",ISERROR(VLOOKUP(M657,ABBR!C:F,1,FALSE)),ISERROR(VLOOKUP(E657,ABBR!C:F,1,FALSE))),"")</f>
        <v/>
      </c>
    </row>
    <row r="658" spans="1:17" hidden="1" x14ac:dyDescent="0.25">
      <c r="A658" s="16" t="s">
        <v>116</v>
      </c>
      <c r="B658" s="44" t="s">
        <v>594</v>
      </c>
      <c r="C658" s="16" t="s">
        <v>863</v>
      </c>
      <c r="D658" s="44"/>
      <c r="E658" s="44" t="s">
        <v>608</v>
      </c>
      <c r="F658" s="45" t="s">
        <v>864</v>
      </c>
      <c r="G658" s="49" t="s">
        <v>865</v>
      </c>
      <c r="H658" s="17">
        <v>6</v>
      </c>
      <c r="I658" s="30" t="s">
        <v>955</v>
      </c>
      <c r="J658" s="80">
        <v>4.0999999999999996</v>
      </c>
      <c r="O658" s="62" t="str">
        <f>IF(E658="PA",IF(K658&lt;&gt;"",ISERROR(VLOOKUP(K658,ABBR!A:D,1,FALSE)),ISERROR(VLOOKUP(C658,ABBR!A:D,1,FALSE))),"")</f>
        <v/>
      </c>
      <c r="P658" t="str">
        <f>VLOOKUP(A658,Groups!A:L,5,FALSE)</f>
        <v>CTRP</v>
      </c>
      <c r="Q658" s="62" t="str">
        <f>IF(G658="PA",IF(M658&lt;&gt;"",ISERROR(VLOOKUP(M658,ABBR!C:F,1,FALSE)),ISERROR(VLOOKUP(E658,ABBR!C:F,1,FALSE))),"")</f>
        <v/>
      </c>
    </row>
    <row r="659" spans="1:17" hidden="1" x14ac:dyDescent="0.25">
      <c r="A659" s="16" t="s">
        <v>116</v>
      </c>
      <c r="B659" s="44" t="s">
        <v>594</v>
      </c>
      <c r="C659" s="16" t="s">
        <v>866</v>
      </c>
      <c r="D659" s="44" t="s">
        <v>600</v>
      </c>
      <c r="E659" s="44" t="s">
        <v>601</v>
      </c>
      <c r="F659" s="45" t="s">
        <v>867</v>
      </c>
      <c r="G659" s="47">
        <v>24.55</v>
      </c>
      <c r="H659" s="17">
        <v>7</v>
      </c>
      <c r="I659" s="30" t="s">
        <v>955</v>
      </c>
      <c r="J659" s="80">
        <v>4.0999999999999996</v>
      </c>
      <c r="O659" s="62" t="str">
        <f>IF(E659="PA",IF(K659&lt;&gt;"",ISERROR(VLOOKUP(K659,ABBR!A:D,1,FALSE)),ISERROR(VLOOKUP(C659,ABBR!A:D,1,FALSE))),"")</f>
        <v/>
      </c>
      <c r="P659" t="str">
        <f>VLOOKUP(A659,Groups!A:L,5,FALSE)</f>
        <v>CTRP</v>
      </c>
      <c r="Q659" s="62" t="str">
        <f>IF(G659="PA",IF(M659&lt;&gt;"",ISERROR(VLOOKUP(M659,ABBR!C:F,1,FALSE)),ISERROR(VLOOKUP(E659,ABBR!C:F,1,FALSE))),"")</f>
        <v/>
      </c>
    </row>
    <row r="660" spans="1:17" hidden="1" x14ac:dyDescent="0.25">
      <c r="A660" s="16" t="s">
        <v>116</v>
      </c>
      <c r="B660" s="17" t="s">
        <v>594</v>
      </c>
      <c r="C660" s="16" t="s">
        <v>1616</v>
      </c>
      <c r="D660" s="17"/>
      <c r="E660" s="17" t="s">
        <v>608</v>
      </c>
      <c r="F660" s="18" t="s">
        <v>1617</v>
      </c>
      <c r="G660" s="49" t="s">
        <v>1229</v>
      </c>
      <c r="H660" s="17">
        <v>8</v>
      </c>
      <c r="I660" s="30" t="s">
        <v>955</v>
      </c>
      <c r="J660" s="80">
        <v>4.0999999999999996</v>
      </c>
      <c r="O660" s="62" t="str">
        <f>IF(E660="PA",IF(K660&lt;&gt;"",ISERROR(VLOOKUP(K660,ABBR!A:D,1,FALSE)),ISERROR(VLOOKUP(C660,ABBR!A:D,1,FALSE))),"")</f>
        <v/>
      </c>
      <c r="P660" t="str">
        <f>VLOOKUP(A660,Groups!A:L,5,FALSE)</f>
        <v>CTRP</v>
      </c>
      <c r="Q660" s="62" t="str">
        <f>IF(G660="PA",IF(M660&lt;&gt;"",ISERROR(VLOOKUP(M660,ABBR!C:F,1,FALSE)),ISERROR(VLOOKUP(E660,ABBR!C:F,1,FALSE))),"")</f>
        <v/>
      </c>
    </row>
    <row r="661" spans="1:17" hidden="1" x14ac:dyDescent="0.25">
      <c r="A661" s="16" t="s">
        <v>116</v>
      </c>
      <c r="B661" s="17" t="s">
        <v>594</v>
      </c>
      <c r="C661" s="16" t="s">
        <v>1715</v>
      </c>
      <c r="D661" s="17"/>
      <c r="E661" s="17" t="s">
        <v>608</v>
      </c>
      <c r="F661" s="18" t="s">
        <v>1716</v>
      </c>
      <c r="G661" s="49" t="s">
        <v>1114</v>
      </c>
      <c r="H661" s="17">
        <v>9</v>
      </c>
      <c r="I661" s="30" t="s">
        <v>955</v>
      </c>
      <c r="J661" s="80">
        <v>4.0999999999999996</v>
      </c>
      <c r="O661" s="62" t="str">
        <f>IF(E661="PA",IF(K661&lt;&gt;"",ISERROR(VLOOKUP(K661,ABBR!A:D,1,FALSE)),ISERROR(VLOOKUP(C661,ABBR!A:D,1,FALSE))),"")</f>
        <v/>
      </c>
      <c r="P661" t="str">
        <f>VLOOKUP(A661,Groups!A:L,5,FALSE)</f>
        <v>CTRP</v>
      </c>
      <c r="Q661" s="62" t="str">
        <f>IF(G661="PA",IF(M661&lt;&gt;"",ISERROR(VLOOKUP(M661,ABBR!C:F,1,FALSE)),ISERROR(VLOOKUP(E661,ABBR!C:F,1,FALSE))),"")</f>
        <v/>
      </c>
    </row>
    <row r="662" spans="1:17" ht="25" hidden="1" x14ac:dyDescent="0.25">
      <c r="A662" s="16" t="s">
        <v>116</v>
      </c>
      <c r="B662" s="17"/>
      <c r="C662" s="16" t="s">
        <v>1717</v>
      </c>
      <c r="D662" s="17" t="s">
        <v>1718</v>
      </c>
      <c r="E662" s="17" t="s">
        <v>925</v>
      </c>
      <c r="F662" s="18" t="s">
        <v>1719</v>
      </c>
      <c r="G662" s="49" t="s">
        <v>1720</v>
      </c>
      <c r="H662" s="17">
        <v>10</v>
      </c>
      <c r="I662" s="30" t="s">
        <v>955</v>
      </c>
      <c r="J662" s="80">
        <v>4.0999999999999996</v>
      </c>
      <c r="O662" s="62" t="str">
        <f>IF(E662="PA",IF(K662&lt;&gt;"",ISERROR(VLOOKUP(K662,ABBR!A:D,1,FALSE)),ISERROR(VLOOKUP(C662,ABBR!A:D,1,FALSE))),"")</f>
        <v/>
      </c>
      <c r="P662" t="str">
        <f>VLOOKUP(A662,Groups!A:L,5,FALSE)</f>
        <v>CTRP</v>
      </c>
      <c r="Q662" s="62" t="str">
        <f>IF(G662="PA",IF(M662&lt;&gt;"",ISERROR(VLOOKUP(M662,ABBR!C:F,1,FALSE)),ISERROR(VLOOKUP(E662,ABBR!C:F,1,FALSE))),"")</f>
        <v/>
      </c>
    </row>
    <row r="663" spans="1:17" hidden="1" x14ac:dyDescent="0.25">
      <c r="A663" s="16" t="s">
        <v>116</v>
      </c>
      <c r="B663" s="17"/>
      <c r="C663" s="16" t="s">
        <v>1721</v>
      </c>
      <c r="D663" s="17"/>
      <c r="E663" s="17" t="s">
        <v>618</v>
      </c>
      <c r="F663" s="18" t="s">
        <v>1722</v>
      </c>
      <c r="G663" s="49" t="s">
        <v>1723</v>
      </c>
      <c r="H663" s="17">
        <v>11</v>
      </c>
      <c r="I663" s="30" t="s">
        <v>955</v>
      </c>
      <c r="J663" s="80">
        <v>4.0999999999999996</v>
      </c>
      <c r="O663" s="62" t="b">
        <f>IF(E663="PA",IF(K663&lt;&gt;"",ISERROR(VLOOKUP(K663,ABBR!A:D,1,FALSE)),ISERROR(VLOOKUP(C663,ABBR!A:D,1,FALSE))),"")</f>
        <v>0</v>
      </c>
      <c r="P663" t="str">
        <f>VLOOKUP(A663,Groups!A:L,5,FALSE)</f>
        <v>CTRP</v>
      </c>
      <c r="Q663" s="62" t="str">
        <f>IF(G663="PA",IF(M663&lt;&gt;"",ISERROR(VLOOKUP(M663,ABBR!C:F,1,FALSE)),ISERROR(VLOOKUP(E663,ABBR!C:F,1,FALSE))),"")</f>
        <v/>
      </c>
    </row>
    <row r="664" spans="1:17" hidden="1" x14ac:dyDescent="0.25">
      <c r="A664" s="16" t="s">
        <v>116</v>
      </c>
      <c r="B664" s="17"/>
      <c r="C664" s="16" t="s">
        <v>1724</v>
      </c>
      <c r="D664" s="17" t="s">
        <v>722</v>
      </c>
      <c r="E664" s="17" t="s">
        <v>601</v>
      </c>
      <c r="F664" s="18" t="s">
        <v>1725</v>
      </c>
      <c r="G664" s="49" t="s">
        <v>1726</v>
      </c>
      <c r="H664" s="17">
        <v>12</v>
      </c>
      <c r="I664" s="30" t="s">
        <v>955</v>
      </c>
      <c r="J664" s="80">
        <v>4.0999999999999996</v>
      </c>
      <c r="O664" s="62" t="str">
        <f>IF(E664="PA",IF(K664&lt;&gt;"",ISERROR(VLOOKUP(K664,ABBR!A:D,1,FALSE)),ISERROR(VLOOKUP(C664,ABBR!A:D,1,FALSE))),"")</f>
        <v/>
      </c>
      <c r="P664" t="str">
        <f>VLOOKUP(A664,Groups!A:L,5,FALSE)</f>
        <v>CTRP</v>
      </c>
      <c r="Q664" s="62" t="str">
        <f>IF(G664="PA",IF(M664&lt;&gt;"",ISERROR(VLOOKUP(M664,ABBR!C:F,1,FALSE)),ISERROR(VLOOKUP(E664,ABBR!C:F,1,FALSE))),"")</f>
        <v/>
      </c>
    </row>
    <row r="665" spans="1:17" hidden="1" x14ac:dyDescent="0.25">
      <c r="A665" s="16" t="s">
        <v>116</v>
      </c>
      <c r="B665" s="17"/>
      <c r="C665" s="16" t="s">
        <v>1727</v>
      </c>
      <c r="D665" s="17" t="s">
        <v>722</v>
      </c>
      <c r="E665" s="17" t="s">
        <v>601</v>
      </c>
      <c r="F665" s="18" t="s">
        <v>1728</v>
      </c>
      <c r="G665" s="49" t="s">
        <v>1729</v>
      </c>
      <c r="H665" s="17">
        <v>13</v>
      </c>
      <c r="I665" s="30" t="s">
        <v>955</v>
      </c>
      <c r="J665" s="80">
        <v>4.0999999999999996</v>
      </c>
      <c r="O665" s="62" t="str">
        <f>IF(E665="PA",IF(K665&lt;&gt;"",ISERROR(VLOOKUP(K665,ABBR!A:D,1,FALSE)),ISERROR(VLOOKUP(C665,ABBR!A:D,1,FALSE))),"")</f>
        <v/>
      </c>
      <c r="P665" t="str">
        <f>VLOOKUP(A665,Groups!A:L,5,FALSE)</f>
        <v>CTRP</v>
      </c>
      <c r="Q665" s="62" t="str">
        <f>IF(G665="PA",IF(M665&lt;&gt;"",ISERROR(VLOOKUP(M665,ABBR!C:F,1,FALSE)),ISERROR(VLOOKUP(E665,ABBR!C:F,1,FALSE))),"")</f>
        <v/>
      </c>
    </row>
    <row r="666" spans="1:17" hidden="1" x14ac:dyDescent="0.25">
      <c r="A666" s="16" t="s">
        <v>116</v>
      </c>
      <c r="B666" s="17"/>
      <c r="C666" s="16" t="s">
        <v>1730</v>
      </c>
      <c r="D666" s="17" t="s">
        <v>1345</v>
      </c>
      <c r="E666" s="17" t="s">
        <v>723</v>
      </c>
      <c r="F666" s="18" t="s">
        <v>1731</v>
      </c>
      <c r="G666" s="49" t="s">
        <v>1732</v>
      </c>
      <c r="H666" s="17">
        <v>14</v>
      </c>
      <c r="I666" s="30" t="s">
        <v>955</v>
      </c>
      <c r="J666" s="80">
        <v>4.0999999999999996</v>
      </c>
      <c r="O666" s="62" t="str">
        <f>IF(E666="PA",IF(K666&lt;&gt;"",ISERROR(VLOOKUP(K666,ABBR!A:D,1,FALSE)),ISERROR(VLOOKUP(C666,ABBR!A:D,1,FALSE))),"")</f>
        <v/>
      </c>
      <c r="P666" t="str">
        <f>VLOOKUP(A666,Groups!A:L,5,FALSE)</f>
        <v>CTRP</v>
      </c>
      <c r="Q666" s="62" t="str">
        <f>IF(G666="PA",IF(M666&lt;&gt;"",ISERROR(VLOOKUP(M666,ABBR!C:F,1,FALSE)),ISERROR(VLOOKUP(E666,ABBR!C:F,1,FALSE))),"")</f>
        <v/>
      </c>
    </row>
    <row r="667" spans="1:17" hidden="1" x14ac:dyDescent="0.25">
      <c r="A667" s="16" t="s">
        <v>116</v>
      </c>
      <c r="B667" s="17"/>
      <c r="C667" s="16" t="s">
        <v>1733</v>
      </c>
      <c r="D667" s="17" t="s">
        <v>1345</v>
      </c>
      <c r="E667" s="17" t="s">
        <v>723</v>
      </c>
      <c r="F667" s="18" t="s">
        <v>1622</v>
      </c>
      <c r="G667" s="49" t="s">
        <v>1623</v>
      </c>
      <c r="H667" s="17">
        <v>15</v>
      </c>
      <c r="I667" s="30" t="s">
        <v>955</v>
      </c>
      <c r="J667" s="80">
        <v>4.0999999999999996</v>
      </c>
      <c r="O667" s="62" t="str">
        <f>IF(E667="PA",IF(K667&lt;&gt;"",ISERROR(VLOOKUP(K667,ABBR!A:D,1,FALSE)),ISERROR(VLOOKUP(C667,ABBR!A:D,1,FALSE))),"")</f>
        <v/>
      </c>
      <c r="P667" t="str">
        <f>VLOOKUP(A667,Groups!A:L,5,FALSE)</f>
        <v>CTRP</v>
      </c>
      <c r="Q667" s="62" t="str">
        <f>IF(G667="PA",IF(M667&lt;&gt;"",ISERROR(VLOOKUP(M667,ABBR!C:F,1,FALSE)),ISERROR(VLOOKUP(E667,ABBR!C:F,1,FALSE))),"")</f>
        <v/>
      </c>
    </row>
    <row r="668" spans="1:17" hidden="1" x14ac:dyDescent="0.25">
      <c r="A668" s="16" t="s">
        <v>116</v>
      </c>
      <c r="B668" s="17"/>
      <c r="C668" s="16" t="s">
        <v>1734</v>
      </c>
      <c r="D668" s="17" t="s">
        <v>1345</v>
      </c>
      <c r="E668" s="17" t="s">
        <v>723</v>
      </c>
      <c r="F668" s="18" t="s">
        <v>1735</v>
      </c>
      <c r="G668" s="49" t="s">
        <v>1623</v>
      </c>
      <c r="H668" s="17">
        <v>16</v>
      </c>
      <c r="I668" s="30" t="s">
        <v>955</v>
      </c>
      <c r="J668" s="80">
        <v>4.0999999999999996</v>
      </c>
      <c r="O668" s="62" t="str">
        <f>IF(E668="PA",IF(K668&lt;&gt;"",ISERROR(VLOOKUP(K668,ABBR!A:D,1,FALSE)),ISERROR(VLOOKUP(C668,ABBR!A:D,1,FALSE))),"")</f>
        <v/>
      </c>
      <c r="P668" t="str">
        <f>VLOOKUP(A668,Groups!A:L,5,FALSE)</f>
        <v>CTRP</v>
      </c>
      <c r="Q668" s="62" t="str">
        <f>IF(G668="PA",IF(M668&lt;&gt;"",ISERROR(VLOOKUP(M668,ABBR!C:F,1,FALSE)),ISERROR(VLOOKUP(E668,ABBR!C:F,1,FALSE))),"")</f>
        <v/>
      </c>
    </row>
    <row r="669" spans="1:17" hidden="1" x14ac:dyDescent="0.25">
      <c r="A669" s="16" t="s">
        <v>116</v>
      </c>
      <c r="B669" s="17"/>
      <c r="C669" s="16" t="s">
        <v>1736</v>
      </c>
      <c r="D669" s="17" t="s">
        <v>766</v>
      </c>
      <c r="E669" s="17" t="s">
        <v>1321</v>
      </c>
      <c r="F669" s="18" t="s">
        <v>1737</v>
      </c>
      <c r="G669" s="49" t="s">
        <v>1738</v>
      </c>
      <c r="H669" s="17">
        <v>17</v>
      </c>
      <c r="I669" s="30" t="s">
        <v>955</v>
      </c>
      <c r="J669" s="80">
        <v>4.0999999999999996</v>
      </c>
      <c r="O669" s="62" t="str">
        <f>IF(E669="PA",IF(K669&lt;&gt;"",ISERROR(VLOOKUP(K669,ABBR!A:D,1,FALSE)),ISERROR(VLOOKUP(C669,ABBR!A:D,1,FALSE))),"")</f>
        <v/>
      </c>
      <c r="P669" t="str">
        <f>VLOOKUP(A669,Groups!A:L,5,FALSE)</f>
        <v>CTRP</v>
      </c>
      <c r="Q669" s="62" t="str">
        <f>IF(G669="PA",IF(M669&lt;&gt;"",ISERROR(VLOOKUP(M669,ABBR!C:F,1,FALSE)),ISERROR(VLOOKUP(E669,ABBR!C:F,1,FALSE))),"")</f>
        <v/>
      </c>
    </row>
    <row r="670" spans="1:17" hidden="1" x14ac:dyDescent="0.25">
      <c r="A670" s="16" t="s">
        <v>116</v>
      </c>
      <c r="B670" s="17"/>
      <c r="C670" s="16" t="s">
        <v>1739</v>
      </c>
      <c r="D670" s="17" t="s">
        <v>766</v>
      </c>
      <c r="E670" s="17" t="s">
        <v>1321</v>
      </c>
      <c r="F670" s="18" t="s">
        <v>1740</v>
      </c>
      <c r="G670" s="49" t="s">
        <v>1738</v>
      </c>
      <c r="H670" s="17">
        <v>18</v>
      </c>
      <c r="I670" s="30" t="s">
        <v>955</v>
      </c>
      <c r="J670" s="80">
        <v>4.0999999999999996</v>
      </c>
      <c r="O670" s="62" t="str">
        <f>IF(E670="PA",IF(K670&lt;&gt;"",ISERROR(VLOOKUP(K670,ABBR!A:D,1,FALSE)),ISERROR(VLOOKUP(C670,ABBR!A:D,1,FALSE))),"")</f>
        <v/>
      </c>
      <c r="P670" t="str">
        <f>VLOOKUP(A670,Groups!A:L,5,FALSE)</f>
        <v>CTRP</v>
      </c>
      <c r="Q670" s="62" t="str">
        <f>IF(G670="PA",IF(M670&lt;&gt;"",ISERROR(VLOOKUP(M670,ABBR!C:F,1,FALSE)),ISERROR(VLOOKUP(E670,ABBR!C:F,1,FALSE))),"")</f>
        <v/>
      </c>
    </row>
    <row r="671" spans="1:17" hidden="1" x14ac:dyDescent="0.25">
      <c r="A671" s="16" t="s">
        <v>116</v>
      </c>
      <c r="B671" s="17"/>
      <c r="C671" s="16" t="s">
        <v>1741</v>
      </c>
      <c r="D671" s="17" t="s">
        <v>766</v>
      </c>
      <c r="E671" s="17" t="s">
        <v>1321</v>
      </c>
      <c r="F671" s="18" t="s">
        <v>1742</v>
      </c>
      <c r="G671" s="49" t="s">
        <v>1743</v>
      </c>
      <c r="H671" s="17">
        <v>19</v>
      </c>
      <c r="I671" s="30" t="s">
        <v>955</v>
      </c>
      <c r="J671" s="80">
        <v>4.0999999999999996</v>
      </c>
      <c r="O671" s="62" t="str">
        <f>IF(E671="PA",IF(K671&lt;&gt;"",ISERROR(VLOOKUP(K671,ABBR!A:D,1,FALSE)),ISERROR(VLOOKUP(C671,ABBR!A:D,1,FALSE))),"")</f>
        <v/>
      </c>
      <c r="P671" t="str">
        <f>VLOOKUP(A671,Groups!A:L,5,FALSE)</f>
        <v>CTRP</v>
      </c>
      <c r="Q671" s="62" t="str">
        <f>IF(G671="PA",IF(M671&lt;&gt;"",ISERROR(VLOOKUP(M671,ABBR!C:F,1,FALSE)),ISERROR(VLOOKUP(E671,ABBR!C:F,1,FALSE))),"")</f>
        <v/>
      </c>
    </row>
    <row r="672" spans="1:17" hidden="1" x14ac:dyDescent="0.25">
      <c r="A672" s="16" t="s">
        <v>116</v>
      </c>
      <c r="B672" s="17"/>
      <c r="C672" s="16" t="s">
        <v>1744</v>
      </c>
      <c r="D672" s="17" t="s">
        <v>766</v>
      </c>
      <c r="E672" s="17" t="s">
        <v>1321</v>
      </c>
      <c r="F672" s="18" t="s">
        <v>1745</v>
      </c>
      <c r="G672" s="49" t="s">
        <v>1746</v>
      </c>
      <c r="H672" s="17">
        <v>20</v>
      </c>
      <c r="I672" s="30" t="s">
        <v>955</v>
      </c>
      <c r="J672" s="80">
        <v>4.0999999999999996</v>
      </c>
      <c r="O672" s="62" t="str">
        <f>IF(E672="PA",IF(K672&lt;&gt;"",ISERROR(VLOOKUP(K672,ABBR!A:D,1,FALSE)),ISERROR(VLOOKUP(C672,ABBR!A:D,1,FALSE))),"")</f>
        <v/>
      </c>
      <c r="P672" t="str">
        <f>VLOOKUP(A672,Groups!A:L,5,FALSE)</f>
        <v>CTRP</v>
      </c>
      <c r="Q672" s="62" t="str">
        <f>IF(G672="PA",IF(M672&lt;&gt;"",ISERROR(VLOOKUP(M672,ABBR!C:F,1,FALSE)),ISERROR(VLOOKUP(E672,ABBR!C:F,1,FALSE))),"")</f>
        <v/>
      </c>
    </row>
    <row r="673" spans="1:17" hidden="1" x14ac:dyDescent="0.25">
      <c r="A673" s="16" t="s">
        <v>116</v>
      </c>
      <c r="B673" s="17"/>
      <c r="C673" s="16" t="s">
        <v>1747</v>
      </c>
      <c r="D673" s="17" t="s">
        <v>766</v>
      </c>
      <c r="E673" s="17" t="s">
        <v>1321</v>
      </c>
      <c r="F673" s="18" t="s">
        <v>1748</v>
      </c>
      <c r="G673" s="49" t="s">
        <v>1749</v>
      </c>
      <c r="H673" s="17">
        <v>21</v>
      </c>
      <c r="I673" s="30" t="s">
        <v>955</v>
      </c>
      <c r="J673" s="80">
        <v>4.0999999999999996</v>
      </c>
      <c r="O673" s="62" t="str">
        <f>IF(E673="PA",IF(K673&lt;&gt;"",ISERROR(VLOOKUP(K673,ABBR!A:D,1,FALSE)),ISERROR(VLOOKUP(C673,ABBR!A:D,1,FALSE))),"")</f>
        <v/>
      </c>
      <c r="P673" t="str">
        <f>VLOOKUP(A673,Groups!A:L,5,FALSE)</f>
        <v>CTRP</v>
      </c>
      <c r="Q673" s="62" t="str">
        <f>IF(G673="PA",IF(M673&lt;&gt;"",ISERROR(VLOOKUP(M673,ABBR!C:F,1,FALSE)),ISERROR(VLOOKUP(E673,ABBR!C:F,1,FALSE))),"")</f>
        <v/>
      </c>
    </row>
    <row r="674" spans="1:17" hidden="1" x14ac:dyDescent="0.25">
      <c r="A674" s="16" t="s">
        <v>116</v>
      </c>
      <c r="B674" s="17"/>
      <c r="C674" s="16" t="s">
        <v>1750</v>
      </c>
      <c r="D674" s="17" t="s">
        <v>766</v>
      </c>
      <c r="E674" s="17" t="s">
        <v>1321</v>
      </c>
      <c r="F674" s="18" t="s">
        <v>1751</v>
      </c>
      <c r="G674" s="49" t="s">
        <v>1752</v>
      </c>
      <c r="H674" s="17">
        <v>22</v>
      </c>
      <c r="I674" s="30" t="s">
        <v>955</v>
      </c>
      <c r="J674" s="80">
        <v>4.0999999999999996</v>
      </c>
      <c r="O674" s="62" t="str">
        <f>IF(E674="PA",IF(K674&lt;&gt;"",ISERROR(VLOOKUP(K674,ABBR!A:D,1,FALSE)),ISERROR(VLOOKUP(C674,ABBR!A:D,1,FALSE))),"")</f>
        <v/>
      </c>
      <c r="P674" t="str">
        <f>VLOOKUP(A674,Groups!A:L,5,FALSE)</f>
        <v>CTRP</v>
      </c>
      <c r="Q674" s="62" t="str">
        <f>IF(G674="PA",IF(M674&lt;&gt;"",ISERROR(VLOOKUP(M674,ABBR!C:F,1,FALSE)),ISERROR(VLOOKUP(E674,ABBR!C:F,1,FALSE))),"")</f>
        <v/>
      </c>
    </row>
    <row r="675" spans="1:17" hidden="1" x14ac:dyDescent="0.25">
      <c r="A675" s="16" t="s">
        <v>116</v>
      </c>
      <c r="B675" s="17"/>
      <c r="C675" s="16" t="s">
        <v>1753</v>
      </c>
      <c r="D675" s="17" t="s">
        <v>1345</v>
      </c>
      <c r="E675" s="17" t="s">
        <v>723</v>
      </c>
      <c r="F675" s="18" t="s">
        <v>1754</v>
      </c>
      <c r="G675" s="49" t="s">
        <v>1755</v>
      </c>
      <c r="H675" s="17">
        <v>23</v>
      </c>
      <c r="I675" s="30" t="s">
        <v>955</v>
      </c>
      <c r="J675" s="80">
        <v>4.0999999999999996</v>
      </c>
      <c r="O675" s="62" t="str">
        <f>IF(E675="PA",IF(K675&lt;&gt;"",ISERROR(VLOOKUP(K675,ABBR!A:D,1,FALSE)),ISERROR(VLOOKUP(C675,ABBR!A:D,1,FALSE))),"")</f>
        <v/>
      </c>
      <c r="P675" t="str">
        <f>VLOOKUP(A675,Groups!A:L,5,FALSE)</f>
        <v>CTRP</v>
      </c>
      <c r="Q675" s="62" t="str">
        <f>IF(G675="PA",IF(M675&lt;&gt;"",ISERROR(VLOOKUP(M675,ABBR!C:F,1,FALSE)),ISERROR(VLOOKUP(E675,ABBR!C:F,1,FALSE))),"")</f>
        <v/>
      </c>
    </row>
    <row r="676" spans="1:17" hidden="1" x14ac:dyDescent="0.25">
      <c r="A676" s="16" t="s">
        <v>116</v>
      </c>
      <c r="B676" s="17"/>
      <c r="C676" s="16" t="s">
        <v>1756</v>
      </c>
      <c r="D676" s="17" t="s">
        <v>1345</v>
      </c>
      <c r="E676" s="17" t="s">
        <v>723</v>
      </c>
      <c r="F676" s="18" t="s">
        <v>1757</v>
      </c>
      <c r="G676" s="49" t="s">
        <v>1758</v>
      </c>
      <c r="H676" s="17">
        <v>24</v>
      </c>
      <c r="I676" s="30" t="s">
        <v>955</v>
      </c>
      <c r="J676" s="80">
        <v>4.0999999999999996</v>
      </c>
      <c r="O676" s="62" t="str">
        <f>IF(E676="PA",IF(K676&lt;&gt;"",ISERROR(VLOOKUP(K676,ABBR!A:D,1,FALSE)),ISERROR(VLOOKUP(C676,ABBR!A:D,1,FALSE))),"")</f>
        <v/>
      </c>
      <c r="P676" t="str">
        <f>VLOOKUP(A676,Groups!A:L,5,FALSE)</f>
        <v>CTRP</v>
      </c>
      <c r="Q676" s="62" t="str">
        <f>IF(G676="PA",IF(M676&lt;&gt;"",ISERROR(VLOOKUP(M676,ABBR!C:F,1,FALSE)),ISERROR(VLOOKUP(E676,ABBR!C:F,1,FALSE))),"")</f>
        <v/>
      </c>
    </row>
    <row r="677" spans="1:17" hidden="1" x14ac:dyDescent="0.25">
      <c r="A677" s="16" t="s">
        <v>116</v>
      </c>
      <c r="B677" s="17"/>
      <c r="C677" s="16" t="s">
        <v>1759</v>
      </c>
      <c r="D677" s="17" t="s">
        <v>1345</v>
      </c>
      <c r="E677" s="17" t="s">
        <v>723</v>
      </c>
      <c r="F677" s="18" t="s">
        <v>1760</v>
      </c>
      <c r="G677" s="49" t="s">
        <v>1761</v>
      </c>
      <c r="H677" s="17">
        <v>25</v>
      </c>
      <c r="I677" s="30" t="s">
        <v>955</v>
      </c>
      <c r="J677" s="80">
        <v>4.0999999999999996</v>
      </c>
      <c r="O677" s="62" t="str">
        <f>IF(E677="PA",IF(K677&lt;&gt;"",ISERROR(VLOOKUP(K677,ABBR!A:D,1,FALSE)),ISERROR(VLOOKUP(C677,ABBR!A:D,1,FALSE))),"")</f>
        <v/>
      </c>
      <c r="P677" t="str">
        <f>VLOOKUP(A677,Groups!A:L,5,FALSE)</f>
        <v>CTRP</v>
      </c>
      <c r="Q677" s="62" t="str">
        <f>IF(G677="PA",IF(M677&lt;&gt;"",ISERROR(VLOOKUP(M677,ABBR!C:F,1,FALSE)),ISERROR(VLOOKUP(E677,ABBR!C:F,1,FALSE))),"")</f>
        <v/>
      </c>
    </row>
    <row r="678" spans="1:17" hidden="1" x14ac:dyDescent="0.25">
      <c r="A678" s="16" t="s">
        <v>116</v>
      </c>
      <c r="B678" s="17"/>
      <c r="C678" s="16" t="s">
        <v>1762</v>
      </c>
      <c r="D678" s="17" t="s">
        <v>1345</v>
      </c>
      <c r="E678" s="17" t="s">
        <v>723</v>
      </c>
      <c r="F678" s="18" t="s">
        <v>1763</v>
      </c>
      <c r="G678" s="49" t="s">
        <v>1764</v>
      </c>
      <c r="H678" s="17">
        <v>26</v>
      </c>
      <c r="I678" s="30" t="s">
        <v>955</v>
      </c>
      <c r="J678" s="80">
        <v>4.0999999999999996</v>
      </c>
      <c r="O678" s="62" t="str">
        <f>IF(E678="PA",IF(K678&lt;&gt;"",ISERROR(VLOOKUP(K678,ABBR!A:D,1,FALSE)),ISERROR(VLOOKUP(C678,ABBR!A:D,1,FALSE))),"")</f>
        <v/>
      </c>
      <c r="P678" t="str">
        <f>VLOOKUP(A678,Groups!A:L,5,FALSE)</f>
        <v>CTRP</v>
      </c>
      <c r="Q678" s="62" t="str">
        <f>IF(G678="PA",IF(M678&lt;&gt;"",ISERROR(VLOOKUP(M678,ABBR!C:F,1,FALSE)),ISERROR(VLOOKUP(E678,ABBR!C:F,1,FALSE))),"")</f>
        <v/>
      </c>
    </row>
    <row r="679" spans="1:17" hidden="1" x14ac:dyDescent="0.25">
      <c r="A679" s="16" t="s">
        <v>116</v>
      </c>
      <c r="B679" s="17"/>
      <c r="C679" s="16" t="s">
        <v>1765</v>
      </c>
      <c r="D679" s="17" t="s">
        <v>1710</v>
      </c>
      <c r="E679" s="17" t="s">
        <v>723</v>
      </c>
      <c r="F679" s="18" t="s">
        <v>1766</v>
      </c>
      <c r="G679" s="49" t="s">
        <v>1767</v>
      </c>
      <c r="H679" s="17">
        <v>27</v>
      </c>
      <c r="I679" s="30" t="s">
        <v>955</v>
      </c>
      <c r="J679" s="80">
        <v>4.0999999999999996</v>
      </c>
      <c r="O679" s="62" t="str">
        <f>IF(E679="PA",IF(K679&lt;&gt;"",ISERROR(VLOOKUP(K679,ABBR!A:D,1,FALSE)),ISERROR(VLOOKUP(C679,ABBR!A:D,1,FALSE))),"")</f>
        <v/>
      </c>
      <c r="P679" t="str">
        <f>VLOOKUP(A679,Groups!A:L,5,FALSE)</f>
        <v>CTRP</v>
      </c>
      <c r="Q679" s="62" t="str">
        <f>IF(G679="PA",IF(M679&lt;&gt;"",ISERROR(VLOOKUP(M679,ABBR!C:F,1,FALSE)),ISERROR(VLOOKUP(E679,ABBR!C:F,1,FALSE))),"")</f>
        <v/>
      </c>
    </row>
    <row r="680" spans="1:17" hidden="1" x14ac:dyDescent="0.25">
      <c r="A680" s="16" t="s">
        <v>116</v>
      </c>
      <c r="B680" s="17"/>
      <c r="C680" s="16" t="s">
        <v>1768</v>
      </c>
      <c r="D680" s="17" t="s">
        <v>1710</v>
      </c>
      <c r="E680" s="17" t="s">
        <v>723</v>
      </c>
      <c r="F680" s="18" t="s">
        <v>1769</v>
      </c>
      <c r="G680" s="49" t="s">
        <v>1767</v>
      </c>
      <c r="H680" s="17">
        <v>28</v>
      </c>
      <c r="I680" s="30" t="s">
        <v>955</v>
      </c>
      <c r="J680" s="80">
        <v>4.0999999999999996</v>
      </c>
      <c r="O680" s="62" t="str">
        <f>IF(E680="PA",IF(K680&lt;&gt;"",ISERROR(VLOOKUP(K680,ABBR!A:D,1,FALSE)),ISERROR(VLOOKUP(C680,ABBR!A:D,1,FALSE))),"")</f>
        <v/>
      </c>
      <c r="P680" t="str">
        <f>VLOOKUP(A680,Groups!A:L,5,FALSE)</f>
        <v>CTRP</v>
      </c>
      <c r="Q680" s="62" t="str">
        <f>IF(G680="PA",IF(M680&lt;&gt;"",ISERROR(VLOOKUP(M680,ABBR!C:F,1,FALSE)),ISERROR(VLOOKUP(E680,ABBR!C:F,1,FALSE))),"")</f>
        <v/>
      </c>
    </row>
    <row r="681" spans="1:17" hidden="1" x14ac:dyDescent="0.25">
      <c r="A681" s="16" t="s">
        <v>116</v>
      </c>
      <c r="B681" s="17"/>
      <c r="C681" s="16" t="s">
        <v>1770</v>
      </c>
      <c r="D681" s="17" t="s">
        <v>1771</v>
      </c>
      <c r="E681" s="17" t="s">
        <v>882</v>
      </c>
      <c r="F681" s="18" t="s">
        <v>1772</v>
      </c>
      <c r="G681" s="49" t="s">
        <v>1773</v>
      </c>
      <c r="H681" s="17">
        <v>29</v>
      </c>
      <c r="I681" s="30" t="s">
        <v>955</v>
      </c>
      <c r="J681" s="80">
        <v>4.0999999999999996</v>
      </c>
      <c r="O681" s="62" t="str">
        <f>IF(E681="PA",IF(K681&lt;&gt;"",ISERROR(VLOOKUP(K681,ABBR!A:D,1,FALSE)),ISERROR(VLOOKUP(C681,ABBR!A:D,1,FALSE))),"")</f>
        <v/>
      </c>
      <c r="P681" t="str">
        <f>VLOOKUP(A681,Groups!A:L,5,FALSE)</f>
        <v>CTRP</v>
      </c>
      <c r="Q681" s="62" t="str">
        <f>IF(G681="PA",IF(M681&lt;&gt;"",ISERROR(VLOOKUP(M681,ABBR!C:F,1,FALSE)),ISERROR(VLOOKUP(E681,ABBR!C:F,1,FALSE))),"")</f>
        <v/>
      </c>
    </row>
    <row r="682" spans="1:17" hidden="1" x14ac:dyDescent="0.25">
      <c r="A682" s="16" t="s">
        <v>116</v>
      </c>
      <c r="B682" s="17"/>
      <c r="C682" s="16" t="s">
        <v>1774</v>
      </c>
      <c r="D682" s="17" t="s">
        <v>1345</v>
      </c>
      <c r="E682" s="17" t="s">
        <v>723</v>
      </c>
      <c r="F682" s="18" t="s">
        <v>1775</v>
      </c>
      <c r="G682" s="49" t="s">
        <v>1637</v>
      </c>
      <c r="H682" s="17">
        <v>30</v>
      </c>
      <c r="I682" s="30" t="s">
        <v>955</v>
      </c>
      <c r="J682" s="80">
        <v>4.0999999999999996</v>
      </c>
      <c r="O682" s="62" t="str">
        <f>IF(E682="PA",IF(K682&lt;&gt;"",ISERROR(VLOOKUP(K682,ABBR!A:D,1,FALSE)),ISERROR(VLOOKUP(C682,ABBR!A:D,1,FALSE))),"")</f>
        <v/>
      </c>
      <c r="P682" t="str">
        <f>VLOOKUP(A682,Groups!A:L,5,FALSE)</f>
        <v>CTRP</v>
      </c>
      <c r="Q682" s="62" t="str">
        <f>IF(G682="PA",IF(M682&lt;&gt;"",ISERROR(VLOOKUP(M682,ABBR!C:F,1,FALSE)),ISERROR(VLOOKUP(E682,ABBR!C:F,1,FALSE))),"")</f>
        <v/>
      </c>
    </row>
    <row r="683" spans="1:17" hidden="1" x14ac:dyDescent="0.25">
      <c r="A683" s="16" t="s">
        <v>116</v>
      </c>
      <c r="B683" s="17"/>
      <c r="C683" s="16" t="s">
        <v>1776</v>
      </c>
      <c r="D683" s="17" t="s">
        <v>1345</v>
      </c>
      <c r="E683" s="17" t="s">
        <v>723</v>
      </c>
      <c r="F683" s="18" t="s">
        <v>1777</v>
      </c>
      <c r="G683" s="49" t="s">
        <v>1637</v>
      </c>
      <c r="H683" s="17">
        <v>31</v>
      </c>
      <c r="I683" s="30" t="s">
        <v>955</v>
      </c>
      <c r="J683" s="80">
        <v>4.0999999999999996</v>
      </c>
      <c r="O683" s="62" t="str">
        <f>IF(E683="PA",IF(K683&lt;&gt;"",ISERROR(VLOOKUP(K683,ABBR!A:D,1,FALSE)),ISERROR(VLOOKUP(C683,ABBR!A:D,1,FALSE))),"")</f>
        <v/>
      </c>
      <c r="P683" t="str">
        <f>VLOOKUP(A683,Groups!A:L,5,FALSE)</f>
        <v>CTRP</v>
      </c>
      <c r="Q683" s="62" t="str">
        <f>IF(G683="PA",IF(M683&lt;&gt;"",ISERROR(VLOOKUP(M683,ABBR!C:F,1,FALSE)),ISERROR(VLOOKUP(E683,ABBR!C:F,1,FALSE))),"")</f>
        <v/>
      </c>
    </row>
    <row r="684" spans="1:17" hidden="1" x14ac:dyDescent="0.25">
      <c r="A684" s="16" t="s">
        <v>116</v>
      </c>
      <c r="B684" s="17"/>
      <c r="C684" s="16" t="s">
        <v>1778</v>
      </c>
      <c r="D684" s="17" t="s">
        <v>766</v>
      </c>
      <c r="E684" s="17" t="s">
        <v>1321</v>
      </c>
      <c r="F684" s="18" t="s">
        <v>1779</v>
      </c>
      <c r="G684" s="49" t="s">
        <v>1780</v>
      </c>
      <c r="H684" s="17">
        <v>32</v>
      </c>
      <c r="I684" s="30" t="s">
        <v>955</v>
      </c>
      <c r="J684" s="80">
        <v>4.0999999999999996</v>
      </c>
      <c r="O684" s="62" t="str">
        <f>IF(E684="PA",IF(K684&lt;&gt;"",ISERROR(VLOOKUP(K684,ABBR!A:D,1,FALSE)),ISERROR(VLOOKUP(C684,ABBR!A:D,1,FALSE))),"")</f>
        <v/>
      </c>
      <c r="P684" t="str">
        <f>VLOOKUP(A684,Groups!A:L,5,FALSE)</f>
        <v>CTRP</v>
      </c>
      <c r="Q684" s="62" t="str">
        <f>IF(G684="PA",IF(M684&lt;&gt;"",ISERROR(VLOOKUP(M684,ABBR!C:F,1,FALSE)),ISERROR(VLOOKUP(E684,ABBR!C:F,1,FALSE))),"")</f>
        <v/>
      </c>
    </row>
    <row r="685" spans="1:17" hidden="1" x14ac:dyDescent="0.25">
      <c r="A685" s="16" t="s">
        <v>116</v>
      </c>
      <c r="B685" s="17"/>
      <c r="C685" s="16" t="s">
        <v>1781</v>
      </c>
      <c r="D685" s="17"/>
      <c r="E685" s="17" t="s">
        <v>601</v>
      </c>
      <c r="F685" s="18" t="s">
        <v>1782</v>
      </c>
      <c r="G685" s="49" t="s">
        <v>1783</v>
      </c>
      <c r="H685" s="17">
        <v>33</v>
      </c>
      <c r="I685" s="30" t="s">
        <v>955</v>
      </c>
      <c r="J685" s="80">
        <v>4.0999999999999996</v>
      </c>
      <c r="O685" s="62" t="str">
        <f>IF(E685="PA",IF(K685&lt;&gt;"",ISERROR(VLOOKUP(K685,ABBR!A:D,1,FALSE)),ISERROR(VLOOKUP(C685,ABBR!A:D,1,FALSE))),"")</f>
        <v/>
      </c>
      <c r="P685" t="str">
        <f>VLOOKUP(A685,Groups!A:L,5,FALSE)</f>
        <v>CTRP</v>
      </c>
      <c r="Q685" s="62" t="str">
        <f>IF(G685="PA",IF(M685&lt;&gt;"",ISERROR(VLOOKUP(M685,ABBR!C:F,1,FALSE)),ISERROR(VLOOKUP(E685,ABBR!C:F,1,FALSE))),"")</f>
        <v/>
      </c>
    </row>
    <row r="686" spans="1:17" hidden="1" x14ac:dyDescent="0.25">
      <c r="A686" s="16" t="s">
        <v>116</v>
      </c>
      <c r="B686" s="17"/>
      <c r="C686" s="16" t="s">
        <v>1784</v>
      </c>
      <c r="D686" s="17" t="s">
        <v>766</v>
      </c>
      <c r="E686" s="17" t="s">
        <v>723</v>
      </c>
      <c r="F686" s="18" t="s">
        <v>1785</v>
      </c>
      <c r="G686" s="49" t="s">
        <v>725</v>
      </c>
      <c r="H686" s="17">
        <v>34</v>
      </c>
      <c r="I686" s="30" t="s">
        <v>955</v>
      </c>
      <c r="J686" s="80">
        <v>4.0999999999999996</v>
      </c>
      <c r="O686" s="62" t="str">
        <f>IF(E686="PA",IF(K686&lt;&gt;"",ISERROR(VLOOKUP(K686,ABBR!A:D,1,FALSE)),ISERROR(VLOOKUP(C686,ABBR!A:D,1,FALSE))),"")</f>
        <v/>
      </c>
      <c r="P686" t="str">
        <f>VLOOKUP(A686,Groups!A:L,5,FALSE)</f>
        <v>CTRP</v>
      </c>
      <c r="Q686" s="62" t="str">
        <f>IF(G686="PA",IF(M686&lt;&gt;"",ISERROR(VLOOKUP(M686,ABBR!C:F,1,FALSE)),ISERROR(VLOOKUP(E686,ABBR!C:F,1,FALSE))),"")</f>
        <v/>
      </c>
    </row>
    <row r="687" spans="1:17" hidden="1" x14ac:dyDescent="0.25">
      <c r="A687" s="16" t="s">
        <v>116</v>
      </c>
      <c r="B687" s="17"/>
      <c r="C687" s="16" t="s">
        <v>1786</v>
      </c>
      <c r="D687" s="17" t="s">
        <v>766</v>
      </c>
      <c r="E687" s="17" t="s">
        <v>723</v>
      </c>
      <c r="F687" s="18" t="s">
        <v>1787</v>
      </c>
      <c r="G687" s="49" t="s">
        <v>1788</v>
      </c>
      <c r="H687" s="17">
        <v>35</v>
      </c>
      <c r="I687" s="30" t="s">
        <v>955</v>
      </c>
      <c r="J687" s="80">
        <v>4.0999999999999996</v>
      </c>
      <c r="O687" s="62" t="str">
        <f>IF(E687="PA",IF(K687&lt;&gt;"",ISERROR(VLOOKUP(K687,ABBR!A:D,1,FALSE)),ISERROR(VLOOKUP(C687,ABBR!A:D,1,FALSE))),"")</f>
        <v/>
      </c>
      <c r="P687" t="str">
        <f>VLOOKUP(A687,Groups!A:L,5,FALSE)</f>
        <v>CTRP</v>
      </c>
      <c r="Q687" s="62" t="str">
        <f>IF(G687="PA",IF(M687&lt;&gt;"",ISERROR(VLOOKUP(M687,ABBR!C:F,1,FALSE)),ISERROR(VLOOKUP(E687,ABBR!C:F,1,FALSE))),"")</f>
        <v/>
      </c>
    </row>
    <row r="688" spans="1:17" hidden="1" x14ac:dyDescent="0.25">
      <c r="A688" s="16" t="s">
        <v>116</v>
      </c>
      <c r="B688" s="17"/>
      <c r="C688" s="16" t="s">
        <v>1789</v>
      </c>
      <c r="D688" s="17"/>
      <c r="E688" s="17" t="s">
        <v>608</v>
      </c>
      <c r="F688" s="18" t="s">
        <v>642</v>
      </c>
      <c r="G688" s="49" t="s">
        <v>16</v>
      </c>
      <c r="H688" s="17">
        <v>36</v>
      </c>
      <c r="I688" s="30" t="s">
        <v>955</v>
      </c>
      <c r="J688" s="80">
        <v>4.0999999999999996</v>
      </c>
      <c r="M688" s="101"/>
      <c r="O688" s="62" t="str">
        <f>IF(E688="PA",IF(K688&lt;&gt;"",ISERROR(VLOOKUP(K688,ABBR!A:D,1,FALSE)),ISERROR(VLOOKUP(C688,ABBR!A:D,1,FALSE))),"")</f>
        <v/>
      </c>
      <c r="P688" t="str">
        <f>VLOOKUP(A688,Groups!A:L,5,FALSE)</f>
        <v>CTRP</v>
      </c>
      <c r="Q688" s="62" t="str">
        <f>IF(G688="PA",IF(M688&lt;&gt;"",ISERROR(VLOOKUP(M688,ABBR!C:F,1,FALSE)),ISERROR(VLOOKUP(E688,ABBR!C:F,1,FALSE))),"")</f>
        <v/>
      </c>
    </row>
    <row r="689" spans="1:17" hidden="1" x14ac:dyDescent="0.25">
      <c r="A689" s="16" t="s">
        <v>116</v>
      </c>
      <c r="B689" s="17"/>
      <c r="C689" s="16" t="s">
        <v>643</v>
      </c>
      <c r="D689" s="17"/>
      <c r="E689" s="17" t="s">
        <v>608</v>
      </c>
      <c r="F689" s="18" t="s">
        <v>954</v>
      </c>
      <c r="G689" s="49" t="s">
        <v>940</v>
      </c>
      <c r="H689" s="17">
        <v>37</v>
      </c>
      <c r="I689" s="30" t="s">
        <v>955</v>
      </c>
      <c r="J689" s="80">
        <v>4.0999999999999996</v>
      </c>
      <c r="O689" s="62" t="str">
        <f>IF(E689="PA",IF(K689&lt;&gt;"",ISERROR(VLOOKUP(K689,ABBR!A:D,1,FALSE)),ISERROR(VLOOKUP(C689,ABBR!A:D,1,FALSE))),"")</f>
        <v/>
      </c>
      <c r="P689" t="str">
        <f>VLOOKUP(A689,Groups!A:L,5,FALSE)</f>
        <v>CTRP</v>
      </c>
      <c r="Q689" s="62" t="str">
        <f>IF(G689="PA",IF(M689&lt;&gt;"",ISERROR(VLOOKUP(M689,ABBR!C:F,1,FALSE)),ISERROR(VLOOKUP(E689,ABBR!C:F,1,FALSE))),"")</f>
        <v/>
      </c>
    </row>
    <row r="690" spans="1:17" hidden="1" x14ac:dyDescent="0.25">
      <c r="A690" s="16" t="s">
        <v>114</v>
      </c>
      <c r="B690" s="44" t="s">
        <v>594</v>
      </c>
      <c r="C690" s="16" t="s">
        <v>595</v>
      </c>
      <c r="D690" s="44"/>
      <c r="E690" s="44" t="s">
        <v>596</v>
      </c>
      <c r="F690" s="45" t="s">
        <v>597</v>
      </c>
      <c r="G690" s="47" t="s">
        <v>598</v>
      </c>
      <c r="H690" s="17">
        <v>1</v>
      </c>
      <c r="I690" s="30" t="s">
        <v>955</v>
      </c>
      <c r="J690" s="80">
        <v>4.0999999999999996</v>
      </c>
      <c r="O690" s="62" t="str">
        <f>IF(E690="PA",IF(K690&lt;&gt;"",ISERROR(VLOOKUP(K690,ABBR!A:D,1,FALSE)),ISERROR(VLOOKUP(C690,ABBR!A:D,1,FALSE))),"")</f>
        <v/>
      </c>
      <c r="P690" t="str">
        <f>VLOOKUP(A690,Groups!A:L,5,FALSE)</f>
        <v>SAMP</v>
      </c>
      <c r="Q690" s="62" t="str">
        <f>IF(G690="PA",IF(M690&lt;&gt;"",ISERROR(VLOOKUP(M690,ABBR!C:F,1,FALSE)),ISERROR(VLOOKUP(E690,ABBR!C:F,1,FALSE))),"")</f>
        <v/>
      </c>
    </row>
    <row r="691" spans="1:17" hidden="1" x14ac:dyDescent="0.25">
      <c r="A691" s="16" t="s">
        <v>114</v>
      </c>
      <c r="B691" s="44" t="s">
        <v>594</v>
      </c>
      <c r="C691" s="16" t="s">
        <v>851</v>
      </c>
      <c r="D691" s="44" t="s">
        <v>600</v>
      </c>
      <c r="E691" s="44" t="s">
        <v>601</v>
      </c>
      <c r="F691" s="45" t="s">
        <v>852</v>
      </c>
      <c r="G691" s="47">
        <v>24.55</v>
      </c>
      <c r="H691" s="17">
        <v>2</v>
      </c>
      <c r="I691" s="30" t="s">
        <v>955</v>
      </c>
      <c r="J691" s="80">
        <v>4.0999999999999996</v>
      </c>
      <c r="O691" s="62" t="str">
        <f>IF(E691="PA",IF(K691&lt;&gt;"",ISERROR(VLOOKUP(K691,ABBR!A:D,1,FALSE)),ISERROR(VLOOKUP(C691,ABBR!A:D,1,FALSE))),"")</f>
        <v/>
      </c>
      <c r="P691" t="str">
        <f>VLOOKUP(A691,Groups!A:L,5,FALSE)</f>
        <v>SAMP</v>
      </c>
      <c r="Q691" s="62" t="str">
        <f>IF(G691="PA",IF(M691&lt;&gt;"",ISERROR(VLOOKUP(M691,ABBR!C:F,1,FALSE)),ISERROR(VLOOKUP(E691,ABBR!C:F,1,FALSE))),"")</f>
        <v/>
      </c>
    </row>
    <row r="692" spans="1:17" hidden="1" x14ac:dyDescent="0.25">
      <c r="A692" s="16" t="s">
        <v>114</v>
      </c>
      <c r="B692" s="44" t="s">
        <v>594</v>
      </c>
      <c r="C692" s="16" t="s">
        <v>854</v>
      </c>
      <c r="D692" s="44"/>
      <c r="E692" s="44" t="s">
        <v>608</v>
      </c>
      <c r="F692" s="45" t="s">
        <v>855</v>
      </c>
      <c r="G692" s="47">
        <v>24</v>
      </c>
      <c r="H692" s="17">
        <v>3</v>
      </c>
      <c r="I692" s="30" t="s">
        <v>955</v>
      </c>
      <c r="J692" s="80">
        <v>4.0999999999999996</v>
      </c>
      <c r="O692" s="62" t="str">
        <f>IF(E692="PA",IF(K692&lt;&gt;"",ISERROR(VLOOKUP(K692,ABBR!A:D,1,FALSE)),ISERROR(VLOOKUP(C692,ABBR!A:D,1,FALSE))),"")</f>
        <v/>
      </c>
      <c r="P692" t="str">
        <f>VLOOKUP(A692,Groups!A:L,5,FALSE)</f>
        <v>SAMP</v>
      </c>
      <c r="Q692" s="62" t="str">
        <f>IF(G692="PA",IF(M692&lt;&gt;"",ISERROR(VLOOKUP(M692,ABBR!C:F,1,FALSE)),ISERROR(VLOOKUP(E692,ABBR!C:F,1,FALSE))),"")</f>
        <v/>
      </c>
    </row>
    <row r="693" spans="1:17" hidden="1" x14ac:dyDescent="0.25">
      <c r="A693" s="16" t="s">
        <v>114</v>
      </c>
      <c r="B693" s="44" t="s">
        <v>594</v>
      </c>
      <c r="C693" s="16" t="s">
        <v>857</v>
      </c>
      <c r="D693" s="44"/>
      <c r="E693" s="44" t="s">
        <v>618</v>
      </c>
      <c r="F693" s="45" t="s">
        <v>858</v>
      </c>
      <c r="G693" s="47" t="s">
        <v>859</v>
      </c>
      <c r="H693" s="17">
        <v>4</v>
      </c>
      <c r="I693" s="30" t="s">
        <v>955</v>
      </c>
      <c r="J693" s="80">
        <v>4.0999999999999996</v>
      </c>
      <c r="O693" s="62" t="b">
        <f>IF(E693="PA",IF(K693&lt;&gt;"",ISERROR(VLOOKUP(K693,ABBR!A:D,1,FALSE)),ISERROR(VLOOKUP(C693,ABBR!A:D,1,FALSE))),"")</f>
        <v>0</v>
      </c>
      <c r="P693" t="str">
        <f>VLOOKUP(A693,Groups!A:L,5,FALSE)</f>
        <v>SAMP</v>
      </c>
      <c r="Q693" s="62" t="str">
        <f>IF(G693="PA",IF(M693&lt;&gt;"",ISERROR(VLOOKUP(M693,ABBR!C:F,1,FALSE)),ISERROR(VLOOKUP(E693,ABBR!C:F,1,FALSE))),"")</f>
        <v/>
      </c>
    </row>
    <row r="694" spans="1:17" hidden="1" x14ac:dyDescent="0.25">
      <c r="A694" s="16" t="s">
        <v>114</v>
      </c>
      <c r="B694" s="44" t="s">
        <v>594</v>
      </c>
      <c r="C694" s="16" t="s">
        <v>860</v>
      </c>
      <c r="D694" s="44"/>
      <c r="E694" s="44" t="s">
        <v>596</v>
      </c>
      <c r="F694" s="45" t="s">
        <v>942</v>
      </c>
      <c r="G694" s="49" t="s">
        <v>862</v>
      </c>
      <c r="H694" s="17">
        <v>5</v>
      </c>
      <c r="I694" s="30" t="s">
        <v>955</v>
      </c>
      <c r="J694" s="80">
        <v>4.0999999999999996</v>
      </c>
      <c r="O694" s="62" t="str">
        <f>IF(E694="PA",IF(K694&lt;&gt;"",ISERROR(VLOOKUP(K694,ABBR!A:D,1,FALSE)),ISERROR(VLOOKUP(C694,ABBR!A:D,1,FALSE))),"")</f>
        <v/>
      </c>
      <c r="P694" t="str">
        <f>VLOOKUP(A694,Groups!A:L,5,FALSE)</f>
        <v>SAMP</v>
      </c>
      <c r="Q694" s="62" t="str">
        <f>IF(G694="PA",IF(M694&lt;&gt;"",ISERROR(VLOOKUP(M694,ABBR!C:F,1,FALSE)),ISERROR(VLOOKUP(E694,ABBR!C:F,1,FALSE))),"")</f>
        <v/>
      </c>
    </row>
    <row r="695" spans="1:17" hidden="1" x14ac:dyDescent="0.25">
      <c r="A695" s="16" t="s">
        <v>114</v>
      </c>
      <c r="B695" s="44" t="s">
        <v>594</v>
      </c>
      <c r="C695" s="16" t="s">
        <v>863</v>
      </c>
      <c r="D695" s="44"/>
      <c r="E695" s="44" t="s">
        <v>608</v>
      </c>
      <c r="F695" s="45" t="s">
        <v>864</v>
      </c>
      <c r="G695" s="49" t="s">
        <v>865</v>
      </c>
      <c r="H695" s="17">
        <v>6</v>
      </c>
      <c r="I695" s="30" t="s">
        <v>955</v>
      </c>
      <c r="J695" s="80">
        <v>4.0999999999999996</v>
      </c>
      <c r="O695" s="62" t="str">
        <f>IF(E695="PA",IF(K695&lt;&gt;"",ISERROR(VLOOKUP(K695,ABBR!A:D,1,FALSE)),ISERROR(VLOOKUP(C695,ABBR!A:D,1,FALSE))),"")</f>
        <v/>
      </c>
      <c r="P695" t="str">
        <f>VLOOKUP(A695,Groups!A:L,5,FALSE)</f>
        <v>SAMP</v>
      </c>
      <c r="Q695" s="62" t="str">
        <f>IF(G695="PA",IF(M695&lt;&gt;"",ISERROR(VLOOKUP(M695,ABBR!C:F,1,FALSE)),ISERROR(VLOOKUP(E695,ABBR!C:F,1,FALSE))),"")</f>
        <v/>
      </c>
    </row>
    <row r="696" spans="1:17" hidden="1" x14ac:dyDescent="0.25">
      <c r="A696" s="16" t="s">
        <v>114</v>
      </c>
      <c r="B696" s="44" t="s">
        <v>594</v>
      </c>
      <c r="C696" s="16" t="s">
        <v>866</v>
      </c>
      <c r="D696" s="44" t="s">
        <v>600</v>
      </c>
      <c r="E696" s="44" t="s">
        <v>601</v>
      </c>
      <c r="F696" s="45" t="s">
        <v>867</v>
      </c>
      <c r="G696" s="47">
        <v>24.55</v>
      </c>
      <c r="H696" s="17">
        <v>7</v>
      </c>
      <c r="I696" s="30" t="s">
        <v>955</v>
      </c>
      <c r="J696" s="80">
        <v>4.0999999999999996</v>
      </c>
      <c r="O696" s="62" t="str">
        <f>IF(E696="PA",IF(K696&lt;&gt;"",ISERROR(VLOOKUP(K696,ABBR!A:D,1,FALSE)),ISERROR(VLOOKUP(C696,ABBR!A:D,1,FALSE))),"")</f>
        <v/>
      </c>
      <c r="P696" t="str">
        <f>VLOOKUP(A696,Groups!A:L,5,FALSE)</f>
        <v>SAMP</v>
      </c>
      <c r="Q696" s="62" t="str">
        <f>IF(G696="PA",IF(M696&lt;&gt;"",ISERROR(VLOOKUP(M696,ABBR!C:F,1,FALSE)),ISERROR(VLOOKUP(E696,ABBR!C:F,1,FALSE))),"")</f>
        <v/>
      </c>
    </row>
    <row r="697" spans="1:17" hidden="1" x14ac:dyDescent="0.25">
      <c r="A697" s="16" t="s">
        <v>114</v>
      </c>
      <c r="B697" s="44"/>
      <c r="C697" s="16" t="s">
        <v>868</v>
      </c>
      <c r="D697" s="44"/>
      <c r="E697" s="44" t="s">
        <v>608</v>
      </c>
      <c r="F697" s="18" t="s">
        <v>869</v>
      </c>
      <c r="G697" s="8" t="s">
        <v>1790</v>
      </c>
      <c r="H697" s="17">
        <v>8</v>
      </c>
      <c r="I697" s="30" t="s">
        <v>955</v>
      </c>
      <c r="J697" s="80">
        <v>4.0999999999999996</v>
      </c>
      <c r="O697" s="62" t="str">
        <f>IF(E697="PA",IF(K697&lt;&gt;"",ISERROR(VLOOKUP(K697,ABBR!A:D,1,FALSE)),ISERROR(VLOOKUP(C697,ABBR!A:D,1,FALSE))),"")</f>
        <v/>
      </c>
      <c r="P697" t="str">
        <f>VLOOKUP(A697,Groups!A:L,5,FALSE)</f>
        <v>SAMP</v>
      </c>
      <c r="Q697" s="62" t="str">
        <f>IF(G697="PA",IF(M697&lt;&gt;"",ISERROR(VLOOKUP(M697,ABBR!C:F,1,FALSE)),ISERROR(VLOOKUP(E697,ABBR!C:F,1,FALSE))),"")</f>
        <v/>
      </c>
    </row>
    <row r="698" spans="1:17" hidden="1" x14ac:dyDescent="0.25">
      <c r="A698" s="16" t="s">
        <v>114</v>
      </c>
      <c r="B698" s="44"/>
      <c r="C698" s="16" t="s">
        <v>871</v>
      </c>
      <c r="D698" s="44"/>
      <c r="E698" s="44" t="s">
        <v>608</v>
      </c>
      <c r="F698" s="45" t="s">
        <v>1791</v>
      </c>
      <c r="G698" s="47" t="s">
        <v>1792</v>
      </c>
      <c r="H698" s="17">
        <v>9</v>
      </c>
      <c r="I698" s="30" t="s">
        <v>955</v>
      </c>
      <c r="J698" s="80">
        <v>4.0999999999999996</v>
      </c>
      <c r="O698" s="62" t="str">
        <f>IF(E698="PA",IF(K698&lt;&gt;"",ISERROR(VLOOKUP(K698,ABBR!A:D,1,FALSE)),ISERROR(VLOOKUP(C698,ABBR!A:D,1,FALSE))),"")</f>
        <v/>
      </c>
      <c r="P698" t="str">
        <f>VLOOKUP(A698,Groups!A:L,5,FALSE)</f>
        <v>SAMP</v>
      </c>
      <c r="Q698" s="62" t="str">
        <f>IF(G698="PA",IF(M698&lt;&gt;"",ISERROR(VLOOKUP(M698,ABBR!C:F,1,FALSE)),ISERROR(VLOOKUP(E698,ABBR!C:F,1,FALSE))),"")</f>
        <v/>
      </c>
    </row>
    <row r="699" spans="1:17" hidden="1" x14ac:dyDescent="0.25">
      <c r="A699" s="16" t="s">
        <v>114</v>
      </c>
      <c r="B699" s="44"/>
      <c r="C699" s="16" t="s">
        <v>877</v>
      </c>
      <c r="D699" s="17" t="s">
        <v>600</v>
      </c>
      <c r="E699" s="17" t="s">
        <v>601</v>
      </c>
      <c r="F699" s="18" t="s">
        <v>878</v>
      </c>
      <c r="G699" s="49" t="s">
        <v>879</v>
      </c>
      <c r="H699" s="17">
        <v>10</v>
      </c>
      <c r="I699" s="30" t="s">
        <v>955</v>
      </c>
      <c r="J699" s="80">
        <v>4.0999999999999996</v>
      </c>
      <c r="O699" s="62" t="str">
        <f>IF(E699="PA",IF(K699&lt;&gt;"",ISERROR(VLOOKUP(K699,ABBR!A:D,1,FALSE)),ISERROR(VLOOKUP(C699,ABBR!A:D,1,FALSE))),"")</f>
        <v/>
      </c>
      <c r="P699" t="str">
        <f>VLOOKUP(A699,Groups!A:L,5,FALSE)</f>
        <v>SAMP</v>
      </c>
      <c r="Q699" s="62" t="str">
        <f>IF(G699="PA",IF(M699&lt;&gt;"",ISERROR(VLOOKUP(M699,ABBR!C:F,1,FALSE)),ISERROR(VLOOKUP(E699,ABBR!C:F,1,FALSE))),"")</f>
        <v/>
      </c>
    </row>
    <row r="700" spans="1:17" hidden="1" x14ac:dyDescent="0.25">
      <c r="A700" s="16" t="s">
        <v>114</v>
      </c>
      <c r="B700" s="44"/>
      <c r="C700" s="16" t="s">
        <v>1793</v>
      </c>
      <c r="D700" s="44"/>
      <c r="E700" s="44" t="s">
        <v>618</v>
      </c>
      <c r="F700" s="45" t="s">
        <v>1149</v>
      </c>
      <c r="G700" s="47" t="s">
        <v>1794</v>
      </c>
      <c r="H700" s="17">
        <v>11</v>
      </c>
      <c r="I700" s="30" t="s">
        <v>955</v>
      </c>
      <c r="J700" s="80">
        <v>4.0999999999999996</v>
      </c>
      <c r="O700" s="62" t="b">
        <f>IF(E700="PA",IF(K700&lt;&gt;"",ISERROR(VLOOKUP(K700,ABBR!A:D,1,FALSE)),ISERROR(VLOOKUP(C700,ABBR!A:D,1,FALSE))),"")</f>
        <v>0</v>
      </c>
      <c r="P700" t="str">
        <f>VLOOKUP(A700,Groups!A:L,5,FALSE)</f>
        <v>SAMP</v>
      </c>
      <c r="Q700" s="62" t="str">
        <f>IF(G700="PA",IF(M700&lt;&gt;"",ISERROR(VLOOKUP(M700,ABBR!C:F,1,FALSE)),ISERROR(VLOOKUP(E700,ABBR!C:F,1,FALSE))),"")</f>
        <v/>
      </c>
    </row>
    <row r="701" spans="1:17" hidden="1" x14ac:dyDescent="0.25">
      <c r="A701" s="16" t="s">
        <v>114</v>
      </c>
      <c r="B701" s="44"/>
      <c r="C701" s="16" t="s">
        <v>1795</v>
      </c>
      <c r="D701" s="44" t="s">
        <v>766</v>
      </c>
      <c r="E701" s="44" t="s">
        <v>608</v>
      </c>
      <c r="F701" s="45" t="s">
        <v>1336</v>
      </c>
      <c r="G701" s="47">
        <v>21.3</v>
      </c>
      <c r="H701" s="17">
        <v>12</v>
      </c>
      <c r="I701" s="30" t="s">
        <v>955</v>
      </c>
      <c r="J701" s="80">
        <v>4.0999999999999996</v>
      </c>
      <c r="O701" s="62" t="str">
        <f>IF(E701="PA",IF(K701&lt;&gt;"",ISERROR(VLOOKUP(K701,ABBR!A:D,1,FALSE)),ISERROR(VLOOKUP(C701,ABBR!A:D,1,FALSE))),"")</f>
        <v/>
      </c>
      <c r="P701" t="str">
        <f>VLOOKUP(A701,Groups!A:L,5,FALSE)</f>
        <v>SAMP</v>
      </c>
      <c r="Q701" s="62" t="str">
        <f>IF(G701="PA",IF(M701&lt;&gt;"",ISERROR(VLOOKUP(M701,ABBR!C:F,1,FALSE)),ISERROR(VLOOKUP(E701,ABBR!C:F,1,FALSE))),"")</f>
        <v/>
      </c>
    </row>
    <row r="702" spans="1:17" hidden="1" x14ac:dyDescent="0.25">
      <c r="A702" s="16" t="s">
        <v>114</v>
      </c>
      <c r="B702" s="44"/>
      <c r="C702" s="16" t="s">
        <v>1796</v>
      </c>
      <c r="D702" s="44" t="s">
        <v>766</v>
      </c>
      <c r="E702" s="44" t="s">
        <v>608</v>
      </c>
      <c r="F702" s="45" t="s">
        <v>1527</v>
      </c>
      <c r="G702" s="47">
        <v>22.1</v>
      </c>
      <c r="H702" s="17">
        <v>13</v>
      </c>
      <c r="I702" s="30" t="s">
        <v>955</v>
      </c>
      <c r="J702" s="80">
        <v>4.0999999999999996</v>
      </c>
      <c r="O702" s="62" t="str">
        <f>IF(E702="PA",IF(K702&lt;&gt;"",ISERROR(VLOOKUP(K702,ABBR!A:D,1,FALSE)),ISERROR(VLOOKUP(C702,ABBR!A:D,1,FALSE))),"")</f>
        <v/>
      </c>
      <c r="P702" t="str">
        <f>VLOOKUP(A702,Groups!A:L,5,FALSE)</f>
        <v>SAMP</v>
      </c>
      <c r="Q702" s="62" t="str">
        <f>IF(G702="PA",IF(M702&lt;&gt;"",ISERROR(VLOOKUP(M702,ABBR!C:F,1,FALSE)),ISERROR(VLOOKUP(E702,ABBR!C:F,1,FALSE))),"")</f>
        <v/>
      </c>
    </row>
    <row r="703" spans="1:17" ht="25" hidden="1" x14ac:dyDescent="0.25">
      <c r="A703" s="16" t="s">
        <v>114</v>
      </c>
      <c r="B703" s="44"/>
      <c r="C703" s="16" t="s">
        <v>1797</v>
      </c>
      <c r="D703" s="44"/>
      <c r="E703" s="44" t="s">
        <v>608</v>
      </c>
      <c r="F703" s="45" t="s">
        <v>1798</v>
      </c>
      <c r="G703" s="47" t="s">
        <v>1799</v>
      </c>
      <c r="H703" s="17">
        <v>14</v>
      </c>
      <c r="I703" s="30" t="s">
        <v>955</v>
      </c>
      <c r="J703" s="80">
        <v>4.0999999999999996</v>
      </c>
      <c r="O703" s="62" t="str">
        <f>IF(E703="PA",IF(K703&lt;&gt;"",ISERROR(VLOOKUP(K703,ABBR!A:D,1,FALSE)),ISERROR(VLOOKUP(C703,ABBR!A:D,1,FALSE))),"")</f>
        <v/>
      </c>
      <c r="P703" t="str">
        <f>VLOOKUP(A703,Groups!A:L,5,FALSE)</f>
        <v>SAMP</v>
      </c>
      <c r="Q703" s="62" t="str">
        <f>IF(G703="PA",IF(M703&lt;&gt;"",ISERROR(VLOOKUP(M703,ABBR!C:F,1,FALSE)),ISERROR(VLOOKUP(E703,ABBR!C:F,1,FALSE))),"")</f>
        <v/>
      </c>
    </row>
    <row r="704" spans="1:17" hidden="1" x14ac:dyDescent="0.25">
      <c r="A704" s="16" t="s">
        <v>114</v>
      </c>
      <c r="B704" s="44"/>
      <c r="C704" s="16" t="s">
        <v>1800</v>
      </c>
      <c r="D704" s="44" t="s">
        <v>1345</v>
      </c>
      <c r="E704" s="44" t="s">
        <v>723</v>
      </c>
      <c r="F704" s="45" t="s">
        <v>1801</v>
      </c>
      <c r="G704" s="47">
        <v>102.5</v>
      </c>
      <c r="H704" s="17">
        <v>15</v>
      </c>
      <c r="I704" s="30" t="s">
        <v>955</v>
      </c>
      <c r="J704" s="80">
        <v>4.0999999999999996</v>
      </c>
      <c r="O704" s="62" t="str">
        <f>IF(E704="PA",IF(K704&lt;&gt;"",ISERROR(VLOOKUP(K704,ABBR!A:D,1,FALSE)),ISERROR(VLOOKUP(C704,ABBR!A:D,1,FALSE))),"")</f>
        <v/>
      </c>
      <c r="P704" t="str">
        <f>VLOOKUP(A704,Groups!A:L,5,FALSE)</f>
        <v>SAMP</v>
      </c>
      <c r="Q704" s="62" t="str">
        <f>IF(G704="PA",IF(M704&lt;&gt;"",ISERROR(VLOOKUP(M704,ABBR!C:F,1,FALSE)),ISERROR(VLOOKUP(E704,ABBR!C:F,1,FALSE))),"")</f>
        <v/>
      </c>
    </row>
    <row r="705" spans="1:17" hidden="1" x14ac:dyDescent="0.25">
      <c r="A705" s="16" t="s">
        <v>114</v>
      </c>
      <c r="B705" s="44"/>
      <c r="C705" s="16" t="s">
        <v>1802</v>
      </c>
      <c r="D705" s="44" t="s">
        <v>766</v>
      </c>
      <c r="E705" s="44" t="s">
        <v>767</v>
      </c>
      <c r="F705" s="45" t="s">
        <v>1803</v>
      </c>
      <c r="G705" s="47">
        <v>98</v>
      </c>
      <c r="H705" s="17">
        <v>16</v>
      </c>
      <c r="I705" s="30" t="s">
        <v>955</v>
      </c>
      <c r="J705" s="80">
        <v>4.0999999999999996</v>
      </c>
      <c r="O705" s="62" t="str">
        <f>IF(E705="PA",IF(K705&lt;&gt;"",ISERROR(VLOOKUP(K705,ABBR!A:D,1,FALSE)),ISERROR(VLOOKUP(C705,ABBR!A:D,1,FALSE))),"")</f>
        <v/>
      </c>
      <c r="P705" t="str">
        <f>VLOOKUP(A705,Groups!A:L,5,FALSE)</f>
        <v>SAMP</v>
      </c>
      <c r="Q705" s="62" t="str">
        <f>IF(G705="PA",IF(M705&lt;&gt;"",ISERROR(VLOOKUP(M705,ABBR!C:F,1,FALSE)),ISERROR(VLOOKUP(E705,ABBR!C:F,1,FALSE))),"")</f>
        <v/>
      </c>
    </row>
    <row r="706" spans="1:17" hidden="1" x14ac:dyDescent="0.25">
      <c r="A706" s="16" t="s">
        <v>114</v>
      </c>
      <c r="B706" s="44"/>
      <c r="C706" s="16" t="s">
        <v>1804</v>
      </c>
      <c r="D706" s="44" t="s">
        <v>766</v>
      </c>
      <c r="E706" s="44" t="s">
        <v>723</v>
      </c>
      <c r="F706" s="45" t="s">
        <v>1805</v>
      </c>
      <c r="G706" s="47">
        <v>90.1</v>
      </c>
      <c r="H706" s="17">
        <v>17</v>
      </c>
      <c r="I706" s="30" t="s">
        <v>955</v>
      </c>
      <c r="J706" s="80">
        <v>4.0999999999999996</v>
      </c>
      <c r="O706" s="62" t="str">
        <f>IF(E706="PA",IF(K706&lt;&gt;"",ISERROR(VLOOKUP(K706,ABBR!A:D,1,FALSE)),ISERROR(VLOOKUP(C706,ABBR!A:D,1,FALSE))),"")</f>
        <v/>
      </c>
      <c r="P706" t="str">
        <f>VLOOKUP(A706,Groups!A:L,5,FALSE)</f>
        <v>SAMP</v>
      </c>
      <c r="Q706" s="62" t="str">
        <f>IF(G706="PA",IF(M706&lt;&gt;"",ISERROR(VLOOKUP(M706,ABBR!C:F,1,FALSE)),ISERROR(VLOOKUP(E706,ABBR!C:F,1,FALSE))),"")</f>
        <v/>
      </c>
    </row>
    <row r="707" spans="1:17" hidden="1" x14ac:dyDescent="0.25">
      <c r="A707" s="16" t="s">
        <v>114</v>
      </c>
      <c r="B707" s="44"/>
      <c r="C707" s="16" t="s">
        <v>1806</v>
      </c>
      <c r="D707" s="44" t="s">
        <v>722</v>
      </c>
      <c r="E707" s="44" t="s">
        <v>601</v>
      </c>
      <c r="F707" s="45" t="s">
        <v>1807</v>
      </c>
      <c r="G707" s="47">
        <v>38.25</v>
      </c>
      <c r="H707" s="17">
        <v>18</v>
      </c>
      <c r="I707" s="30" t="s">
        <v>955</v>
      </c>
      <c r="J707" s="80">
        <v>4.0999999999999996</v>
      </c>
      <c r="O707" s="62" t="str">
        <f>IF(E707="PA",IF(K707&lt;&gt;"",ISERROR(VLOOKUP(K707,ABBR!A:D,1,FALSE)),ISERROR(VLOOKUP(C707,ABBR!A:D,1,FALSE))),"")</f>
        <v/>
      </c>
      <c r="P707" t="str">
        <f>VLOOKUP(A707,Groups!A:L,5,FALSE)</f>
        <v>SAMP</v>
      </c>
      <c r="Q707" s="62" t="str">
        <f>IF(G707="PA",IF(M707&lt;&gt;"",ISERROR(VLOOKUP(M707,ABBR!C:F,1,FALSE)),ISERROR(VLOOKUP(E707,ABBR!C:F,1,FALSE))),"")</f>
        <v/>
      </c>
    </row>
    <row r="708" spans="1:17" hidden="1" x14ac:dyDescent="0.25">
      <c r="A708" s="16" t="s">
        <v>114</v>
      </c>
      <c r="B708" s="44"/>
      <c r="C708" s="16" t="s">
        <v>1808</v>
      </c>
      <c r="D708" s="44" t="s">
        <v>722</v>
      </c>
      <c r="E708" s="44" t="s">
        <v>601</v>
      </c>
      <c r="F708" s="45" t="s">
        <v>1809</v>
      </c>
      <c r="G708" s="47">
        <v>76.510000000000005</v>
      </c>
      <c r="H708" s="17">
        <v>19</v>
      </c>
      <c r="I708" s="30" t="s">
        <v>955</v>
      </c>
      <c r="J708" s="80">
        <v>4.0999999999999996</v>
      </c>
      <c r="O708" s="62" t="str">
        <f>IF(E708="PA",IF(K708&lt;&gt;"",ISERROR(VLOOKUP(K708,ABBR!A:D,1,FALSE)),ISERROR(VLOOKUP(C708,ABBR!A:D,1,FALSE))),"")</f>
        <v/>
      </c>
      <c r="P708" t="str">
        <f>VLOOKUP(A708,Groups!A:L,5,FALSE)</f>
        <v>SAMP</v>
      </c>
      <c r="Q708" s="62" t="str">
        <f>IF(G708="PA",IF(M708&lt;&gt;"",ISERROR(VLOOKUP(M708,ABBR!C:F,1,FALSE)),ISERROR(VLOOKUP(E708,ABBR!C:F,1,FALSE))),"")</f>
        <v/>
      </c>
    </row>
    <row r="709" spans="1:17" hidden="1" x14ac:dyDescent="0.25">
      <c r="A709" s="16" t="s">
        <v>114</v>
      </c>
      <c r="B709" s="44"/>
      <c r="C709" s="16" t="s">
        <v>1810</v>
      </c>
      <c r="D709" s="44" t="s">
        <v>1811</v>
      </c>
      <c r="E709" s="44" t="s">
        <v>601</v>
      </c>
      <c r="F709" s="45" t="s">
        <v>1812</v>
      </c>
      <c r="G709" s="47">
        <v>102.53</v>
      </c>
      <c r="H709" s="17">
        <v>20</v>
      </c>
      <c r="I709" s="30" t="s">
        <v>955</v>
      </c>
      <c r="J709" s="80">
        <v>4.0999999999999996</v>
      </c>
      <c r="O709" s="62" t="str">
        <f>IF(E709="PA",IF(K709&lt;&gt;"",ISERROR(VLOOKUP(K709,ABBR!A:D,1,FALSE)),ISERROR(VLOOKUP(C709,ABBR!A:D,1,FALSE))),"")</f>
        <v/>
      </c>
      <c r="P709" t="str">
        <f>VLOOKUP(A709,Groups!A:L,5,FALSE)</f>
        <v>SAMP</v>
      </c>
      <c r="Q709" s="62" t="str">
        <f>IF(G709="PA",IF(M709&lt;&gt;"",ISERROR(VLOOKUP(M709,ABBR!C:F,1,FALSE)),ISERROR(VLOOKUP(E709,ABBR!C:F,1,FALSE))),"")</f>
        <v/>
      </c>
    </row>
    <row r="710" spans="1:17" hidden="1" x14ac:dyDescent="0.25">
      <c r="A710" s="16" t="s">
        <v>114</v>
      </c>
      <c r="B710" s="44"/>
      <c r="C710" s="16" t="s">
        <v>1813</v>
      </c>
      <c r="D710" s="44" t="s">
        <v>1077</v>
      </c>
      <c r="E710" s="44" t="s">
        <v>1391</v>
      </c>
      <c r="F710" s="45" t="s">
        <v>1462</v>
      </c>
      <c r="G710" s="47" t="s">
        <v>1463</v>
      </c>
      <c r="H710" s="17">
        <v>21</v>
      </c>
      <c r="I710" s="30" t="s">
        <v>955</v>
      </c>
      <c r="J710" s="80">
        <v>4.0999999999999996</v>
      </c>
      <c r="O710" s="62" t="str">
        <f>IF(E710="PA",IF(K710&lt;&gt;"",ISERROR(VLOOKUP(K710,ABBR!A:D,1,FALSE)),ISERROR(VLOOKUP(C710,ABBR!A:D,1,FALSE))),"")</f>
        <v/>
      </c>
      <c r="P710" t="str">
        <f>VLOOKUP(A710,Groups!A:L,5,FALSE)</f>
        <v>SAMP</v>
      </c>
      <c r="Q710" s="62" t="str">
        <f>IF(G710="PA",IF(M710&lt;&gt;"",ISERROR(VLOOKUP(M710,ABBR!C:F,1,FALSE)),ISERROR(VLOOKUP(E710,ABBR!C:F,1,FALSE))),"")</f>
        <v/>
      </c>
    </row>
    <row r="711" spans="1:17" hidden="1" x14ac:dyDescent="0.25">
      <c r="A711" s="16" t="s">
        <v>114</v>
      </c>
      <c r="B711" s="44"/>
      <c r="C711" s="16" t="s">
        <v>1814</v>
      </c>
      <c r="D711" s="44" t="s">
        <v>1077</v>
      </c>
      <c r="E711" s="44" t="s">
        <v>601</v>
      </c>
      <c r="F711" s="45" t="s">
        <v>1815</v>
      </c>
      <c r="G711" s="47">
        <v>1.89</v>
      </c>
      <c r="H711" s="17">
        <v>22</v>
      </c>
      <c r="I711" s="30" t="s">
        <v>955</v>
      </c>
      <c r="J711" s="80">
        <v>4.0999999999999996</v>
      </c>
      <c r="O711" s="62" t="str">
        <f>IF(E711="PA",IF(K711&lt;&gt;"",ISERROR(VLOOKUP(K711,ABBR!A:D,1,FALSE)),ISERROR(VLOOKUP(C711,ABBR!A:D,1,FALSE))),"")</f>
        <v/>
      </c>
      <c r="P711" t="str">
        <f>VLOOKUP(A711,Groups!A:L,5,FALSE)</f>
        <v>SAMP</v>
      </c>
      <c r="Q711" s="62" t="str">
        <f>IF(G711="PA",IF(M711&lt;&gt;"",ISERROR(VLOOKUP(M711,ABBR!C:F,1,FALSE)),ISERROR(VLOOKUP(E711,ABBR!C:F,1,FALSE))),"")</f>
        <v/>
      </c>
    </row>
    <row r="712" spans="1:17" hidden="1" x14ac:dyDescent="0.25">
      <c r="A712" s="16" t="s">
        <v>114</v>
      </c>
      <c r="B712" s="44"/>
      <c r="C712" s="16" t="s">
        <v>1816</v>
      </c>
      <c r="D712" s="44" t="s">
        <v>1077</v>
      </c>
      <c r="E712" s="44" t="s">
        <v>601</v>
      </c>
      <c r="F712" s="45" t="s">
        <v>1817</v>
      </c>
      <c r="G712" s="47">
        <v>1.78</v>
      </c>
      <c r="H712" s="17">
        <v>23</v>
      </c>
      <c r="I712" s="30" t="s">
        <v>955</v>
      </c>
      <c r="J712" s="80">
        <v>4.0999999999999996</v>
      </c>
      <c r="O712" s="62" t="str">
        <f>IF(E712="PA",IF(K712&lt;&gt;"",ISERROR(VLOOKUP(K712,ABBR!A:D,1,FALSE)),ISERROR(VLOOKUP(C712,ABBR!A:D,1,FALSE))),"")</f>
        <v/>
      </c>
      <c r="P712" t="str">
        <f>VLOOKUP(A712,Groups!A:L,5,FALSE)</f>
        <v>SAMP</v>
      </c>
      <c r="Q712" s="62" t="str">
        <f>IF(G712="PA",IF(M712&lt;&gt;"",ISERROR(VLOOKUP(M712,ABBR!C:F,1,FALSE)),ISERROR(VLOOKUP(E712,ABBR!C:F,1,FALSE))),"")</f>
        <v/>
      </c>
    </row>
    <row r="713" spans="1:17" hidden="1" x14ac:dyDescent="0.25">
      <c r="A713" s="16" t="s">
        <v>114</v>
      </c>
      <c r="B713" s="44"/>
      <c r="C713" s="16" t="s">
        <v>1818</v>
      </c>
      <c r="D713" s="44" t="s">
        <v>1077</v>
      </c>
      <c r="E713" s="44" t="s">
        <v>601</v>
      </c>
      <c r="F713" s="45" t="s">
        <v>1532</v>
      </c>
      <c r="G713" s="47">
        <v>1.84</v>
      </c>
      <c r="H713" s="17">
        <v>24</v>
      </c>
      <c r="I713" s="30" t="s">
        <v>955</v>
      </c>
      <c r="J713" s="80">
        <v>4.0999999999999996</v>
      </c>
      <c r="O713" s="62" t="str">
        <f>IF(E713="PA",IF(K713&lt;&gt;"",ISERROR(VLOOKUP(K713,ABBR!A:D,1,FALSE)),ISERROR(VLOOKUP(C713,ABBR!A:D,1,FALSE))),"")</f>
        <v/>
      </c>
      <c r="P713" t="str">
        <f>VLOOKUP(A713,Groups!A:L,5,FALSE)</f>
        <v>SAMP</v>
      </c>
      <c r="Q713" s="62" t="str">
        <f>IF(G713="PA",IF(M713&lt;&gt;"",ISERROR(VLOOKUP(M713,ABBR!C:F,1,FALSE)),ISERROR(VLOOKUP(E713,ABBR!C:F,1,FALSE))),"")</f>
        <v/>
      </c>
    </row>
    <row r="714" spans="1:17" hidden="1" x14ac:dyDescent="0.25">
      <c r="A714" s="16" t="s">
        <v>114</v>
      </c>
      <c r="B714" s="78"/>
      <c r="C714" s="41" t="s">
        <v>1819</v>
      </c>
      <c r="D714" s="78" t="s">
        <v>1077</v>
      </c>
      <c r="E714" s="78" t="s">
        <v>601</v>
      </c>
      <c r="F714" s="173" t="s">
        <v>1339</v>
      </c>
      <c r="G714" s="175">
        <v>2.12</v>
      </c>
      <c r="H714" s="17">
        <v>25</v>
      </c>
      <c r="I714" s="30" t="s">
        <v>955</v>
      </c>
      <c r="J714" s="80">
        <v>4.0999999999999996</v>
      </c>
      <c r="O714" s="62" t="str">
        <f>IF(E714="PA",IF(K714&lt;&gt;"",ISERROR(VLOOKUP(K714,ABBR!A:D,1,FALSE)),ISERROR(VLOOKUP(C714,ABBR!A:D,1,FALSE))),"")</f>
        <v/>
      </c>
      <c r="P714" t="str">
        <f>VLOOKUP(A714,Groups!A:L,5,FALSE)</f>
        <v>SAMP</v>
      </c>
      <c r="Q714" s="62" t="str">
        <f>IF(G714="PA",IF(M714&lt;&gt;"",ISERROR(VLOOKUP(M714,ABBR!C:F,1,FALSE)),ISERROR(VLOOKUP(E714,ABBR!C:F,1,FALSE))),"")</f>
        <v/>
      </c>
    </row>
    <row r="715" spans="1:17" s="62" customFormat="1" hidden="1" x14ac:dyDescent="0.25">
      <c r="A715" s="38" t="s">
        <v>114</v>
      </c>
      <c r="B715" s="44"/>
      <c r="C715" s="16" t="s">
        <v>1820</v>
      </c>
      <c r="D715" s="44"/>
      <c r="E715" s="44" t="s">
        <v>1321</v>
      </c>
      <c r="F715" s="45" t="s">
        <v>1544</v>
      </c>
      <c r="G715" s="47">
        <v>0.98699999999999999</v>
      </c>
      <c r="H715" s="39">
        <v>26</v>
      </c>
      <c r="I715" s="30" t="s">
        <v>955</v>
      </c>
      <c r="J715" s="80">
        <v>4.0999999999999996</v>
      </c>
      <c r="K715"/>
      <c r="L715"/>
      <c r="M715"/>
      <c r="N715"/>
      <c r="O715" s="62" t="str">
        <f>IF(E715="PA",IF(K715&lt;&gt;"",ISERROR(VLOOKUP(K715,ABBR!A:D,1,FALSE)),ISERROR(VLOOKUP(C715,ABBR!A:D,1,FALSE))),"")</f>
        <v/>
      </c>
      <c r="P715" t="str">
        <f>VLOOKUP(A715,Groups!A:L,5,FALSE)</f>
        <v>SAMP</v>
      </c>
      <c r="Q715" s="62" t="str">
        <f>IF(G715="PA",IF(M715&lt;&gt;"",ISERROR(VLOOKUP(M715,ABBR!C:F,1,FALSE)),ISERROR(VLOOKUP(E715,ABBR!C:F,1,FALSE))),"")</f>
        <v/>
      </c>
    </row>
    <row r="716" spans="1:17" s="62" customFormat="1" hidden="1" x14ac:dyDescent="0.25">
      <c r="A716" s="38" t="s">
        <v>114</v>
      </c>
      <c r="B716" s="44"/>
      <c r="C716" s="16" t="s">
        <v>1821</v>
      </c>
      <c r="D716" s="44"/>
      <c r="E716" s="44" t="s">
        <v>608</v>
      </c>
      <c r="F716" s="45" t="s">
        <v>1822</v>
      </c>
      <c r="G716" s="47" t="s">
        <v>1823</v>
      </c>
      <c r="H716" s="39">
        <v>27</v>
      </c>
      <c r="I716" s="30" t="s">
        <v>955</v>
      </c>
      <c r="J716" s="80">
        <v>4.0999999999999996</v>
      </c>
      <c r="K716"/>
      <c r="L716"/>
      <c r="M716"/>
      <c r="N716"/>
      <c r="O716" s="62" t="str">
        <f>IF(E716="PA",IF(K716&lt;&gt;"",ISERROR(VLOOKUP(K716,ABBR!A:D,1,FALSE)),ISERROR(VLOOKUP(C716,ABBR!A:D,1,FALSE))),"")</f>
        <v/>
      </c>
      <c r="P716" t="str">
        <f>VLOOKUP(A716,Groups!A:L,5,FALSE)</f>
        <v>SAMP</v>
      </c>
      <c r="Q716" s="62" t="str">
        <f>IF(G716="PA",IF(M716&lt;&gt;"",ISERROR(VLOOKUP(M716,ABBR!C:F,1,FALSE)),ISERROR(VLOOKUP(E716,ABBR!C:F,1,FALSE))),"")</f>
        <v/>
      </c>
    </row>
    <row r="717" spans="1:17" s="62" customFormat="1" hidden="1" x14ac:dyDescent="0.25">
      <c r="A717" s="38" t="s">
        <v>114</v>
      </c>
      <c r="B717" s="44"/>
      <c r="C717" s="16" t="s">
        <v>1824</v>
      </c>
      <c r="D717" s="44" t="s">
        <v>1380</v>
      </c>
      <c r="E717" s="44" t="s">
        <v>723</v>
      </c>
      <c r="F717" s="45" t="s">
        <v>1825</v>
      </c>
      <c r="G717" s="47">
        <v>2.5</v>
      </c>
      <c r="H717" s="39">
        <v>28</v>
      </c>
      <c r="I717" s="30" t="s">
        <v>955</v>
      </c>
      <c r="J717" s="80">
        <v>4.0999999999999996</v>
      </c>
      <c r="K717"/>
      <c r="L717"/>
      <c r="M717"/>
      <c r="N717"/>
      <c r="O717" s="62" t="str">
        <f>IF(E717="PA",IF(K717&lt;&gt;"",ISERROR(VLOOKUP(K717,ABBR!A:D,1,FALSE)),ISERROR(VLOOKUP(C717,ABBR!A:D,1,FALSE))),"")</f>
        <v/>
      </c>
      <c r="P717" t="str">
        <f>VLOOKUP(A717,Groups!A:L,5,FALSE)</f>
        <v>SAMP</v>
      </c>
      <c r="Q717" s="62" t="str">
        <f>IF(G717="PA",IF(M717&lt;&gt;"",ISERROR(VLOOKUP(M717,ABBR!C:F,1,FALSE)),ISERROR(VLOOKUP(E717,ABBR!C:F,1,FALSE))),"")</f>
        <v/>
      </c>
    </row>
    <row r="718" spans="1:17" s="62" customFormat="1" hidden="1" x14ac:dyDescent="0.25">
      <c r="A718" s="38" t="s">
        <v>114</v>
      </c>
      <c r="B718" s="44"/>
      <c r="C718" s="16" t="s">
        <v>1826</v>
      </c>
      <c r="D718" s="44"/>
      <c r="E718" s="44" t="s">
        <v>608</v>
      </c>
      <c r="F718" s="45" t="s">
        <v>642</v>
      </c>
      <c r="G718" s="49" t="s">
        <v>16</v>
      </c>
      <c r="H718" s="39">
        <v>29</v>
      </c>
      <c r="I718" s="30" t="s">
        <v>955</v>
      </c>
      <c r="J718" s="80">
        <v>4.0999999999999996</v>
      </c>
      <c r="K718"/>
      <c r="L718"/>
      <c r="M718" s="101"/>
      <c r="N718"/>
      <c r="O718" s="62" t="str">
        <f>IF(E718="PA",IF(K718&lt;&gt;"",ISERROR(VLOOKUP(K718,ABBR!A:D,1,FALSE)),ISERROR(VLOOKUP(C718,ABBR!A:D,1,FALSE))),"")</f>
        <v/>
      </c>
      <c r="P718" t="str">
        <f>VLOOKUP(A718,Groups!A:L,5,FALSE)</f>
        <v>SAMP</v>
      </c>
      <c r="Q718" s="62" t="str">
        <f>IF(G718="PA",IF(M718&lt;&gt;"",ISERROR(VLOOKUP(M718,ABBR!C:F,1,FALSE)),ISERROR(VLOOKUP(E718,ABBR!C:F,1,FALSE))),"")</f>
        <v/>
      </c>
    </row>
    <row r="719" spans="1:17" s="62" customFormat="1" ht="25" hidden="1" x14ac:dyDescent="0.25">
      <c r="A719" s="38" t="s">
        <v>114</v>
      </c>
      <c r="B719" s="44"/>
      <c r="C719" s="16" t="s">
        <v>1827</v>
      </c>
      <c r="D719" s="44"/>
      <c r="E719" s="44" t="s">
        <v>608</v>
      </c>
      <c r="F719" s="45" t="s">
        <v>918</v>
      </c>
      <c r="G719" s="47" t="s">
        <v>1828</v>
      </c>
      <c r="H719" s="39">
        <v>30</v>
      </c>
      <c r="I719" s="30" t="s">
        <v>955</v>
      </c>
      <c r="J719" s="80">
        <v>4.0999999999999996</v>
      </c>
      <c r="K719"/>
      <c r="L719"/>
      <c r="M719"/>
      <c r="N719"/>
      <c r="O719" s="62" t="str">
        <f>IF(E719="PA",IF(K719&lt;&gt;"",ISERROR(VLOOKUP(K719,ABBR!A:D,1,FALSE)),ISERROR(VLOOKUP(C719,ABBR!A:D,1,FALSE))),"")</f>
        <v/>
      </c>
      <c r="P719" t="str">
        <f>VLOOKUP(A719,Groups!A:L,5,FALSE)</f>
        <v>SAMP</v>
      </c>
      <c r="Q719" s="62" t="str">
        <f>IF(G719="PA",IF(M719&lt;&gt;"",ISERROR(VLOOKUP(M719,ABBR!C:F,1,FALSE)),ISERROR(VLOOKUP(E719,ABBR!C:F,1,FALSE))),"")</f>
        <v/>
      </c>
    </row>
    <row r="720" spans="1:17" s="62" customFormat="1" hidden="1" x14ac:dyDescent="0.25">
      <c r="A720" s="38" t="s">
        <v>114</v>
      </c>
      <c r="B720" s="44"/>
      <c r="C720" s="16" t="s">
        <v>1829</v>
      </c>
      <c r="D720" s="44"/>
      <c r="E720" s="44" t="s">
        <v>608</v>
      </c>
      <c r="F720" s="45" t="s">
        <v>1554</v>
      </c>
      <c r="G720" s="94" t="s">
        <v>922</v>
      </c>
      <c r="H720" s="39">
        <v>31</v>
      </c>
      <c r="I720" s="30" t="s">
        <v>955</v>
      </c>
      <c r="J720" s="80">
        <v>4.0999999999999996</v>
      </c>
      <c r="K720"/>
      <c r="L720"/>
      <c r="M720" s="101"/>
      <c r="N720"/>
      <c r="O720" s="62" t="str">
        <f>IF(E720="PA",IF(K720&lt;&gt;"",ISERROR(VLOOKUP(K720,ABBR!A:D,1,FALSE)),ISERROR(VLOOKUP(C720,ABBR!A:D,1,FALSE))),"")</f>
        <v/>
      </c>
      <c r="P720" t="str">
        <f>VLOOKUP(A720,Groups!A:L,5,FALSE)</f>
        <v>SAMP</v>
      </c>
      <c r="Q720" s="62" t="str">
        <f>IF(G720="PA",IF(M720&lt;&gt;"",ISERROR(VLOOKUP(M720,ABBR!C:F,1,FALSE)),ISERROR(VLOOKUP(E720,ABBR!C:F,1,FALSE))),"")</f>
        <v/>
      </c>
    </row>
    <row r="721" spans="1:17" s="62" customFormat="1" ht="25" hidden="1" x14ac:dyDescent="0.25">
      <c r="A721" s="38" t="s">
        <v>114</v>
      </c>
      <c r="B721" s="44"/>
      <c r="C721" s="16" t="s">
        <v>1830</v>
      </c>
      <c r="D721" s="44"/>
      <c r="E721" s="17" t="s">
        <v>608</v>
      </c>
      <c r="F721" s="18" t="s">
        <v>950</v>
      </c>
      <c r="G721" s="47" t="s">
        <v>951</v>
      </c>
      <c r="H721" s="39">
        <v>32</v>
      </c>
      <c r="I721" s="30" t="s">
        <v>955</v>
      </c>
      <c r="J721" s="80">
        <v>4.0999999999999996</v>
      </c>
      <c r="K721"/>
      <c r="L721"/>
      <c r="M721"/>
      <c r="N721"/>
      <c r="O721" s="62" t="str">
        <f>IF(E721="PA",IF(K721&lt;&gt;"",ISERROR(VLOOKUP(K721,ABBR!A:D,1,FALSE)),ISERROR(VLOOKUP(C721,ABBR!A:D,1,FALSE))),"")</f>
        <v/>
      </c>
      <c r="P721" t="str">
        <f>VLOOKUP(A721,Groups!A:L,5,FALSE)</f>
        <v>SAMP</v>
      </c>
      <c r="Q721" s="62" t="str">
        <f>IF(G721="PA",IF(M721&lt;&gt;"",ISERROR(VLOOKUP(M721,ABBR!C:F,1,FALSE)),ISERROR(VLOOKUP(E721,ABBR!C:F,1,FALSE))),"")</f>
        <v/>
      </c>
    </row>
    <row r="722" spans="1:17" s="62" customFormat="1" ht="25" hidden="1" x14ac:dyDescent="0.25">
      <c r="A722" s="38" t="s">
        <v>114</v>
      </c>
      <c r="B722" s="44"/>
      <c r="C722" s="16" t="s">
        <v>1831</v>
      </c>
      <c r="D722" s="17"/>
      <c r="E722" s="17" t="s">
        <v>608</v>
      </c>
      <c r="F722" s="18" t="s">
        <v>934</v>
      </c>
      <c r="G722" s="27" t="s">
        <v>953</v>
      </c>
      <c r="H722" s="17">
        <v>33</v>
      </c>
      <c r="I722" s="30" t="s">
        <v>955</v>
      </c>
      <c r="J722" s="80">
        <v>4.0999999999999996</v>
      </c>
      <c r="K722"/>
      <c r="L722"/>
      <c r="M722"/>
      <c r="N722"/>
      <c r="O722" s="62" t="str">
        <f>IF(E722="PA",IF(K722&lt;&gt;"",ISERROR(VLOOKUP(K722,ABBR!A:D,1,FALSE)),ISERROR(VLOOKUP(C722,ABBR!A:D,1,FALSE))),"")</f>
        <v/>
      </c>
      <c r="P722" t="str">
        <f>VLOOKUP(A722,Groups!A:L,5,FALSE)</f>
        <v>SAMP</v>
      </c>
      <c r="Q722" s="62" t="str">
        <f>IF(G722="PA",IF(M722&lt;&gt;"",ISERROR(VLOOKUP(M722,ABBR!C:F,1,FALSE)),ISERROR(VLOOKUP(E722,ABBR!C:F,1,FALSE))),"")</f>
        <v/>
      </c>
    </row>
    <row r="723" spans="1:17" s="62" customFormat="1" hidden="1" x14ac:dyDescent="0.25">
      <c r="A723" s="38" t="s">
        <v>114</v>
      </c>
      <c r="B723" s="44"/>
      <c r="C723" s="16" t="s">
        <v>936</v>
      </c>
      <c r="D723" s="17"/>
      <c r="E723" s="17" t="s">
        <v>608</v>
      </c>
      <c r="F723" s="18" t="s">
        <v>937</v>
      </c>
      <c r="G723" s="49" t="s">
        <v>938</v>
      </c>
      <c r="H723" s="17">
        <v>34</v>
      </c>
      <c r="I723" s="30" t="s">
        <v>955</v>
      </c>
      <c r="J723" s="80">
        <v>4.0999999999999996</v>
      </c>
      <c r="K723"/>
      <c r="L723"/>
      <c r="M723"/>
      <c r="N723"/>
      <c r="O723" s="62" t="str">
        <f>IF(E723="PA",IF(K723&lt;&gt;"",ISERROR(VLOOKUP(K723,ABBR!A:D,1,FALSE)),ISERROR(VLOOKUP(C723,ABBR!A:D,1,FALSE))),"")</f>
        <v/>
      </c>
      <c r="P723" t="str">
        <f>VLOOKUP(A723,Groups!A:L,5,FALSE)</f>
        <v>SAMP</v>
      </c>
      <c r="Q723" s="62" t="str">
        <f>IF(G723="PA",IF(M723&lt;&gt;"",ISERROR(VLOOKUP(M723,ABBR!C:F,1,FALSE)),ISERROR(VLOOKUP(E723,ABBR!C:F,1,FALSE))),"")</f>
        <v/>
      </c>
    </row>
    <row r="724" spans="1:17" s="62" customFormat="1" hidden="1" x14ac:dyDescent="0.25">
      <c r="A724" s="38" t="s">
        <v>114</v>
      </c>
      <c r="B724" s="44"/>
      <c r="C724" s="16" t="s">
        <v>643</v>
      </c>
      <c r="D724" s="17"/>
      <c r="E724" s="22" t="s">
        <v>608</v>
      </c>
      <c r="F724" s="18" t="s">
        <v>1294</v>
      </c>
      <c r="G724" s="49" t="s">
        <v>1552</v>
      </c>
      <c r="H724" s="17">
        <v>35</v>
      </c>
      <c r="I724" s="30" t="s">
        <v>955</v>
      </c>
      <c r="J724" s="80">
        <v>4.0999999999999996</v>
      </c>
      <c r="K724"/>
      <c r="L724"/>
      <c r="M724"/>
      <c r="N724"/>
      <c r="O724" s="62" t="str">
        <f>IF(E724="PA",IF(K724&lt;&gt;"",ISERROR(VLOOKUP(K724,ABBR!A:D,1,FALSE)),ISERROR(VLOOKUP(C724,ABBR!A:D,1,FALSE))),"")</f>
        <v/>
      </c>
      <c r="P724" t="str">
        <f>VLOOKUP(A724,Groups!A:L,5,FALSE)</f>
        <v>SAMP</v>
      </c>
      <c r="Q724" s="62" t="str">
        <f>IF(G724="PA",IF(M724&lt;&gt;"",ISERROR(VLOOKUP(M724,ABBR!C:F,1,FALSE)),ISERROR(VLOOKUP(E724,ABBR!C:F,1,FALSE))),"")</f>
        <v/>
      </c>
    </row>
    <row r="725" spans="1:17" s="62" customFormat="1" hidden="1" x14ac:dyDescent="0.25">
      <c r="A725" s="38" t="s">
        <v>114</v>
      </c>
      <c r="B725" s="77"/>
      <c r="C725" s="16" t="s">
        <v>1832</v>
      </c>
      <c r="D725" s="57" t="s">
        <v>924</v>
      </c>
      <c r="E725" s="172" t="s">
        <v>925</v>
      </c>
      <c r="F725" s="58" t="s">
        <v>926</v>
      </c>
      <c r="G725" s="63" t="s">
        <v>927</v>
      </c>
      <c r="H725" s="17">
        <v>36</v>
      </c>
      <c r="I725" s="30"/>
      <c r="J725" s="80"/>
      <c r="K725"/>
      <c r="L725"/>
      <c r="M725"/>
      <c r="N725"/>
      <c r="O725" s="62" t="str">
        <f>IF(E725="PA",IF(K725&lt;&gt;"",ISERROR(VLOOKUP(K725,ABBR!A:D,1,FALSE)),ISERROR(VLOOKUP(C725,ABBR!A:D,1,FALSE))),"")</f>
        <v/>
      </c>
      <c r="P725" t="str">
        <f>VLOOKUP(A725,Groups!A:L,5,FALSE)</f>
        <v>SAMP</v>
      </c>
      <c r="Q725" s="62" t="str">
        <f>IF(G725="PA",IF(M725&lt;&gt;"",ISERROR(VLOOKUP(M725,ABBR!C:F,1,FALSE)),ISERROR(VLOOKUP(E725,ABBR!C:F,1,FALSE))),"")</f>
        <v/>
      </c>
    </row>
    <row r="726" spans="1:17" s="62" customFormat="1" hidden="1" x14ac:dyDescent="0.25">
      <c r="A726" s="38" t="s">
        <v>114</v>
      </c>
      <c r="B726" s="44"/>
      <c r="C726" s="16" t="s">
        <v>1833</v>
      </c>
      <c r="D726" s="17"/>
      <c r="E726" s="22" t="s">
        <v>608</v>
      </c>
      <c r="F726" s="18" t="s">
        <v>875</v>
      </c>
      <c r="G726" s="49" t="s">
        <v>876</v>
      </c>
      <c r="H726" s="17">
        <v>37</v>
      </c>
      <c r="I726" s="30"/>
      <c r="J726" s="80"/>
      <c r="K726"/>
      <c r="L726"/>
      <c r="M726"/>
      <c r="N726"/>
      <c r="O726" s="62" t="str">
        <f>IF(E726="PA",IF(K726&lt;&gt;"",ISERROR(VLOOKUP(K726,ABBR!A:D,1,FALSE)),ISERROR(VLOOKUP(C726,ABBR!A:D,1,FALSE))),"")</f>
        <v/>
      </c>
      <c r="P726" t="str">
        <f>VLOOKUP(A726,Groups!A:L,5,FALSE)</f>
        <v>SAMP</v>
      </c>
      <c r="Q726" s="62" t="str">
        <f>IF(G726="PA",IF(M726&lt;&gt;"",ISERROR(VLOOKUP(M726,ABBR!C:F,1,FALSE)),ISERROR(VLOOKUP(E726,ABBR!C:F,1,FALSE))),"")</f>
        <v/>
      </c>
    </row>
    <row r="727" spans="1:17" s="62" customFormat="1" hidden="1" x14ac:dyDescent="0.25">
      <c r="A727" s="38" t="s">
        <v>114</v>
      </c>
      <c r="B727" s="44"/>
      <c r="C727" s="16" t="s">
        <v>1834</v>
      </c>
      <c r="D727" s="17"/>
      <c r="E727" s="22" t="s">
        <v>608</v>
      </c>
      <c r="F727" s="18" t="s">
        <v>929</v>
      </c>
      <c r="G727" s="49" t="s">
        <v>876</v>
      </c>
      <c r="H727" s="17">
        <v>38</v>
      </c>
      <c r="I727" s="30"/>
      <c r="J727" s="80"/>
      <c r="K727"/>
      <c r="L727"/>
      <c r="M727"/>
      <c r="N727"/>
      <c r="O727" s="62" t="str">
        <f>IF(E727="PA",IF(K727&lt;&gt;"",ISERROR(VLOOKUP(K727,ABBR!A:D,1,FALSE)),ISERROR(VLOOKUP(C727,ABBR!A:D,1,FALSE))),"")</f>
        <v/>
      </c>
      <c r="P727" t="str">
        <f>VLOOKUP(A727,Groups!A:L,5,FALSE)</f>
        <v>SAMP</v>
      </c>
      <c r="Q727" s="62" t="str">
        <f>IF(G727="PA",IF(M727&lt;&gt;"",ISERROR(VLOOKUP(M727,ABBR!C:F,1,FALSE)),ISERROR(VLOOKUP(E727,ABBR!C:F,1,FALSE))),"")</f>
        <v/>
      </c>
    </row>
    <row r="728" spans="1:17" s="62" customFormat="1" hidden="1" x14ac:dyDescent="0.25">
      <c r="A728" s="38" t="s">
        <v>115</v>
      </c>
      <c r="B728" s="44" t="s">
        <v>594</v>
      </c>
      <c r="C728" s="16" t="s">
        <v>595</v>
      </c>
      <c r="D728" s="44"/>
      <c r="E728" s="44" t="s">
        <v>596</v>
      </c>
      <c r="F728" s="45" t="s">
        <v>597</v>
      </c>
      <c r="G728" s="47" t="s">
        <v>598</v>
      </c>
      <c r="H728" s="17">
        <v>1</v>
      </c>
      <c r="I728" s="30" t="s">
        <v>955</v>
      </c>
      <c r="J728" s="80">
        <v>4.0999999999999996</v>
      </c>
      <c r="K728"/>
      <c r="L728"/>
      <c r="M728"/>
      <c r="N728"/>
      <c r="O728" s="62" t="str">
        <f>IF(E728="PA",IF(K728&lt;&gt;"",ISERROR(VLOOKUP(K728,ABBR!A:D,1,FALSE)),ISERROR(VLOOKUP(C728,ABBR!A:D,1,FALSE))),"")</f>
        <v/>
      </c>
      <c r="P728" t="str">
        <f>VLOOKUP(A728,Groups!A:L,5,FALSE)</f>
        <v>CTRC</v>
      </c>
      <c r="Q728" s="62" t="str">
        <f>IF(G728="PA",IF(M728&lt;&gt;"",ISERROR(VLOOKUP(M728,ABBR!C:F,1,FALSE)),ISERROR(VLOOKUP(E728,ABBR!C:F,1,FALSE))),"")</f>
        <v/>
      </c>
    </row>
    <row r="729" spans="1:17" s="62" customFormat="1" hidden="1" x14ac:dyDescent="0.25">
      <c r="A729" s="38" t="s">
        <v>115</v>
      </c>
      <c r="B729" s="44" t="s">
        <v>594</v>
      </c>
      <c r="C729" s="16" t="s">
        <v>851</v>
      </c>
      <c r="D729" s="44" t="s">
        <v>600</v>
      </c>
      <c r="E729" s="44" t="s">
        <v>601</v>
      </c>
      <c r="F729" s="45" t="s">
        <v>852</v>
      </c>
      <c r="G729" s="47" t="s">
        <v>853</v>
      </c>
      <c r="H729" s="17">
        <v>2</v>
      </c>
      <c r="I729" s="30" t="s">
        <v>955</v>
      </c>
      <c r="J729" s="80">
        <v>4.0999999999999996</v>
      </c>
      <c r="K729"/>
      <c r="L729"/>
      <c r="M729"/>
      <c r="N729"/>
      <c r="O729" s="62" t="str">
        <f>IF(E729="PA",IF(K729&lt;&gt;"",ISERROR(VLOOKUP(K729,ABBR!A:D,1,FALSE)),ISERROR(VLOOKUP(C729,ABBR!A:D,1,FALSE))),"")</f>
        <v/>
      </c>
      <c r="P729" t="str">
        <f>VLOOKUP(A729,Groups!A:L,5,FALSE)</f>
        <v>CTRC</v>
      </c>
      <c r="Q729" s="62" t="str">
        <f>IF(G729="PA",IF(M729&lt;&gt;"",ISERROR(VLOOKUP(M729,ABBR!C:F,1,FALSE)),ISERROR(VLOOKUP(E729,ABBR!C:F,1,FALSE))),"")</f>
        <v/>
      </c>
    </row>
    <row r="730" spans="1:17" s="62" customFormat="1" hidden="1" x14ac:dyDescent="0.25">
      <c r="A730" s="38" t="s">
        <v>115</v>
      </c>
      <c r="B730" s="44" t="s">
        <v>594</v>
      </c>
      <c r="C730" s="16" t="s">
        <v>854</v>
      </c>
      <c r="D730" s="44"/>
      <c r="E730" s="44" t="s">
        <v>608</v>
      </c>
      <c r="F730" s="45" t="s">
        <v>855</v>
      </c>
      <c r="G730" s="47" t="s">
        <v>941</v>
      </c>
      <c r="H730" s="17">
        <v>3</v>
      </c>
      <c r="I730" s="30" t="s">
        <v>955</v>
      </c>
      <c r="J730" s="80">
        <v>4.0999999999999996</v>
      </c>
      <c r="K730"/>
      <c r="L730"/>
      <c r="M730"/>
      <c r="N730"/>
      <c r="O730" s="62" t="str">
        <f>IF(E730="PA",IF(K730&lt;&gt;"",ISERROR(VLOOKUP(K730,ABBR!A:D,1,FALSE)),ISERROR(VLOOKUP(C730,ABBR!A:D,1,FALSE))),"")</f>
        <v/>
      </c>
      <c r="P730" t="str">
        <f>VLOOKUP(A730,Groups!A:L,5,FALSE)</f>
        <v>CTRC</v>
      </c>
      <c r="Q730" s="62" t="str">
        <f>IF(G730="PA",IF(M730&lt;&gt;"",ISERROR(VLOOKUP(M730,ABBR!C:F,1,FALSE)),ISERROR(VLOOKUP(E730,ABBR!C:F,1,FALSE))),"")</f>
        <v/>
      </c>
    </row>
    <row r="731" spans="1:17" s="62" customFormat="1" hidden="1" x14ac:dyDescent="0.25">
      <c r="A731" s="38" t="s">
        <v>115</v>
      </c>
      <c r="B731" s="44" t="s">
        <v>594</v>
      </c>
      <c r="C731" s="16" t="s">
        <v>857</v>
      </c>
      <c r="D731" s="44"/>
      <c r="E731" s="44" t="s">
        <v>618</v>
      </c>
      <c r="F731" s="45" t="s">
        <v>858</v>
      </c>
      <c r="G731" s="47" t="s">
        <v>859</v>
      </c>
      <c r="H731" s="17">
        <v>4</v>
      </c>
      <c r="I731" s="30" t="s">
        <v>955</v>
      </c>
      <c r="J731" s="80">
        <v>4.0999999999999996</v>
      </c>
      <c r="K731"/>
      <c r="L731"/>
      <c r="M731"/>
      <c r="N731"/>
      <c r="O731" s="62" t="b">
        <f>IF(E731="PA",IF(K731&lt;&gt;"",ISERROR(VLOOKUP(K731,ABBR!A:D,1,FALSE)),ISERROR(VLOOKUP(C731,ABBR!A:D,1,FALSE))),"")</f>
        <v>0</v>
      </c>
      <c r="P731" t="str">
        <f>VLOOKUP(A731,Groups!A:L,5,FALSE)</f>
        <v>CTRC</v>
      </c>
      <c r="Q731" s="62" t="str">
        <f>IF(G731="PA",IF(M731&lt;&gt;"",ISERROR(VLOOKUP(M731,ABBR!C:F,1,FALSE)),ISERROR(VLOOKUP(E731,ABBR!C:F,1,FALSE))),"")</f>
        <v/>
      </c>
    </row>
    <row r="732" spans="1:17" s="62" customFormat="1" hidden="1" x14ac:dyDescent="0.25">
      <c r="A732" s="38" t="s">
        <v>115</v>
      </c>
      <c r="B732" s="44" t="s">
        <v>594</v>
      </c>
      <c r="C732" s="16" t="s">
        <v>860</v>
      </c>
      <c r="D732" s="44"/>
      <c r="E732" s="44" t="s">
        <v>596</v>
      </c>
      <c r="F732" s="45" t="s">
        <v>942</v>
      </c>
      <c r="G732" s="49" t="s">
        <v>862</v>
      </c>
      <c r="H732" s="17">
        <v>5</v>
      </c>
      <c r="I732" s="30" t="s">
        <v>955</v>
      </c>
      <c r="J732" s="80">
        <v>4.0999999999999996</v>
      </c>
      <c r="K732"/>
      <c r="L732"/>
      <c r="M732"/>
      <c r="N732"/>
      <c r="O732" s="62" t="str">
        <f>IF(E732="PA",IF(K732&lt;&gt;"",ISERROR(VLOOKUP(K732,ABBR!A:D,1,FALSE)),ISERROR(VLOOKUP(C732,ABBR!A:D,1,FALSE))),"")</f>
        <v/>
      </c>
      <c r="P732" t="str">
        <f>VLOOKUP(A732,Groups!A:L,5,FALSE)</f>
        <v>CTRC</v>
      </c>
      <c r="Q732" s="62" t="str">
        <f>IF(G732="PA",IF(M732&lt;&gt;"",ISERROR(VLOOKUP(M732,ABBR!C:F,1,FALSE)),ISERROR(VLOOKUP(E732,ABBR!C:F,1,FALSE))),"")</f>
        <v/>
      </c>
    </row>
    <row r="733" spans="1:17" s="62" customFormat="1" hidden="1" x14ac:dyDescent="0.25">
      <c r="A733" s="38" t="s">
        <v>115</v>
      </c>
      <c r="B733" s="44" t="s">
        <v>594</v>
      </c>
      <c r="C733" s="16" t="s">
        <v>863</v>
      </c>
      <c r="D733" s="44"/>
      <c r="E733" s="44" t="s">
        <v>608</v>
      </c>
      <c r="F733" s="45" t="s">
        <v>864</v>
      </c>
      <c r="G733" s="49" t="s">
        <v>865</v>
      </c>
      <c r="H733" s="17">
        <v>6</v>
      </c>
      <c r="I733" s="30" t="s">
        <v>955</v>
      </c>
      <c r="J733" s="80">
        <v>4.0999999999999996</v>
      </c>
      <c r="K733"/>
      <c r="L733"/>
      <c r="M733"/>
      <c r="N733"/>
      <c r="O733" s="62" t="str">
        <f>IF(E733="PA",IF(K733&lt;&gt;"",ISERROR(VLOOKUP(K733,ABBR!A:D,1,FALSE)),ISERROR(VLOOKUP(C733,ABBR!A:D,1,FALSE))),"")</f>
        <v/>
      </c>
      <c r="P733" t="str">
        <f>VLOOKUP(A733,Groups!A:L,5,FALSE)</f>
        <v>CTRC</v>
      </c>
      <c r="Q733" s="62" t="str">
        <f>IF(G733="PA",IF(M733&lt;&gt;"",ISERROR(VLOOKUP(M733,ABBR!C:F,1,FALSE)),ISERROR(VLOOKUP(E733,ABBR!C:F,1,FALSE))),"")</f>
        <v/>
      </c>
    </row>
    <row r="734" spans="1:17" s="62" customFormat="1" hidden="1" x14ac:dyDescent="0.25">
      <c r="A734" s="38" t="s">
        <v>115</v>
      </c>
      <c r="B734" s="44" t="s">
        <v>594</v>
      </c>
      <c r="C734" s="16" t="s">
        <v>866</v>
      </c>
      <c r="D734" s="44" t="s">
        <v>600</v>
      </c>
      <c r="E734" s="44" t="s">
        <v>601</v>
      </c>
      <c r="F734" s="45" t="s">
        <v>867</v>
      </c>
      <c r="G734" s="47" t="s">
        <v>853</v>
      </c>
      <c r="H734" s="17">
        <v>7</v>
      </c>
      <c r="I734" s="30" t="s">
        <v>955</v>
      </c>
      <c r="J734" s="80">
        <v>4.0999999999999996</v>
      </c>
      <c r="K734"/>
      <c r="L734"/>
      <c r="M734"/>
      <c r="N734"/>
      <c r="O734" s="62" t="str">
        <f>IF(E734="PA",IF(K734&lt;&gt;"",ISERROR(VLOOKUP(K734,ABBR!A:D,1,FALSE)),ISERROR(VLOOKUP(C734,ABBR!A:D,1,FALSE))),"")</f>
        <v/>
      </c>
      <c r="P734" t="str">
        <f>VLOOKUP(A734,Groups!A:L,5,FALSE)</f>
        <v>CTRC</v>
      </c>
      <c r="Q734" s="62" t="str">
        <f>IF(G734="PA",IF(M734&lt;&gt;"",ISERROR(VLOOKUP(M734,ABBR!C:F,1,FALSE)),ISERROR(VLOOKUP(E734,ABBR!C:F,1,FALSE))),"")</f>
        <v/>
      </c>
    </row>
    <row r="735" spans="1:17" s="62" customFormat="1" hidden="1" x14ac:dyDescent="0.25">
      <c r="A735" s="38" t="s">
        <v>115</v>
      </c>
      <c r="B735" s="44" t="s">
        <v>594</v>
      </c>
      <c r="C735" s="16" t="s">
        <v>1616</v>
      </c>
      <c r="D735" s="17"/>
      <c r="E735" s="17" t="s">
        <v>608</v>
      </c>
      <c r="F735" s="18" t="s">
        <v>1617</v>
      </c>
      <c r="G735" s="49" t="s">
        <v>1229</v>
      </c>
      <c r="H735" s="17">
        <v>8</v>
      </c>
      <c r="I735" s="30" t="s">
        <v>955</v>
      </c>
      <c r="J735" s="80">
        <v>4.0999999999999996</v>
      </c>
      <c r="K735"/>
      <c r="L735"/>
      <c r="M735"/>
      <c r="N735"/>
      <c r="O735" s="62" t="str">
        <f>IF(E735="PA",IF(K735&lt;&gt;"",ISERROR(VLOOKUP(K735,ABBR!A:D,1,FALSE)),ISERROR(VLOOKUP(C735,ABBR!A:D,1,FALSE))),"")</f>
        <v/>
      </c>
      <c r="P735" t="str">
        <f>VLOOKUP(A735,Groups!A:L,5,FALSE)</f>
        <v>CTRC</v>
      </c>
      <c r="Q735" s="62" t="str">
        <f>IF(G735="PA",IF(M735&lt;&gt;"",ISERROR(VLOOKUP(M735,ABBR!C:F,1,FALSE)),ISERROR(VLOOKUP(E735,ABBR!C:F,1,FALSE))),"")</f>
        <v/>
      </c>
    </row>
    <row r="736" spans="1:17" s="62" customFormat="1" hidden="1" x14ac:dyDescent="0.25">
      <c r="A736" s="38" t="s">
        <v>115</v>
      </c>
      <c r="B736" s="44" t="s">
        <v>594</v>
      </c>
      <c r="C736" s="16" t="s">
        <v>1715</v>
      </c>
      <c r="D736" s="17"/>
      <c r="E736" s="17" t="s">
        <v>767</v>
      </c>
      <c r="F736" s="18" t="s">
        <v>1716</v>
      </c>
      <c r="G736" s="49" t="s">
        <v>1229</v>
      </c>
      <c r="H736" s="17">
        <v>9</v>
      </c>
      <c r="I736" s="30" t="s">
        <v>955</v>
      </c>
      <c r="J736" s="80">
        <v>4.0999999999999996</v>
      </c>
      <c r="K736"/>
      <c r="L736"/>
      <c r="M736"/>
      <c r="N736"/>
      <c r="O736" s="62" t="str">
        <f>IF(E736="PA",IF(K736&lt;&gt;"",ISERROR(VLOOKUP(K736,ABBR!A:D,1,FALSE)),ISERROR(VLOOKUP(C736,ABBR!A:D,1,FALSE))),"")</f>
        <v/>
      </c>
      <c r="P736" t="str">
        <f>VLOOKUP(A736,Groups!A:L,5,FALSE)</f>
        <v>CTRC</v>
      </c>
      <c r="Q736" s="62" t="str">
        <f>IF(G736="PA",IF(M736&lt;&gt;"",ISERROR(VLOOKUP(M736,ABBR!C:F,1,FALSE)),ISERROR(VLOOKUP(E736,ABBR!C:F,1,FALSE))),"")</f>
        <v/>
      </c>
    </row>
    <row r="737" spans="1:17" s="62" customFormat="1" hidden="1" x14ac:dyDescent="0.25">
      <c r="A737" s="38" t="s">
        <v>115</v>
      </c>
      <c r="B737" s="44"/>
      <c r="C737" s="16" t="s">
        <v>1835</v>
      </c>
      <c r="D737" s="17"/>
      <c r="E737" s="17" t="s">
        <v>767</v>
      </c>
      <c r="F737" s="18" t="s">
        <v>1836</v>
      </c>
      <c r="G737" s="49" t="s">
        <v>906</v>
      </c>
      <c r="H737" s="17">
        <v>10</v>
      </c>
      <c r="I737" s="30" t="s">
        <v>955</v>
      </c>
      <c r="J737" s="80">
        <v>4.0999999999999996</v>
      </c>
      <c r="K737"/>
      <c r="L737"/>
      <c r="M737"/>
      <c r="N737"/>
      <c r="O737" s="62" t="str">
        <f>IF(E737="PA",IF(K737&lt;&gt;"",ISERROR(VLOOKUP(K737,ABBR!A:D,1,FALSE)),ISERROR(VLOOKUP(C737,ABBR!A:D,1,FALSE))),"")</f>
        <v/>
      </c>
      <c r="P737" t="str">
        <f>VLOOKUP(A737,Groups!A:L,5,FALSE)</f>
        <v>CTRC</v>
      </c>
      <c r="Q737" s="62" t="str">
        <f>IF(G737="PA",IF(M737&lt;&gt;"",ISERROR(VLOOKUP(M737,ABBR!C:F,1,FALSE)),ISERROR(VLOOKUP(E737,ABBR!C:F,1,FALSE))),"")</f>
        <v/>
      </c>
    </row>
    <row r="738" spans="1:17" s="62" customFormat="1" hidden="1" x14ac:dyDescent="0.25">
      <c r="A738" s="38" t="s">
        <v>115</v>
      </c>
      <c r="B738" s="44"/>
      <c r="C738" s="16" t="s">
        <v>1837</v>
      </c>
      <c r="D738" s="17" t="s">
        <v>1345</v>
      </c>
      <c r="E738" s="17" t="s">
        <v>723</v>
      </c>
      <c r="F738" s="18" t="s">
        <v>1838</v>
      </c>
      <c r="G738" s="49" t="s">
        <v>1666</v>
      </c>
      <c r="H738" s="17">
        <v>11</v>
      </c>
      <c r="I738" s="30" t="s">
        <v>955</v>
      </c>
      <c r="J738" s="80">
        <v>4.0999999999999996</v>
      </c>
      <c r="K738"/>
      <c r="L738"/>
      <c r="M738"/>
      <c r="N738"/>
      <c r="O738" s="62" t="str">
        <f>IF(E738="PA",IF(K738&lt;&gt;"",ISERROR(VLOOKUP(K738,ABBR!A:D,1,FALSE)),ISERROR(VLOOKUP(C738,ABBR!A:D,1,FALSE))),"")</f>
        <v/>
      </c>
      <c r="P738" t="str">
        <f>VLOOKUP(A738,Groups!A:L,5,FALSE)</f>
        <v>CTRC</v>
      </c>
      <c r="Q738" s="62" t="str">
        <f>IF(G738="PA",IF(M738&lt;&gt;"",ISERROR(VLOOKUP(M738,ABBR!C:F,1,FALSE)),ISERROR(VLOOKUP(E738,ABBR!C:F,1,FALSE))),"")</f>
        <v/>
      </c>
    </row>
    <row r="739" spans="1:17" s="62" customFormat="1" hidden="1" x14ac:dyDescent="0.25">
      <c r="A739" s="38" t="s">
        <v>115</v>
      </c>
      <c r="B739" s="44"/>
      <c r="C739" s="16" t="s">
        <v>1839</v>
      </c>
      <c r="D739" s="17" t="s">
        <v>1345</v>
      </c>
      <c r="E739" s="17" t="s">
        <v>723</v>
      </c>
      <c r="F739" s="18" t="s">
        <v>1840</v>
      </c>
      <c r="G739" s="49" t="s">
        <v>1841</v>
      </c>
      <c r="H739" s="17">
        <v>12</v>
      </c>
      <c r="I739" s="30" t="s">
        <v>955</v>
      </c>
      <c r="J739" s="80">
        <v>4.0999999999999996</v>
      </c>
      <c r="K739"/>
      <c r="L739"/>
      <c r="M739"/>
      <c r="N739"/>
      <c r="O739" s="62" t="str">
        <f>IF(E739="PA",IF(K739&lt;&gt;"",ISERROR(VLOOKUP(K739,ABBR!A:D,1,FALSE)),ISERROR(VLOOKUP(C739,ABBR!A:D,1,FALSE))),"")</f>
        <v/>
      </c>
      <c r="P739" t="str">
        <f>VLOOKUP(A739,Groups!A:L,5,FALSE)</f>
        <v>CTRC</v>
      </c>
      <c r="Q739" s="62" t="str">
        <f>IF(G739="PA",IF(M739&lt;&gt;"",ISERROR(VLOOKUP(M739,ABBR!C:F,1,FALSE)),ISERROR(VLOOKUP(E739,ABBR!C:F,1,FALSE))),"")</f>
        <v/>
      </c>
    </row>
    <row r="740" spans="1:17" s="62" customFormat="1" hidden="1" x14ac:dyDescent="0.25">
      <c r="A740" s="38" t="s">
        <v>115</v>
      </c>
      <c r="B740" s="44"/>
      <c r="C740" s="16" t="s">
        <v>1842</v>
      </c>
      <c r="D740" s="17" t="s">
        <v>1345</v>
      </c>
      <c r="E740" s="17" t="s">
        <v>723</v>
      </c>
      <c r="F740" s="18" t="s">
        <v>1843</v>
      </c>
      <c r="G740" s="49" t="s">
        <v>1844</v>
      </c>
      <c r="H740" s="17">
        <v>13</v>
      </c>
      <c r="I740" s="30" t="s">
        <v>955</v>
      </c>
      <c r="J740" s="80">
        <v>4.0999999999999996</v>
      </c>
      <c r="K740"/>
      <c r="L740"/>
      <c r="M740"/>
      <c r="N740"/>
      <c r="O740" s="62" t="str">
        <f>IF(E740="PA",IF(K740&lt;&gt;"",ISERROR(VLOOKUP(K740,ABBR!A:D,1,FALSE)),ISERROR(VLOOKUP(C740,ABBR!A:D,1,FALSE))),"")</f>
        <v/>
      </c>
      <c r="P740" t="str">
        <f>VLOOKUP(A740,Groups!A:L,5,FALSE)</f>
        <v>CTRC</v>
      </c>
      <c r="Q740" s="62" t="str">
        <f>IF(G740="PA",IF(M740&lt;&gt;"",ISERROR(VLOOKUP(M740,ABBR!C:F,1,FALSE)),ISERROR(VLOOKUP(E740,ABBR!C:F,1,FALSE))),"")</f>
        <v/>
      </c>
    </row>
    <row r="741" spans="1:17" s="62" customFormat="1" hidden="1" x14ac:dyDescent="0.25">
      <c r="A741" s="38" t="s">
        <v>115</v>
      </c>
      <c r="B741" s="44"/>
      <c r="C741" s="16" t="s">
        <v>1845</v>
      </c>
      <c r="D741" s="17" t="s">
        <v>1345</v>
      </c>
      <c r="E741" s="17" t="s">
        <v>723</v>
      </c>
      <c r="F741" s="18" t="s">
        <v>1846</v>
      </c>
      <c r="G741" s="49" t="s">
        <v>1847</v>
      </c>
      <c r="H741" s="17">
        <v>14</v>
      </c>
      <c r="I741" s="30" t="s">
        <v>955</v>
      </c>
      <c r="J741" s="80">
        <v>4.0999999999999996</v>
      </c>
      <c r="K741"/>
      <c r="L741"/>
      <c r="M741"/>
      <c r="N741"/>
      <c r="O741" s="62" t="str">
        <f>IF(E741="PA",IF(K741&lt;&gt;"",ISERROR(VLOOKUP(K741,ABBR!A:D,1,FALSE)),ISERROR(VLOOKUP(C741,ABBR!A:D,1,FALSE))),"")</f>
        <v/>
      </c>
      <c r="P741" t="str">
        <f>VLOOKUP(A741,Groups!A:L,5,FALSE)</f>
        <v>CTRC</v>
      </c>
      <c r="Q741" s="62" t="str">
        <f>IF(G741="PA",IF(M741&lt;&gt;"",ISERROR(VLOOKUP(M741,ABBR!C:F,1,FALSE)),ISERROR(VLOOKUP(E741,ABBR!C:F,1,FALSE))),"")</f>
        <v/>
      </c>
    </row>
    <row r="742" spans="1:17" s="62" customFormat="1" hidden="1" x14ac:dyDescent="0.25">
      <c r="A742" s="38" t="s">
        <v>115</v>
      </c>
      <c r="B742" s="44"/>
      <c r="C742" s="16" t="s">
        <v>1848</v>
      </c>
      <c r="D742" s="17" t="s">
        <v>1345</v>
      </c>
      <c r="E742" s="17" t="s">
        <v>723</v>
      </c>
      <c r="F742" s="18" t="s">
        <v>1849</v>
      </c>
      <c r="G742" s="49" t="s">
        <v>1850</v>
      </c>
      <c r="H742" s="17">
        <v>15</v>
      </c>
      <c r="I742" s="30" t="s">
        <v>955</v>
      </c>
      <c r="J742" s="80">
        <v>4.0999999999999996</v>
      </c>
      <c r="K742"/>
      <c r="L742"/>
      <c r="M742"/>
      <c r="N742"/>
      <c r="O742" s="62" t="str">
        <f>IF(E742="PA",IF(K742&lt;&gt;"",ISERROR(VLOOKUP(K742,ABBR!A:D,1,FALSE)),ISERROR(VLOOKUP(C742,ABBR!A:D,1,FALSE))),"")</f>
        <v/>
      </c>
      <c r="P742" t="str">
        <f>VLOOKUP(A742,Groups!A:L,5,FALSE)</f>
        <v>CTRC</v>
      </c>
      <c r="Q742" s="62" t="str">
        <f>IF(G742="PA",IF(M742&lt;&gt;"",ISERROR(VLOOKUP(M742,ABBR!C:F,1,FALSE)),ISERROR(VLOOKUP(E742,ABBR!C:F,1,FALSE))),"")</f>
        <v/>
      </c>
    </row>
    <row r="743" spans="1:17" s="62" customFormat="1" hidden="1" x14ac:dyDescent="0.25">
      <c r="A743" s="38" t="s">
        <v>115</v>
      </c>
      <c r="B743" s="44"/>
      <c r="C743" s="16" t="s">
        <v>1851</v>
      </c>
      <c r="D743" s="17" t="s">
        <v>1345</v>
      </c>
      <c r="E743" s="17" t="s">
        <v>723</v>
      </c>
      <c r="F743" s="18" t="s">
        <v>1852</v>
      </c>
      <c r="G743" s="49" t="s">
        <v>1853</v>
      </c>
      <c r="H743" s="17">
        <v>16</v>
      </c>
      <c r="I743" s="30" t="s">
        <v>955</v>
      </c>
      <c r="J743" s="80">
        <v>4.0999999999999996</v>
      </c>
      <c r="K743"/>
      <c r="L743"/>
      <c r="M743"/>
      <c r="N743"/>
      <c r="O743" s="62" t="str">
        <f>IF(E743="PA",IF(K743&lt;&gt;"",ISERROR(VLOOKUP(K743,ABBR!A:D,1,FALSE)),ISERROR(VLOOKUP(C743,ABBR!A:D,1,FALSE))),"")</f>
        <v/>
      </c>
      <c r="P743" t="str">
        <f>VLOOKUP(A743,Groups!A:L,5,FALSE)</f>
        <v>CTRC</v>
      </c>
      <c r="Q743" s="62" t="str">
        <f>IF(G743="PA",IF(M743&lt;&gt;"",ISERROR(VLOOKUP(M743,ABBR!C:F,1,FALSE)),ISERROR(VLOOKUP(E743,ABBR!C:F,1,FALSE))),"")</f>
        <v/>
      </c>
    </row>
    <row r="744" spans="1:17" s="62" customFormat="1" hidden="1" x14ac:dyDescent="0.25">
      <c r="A744" s="38" t="s">
        <v>115</v>
      </c>
      <c r="B744" s="44"/>
      <c r="C744" s="16" t="s">
        <v>1854</v>
      </c>
      <c r="D744" s="17" t="s">
        <v>1345</v>
      </c>
      <c r="E744" s="17" t="s">
        <v>723</v>
      </c>
      <c r="F744" s="18" t="s">
        <v>1777</v>
      </c>
      <c r="G744" s="49" t="s">
        <v>1663</v>
      </c>
      <c r="H744" s="17">
        <v>17</v>
      </c>
      <c r="I744" s="30" t="s">
        <v>955</v>
      </c>
      <c r="J744" s="80">
        <v>4.0999999999999996</v>
      </c>
      <c r="K744"/>
      <c r="M744"/>
      <c r="N744"/>
      <c r="O744" s="62" t="str">
        <f>IF(E744="PA",IF(K744&lt;&gt;"",ISERROR(VLOOKUP(K744,ABBR!A:D,1,FALSE)),ISERROR(VLOOKUP(C744,ABBR!A:D,1,FALSE))),"")</f>
        <v/>
      </c>
      <c r="P744" t="str">
        <f>VLOOKUP(A744,Groups!A:L,5,FALSE)</f>
        <v>CTRC</v>
      </c>
      <c r="Q744" s="62" t="str">
        <f>IF(G744="PA",IF(M744&lt;&gt;"",ISERROR(VLOOKUP(M744,ABBR!C:F,1,FALSE)),ISERROR(VLOOKUP(E744,ABBR!C:F,1,FALSE))),"")</f>
        <v/>
      </c>
    </row>
    <row r="745" spans="1:17" s="62" customFormat="1" hidden="1" x14ac:dyDescent="0.25">
      <c r="A745" s="38" t="s">
        <v>115</v>
      </c>
      <c r="B745" s="44"/>
      <c r="C745" s="16" t="s">
        <v>1855</v>
      </c>
      <c r="D745" s="17" t="s">
        <v>766</v>
      </c>
      <c r="E745" s="17" t="s">
        <v>1321</v>
      </c>
      <c r="F745" s="18" t="s">
        <v>1856</v>
      </c>
      <c r="G745" s="49" t="s">
        <v>1857</v>
      </c>
      <c r="H745" s="17">
        <v>18</v>
      </c>
      <c r="I745" s="30" t="s">
        <v>955</v>
      </c>
      <c r="J745" s="80">
        <v>4.0999999999999996</v>
      </c>
      <c r="K745"/>
      <c r="M745"/>
      <c r="N745"/>
      <c r="O745" s="62" t="str">
        <f>IF(E745="PA",IF(K745&lt;&gt;"",ISERROR(VLOOKUP(K745,ABBR!A:D,1,FALSE)),ISERROR(VLOOKUP(C745,ABBR!A:D,1,FALSE))),"")</f>
        <v/>
      </c>
      <c r="P745" t="str">
        <f>VLOOKUP(A745,Groups!A:L,5,FALSE)</f>
        <v>CTRC</v>
      </c>
      <c r="Q745" s="62" t="str">
        <f>IF(G745="PA",IF(M745&lt;&gt;"",ISERROR(VLOOKUP(M745,ABBR!C:F,1,FALSE)),ISERROR(VLOOKUP(E745,ABBR!C:F,1,FALSE))),"")</f>
        <v/>
      </c>
    </row>
    <row r="746" spans="1:17" s="62" customFormat="1" hidden="1" x14ac:dyDescent="0.25">
      <c r="A746" s="38" t="s">
        <v>115</v>
      </c>
      <c r="B746" s="44"/>
      <c r="C746" s="16" t="s">
        <v>1858</v>
      </c>
      <c r="D746" s="17" t="s">
        <v>1345</v>
      </c>
      <c r="E746" s="17" t="s">
        <v>723</v>
      </c>
      <c r="F746" s="18" t="s">
        <v>1859</v>
      </c>
      <c r="G746" s="49" t="s">
        <v>1860</v>
      </c>
      <c r="H746" s="17">
        <v>19</v>
      </c>
      <c r="I746" s="30" t="s">
        <v>955</v>
      </c>
      <c r="J746" s="80">
        <v>4.0999999999999996</v>
      </c>
      <c r="K746"/>
      <c r="M746"/>
      <c r="N746"/>
      <c r="O746" s="62" t="str">
        <f>IF(E746="PA",IF(K746&lt;&gt;"",ISERROR(VLOOKUP(K746,ABBR!A:D,1,FALSE)),ISERROR(VLOOKUP(C746,ABBR!A:D,1,FALSE))),"")</f>
        <v/>
      </c>
      <c r="P746" t="str">
        <f>VLOOKUP(A746,Groups!A:L,5,FALSE)</f>
        <v>CTRC</v>
      </c>
      <c r="Q746" s="62" t="str">
        <f>IF(G746="PA",IF(M746&lt;&gt;"",ISERROR(VLOOKUP(M746,ABBR!C:F,1,FALSE)),ISERROR(VLOOKUP(E746,ABBR!C:F,1,FALSE))),"")</f>
        <v/>
      </c>
    </row>
    <row r="747" spans="1:17" s="62" customFormat="1" hidden="1" x14ac:dyDescent="0.25">
      <c r="A747" s="38" t="s">
        <v>115</v>
      </c>
      <c r="B747" s="44"/>
      <c r="C747" s="16" t="s">
        <v>1861</v>
      </c>
      <c r="D747" s="17" t="s">
        <v>1345</v>
      </c>
      <c r="E747" s="17" t="s">
        <v>723</v>
      </c>
      <c r="F747" s="18" t="s">
        <v>1862</v>
      </c>
      <c r="G747" s="49" t="s">
        <v>1863</v>
      </c>
      <c r="H747" s="17">
        <v>20</v>
      </c>
      <c r="I747" s="30" t="s">
        <v>955</v>
      </c>
      <c r="J747" s="80">
        <v>4.0999999999999996</v>
      </c>
      <c r="K747"/>
      <c r="M747"/>
      <c r="N747"/>
      <c r="O747" s="62" t="str">
        <f>IF(E747="PA",IF(K747&lt;&gt;"",ISERROR(VLOOKUP(K747,ABBR!A:D,1,FALSE)),ISERROR(VLOOKUP(C747,ABBR!A:D,1,FALSE))),"")</f>
        <v/>
      </c>
      <c r="P747" t="str">
        <f>VLOOKUP(A747,Groups!A:L,5,FALSE)</f>
        <v>CTRC</v>
      </c>
      <c r="Q747" s="62" t="str">
        <f>IF(G747="PA",IF(M747&lt;&gt;"",ISERROR(VLOOKUP(M747,ABBR!C:F,1,FALSE)),ISERROR(VLOOKUP(E747,ABBR!C:F,1,FALSE))),"")</f>
        <v/>
      </c>
    </row>
    <row r="748" spans="1:17" s="62" customFormat="1" hidden="1" x14ac:dyDescent="0.25">
      <c r="A748" s="38" t="s">
        <v>115</v>
      </c>
      <c r="B748" s="44"/>
      <c r="C748" s="16" t="s">
        <v>1864</v>
      </c>
      <c r="D748" s="17" t="s">
        <v>1345</v>
      </c>
      <c r="E748" s="17" t="s">
        <v>723</v>
      </c>
      <c r="F748" s="18" t="s">
        <v>1865</v>
      </c>
      <c r="G748" s="49" t="s">
        <v>1866</v>
      </c>
      <c r="H748" s="17">
        <v>21</v>
      </c>
      <c r="I748" s="30" t="s">
        <v>955</v>
      </c>
      <c r="J748" s="80">
        <v>4.0999999999999996</v>
      </c>
      <c r="K748"/>
      <c r="M748"/>
      <c r="N748"/>
      <c r="O748" s="62" t="str">
        <f>IF(E748="PA",IF(K748&lt;&gt;"",ISERROR(VLOOKUP(K748,ABBR!A:D,1,FALSE)),ISERROR(VLOOKUP(C748,ABBR!A:D,1,FALSE))),"")</f>
        <v/>
      </c>
      <c r="P748" t="str">
        <f>VLOOKUP(A748,Groups!A:L,5,FALSE)</f>
        <v>CTRC</v>
      </c>
      <c r="Q748" s="62" t="str">
        <f>IF(G748="PA",IF(M748&lt;&gt;"",ISERROR(VLOOKUP(M748,ABBR!C:F,1,FALSE)),ISERROR(VLOOKUP(E748,ABBR!C:F,1,FALSE))),"")</f>
        <v/>
      </c>
    </row>
    <row r="749" spans="1:17" s="62" customFormat="1" hidden="1" x14ac:dyDescent="0.25">
      <c r="A749" s="38" t="s">
        <v>115</v>
      </c>
      <c r="B749" s="44"/>
      <c r="C749" s="16" t="s">
        <v>1867</v>
      </c>
      <c r="D749" s="17" t="s">
        <v>1345</v>
      </c>
      <c r="E749" s="17" t="s">
        <v>723</v>
      </c>
      <c r="F749" s="18" t="s">
        <v>1868</v>
      </c>
      <c r="G749" s="49" t="s">
        <v>1869</v>
      </c>
      <c r="H749" s="17">
        <v>22</v>
      </c>
      <c r="I749" s="30" t="s">
        <v>955</v>
      </c>
      <c r="J749" s="80">
        <v>4.0999999999999996</v>
      </c>
      <c r="K749"/>
      <c r="M749"/>
      <c r="N749"/>
      <c r="O749" s="62" t="str">
        <f>IF(E749="PA",IF(K749&lt;&gt;"",ISERROR(VLOOKUP(K749,ABBR!A:D,1,FALSE)),ISERROR(VLOOKUP(C749,ABBR!A:D,1,FALSE))),"")</f>
        <v/>
      </c>
      <c r="P749" t="str">
        <f>VLOOKUP(A749,Groups!A:L,5,FALSE)</f>
        <v>CTRC</v>
      </c>
      <c r="Q749" s="62" t="str">
        <f>IF(G749="PA",IF(M749&lt;&gt;"",ISERROR(VLOOKUP(M749,ABBR!C:F,1,FALSE)),ISERROR(VLOOKUP(E749,ABBR!C:F,1,FALSE))),"")</f>
        <v/>
      </c>
    </row>
    <row r="750" spans="1:17" s="62" customFormat="1" hidden="1" x14ac:dyDescent="0.25">
      <c r="A750" s="38" t="s">
        <v>115</v>
      </c>
      <c r="B750" s="44"/>
      <c r="C750" s="16" t="s">
        <v>1870</v>
      </c>
      <c r="D750" s="17" t="s">
        <v>766</v>
      </c>
      <c r="E750" s="17" t="s">
        <v>1321</v>
      </c>
      <c r="F750" s="18" t="s">
        <v>1871</v>
      </c>
      <c r="G750" s="49" t="s">
        <v>1872</v>
      </c>
      <c r="H750" s="17">
        <v>23</v>
      </c>
      <c r="I750" s="30" t="s">
        <v>955</v>
      </c>
      <c r="J750" s="80">
        <v>4.0999999999999996</v>
      </c>
      <c r="K750"/>
      <c r="M750"/>
      <c r="N750"/>
      <c r="O750" s="62" t="str">
        <f>IF(E750="PA",IF(K750&lt;&gt;"",ISERROR(VLOOKUP(K750,ABBR!A:D,1,FALSE)),ISERROR(VLOOKUP(C750,ABBR!A:D,1,FALSE))),"")</f>
        <v/>
      </c>
      <c r="P750" t="str">
        <f>VLOOKUP(A750,Groups!A:L,5,FALSE)</f>
        <v>CTRC</v>
      </c>
      <c r="Q750" s="62" t="str">
        <f>IF(G750="PA",IF(M750&lt;&gt;"",ISERROR(VLOOKUP(M750,ABBR!C:F,1,FALSE)),ISERROR(VLOOKUP(E750,ABBR!C:F,1,FALSE))),"")</f>
        <v/>
      </c>
    </row>
    <row r="751" spans="1:17" s="62" customFormat="1" hidden="1" x14ac:dyDescent="0.25">
      <c r="A751" s="38" t="s">
        <v>115</v>
      </c>
      <c r="B751" s="44"/>
      <c r="C751" s="16" t="s">
        <v>1873</v>
      </c>
      <c r="D751" s="17" t="s">
        <v>766</v>
      </c>
      <c r="E751" s="17" t="s">
        <v>1321</v>
      </c>
      <c r="F751" s="18" t="s">
        <v>1874</v>
      </c>
      <c r="G751" s="49" t="s">
        <v>1872</v>
      </c>
      <c r="H751" s="17">
        <v>24</v>
      </c>
      <c r="I751" s="30" t="s">
        <v>955</v>
      </c>
      <c r="J751" s="80">
        <v>4.0999999999999996</v>
      </c>
      <c r="K751"/>
      <c r="M751"/>
      <c r="N751"/>
      <c r="O751" s="62" t="str">
        <f>IF(E751="PA",IF(K751&lt;&gt;"",ISERROR(VLOOKUP(K751,ABBR!A:D,1,FALSE)),ISERROR(VLOOKUP(C751,ABBR!A:D,1,FALSE))),"")</f>
        <v/>
      </c>
      <c r="P751" t="str">
        <f>VLOOKUP(A751,Groups!A:L,5,FALSE)</f>
        <v>CTRC</v>
      </c>
      <c r="Q751" s="62" t="str">
        <f>IF(G751="PA",IF(M751&lt;&gt;"",ISERROR(VLOOKUP(M751,ABBR!C:F,1,FALSE)),ISERROR(VLOOKUP(E751,ABBR!C:F,1,FALSE))),"")</f>
        <v/>
      </c>
    </row>
    <row r="752" spans="1:17" s="62" customFormat="1" hidden="1" x14ac:dyDescent="0.25">
      <c r="A752" s="38" t="s">
        <v>115</v>
      </c>
      <c r="B752" s="44"/>
      <c r="C752" s="16" t="s">
        <v>1875</v>
      </c>
      <c r="D752" s="17"/>
      <c r="E752" s="17" t="s">
        <v>1321</v>
      </c>
      <c r="F752" s="18" t="s">
        <v>1876</v>
      </c>
      <c r="G752" s="49" t="s">
        <v>1877</v>
      </c>
      <c r="H752" s="17">
        <v>25</v>
      </c>
      <c r="I752" s="30" t="s">
        <v>955</v>
      </c>
      <c r="J752" s="80">
        <v>4.0999999999999996</v>
      </c>
      <c r="K752"/>
      <c r="M752"/>
      <c r="N752"/>
      <c r="O752" s="62" t="str">
        <f>IF(E752="PA",IF(K752&lt;&gt;"",ISERROR(VLOOKUP(K752,ABBR!A:D,1,FALSE)),ISERROR(VLOOKUP(C752,ABBR!A:D,1,FALSE))),"")</f>
        <v/>
      </c>
      <c r="P752" t="str">
        <f>VLOOKUP(A752,Groups!A:L,5,FALSE)</f>
        <v>CTRC</v>
      </c>
      <c r="Q752" s="62" t="str">
        <f>IF(G752="PA",IF(M752&lt;&gt;"",ISERROR(VLOOKUP(M752,ABBR!C:F,1,FALSE)),ISERROR(VLOOKUP(E752,ABBR!C:F,1,FALSE))),"")</f>
        <v/>
      </c>
    </row>
    <row r="753" spans="1:17" s="62" customFormat="1" hidden="1" x14ac:dyDescent="0.25">
      <c r="A753" s="38" t="s">
        <v>115</v>
      </c>
      <c r="B753" s="44"/>
      <c r="C753" s="16" t="s">
        <v>1878</v>
      </c>
      <c r="D753" s="17" t="s">
        <v>1345</v>
      </c>
      <c r="E753" s="17" t="s">
        <v>723</v>
      </c>
      <c r="F753" s="18" t="s">
        <v>1879</v>
      </c>
      <c r="G753" s="49" t="s">
        <v>1880</v>
      </c>
      <c r="H753" s="17">
        <v>26</v>
      </c>
      <c r="I753" s="30" t="s">
        <v>955</v>
      </c>
      <c r="J753" s="80">
        <v>4.0999999999999996</v>
      </c>
      <c r="K753"/>
      <c r="M753"/>
      <c r="N753"/>
      <c r="O753" s="62" t="str">
        <f>IF(E753="PA",IF(K753&lt;&gt;"",ISERROR(VLOOKUP(K753,ABBR!A:D,1,FALSE)),ISERROR(VLOOKUP(C753,ABBR!A:D,1,FALSE))),"")</f>
        <v/>
      </c>
      <c r="P753" t="str">
        <f>VLOOKUP(A753,Groups!A:L,5,FALSE)</f>
        <v>CTRC</v>
      </c>
      <c r="Q753" s="62" t="str">
        <f>IF(G753="PA",IF(M753&lt;&gt;"",ISERROR(VLOOKUP(M753,ABBR!C:F,1,FALSE)),ISERROR(VLOOKUP(E753,ABBR!C:F,1,FALSE))),"")</f>
        <v/>
      </c>
    </row>
    <row r="754" spans="1:17" s="62" customFormat="1" hidden="1" x14ac:dyDescent="0.25">
      <c r="A754" s="38" t="s">
        <v>115</v>
      </c>
      <c r="B754" s="44"/>
      <c r="C754" s="16" t="s">
        <v>1881</v>
      </c>
      <c r="D754" s="17" t="s">
        <v>1345</v>
      </c>
      <c r="E754" s="17" t="s">
        <v>723</v>
      </c>
      <c r="F754" s="18" t="s">
        <v>1882</v>
      </c>
      <c r="G754" s="49" t="s">
        <v>1883</v>
      </c>
      <c r="H754" s="17">
        <v>27</v>
      </c>
      <c r="I754" s="30" t="s">
        <v>955</v>
      </c>
      <c r="J754" s="80">
        <v>4.0999999999999996</v>
      </c>
      <c r="K754"/>
      <c r="M754"/>
      <c r="N754"/>
      <c r="O754" s="62" t="str">
        <f>IF(E754="PA",IF(K754&lt;&gt;"",ISERROR(VLOOKUP(K754,ABBR!A:D,1,FALSE)),ISERROR(VLOOKUP(C754,ABBR!A:D,1,FALSE))),"")</f>
        <v/>
      </c>
      <c r="P754" t="str">
        <f>VLOOKUP(A754,Groups!A:L,5,FALSE)</f>
        <v>CTRC</v>
      </c>
      <c r="Q754" s="62" t="str">
        <f>IF(G754="PA",IF(M754&lt;&gt;"",ISERROR(VLOOKUP(M754,ABBR!C:F,1,FALSE)),ISERROR(VLOOKUP(E754,ABBR!C:F,1,FALSE))),"")</f>
        <v/>
      </c>
    </row>
    <row r="755" spans="1:17" s="62" customFormat="1" hidden="1" x14ac:dyDescent="0.25">
      <c r="A755" s="38" t="s">
        <v>115</v>
      </c>
      <c r="B755" s="44"/>
      <c r="C755" s="16" t="s">
        <v>1884</v>
      </c>
      <c r="D755" s="17" t="s">
        <v>1710</v>
      </c>
      <c r="E755" s="17" t="s">
        <v>723</v>
      </c>
      <c r="F755" s="18" t="s">
        <v>1885</v>
      </c>
      <c r="G755" s="49" t="s">
        <v>1886</v>
      </c>
      <c r="H755" s="17">
        <v>28</v>
      </c>
      <c r="I755" s="30" t="s">
        <v>955</v>
      </c>
      <c r="J755" s="80">
        <v>4.0999999999999996</v>
      </c>
      <c r="K755"/>
      <c r="M755"/>
      <c r="N755"/>
      <c r="O755" s="62" t="str">
        <f>IF(E755="PA",IF(K755&lt;&gt;"",ISERROR(VLOOKUP(K755,ABBR!A:D,1,FALSE)),ISERROR(VLOOKUP(C755,ABBR!A:D,1,FALSE))),"")</f>
        <v/>
      </c>
      <c r="P755" t="str">
        <f>VLOOKUP(A755,Groups!A:L,5,FALSE)</f>
        <v>CTRC</v>
      </c>
      <c r="Q755" s="62" t="str">
        <f>IF(G755="PA",IF(M755&lt;&gt;"",ISERROR(VLOOKUP(M755,ABBR!C:F,1,FALSE)),ISERROR(VLOOKUP(E755,ABBR!C:F,1,FALSE))),"")</f>
        <v/>
      </c>
    </row>
    <row r="756" spans="1:17" s="62" customFormat="1" hidden="1" x14ac:dyDescent="0.25">
      <c r="A756" s="38" t="s">
        <v>115</v>
      </c>
      <c r="B756" s="44"/>
      <c r="C756" s="16" t="s">
        <v>1887</v>
      </c>
      <c r="D756" s="17"/>
      <c r="E756" s="17" t="s">
        <v>601</v>
      </c>
      <c r="F756" s="18" t="s">
        <v>1888</v>
      </c>
      <c r="G756" s="49" t="s">
        <v>1889</v>
      </c>
      <c r="H756" s="17">
        <v>29</v>
      </c>
      <c r="I756" s="30" t="s">
        <v>955</v>
      </c>
      <c r="J756" s="80">
        <v>4.0999999999999996</v>
      </c>
      <c r="K756"/>
      <c r="M756"/>
      <c r="N756"/>
      <c r="O756" s="62" t="str">
        <f>IF(E756="PA",IF(K756&lt;&gt;"",ISERROR(VLOOKUP(K756,ABBR!A:D,1,FALSE)),ISERROR(VLOOKUP(C756,ABBR!A:D,1,FALSE))),"")</f>
        <v/>
      </c>
      <c r="P756" t="str">
        <f>VLOOKUP(A756,Groups!A:L,5,FALSE)</f>
        <v>CTRC</v>
      </c>
      <c r="Q756" s="62" t="str">
        <f>IF(G756="PA",IF(M756&lt;&gt;"",ISERROR(VLOOKUP(M756,ABBR!C:F,1,FALSE)),ISERROR(VLOOKUP(E756,ABBR!C:F,1,FALSE))),"")</f>
        <v/>
      </c>
    </row>
    <row r="757" spans="1:17" s="62" customFormat="1" hidden="1" x14ac:dyDescent="0.25">
      <c r="A757" s="38" t="s">
        <v>115</v>
      </c>
      <c r="B757" s="17"/>
      <c r="C757" s="16" t="s">
        <v>1890</v>
      </c>
      <c r="D757" s="17"/>
      <c r="E757" s="17" t="s">
        <v>608</v>
      </c>
      <c r="F757" s="18" t="s">
        <v>1891</v>
      </c>
      <c r="G757" s="49" t="s">
        <v>1892</v>
      </c>
      <c r="H757" s="17">
        <v>30</v>
      </c>
      <c r="I757" s="30" t="s">
        <v>955</v>
      </c>
      <c r="J757" s="80">
        <v>4.0999999999999996</v>
      </c>
      <c r="K757"/>
      <c r="L757"/>
      <c r="M757"/>
      <c r="N757"/>
      <c r="O757" s="62" t="str">
        <f>IF(E757="PA",IF(K757&lt;&gt;"",ISERROR(VLOOKUP(K757,ABBR!A:D,1,FALSE)),ISERROR(VLOOKUP(C757,ABBR!A:D,1,FALSE))),"")</f>
        <v/>
      </c>
      <c r="P757" t="str">
        <f>VLOOKUP(A757,Groups!A:L,5,FALSE)</f>
        <v>CTRC</v>
      </c>
      <c r="Q757" s="62" t="str">
        <f>IF(G757="PA",IF(M757&lt;&gt;"",ISERROR(VLOOKUP(M757,ABBR!C:F,1,FALSE)),ISERROR(VLOOKUP(E757,ABBR!C:F,1,FALSE))),"")</f>
        <v/>
      </c>
    </row>
    <row r="758" spans="1:17" s="62" customFormat="1" hidden="1" x14ac:dyDescent="0.25">
      <c r="A758" s="38" t="s">
        <v>115</v>
      </c>
      <c r="B758" s="17"/>
      <c r="C758" s="16" t="s">
        <v>1893</v>
      </c>
      <c r="D758" s="17" t="s">
        <v>766</v>
      </c>
      <c r="E758" s="17" t="s">
        <v>601</v>
      </c>
      <c r="F758" s="18" t="s">
        <v>1894</v>
      </c>
      <c r="G758" s="49" t="s">
        <v>1895</v>
      </c>
      <c r="H758" s="17">
        <v>31</v>
      </c>
      <c r="I758" s="30" t="s">
        <v>955</v>
      </c>
      <c r="J758" s="80">
        <v>4.0999999999999996</v>
      </c>
      <c r="K758"/>
      <c r="L758"/>
      <c r="M758"/>
      <c r="N758"/>
      <c r="O758" s="62" t="str">
        <f>IF(E758="PA",IF(K758&lt;&gt;"",ISERROR(VLOOKUP(K758,ABBR!A:D,1,FALSE)),ISERROR(VLOOKUP(C758,ABBR!A:D,1,FALSE))),"")</f>
        <v/>
      </c>
      <c r="P758" t="str">
        <f>VLOOKUP(A758,Groups!A:L,5,FALSE)</f>
        <v>CTRC</v>
      </c>
      <c r="Q758" s="62" t="str">
        <f>IF(G758="PA",IF(M758&lt;&gt;"",ISERROR(VLOOKUP(M758,ABBR!C:F,1,FALSE)),ISERROR(VLOOKUP(E758,ABBR!C:F,1,FALSE))),"")</f>
        <v/>
      </c>
    </row>
    <row r="759" spans="1:17" s="62" customFormat="1" hidden="1" x14ac:dyDescent="0.25">
      <c r="A759" s="38" t="s">
        <v>115</v>
      </c>
      <c r="B759" s="44"/>
      <c r="C759" s="16" t="s">
        <v>1896</v>
      </c>
      <c r="D759" s="17"/>
      <c r="E759" s="17" t="s">
        <v>608</v>
      </c>
      <c r="F759" s="18" t="s">
        <v>1897</v>
      </c>
      <c r="G759" s="49" t="s">
        <v>1898</v>
      </c>
      <c r="H759" s="17">
        <v>32</v>
      </c>
      <c r="I759" s="30" t="s">
        <v>955</v>
      </c>
      <c r="J759" s="80">
        <v>4.0999999999999996</v>
      </c>
      <c r="K759"/>
      <c r="M759"/>
      <c r="N759"/>
      <c r="O759" s="62" t="str">
        <f>IF(E759="PA",IF(K759&lt;&gt;"",ISERROR(VLOOKUP(K759,ABBR!A:D,1,FALSE)),ISERROR(VLOOKUP(C759,ABBR!A:D,1,FALSE))),"")</f>
        <v/>
      </c>
      <c r="P759" t="str">
        <f>VLOOKUP(A759,Groups!A:L,5,FALSE)</f>
        <v>CTRC</v>
      </c>
      <c r="Q759" s="62" t="str">
        <f>IF(G759="PA",IF(M759&lt;&gt;"",ISERROR(VLOOKUP(M759,ABBR!C:F,1,FALSE)),ISERROR(VLOOKUP(E759,ABBR!C:F,1,FALSE))),"")</f>
        <v/>
      </c>
    </row>
    <row r="760" spans="1:17" s="62" customFormat="1" hidden="1" x14ac:dyDescent="0.25">
      <c r="A760" s="38" t="s">
        <v>115</v>
      </c>
      <c r="B760" s="44"/>
      <c r="C760" s="16" t="s">
        <v>1899</v>
      </c>
      <c r="D760" s="17"/>
      <c r="E760" s="17" t="s">
        <v>608</v>
      </c>
      <c r="F760" s="18" t="s">
        <v>642</v>
      </c>
      <c r="G760" s="49" t="s">
        <v>16</v>
      </c>
      <c r="H760" s="17">
        <v>33</v>
      </c>
      <c r="I760" s="30" t="s">
        <v>955</v>
      </c>
      <c r="J760" s="80">
        <v>4.0999999999999996</v>
      </c>
      <c r="K760"/>
      <c r="M760" s="101"/>
      <c r="N760"/>
      <c r="O760" s="62" t="str">
        <f>IF(E760="PA",IF(K760&lt;&gt;"",ISERROR(VLOOKUP(K760,ABBR!A:D,1,FALSE)),ISERROR(VLOOKUP(C760,ABBR!A:D,1,FALSE))),"")</f>
        <v/>
      </c>
      <c r="P760" t="str">
        <f>VLOOKUP(A760,Groups!A:L,5,FALSE)</f>
        <v>CTRC</v>
      </c>
      <c r="Q760" s="62" t="str">
        <f>IF(G760="PA",IF(M760&lt;&gt;"",ISERROR(VLOOKUP(M760,ABBR!C:F,1,FALSE)),ISERROR(VLOOKUP(E760,ABBR!C:F,1,FALSE))),"")</f>
        <v/>
      </c>
    </row>
    <row r="761" spans="1:17" s="62" customFormat="1" hidden="1" x14ac:dyDescent="0.25">
      <c r="A761" s="38" t="s">
        <v>123</v>
      </c>
      <c r="B761" s="44" t="s">
        <v>594</v>
      </c>
      <c r="C761" s="16" t="s">
        <v>595</v>
      </c>
      <c r="D761" s="44"/>
      <c r="E761" s="44" t="s">
        <v>596</v>
      </c>
      <c r="F761" s="45" t="s">
        <v>597</v>
      </c>
      <c r="G761" s="47" t="s">
        <v>598</v>
      </c>
      <c r="H761" s="17">
        <v>1</v>
      </c>
      <c r="I761" s="30" t="s">
        <v>955</v>
      </c>
      <c r="J761" s="80">
        <v>4.0999999999999996</v>
      </c>
      <c r="K761"/>
      <c r="M761"/>
      <c r="N761"/>
      <c r="O761" s="62" t="str">
        <f>IF(E761="PA",IF(K761&lt;&gt;"",ISERROR(VLOOKUP(K761,ABBR!A:D,1,FALSE)),ISERROR(VLOOKUP(C761,ABBR!A:D,1,FALSE))),"")</f>
        <v/>
      </c>
      <c r="P761" t="str">
        <f>VLOOKUP(A761,Groups!A:L,5,FALSE)</f>
        <v>CTRG</v>
      </c>
      <c r="Q761" s="62" t="str">
        <f>IF(G761="PA",IF(M761&lt;&gt;"",ISERROR(VLOOKUP(M761,ABBR!C:F,1,FALSE)),ISERROR(VLOOKUP(E761,ABBR!C:F,1,FALSE))),"")</f>
        <v/>
      </c>
    </row>
    <row r="762" spans="1:17" s="62" customFormat="1" hidden="1" x14ac:dyDescent="0.25">
      <c r="A762" s="38" t="s">
        <v>123</v>
      </c>
      <c r="B762" s="44" t="s">
        <v>594</v>
      </c>
      <c r="C762" s="16" t="s">
        <v>851</v>
      </c>
      <c r="D762" s="44" t="s">
        <v>600</v>
      </c>
      <c r="E762" s="44" t="s">
        <v>601</v>
      </c>
      <c r="F762" s="45" t="s">
        <v>852</v>
      </c>
      <c r="G762" s="47">
        <v>24.55</v>
      </c>
      <c r="H762" s="17">
        <v>2</v>
      </c>
      <c r="I762" s="30" t="s">
        <v>955</v>
      </c>
      <c r="J762" s="80">
        <v>4.0999999999999996</v>
      </c>
      <c r="K762"/>
      <c r="M762"/>
      <c r="N762"/>
      <c r="O762" s="62" t="str">
        <f>IF(E762="PA",IF(K762&lt;&gt;"",ISERROR(VLOOKUP(K762,ABBR!A:D,1,FALSE)),ISERROR(VLOOKUP(C762,ABBR!A:D,1,FALSE))),"")</f>
        <v/>
      </c>
      <c r="P762" t="str">
        <f>VLOOKUP(A762,Groups!A:L,5,FALSE)</f>
        <v>CTRG</v>
      </c>
      <c r="Q762" s="62" t="str">
        <f>IF(G762="PA",IF(M762&lt;&gt;"",ISERROR(VLOOKUP(M762,ABBR!C:F,1,FALSE)),ISERROR(VLOOKUP(E762,ABBR!C:F,1,FALSE))),"")</f>
        <v/>
      </c>
    </row>
    <row r="763" spans="1:17" s="62" customFormat="1" hidden="1" x14ac:dyDescent="0.25">
      <c r="A763" s="38" t="s">
        <v>123</v>
      </c>
      <c r="B763" s="44" t="s">
        <v>594</v>
      </c>
      <c r="C763" s="16" t="s">
        <v>854</v>
      </c>
      <c r="D763" s="44"/>
      <c r="E763" s="44" t="s">
        <v>608</v>
      </c>
      <c r="F763" s="45" t="s">
        <v>855</v>
      </c>
      <c r="G763" s="47">
        <v>24</v>
      </c>
      <c r="H763" s="17">
        <v>3</v>
      </c>
      <c r="I763" s="30" t="s">
        <v>955</v>
      </c>
      <c r="J763" s="80">
        <v>4.0999999999999996</v>
      </c>
      <c r="K763"/>
      <c r="M763"/>
      <c r="N763"/>
      <c r="O763" s="62" t="str">
        <f>IF(E763="PA",IF(K763&lt;&gt;"",ISERROR(VLOOKUP(K763,ABBR!A:D,1,FALSE)),ISERROR(VLOOKUP(C763,ABBR!A:D,1,FALSE))),"")</f>
        <v/>
      </c>
      <c r="P763" t="str">
        <f>VLOOKUP(A763,Groups!A:L,5,FALSE)</f>
        <v>CTRG</v>
      </c>
      <c r="Q763" s="62" t="str">
        <f>IF(G763="PA",IF(M763&lt;&gt;"",ISERROR(VLOOKUP(M763,ABBR!C:F,1,FALSE)),ISERROR(VLOOKUP(E763,ABBR!C:F,1,FALSE))),"")</f>
        <v/>
      </c>
    </row>
    <row r="764" spans="1:17" s="62" customFormat="1" hidden="1" x14ac:dyDescent="0.25">
      <c r="A764" s="38" t="s">
        <v>123</v>
      </c>
      <c r="B764" s="44" t="s">
        <v>594</v>
      </c>
      <c r="C764" s="16" t="s">
        <v>857</v>
      </c>
      <c r="D764" s="44"/>
      <c r="E764" s="44" t="s">
        <v>618</v>
      </c>
      <c r="F764" s="45" t="s">
        <v>858</v>
      </c>
      <c r="G764" s="47" t="s">
        <v>859</v>
      </c>
      <c r="H764" s="17">
        <v>4</v>
      </c>
      <c r="I764" s="30" t="s">
        <v>955</v>
      </c>
      <c r="J764" s="80">
        <v>4.0999999999999996</v>
      </c>
      <c r="K764"/>
      <c r="M764"/>
      <c r="N764"/>
      <c r="O764" s="62" t="b">
        <f>IF(E764="PA",IF(K764&lt;&gt;"",ISERROR(VLOOKUP(K764,ABBR!A:D,1,FALSE)),ISERROR(VLOOKUP(C764,ABBR!A:D,1,FALSE))),"")</f>
        <v>0</v>
      </c>
      <c r="P764" t="str">
        <f>VLOOKUP(A764,Groups!A:L,5,FALSE)</f>
        <v>CTRG</v>
      </c>
      <c r="Q764" s="62" t="str">
        <f>IF(G764="PA",IF(M764&lt;&gt;"",ISERROR(VLOOKUP(M764,ABBR!C:F,1,FALSE)),ISERROR(VLOOKUP(E764,ABBR!C:F,1,FALSE))),"")</f>
        <v/>
      </c>
    </row>
    <row r="765" spans="1:17" s="62" customFormat="1" hidden="1" x14ac:dyDescent="0.25">
      <c r="A765" s="38" t="s">
        <v>123</v>
      </c>
      <c r="B765" s="44" t="s">
        <v>594</v>
      </c>
      <c r="C765" s="16" t="s">
        <v>860</v>
      </c>
      <c r="D765" s="44"/>
      <c r="E765" s="44" t="s">
        <v>596</v>
      </c>
      <c r="F765" s="45" t="s">
        <v>942</v>
      </c>
      <c r="G765" s="49" t="s">
        <v>862</v>
      </c>
      <c r="H765" s="17">
        <v>5</v>
      </c>
      <c r="I765" s="30" t="s">
        <v>955</v>
      </c>
      <c r="J765" s="80">
        <v>4.0999999999999996</v>
      </c>
      <c r="K765"/>
      <c r="M765"/>
      <c r="N765"/>
      <c r="O765" s="62" t="str">
        <f>IF(E765="PA",IF(K765&lt;&gt;"",ISERROR(VLOOKUP(K765,ABBR!A:D,1,FALSE)),ISERROR(VLOOKUP(C765,ABBR!A:D,1,FALSE))),"")</f>
        <v/>
      </c>
      <c r="P765" t="str">
        <f>VLOOKUP(A765,Groups!A:L,5,FALSE)</f>
        <v>CTRG</v>
      </c>
      <c r="Q765" s="62" t="str">
        <f>IF(G765="PA",IF(M765&lt;&gt;"",ISERROR(VLOOKUP(M765,ABBR!C:F,1,FALSE)),ISERROR(VLOOKUP(E765,ABBR!C:F,1,FALSE))),"")</f>
        <v/>
      </c>
    </row>
    <row r="766" spans="1:17" s="62" customFormat="1" hidden="1" x14ac:dyDescent="0.25">
      <c r="A766" s="38" t="s">
        <v>123</v>
      </c>
      <c r="B766" s="44" t="s">
        <v>594</v>
      </c>
      <c r="C766" s="16" t="s">
        <v>863</v>
      </c>
      <c r="D766" s="44"/>
      <c r="E766" s="44" t="s">
        <v>608</v>
      </c>
      <c r="F766" s="45" t="s">
        <v>864</v>
      </c>
      <c r="G766" s="49" t="s">
        <v>865</v>
      </c>
      <c r="H766" s="17">
        <v>6</v>
      </c>
      <c r="I766" s="30" t="s">
        <v>955</v>
      </c>
      <c r="J766" s="80">
        <v>4.0999999999999996</v>
      </c>
      <c r="K766"/>
      <c r="M766"/>
      <c r="N766"/>
      <c r="O766" s="62" t="str">
        <f>IF(E766="PA",IF(K766&lt;&gt;"",ISERROR(VLOOKUP(K766,ABBR!A:D,1,FALSE)),ISERROR(VLOOKUP(C766,ABBR!A:D,1,FALSE))),"")</f>
        <v/>
      </c>
      <c r="P766" t="str">
        <f>VLOOKUP(A766,Groups!A:L,5,FALSE)</f>
        <v>CTRG</v>
      </c>
      <c r="Q766" s="62" t="str">
        <f>IF(G766="PA",IF(M766&lt;&gt;"",ISERROR(VLOOKUP(M766,ABBR!C:F,1,FALSE)),ISERROR(VLOOKUP(E766,ABBR!C:F,1,FALSE))),"")</f>
        <v/>
      </c>
    </row>
    <row r="767" spans="1:17" s="62" customFormat="1" hidden="1" x14ac:dyDescent="0.25">
      <c r="A767" s="38" t="s">
        <v>123</v>
      </c>
      <c r="B767" s="44" t="s">
        <v>594</v>
      </c>
      <c r="C767" s="16" t="s">
        <v>866</v>
      </c>
      <c r="D767" s="44" t="s">
        <v>600</v>
      </c>
      <c r="E767" s="44" t="s">
        <v>601</v>
      </c>
      <c r="F767" s="45" t="s">
        <v>867</v>
      </c>
      <c r="G767" s="47">
        <v>24.55</v>
      </c>
      <c r="H767" s="17">
        <v>7</v>
      </c>
      <c r="I767" s="30" t="s">
        <v>955</v>
      </c>
      <c r="J767" s="80">
        <v>4.0999999999999996</v>
      </c>
      <c r="K767"/>
      <c r="M767"/>
      <c r="N767"/>
      <c r="O767" s="62" t="str">
        <f>IF(E767="PA",IF(K767&lt;&gt;"",ISERROR(VLOOKUP(K767,ABBR!A:D,1,FALSE)),ISERROR(VLOOKUP(C767,ABBR!A:D,1,FALSE))),"")</f>
        <v/>
      </c>
      <c r="P767" t="str">
        <f>VLOOKUP(A767,Groups!A:L,5,FALSE)</f>
        <v>CTRG</v>
      </c>
      <c r="Q767" s="62" t="str">
        <f>IF(G767="PA",IF(M767&lt;&gt;"",ISERROR(VLOOKUP(M767,ABBR!C:F,1,FALSE)),ISERROR(VLOOKUP(E767,ABBR!C:F,1,FALSE))),"")</f>
        <v/>
      </c>
    </row>
    <row r="768" spans="1:17" s="62" customFormat="1" hidden="1" x14ac:dyDescent="0.25">
      <c r="A768" s="38" t="s">
        <v>123</v>
      </c>
      <c r="B768" s="44" t="s">
        <v>594</v>
      </c>
      <c r="C768" s="16" t="s">
        <v>1900</v>
      </c>
      <c r="D768" s="17"/>
      <c r="E768" s="17" t="s">
        <v>608</v>
      </c>
      <c r="F768" s="18" t="s">
        <v>1617</v>
      </c>
      <c r="G768" s="49" t="s">
        <v>1229</v>
      </c>
      <c r="H768" s="17">
        <v>8</v>
      </c>
      <c r="I768" s="30" t="s">
        <v>955</v>
      </c>
      <c r="J768" s="80">
        <v>4.0999999999999996</v>
      </c>
      <c r="K768"/>
      <c r="M768"/>
      <c r="N768"/>
      <c r="O768" s="62" t="str">
        <f>IF(E768="PA",IF(K768&lt;&gt;"",ISERROR(VLOOKUP(K768,ABBR!A:D,1,FALSE)),ISERROR(VLOOKUP(C768,ABBR!A:D,1,FALSE))),"")</f>
        <v/>
      </c>
      <c r="P768" t="str">
        <f>VLOOKUP(A768,Groups!A:L,5,FALSE)</f>
        <v>CTRG</v>
      </c>
      <c r="Q768" s="62" t="str">
        <f>IF(G768="PA",IF(M768&lt;&gt;"",ISERROR(VLOOKUP(M768,ABBR!C:F,1,FALSE)),ISERROR(VLOOKUP(E768,ABBR!C:F,1,FALSE))),"")</f>
        <v/>
      </c>
    </row>
    <row r="769" spans="1:17" s="62" customFormat="1" hidden="1" x14ac:dyDescent="0.25">
      <c r="A769" s="38" t="s">
        <v>123</v>
      </c>
      <c r="B769" s="44"/>
      <c r="C769" s="16" t="s">
        <v>1901</v>
      </c>
      <c r="D769" s="17" t="s">
        <v>1345</v>
      </c>
      <c r="E769" s="17" t="s">
        <v>723</v>
      </c>
      <c r="F769" s="18" t="s">
        <v>1902</v>
      </c>
      <c r="G769" s="49" t="s">
        <v>1663</v>
      </c>
      <c r="H769" s="17">
        <v>9</v>
      </c>
      <c r="I769" s="30" t="s">
        <v>955</v>
      </c>
      <c r="J769" s="80">
        <v>4.0999999999999996</v>
      </c>
      <c r="K769"/>
      <c r="M769"/>
      <c r="N769"/>
      <c r="O769" s="62" t="str">
        <f>IF(E769="PA",IF(K769&lt;&gt;"",ISERROR(VLOOKUP(K769,ABBR!A:D,1,FALSE)),ISERROR(VLOOKUP(C769,ABBR!A:D,1,FALSE))),"")</f>
        <v/>
      </c>
      <c r="P769" t="str">
        <f>VLOOKUP(A769,Groups!A:L,5,FALSE)</f>
        <v>CTRG</v>
      </c>
      <c r="Q769" s="62" t="str">
        <f>IF(G769="PA",IF(M769&lt;&gt;"",ISERROR(VLOOKUP(M769,ABBR!C:F,1,FALSE)),ISERROR(VLOOKUP(E769,ABBR!C:F,1,FALSE))),"")</f>
        <v/>
      </c>
    </row>
    <row r="770" spans="1:17" s="62" customFormat="1" hidden="1" x14ac:dyDescent="0.25">
      <c r="A770" s="38" t="s">
        <v>123</v>
      </c>
      <c r="B770" s="44"/>
      <c r="C770" s="16" t="s">
        <v>1903</v>
      </c>
      <c r="D770" s="17" t="s">
        <v>1345</v>
      </c>
      <c r="E770" s="17" t="s">
        <v>723</v>
      </c>
      <c r="F770" s="18" t="s">
        <v>1904</v>
      </c>
      <c r="G770" s="49" t="s">
        <v>1905</v>
      </c>
      <c r="H770" s="17">
        <v>10</v>
      </c>
      <c r="I770" s="30" t="s">
        <v>955</v>
      </c>
      <c r="J770" s="80">
        <v>4.0999999999999996</v>
      </c>
      <c r="K770"/>
      <c r="M770"/>
      <c r="N770"/>
      <c r="O770" s="62" t="str">
        <f>IF(E770="PA",IF(K770&lt;&gt;"",ISERROR(VLOOKUP(K770,ABBR!A:D,1,FALSE)),ISERROR(VLOOKUP(C770,ABBR!A:D,1,FALSE))),"")</f>
        <v/>
      </c>
      <c r="P770" t="str">
        <f>VLOOKUP(A770,Groups!A:L,5,FALSE)</f>
        <v>CTRG</v>
      </c>
      <c r="Q770" s="62" t="str">
        <f>IF(G770="PA",IF(M770&lt;&gt;"",ISERROR(VLOOKUP(M770,ABBR!C:F,1,FALSE)),ISERROR(VLOOKUP(E770,ABBR!C:F,1,FALSE))),"")</f>
        <v/>
      </c>
    </row>
    <row r="771" spans="1:17" s="62" customFormat="1" hidden="1" x14ac:dyDescent="0.25">
      <c r="A771" s="38" t="s">
        <v>123</v>
      </c>
      <c r="B771" s="44"/>
      <c r="C771" s="16" t="s">
        <v>1906</v>
      </c>
      <c r="D771" s="17" t="s">
        <v>1345</v>
      </c>
      <c r="E771" s="17" t="s">
        <v>723</v>
      </c>
      <c r="F771" s="18" t="s">
        <v>1907</v>
      </c>
      <c r="G771" s="49" t="s">
        <v>1908</v>
      </c>
      <c r="H771" s="17">
        <v>11</v>
      </c>
      <c r="I771" s="30" t="s">
        <v>955</v>
      </c>
      <c r="J771" s="80">
        <v>4.0999999999999996</v>
      </c>
      <c r="K771"/>
      <c r="M771"/>
      <c r="N771"/>
      <c r="O771" s="62" t="str">
        <f>IF(E771="PA",IF(K771&lt;&gt;"",ISERROR(VLOOKUP(K771,ABBR!A:D,1,FALSE)),ISERROR(VLOOKUP(C771,ABBR!A:D,1,FALSE))),"")</f>
        <v/>
      </c>
      <c r="P771" t="str">
        <f>VLOOKUP(A771,Groups!A:L,5,FALSE)</f>
        <v>CTRG</v>
      </c>
      <c r="Q771" s="62" t="str">
        <f>IF(G771="PA",IF(M771&lt;&gt;"",ISERROR(VLOOKUP(M771,ABBR!C:F,1,FALSE)),ISERROR(VLOOKUP(E771,ABBR!C:F,1,FALSE))),"")</f>
        <v/>
      </c>
    </row>
    <row r="772" spans="1:17" s="62" customFormat="1" hidden="1" x14ac:dyDescent="0.25">
      <c r="A772" s="38" t="s">
        <v>123</v>
      </c>
      <c r="B772" s="44"/>
      <c r="C772" s="16" t="s">
        <v>1909</v>
      </c>
      <c r="D772" s="17"/>
      <c r="E772" s="17" t="s">
        <v>601</v>
      </c>
      <c r="F772" s="18" t="s">
        <v>1910</v>
      </c>
      <c r="G772" s="49" t="s">
        <v>1911</v>
      </c>
      <c r="H772" s="17">
        <v>12</v>
      </c>
      <c r="I772" s="30" t="s">
        <v>955</v>
      </c>
      <c r="J772" s="80">
        <v>4.0999999999999996</v>
      </c>
      <c r="K772"/>
      <c r="M772"/>
      <c r="N772"/>
      <c r="O772" s="62" t="str">
        <f>IF(E772="PA",IF(K772&lt;&gt;"",ISERROR(VLOOKUP(K772,ABBR!A:D,1,FALSE)),ISERROR(VLOOKUP(C772,ABBR!A:D,1,FALSE))),"")</f>
        <v/>
      </c>
      <c r="P772" t="str">
        <f>VLOOKUP(A772,Groups!A:L,5,FALSE)</f>
        <v>CTRG</v>
      </c>
      <c r="Q772" s="62" t="str">
        <f>IF(G772="PA",IF(M772&lt;&gt;"",ISERROR(VLOOKUP(M772,ABBR!C:F,1,FALSE)),ISERROR(VLOOKUP(E772,ABBR!C:F,1,FALSE))),"")</f>
        <v/>
      </c>
    </row>
    <row r="773" spans="1:17" s="62" customFormat="1" hidden="1" x14ac:dyDescent="0.25">
      <c r="A773" s="16" t="s">
        <v>123</v>
      </c>
      <c r="B773" s="44"/>
      <c r="C773" s="16" t="s">
        <v>1912</v>
      </c>
      <c r="D773" s="17"/>
      <c r="E773" s="17" t="s">
        <v>601</v>
      </c>
      <c r="F773" s="18" t="s">
        <v>1913</v>
      </c>
      <c r="G773" s="49" t="s">
        <v>1914</v>
      </c>
      <c r="H773" s="17">
        <v>13</v>
      </c>
      <c r="I773" s="30" t="s">
        <v>955</v>
      </c>
      <c r="J773" s="80">
        <v>4.0999999999999996</v>
      </c>
      <c r="K773"/>
      <c r="M773"/>
      <c r="N773"/>
      <c r="O773" s="62" t="str">
        <f>IF(E773="PA",IF(K773&lt;&gt;"",ISERROR(VLOOKUP(K773,ABBR!A:D,1,FALSE)),ISERROR(VLOOKUP(C773,ABBR!A:D,1,FALSE))),"")</f>
        <v/>
      </c>
      <c r="P773" t="str">
        <f>VLOOKUP(A773,Groups!A:L,5,FALSE)</f>
        <v>CTRG</v>
      </c>
      <c r="Q773" s="62" t="str">
        <f>IF(G773="PA",IF(M773&lt;&gt;"",ISERROR(VLOOKUP(M773,ABBR!C:F,1,FALSE)),ISERROR(VLOOKUP(E773,ABBR!C:F,1,FALSE))),"")</f>
        <v/>
      </c>
    </row>
    <row r="774" spans="1:17" s="62" customFormat="1" hidden="1" x14ac:dyDescent="0.25">
      <c r="A774" s="16" t="s">
        <v>123</v>
      </c>
      <c r="B774" s="44"/>
      <c r="C774" s="16" t="s">
        <v>1915</v>
      </c>
      <c r="D774" s="17"/>
      <c r="E774" s="17" t="s">
        <v>608</v>
      </c>
      <c r="F774" s="18" t="s">
        <v>1916</v>
      </c>
      <c r="G774" s="49" t="s">
        <v>1917</v>
      </c>
      <c r="H774" s="17">
        <v>14</v>
      </c>
      <c r="I774" s="30" t="s">
        <v>955</v>
      </c>
      <c r="J774" s="80">
        <v>4.0999999999999996</v>
      </c>
      <c r="K774"/>
      <c r="M774"/>
      <c r="N774"/>
      <c r="O774" s="62" t="str">
        <f>IF(E774="PA",IF(K774&lt;&gt;"",ISERROR(VLOOKUP(K774,ABBR!A:D,1,FALSE)),ISERROR(VLOOKUP(C774,ABBR!A:D,1,FALSE))),"")</f>
        <v/>
      </c>
      <c r="P774" t="str">
        <f>VLOOKUP(A774,Groups!A:L,5,FALSE)</f>
        <v>CTRG</v>
      </c>
      <c r="Q774" s="62" t="str">
        <f>IF(G774="PA",IF(M774&lt;&gt;"",ISERROR(VLOOKUP(M774,ABBR!C:F,1,FALSE)),ISERROR(VLOOKUP(E774,ABBR!C:F,1,FALSE))),"")</f>
        <v/>
      </c>
    </row>
    <row r="775" spans="1:17" s="62" customFormat="1" hidden="1" x14ac:dyDescent="0.25">
      <c r="A775" s="16" t="s">
        <v>123</v>
      </c>
      <c r="B775" s="44"/>
      <c r="C775" s="16" t="s">
        <v>1918</v>
      </c>
      <c r="D775" s="17" t="s">
        <v>766</v>
      </c>
      <c r="E775" s="17" t="s">
        <v>601</v>
      </c>
      <c r="F775" s="18" t="s">
        <v>1919</v>
      </c>
      <c r="G775" s="49" t="s">
        <v>1628</v>
      </c>
      <c r="H775" s="17">
        <v>15</v>
      </c>
      <c r="I775" s="30" t="s">
        <v>955</v>
      </c>
      <c r="J775" s="80">
        <v>4.0999999999999996</v>
      </c>
      <c r="K775"/>
      <c r="M775"/>
      <c r="N775"/>
      <c r="O775" s="62" t="str">
        <f>IF(E775="PA",IF(K775&lt;&gt;"",ISERROR(VLOOKUP(K775,ABBR!A:D,1,FALSE)),ISERROR(VLOOKUP(C775,ABBR!A:D,1,FALSE))),"")</f>
        <v/>
      </c>
      <c r="P775" t="str">
        <f>VLOOKUP(A775,Groups!A:L,5,FALSE)</f>
        <v>CTRG</v>
      </c>
      <c r="Q775" s="62" t="str">
        <f>IF(G775="PA",IF(M775&lt;&gt;"",ISERROR(VLOOKUP(M775,ABBR!C:F,1,FALSE)),ISERROR(VLOOKUP(E775,ABBR!C:F,1,FALSE))),"")</f>
        <v/>
      </c>
    </row>
    <row r="776" spans="1:17" s="62" customFormat="1" hidden="1" x14ac:dyDescent="0.25">
      <c r="A776" s="16" t="s">
        <v>123</v>
      </c>
      <c r="B776" s="44"/>
      <c r="C776" s="16" t="s">
        <v>1920</v>
      </c>
      <c r="D776" s="17"/>
      <c r="E776" s="17" t="s">
        <v>608</v>
      </c>
      <c r="F776" s="18" t="s">
        <v>642</v>
      </c>
      <c r="G776" s="49" t="s">
        <v>16</v>
      </c>
      <c r="H776" s="17">
        <v>16</v>
      </c>
      <c r="I776" s="30" t="s">
        <v>955</v>
      </c>
      <c r="J776" s="80">
        <v>4.0999999999999996</v>
      </c>
      <c r="K776"/>
      <c r="M776" s="101"/>
      <c r="N776"/>
      <c r="O776" s="62" t="str">
        <f>IF(E776="PA",IF(K776&lt;&gt;"",ISERROR(VLOOKUP(K776,ABBR!A:D,1,FALSE)),ISERROR(VLOOKUP(C776,ABBR!A:D,1,FALSE))),"")</f>
        <v/>
      </c>
      <c r="P776" t="str">
        <f>VLOOKUP(A776,Groups!A:L,5,FALSE)</f>
        <v>CTRG</v>
      </c>
      <c r="Q776" s="62" t="str">
        <f>IF(G776="PA",IF(M776&lt;&gt;"",ISERROR(VLOOKUP(M776,ABBR!C:F,1,FALSE)),ISERROR(VLOOKUP(E776,ABBR!C:F,1,FALSE))),"")</f>
        <v/>
      </c>
    </row>
    <row r="777" spans="1:17" s="62" customFormat="1" hidden="1" x14ac:dyDescent="0.25">
      <c r="A777" s="16" t="s">
        <v>123</v>
      </c>
      <c r="B777" s="44"/>
      <c r="C777" s="16" t="s">
        <v>643</v>
      </c>
      <c r="D777" s="17"/>
      <c r="E777" s="17" t="s">
        <v>608</v>
      </c>
      <c r="F777" s="18" t="s">
        <v>954</v>
      </c>
      <c r="G777" s="49" t="s">
        <v>940</v>
      </c>
      <c r="H777" s="17">
        <v>17</v>
      </c>
      <c r="I777" s="30" t="s">
        <v>955</v>
      </c>
      <c r="J777" s="80">
        <v>4.0999999999999996</v>
      </c>
      <c r="K777"/>
      <c r="M777"/>
      <c r="N777"/>
      <c r="O777" s="62" t="str">
        <f>IF(E777="PA",IF(K777&lt;&gt;"",ISERROR(VLOOKUP(K777,ABBR!A:D,1,FALSE)),ISERROR(VLOOKUP(C777,ABBR!A:D,1,FALSE))),"")</f>
        <v/>
      </c>
      <c r="P777" t="str">
        <f>VLOOKUP(A777,Groups!A:L,5,FALSE)</f>
        <v>CTRG</v>
      </c>
      <c r="Q777" s="62" t="str">
        <f>IF(G777="PA",IF(M777&lt;&gt;"",ISERROR(VLOOKUP(M777,ABBR!C:F,1,FALSE)),ISERROR(VLOOKUP(E777,ABBR!C:F,1,FALSE))),"")</f>
        <v/>
      </c>
    </row>
    <row r="778" spans="1:17" s="62" customFormat="1" hidden="1" x14ac:dyDescent="0.25">
      <c r="A778" s="16" t="s">
        <v>125</v>
      </c>
      <c r="B778" s="17" t="s">
        <v>594</v>
      </c>
      <c r="C778" s="16" t="s">
        <v>595</v>
      </c>
      <c r="D778" s="17"/>
      <c r="E778" s="17" t="s">
        <v>596</v>
      </c>
      <c r="F778" s="18" t="s">
        <v>597</v>
      </c>
      <c r="G778" s="49" t="s">
        <v>598</v>
      </c>
      <c r="H778" s="17">
        <v>1</v>
      </c>
      <c r="I778" s="30"/>
      <c r="J778"/>
      <c r="K778"/>
      <c r="M778"/>
      <c r="N778"/>
      <c r="O778" s="62" t="str">
        <f>IF(E778="PA",IF(K778&lt;&gt;"",ISERROR(VLOOKUP(K778,ABBR!A:D,1,FALSE)),ISERROR(VLOOKUP(C778,ABBR!A:D,1,FALSE))),"")</f>
        <v/>
      </c>
      <c r="P778" t="str">
        <f>VLOOKUP(A778,Groups!A:L,5,FALSE)</f>
        <v>LOCA</v>
      </c>
      <c r="Q778" s="62" t="str">
        <f>IF(G778="PA",IF(M778&lt;&gt;"",ISERROR(VLOOKUP(M778,ABBR!C:F,1,FALSE)),ISERROR(VLOOKUP(E778,ABBR!C:F,1,FALSE))),"")</f>
        <v/>
      </c>
    </row>
    <row r="779" spans="1:17" s="62" customFormat="1" hidden="1" x14ac:dyDescent="0.25">
      <c r="A779" s="16" t="s">
        <v>125</v>
      </c>
      <c r="B779" s="17" t="s">
        <v>594</v>
      </c>
      <c r="C779" s="16" t="s">
        <v>1921</v>
      </c>
      <c r="D779" s="17" t="s">
        <v>924</v>
      </c>
      <c r="E779" s="17" t="s">
        <v>925</v>
      </c>
      <c r="F779" s="18" t="s">
        <v>1922</v>
      </c>
      <c r="G779" s="49" t="s">
        <v>1923</v>
      </c>
      <c r="H779" s="17">
        <v>2</v>
      </c>
      <c r="I779" s="30"/>
      <c r="J779"/>
      <c r="K779"/>
      <c r="M779"/>
      <c r="N779"/>
      <c r="O779" s="62" t="str">
        <f>IF(E779="PA",IF(K779&lt;&gt;"",ISERROR(VLOOKUP(K779,ABBR!A:D,1,FALSE)),ISERROR(VLOOKUP(C779,ABBR!A:D,1,FALSE))),"")</f>
        <v/>
      </c>
      <c r="P779" t="str">
        <f>VLOOKUP(A779,Groups!A:L,5,FALSE)</f>
        <v>LOCA</v>
      </c>
      <c r="Q779" s="62" t="str">
        <f>IF(G779="PA",IF(M779&lt;&gt;"",ISERROR(VLOOKUP(M779,ABBR!C:F,1,FALSE)),ISERROR(VLOOKUP(E779,ABBR!C:F,1,FALSE))),"")</f>
        <v/>
      </c>
    </row>
    <row r="780" spans="1:17" s="62" customFormat="1" hidden="1" x14ac:dyDescent="0.25">
      <c r="A780" s="16" t="s">
        <v>125</v>
      </c>
      <c r="B780" s="17" t="s">
        <v>594</v>
      </c>
      <c r="C780" s="16" t="s">
        <v>1924</v>
      </c>
      <c r="D780" s="17"/>
      <c r="E780" s="17" t="s">
        <v>608</v>
      </c>
      <c r="F780" s="18" t="s">
        <v>1323</v>
      </c>
      <c r="G780" s="49" t="s">
        <v>631</v>
      </c>
      <c r="H780" s="17">
        <v>3</v>
      </c>
      <c r="I780" s="30"/>
      <c r="J780"/>
      <c r="K780"/>
      <c r="M780"/>
      <c r="N780"/>
      <c r="O780" s="62" t="str">
        <f>IF(E780="PA",IF(K780&lt;&gt;"",ISERROR(VLOOKUP(K780,ABBR!A:D,1,FALSE)),ISERROR(VLOOKUP(C780,ABBR!A:D,1,FALSE))),"")</f>
        <v/>
      </c>
      <c r="P780" t="str">
        <f>VLOOKUP(A780,Groups!A:L,5,FALSE)</f>
        <v>LOCA</v>
      </c>
      <c r="Q780" s="62" t="str">
        <f>IF(G780="PA",IF(M780&lt;&gt;"",ISERROR(VLOOKUP(M780,ABBR!C:F,1,FALSE)),ISERROR(VLOOKUP(E780,ABBR!C:F,1,FALSE))),"")</f>
        <v/>
      </c>
    </row>
    <row r="781" spans="1:17" s="62" customFormat="1" hidden="1" x14ac:dyDescent="0.25">
      <c r="A781" s="16" t="s">
        <v>125</v>
      </c>
      <c r="B781" s="17" t="s">
        <v>594</v>
      </c>
      <c r="C781" s="16" t="s">
        <v>1925</v>
      </c>
      <c r="D781" s="17" t="s">
        <v>600</v>
      </c>
      <c r="E781" s="17" t="s">
        <v>601</v>
      </c>
      <c r="F781" s="18" t="s">
        <v>1926</v>
      </c>
      <c r="G781" s="49" t="s">
        <v>1927</v>
      </c>
      <c r="H781" s="17">
        <v>4</v>
      </c>
      <c r="I781" s="30"/>
      <c r="J781"/>
      <c r="K781"/>
      <c r="M781"/>
      <c r="N781"/>
      <c r="O781" s="62" t="str">
        <f>IF(E781="PA",IF(K781&lt;&gt;"",ISERROR(VLOOKUP(K781,ABBR!A:D,1,FALSE)),ISERROR(VLOOKUP(C781,ABBR!A:D,1,FALSE))),"")</f>
        <v/>
      </c>
      <c r="P781" t="str">
        <f>VLOOKUP(A781,Groups!A:L,5,FALSE)</f>
        <v>LOCA</v>
      </c>
      <c r="Q781" s="62" t="str">
        <f>IF(G781="PA",IF(M781&lt;&gt;"",ISERROR(VLOOKUP(M781,ABBR!C:F,1,FALSE)),ISERROR(VLOOKUP(E781,ABBR!C:F,1,FALSE))),"")</f>
        <v/>
      </c>
    </row>
    <row r="782" spans="1:17" s="62" customFormat="1" hidden="1" x14ac:dyDescent="0.25">
      <c r="A782" s="16" t="s">
        <v>125</v>
      </c>
      <c r="B782" s="17"/>
      <c r="C782" s="16" t="s">
        <v>1928</v>
      </c>
      <c r="D782" s="17" t="s">
        <v>722</v>
      </c>
      <c r="E782" s="17" t="s">
        <v>767</v>
      </c>
      <c r="F782" s="18" t="s">
        <v>1929</v>
      </c>
      <c r="G782" s="49" t="s">
        <v>1930</v>
      </c>
      <c r="H782" s="17">
        <v>5</v>
      </c>
      <c r="I782" s="30"/>
      <c r="J782"/>
      <c r="K782"/>
      <c r="M782"/>
      <c r="N782"/>
      <c r="O782" s="62" t="str">
        <f>IF(E782="PA",IF(K782&lt;&gt;"",ISERROR(VLOOKUP(K782,ABBR!A:D,1,FALSE)),ISERROR(VLOOKUP(C782,ABBR!A:D,1,FALSE))),"")</f>
        <v/>
      </c>
      <c r="P782" t="str">
        <f>VLOOKUP(A782,Groups!A:L,5,FALSE)</f>
        <v>LOCA</v>
      </c>
      <c r="Q782" s="62" t="str">
        <f>IF(G782="PA",IF(M782&lt;&gt;"",ISERROR(VLOOKUP(M782,ABBR!C:F,1,FALSE)),ISERROR(VLOOKUP(E782,ABBR!C:F,1,FALSE))),"")</f>
        <v/>
      </c>
    </row>
    <row r="783" spans="1:17" s="62" customFormat="1" ht="50" hidden="1" x14ac:dyDescent="0.25">
      <c r="A783" s="16" t="s">
        <v>125</v>
      </c>
      <c r="B783" s="17"/>
      <c r="C783" s="16" t="s">
        <v>1931</v>
      </c>
      <c r="D783" s="17"/>
      <c r="E783" s="17" t="s">
        <v>608</v>
      </c>
      <c r="F783" s="18" t="s">
        <v>1932</v>
      </c>
      <c r="G783" s="49" t="s">
        <v>1933</v>
      </c>
      <c r="H783" s="17">
        <v>6</v>
      </c>
      <c r="I783" s="30"/>
      <c r="J783"/>
      <c r="K783"/>
      <c r="M783"/>
      <c r="N783"/>
      <c r="O783" s="62" t="str">
        <f>IF(E783="PA",IF(K783&lt;&gt;"",ISERROR(VLOOKUP(K783,ABBR!A:D,1,FALSE)),ISERROR(VLOOKUP(C783,ABBR!A:D,1,FALSE))),"")</f>
        <v/>
      </c>
      <c r="P783" t="str">
        <f>VLOOKUP(A783,Groups!A:L,5,FALSE)</f>
        <v>LOCA</v>
      </c>
      <c r="Q783" s="62" t="str">
        <f>IF(G783="PA",IF(M783&lt;&gt;"",ISERROR(VLOOKUP(M783,ABBR!C:F,1,FALSE)),ISERROR(VLOOKUP(E783,ABBR!C:F,1,FALSE))),"")</f>
        <v/>
      </c>
    </row>
    <row r="784" spans="1:17" s="62" customFormat="1" ht="50" hidden="1" x14ac:dyDescent="0.25">
      <c r="A784" s="16" t="s">
        <v>125</v>
      </c>
      <c r="B784" s="17"/>
      <c r="C784" s="16" t="s">
        <v>1934</v>
      </c>
      <c r="D784" s="17"/>
      <c r="E784" s="17" t="s">
        <v>608</v>
      </c>
      <c r="F784" s="18" t="s">
        <v>1935</v>
      </c>
      <c r="G784" s="49" t="s">
        <v>1936</v>
      </c>
      <c r="H784" s="17">
        <v>7</v>
      </c>
      <c r="I784" s="30"/>
      <c r="J784"/>
      <c r="K784"/>
      <c r="M784"/>
      <c r="N784"/>
      <c r="O784" s="62" t="str">
        <f>IF(E784="PA",IF(K784&lt;&gt;"",ISERROR(VLOOKUP(K784,ABBR!A:D,1,FALSE)),ISERROR(VLOOKUP(C784,ABBR!A:D,1,FALSE))),"")</f>
        <v/>
      </c>
      <c r="P784" t="str">
        <f>VLOOKUP(A784,Groups!A:L,5,FALSE)</f>
        <v>LOCA</v>
      </c>
      <c r="Q784" s="62" t="str">
        <f>IF(G784="PA",IF(M784&lt;&gt;"",ISERROR(VLOOKUP(M784,ABBR!C:F,1,FALSE)),ISERROR(VLOOKUP(E784,ABBR!C:F,1,FALSE))),"")</f>
        <v/>
      </c>
    </row>
    <row r="785" spans="1:17" s="62" customFormat="1" ht="25" hidden="1" x14ac:dyDescent="0.25">
      <c r="A785" s="16" t="s">
        <v>125</v>
      </c>
      <c r="B785" s="17"/>
      <c r="C785" s="16" t="s">
        <v>1937</v>
      </c>
      <c r="D785" s="17"/>
      <c r="E785" s="17" t="s">
        <v>608</v>
      </c>
      <c r="F785" s="18" t="s">
        <v>1938</v>
      </c>
      <c r="G785" s="49" t="s">
        <v>1939</v>
      </c>
      <c r="H785" s="17">
        <v>8</v>
      </c>
      <c r="I785" s="30"/>
      <c r="J785"/>
      <c r="K785"/>
      <c r="M785"/>
      <c r="N785"/>
      <c r="O785" s="62" t="str">
        <f>IF(E785="PA",IF(K785&lt;&gt;"",ISERROR(VLOOKUP(K785,ABBR!A:D,1,FALSE)),ISERROR(VLOOKUP(C785,ABBR!A:D,1,FALSE))),"")</f>
        <v/>
      </c>
      <c r="P785" t="str">
        <f>VLOOKUP(A785,Groups!A:L,5,FALSE)</f>
        <v>LOCA</v>
      </c>
      <c r="Q785" s="62" t="str">
        <f>IF(G785="PA",IF(M785&lt;&gt;"",ISERROR(VLOOKUP(M785,ABBR!C:F,1,FALSE)),ISERROR(VLOOKUP(E785,ABBR!C:F,1,FALSE))),"")</f>
        <v/>
      </c>
    </row>
    <row r="786" spans="1:17" s="62" customFormat="1" ht="25" hidden="1" x14ac:dyDescent="0.25">
      <c r="A786" s="16" t="s">
        <v>125</v>
      </c>
      <c r="B786" s="17"/>
      <c r="C786" s="16" t="s">
        <v>1940</v>
      </c>
      <c r="D786" s="17"/>
      <c r="E786" s="17" t="s">
        <v>608</v>
      </c>
      <c r="F786" s="18" t="s">
        <v>918</v>
      </c>
      <c r="G786" s="49" t="s">
        <v>1941</v>
      </c>
      <c r="H786" s="17">
        <v>9</v>
      </c>
      <c r="I786" s="30"/>
      <c r="J786"/>
      <c r="K786"/>
      <c r="M786"/>
      <c r="N786"/>
      <c r="O786" s="62" t="str">
        <f>IF(E786="PA",IF(K786&lt;&gt;"",ISERROR(VLOOKUP(K786,ABBR!A:D,1,FALSE)),ISERROR(VLOOKUP(C786,ABBR!A:D,1,FALSE))),"")</f>
        <v/>
      </c>
      <c r="P786" t="str">
        <f>VLOOKUP(A786,Groups!A:L,5,FALSE)</f>
        <v>LOCA</v>
      </c>
      <c r="Q786" s="62" t="str">
        <f>IF(G786="PA",IF(M786&lt;&gt;"",ISERROR(VLOOKUP(M786,ABBR!C:F,1,FALSE)),ISERROR(VLOOKUP(E786,ABBR!C:F,1,FALSE))),"")</f>
        <v/>
      </c>
    </row>
    <row r="787" spans="1:17" s="62" customFormat="1" ht="25" hidden="1" x14ac:dyDescent="0.25">
      <c r="A787" s="16" t="s">
        <v>125</v>
      </c>
      <c r="B787" s="17"/>
      <c r="C787" s="16" t="s">
        <v>1942</v>
      </c>
      <c r="D787" s="17"/>
      <c r="E787" s="17" t="s">
        <v>608</v>
      </c>
      <c r="F787" s="18" t="s">
        <v>1943</v>
      </c>
      <c r="G787" s="49" t="s">
        <v>1944</v>
      </c>
      <c r="H787" s="17">
        <v>10</v>
      </c>
      <c r="I787" s="30"/>
      <c r="J787"/>
      <c r="K787"/>
      <c r="M787"/>
      <c r="N787"/>
      <c r="O787" s="62" t="str">
        <f>IF(E787="PA",IF(K787&lt;&gt;"",ISERROR(VLOOKUP(K787,ABBR!A:D,1,FALSE)),ISERROR(VLOOKUP(C787,ABBR!A:D,1,FALSE))),"")</f>
        <v/>
      </c>
      <c r="P787" t="str">
        <f>VLOOKUP(A787,Groups!A:L,5,FALSE)</f>
        <v>LOCA</v>
      </c>
      <c r="Q787" s="62" t="str">
        <f>IF(G787="PA",IF(M787&lt;&gt;"",ISERROR(VLOOKUP(M787,ABBR!C:F,1,FALSE)),ISERROR(VLOOKUP(E787,ABBR!C:F,1,FALSE))),"")</f>
        <v/>
      </c>
    </row>
    <row r="788" spans="1:17" s="62" customFormat="1" ht="25" hidden="1" x14ac:dyDescent="0.25">
      <c r="A788" s="16" t="s">
        <v>125</v>
      </c>
      <c r="B788" s="17"/>
      <c r="C788" s="16" t="s">
        <v>1945</v>
      </c>
      <c r="D788" s="17"/>
      <c r="E788" s="17" t="s">
        <v>608</v>
      </c>
      <c r="F788" s="18" t="s">
        <v>934</v>
      </c>
      <c r="G788" s="49" t="s">
        <v>953</v>
      </c>
      <c r="H788" s="17">
        <v>11</v>
      </c>
      <c r="I788" s="30"/>
      <c r="J788"/>
      <c r="K788"/>
      <c r="M788"/>
      <c r="N788"/>
      <c r="O788" s="62" t="str">
        <f>IF(E788="PA",IF(K788&lt;&gt;"",ISERROR(VLOOKUP(K788,ABBR!A:D,1,FALSE)),ISERROR(VLOOKUP(C788,ABBR!A:D,1,FALSE))),"")</f>
        <v/>
      </c>
      <c r="P788" t="str">
        <f>VLOOKUP(A788,Groups!A:L,5,FALSE)</f>
        <v>LOCA</v>
      </c>
      <c r="Q788" s="62" t="str">
        <f>IF(G788="PA",IF(M788&lt;&gt;"",ISERROR(VLOOKUP(M788,ABBR!C:F,1,FALSE)),ISERROR(VLOOKUP(E788,ABBR!C:F,1,FALSE))),"")</f>
        <v/>
      </c>
    </row>
    <row r="789" spans="1:17" s="62" customFormat="1" hidden="1" x14ac:dyDescent="0.25">
      <c r="A789" s="16" t="s">
        <v>125</v>
      </c>
      <c r="B789" s="17"/>
      <c r="C789" s="16" t="s">
        <v>936</v>
      </c>
      <c r="D789" s="17"/>
      <c r="E789" s="22" t="s">
        <v>608</v>
      </c>
      <c r="F789" s="18" t="s">
        <v>937</v>
      </c>
      <c r="G789" s="49" t="s">
        <v>938</v>
      </c>
      <c r="H789" s="17">
        <v>12</v>
      </c>
      <c r="I789" s="30"/>
      <c r="J789"/>
      <c r="K789"/>
      <c r="M789"/>
      <c r="N789"/>
      <c r="O789" s="62" t="str">
        <f>IF(E789="PA",IF(K789&lt;&gt;"",ISERROR(VLOOKUP(K789,ABBR!A:D,1,FALSE)),ISERROR(VLOOKUP(C789,ABBR!A:D,1,FALSE))),"")</f>
        <v/>
      </c>
      <c r="P789" t="str">
        <f>VLOOKUP(A789,Groups!A:L,5,FALSE)</f>
        <v>LOCA</v>
      </c>
      <c r="Q789" s="62" t="str">
        <f>IF(G789="PA",IF(M789&lt;&gt;"",ISERROR(VLOOKUP(M789,ABBR!C:F,1,FALSE)),ISERROR(VLOOKUP(E789,ABBR!C:F,1,FALSE))),"")</f>
        <v/>
      </c>
    </row>
    <row r="790" spans="1:17" s="62" customFormat="1" hidden="1" x14ac:dyDescent="0.25">
      <c r="A790" s="16" t="s">
        <v>125</v>
      </c>
      <c r="B790" s="17"/>
      <c r="C790" s="16" t="s">
        <v>643</v>
      </c>
      <c r="D790" s="17"/>
      <c r="E790" s="17" t="s">
        <v>608</v>
      </c>
      <c r="F790" s="18" t="s">
        <v>1946</v>
      </c>
      <c r="G790" s="49" t="s">
        <v>1947</v>
      </c>
      <c r="H790" s="17">
        <v>13</v>
      </c>
      <c r="I790" s="30"/>
      <c r="J790"/>
      <c r="K790"/>
      <c r="M790"/>
      <c r="N790"/>
      <c r="O790" s="62" t="str">
        <f>IF(E790="PA",IF(K790&lt;&gt;"",ISERROR(VLOOKUP(K790,ABBR!A:D,1,FALSE)),ISERROR(VLOOKUP(C790,ABBR!A:D,1,FALSE))),"")</f>
        <v/>
      </c>
      <c r="P790" t="str">
        <f>VLOOKUP(A790,Groups!A:L,5,FALSE)</f>
        <v>LOCA</v>
      </c>
      <c r="Q790" s="62" t="str">
        <f>IF(G790="PA",IF(M790&lt;&gt;"",ISERROR(VLOOKUP(M790,ABBR!C:F,1,FALSE)),ISERROR(VLOOKUP(E790,ABBR!C:F,1,FALSE))),"")</f>
        <v/>
      </c>
    </row>
    <row r="791" spans="1:17" s="62" customFormat="1" hidden="1" x14ac:dyDescent="0.25">
      <c r="A791" s="16" t="s">
        <v>125</v>
      </c>
      <c r="B791" s="17"/>
      <c r="C791" s="16" t="s">
        <v>1948</v>
      </c>
      <c r="D791" s="17"/>
      <c r="E791" s="17" t="s">
        <v>618</v>
      </c>
      <c r="F791" s="18" t="s">
        <v>1949</v>
      </c>
      <c r="G791" s="49" t="s">
        <v>1950</v>
      </c>
      <c r="H791" s="17">
        <v>14</v>
      </c>
      <c r="I791" s="30"/>
      <c r="J791" s="62" t="s">
        <v>473</v>
      </c>
      <c r="O791" s="62" t="b">
        <f>IF(E791="PA",IF(K791&lt;&gt;"",ISERROR(VLOOKUP(K791,ABBR!A:D,1,FALSE)),ISERROR(VLOOKUP(C791,ABBR!A:D,1,FALSE))),"")</f>
        <v>0</v>
      </c>
      <c r="P791" t="str">
        <f>VLOOKUP(A791,Groups!A:L,5,FALSE)</f>
        <v>LOCA</v>
      </c>
      <c r="Q791" s="62" t="str">
        <f>IF(G791="PA",IF(M791&lt;&gt;"",ISERROR(VLOOKUP(M791,ABBR!C:F,1,FALSE)),ISERROR(VLOOKUP(E791,ABBR!C:F,1,FALSE))),"")</f>
        <v/>
      </c>
    </row>
    <row r="792" spans="1:17" s="62" customFormat="1" hidden="1" x14ac:dyDescent="0.25">
      <c r="A792" s="16" t="s">
        <v>125</v>
      </c>
      <c r="B792" s="17"/>
      <c r="C792" s="16" t="s">
        <v>1951</v>
      </c>
      <c r="D792" s="17"/>
      <c r="E792" s="17" t="s">
        <v>608</v>
      </c>
      <c r="F792" s="18" t="s">
        <v>1952</v>
      </c>
      <c r="G792" s="49" t="s">
        <v>876</v>
      </c>
      <c r="H792" s="17">
        <v>26</v>
      </c>
      <c r="I792" s="30"/>
      <c r="J792" s="62" t="s">
        <v>473</v>
      </c>
      <c r="O792" s="62" t="s">
        <v>1297</v>
      </c>
      <c r="P792" t="s">
        <v>80</v>
      </c>
      <c r="Q792" s="62" t="s">
        <v>1297</v>
      </c>
    </row>
    <row r="793" spans="1:17" s="62" customFormat="1" hidden="1" x14ac:dyDescent="0.25">
      <c r="A793" s="16" t="s">
        <v>484</v>
      </c>
      <c r="B793" s="17" t="s">
        <v>594</v>
      </c>
      <c r="C793" s="16" t="s">
        <v>595</v>
      </c>
      <c r="D793" s="17"/>
      <c r="E793" s="17" t="s">
        <v>596</v>
      </c>
      <c r="F793" s="18" t="s">
        <v>1953</v>
      </c>
      <c r="G793" s="49" t="s">
        <v>598</v>
      </c>
      <c r="H793" s="17">
        <v>1</v>
      </c>
      <c r="I793" s="30"/>
      <c r="J793" s="62" t="s">
        <v>473</v>
      </c>
      <c r="O793" s="62" t="str">
        <f>IF(E793="PA",IF(K793&lt;&gt;"",ISERROR(VLOOKUP(K793,ABBR!A:D,1,FALSE)),ISERROR(VLOOKUP(C793,ABBR!A:D,1,FALSE))),"")</f>
        <v/>
      </c>
      <c r="P793" t="str">
        <f>VLOOKUP(A793,Groups!A:L,5,FALSE)</f>
        <v>LOCA</v>
      </c>
      <c r="Q793" s="62" t="str">
        <f>IF(G793="PA",IF(M793&lt;&gt;"",ISERROR(VLOOKUP(M793,ABBR!C:F,1,FALSE)),ISERROR(VLOOKUP(E793,ABBR!C:F,1,FALSE))),"")</f>
        <v/>
      </c>
    </row>
    <row r="794" spans="1:17" s="62" customFormat="1" hidden="1" x14ac:dyDescent="0.25">
      <c r="A794" s="16" t="s">
        <v>484</v>
      </c>
      <c r="B794" s="17" t="s">
        <v>594</v>
      </c>
      <c r="C794" s="16" t="s">
        <v>1954</v>
      </c>
      <c r="D794" s="17" t="s">
        <v>600</v>
      </c>
      <c r="E794" s="17" t="s">
        <v>601</v>
      </c>
      <c r="F794" s="18" t="s">
        <v>1955</v>
      </c>
      <c r="G794" s="49" t="s">
        <v>1956</v>
      </c>
      <c r="H794" s="17">
        <v>2</v>
      </c>
      <c r="I794" s="30"/>
      <c r="J794" s="62" t="s">
        <v>473</v>
      </c>
      <c r="O794" s="62" t="str">
        <f>IF(E794="PA",IF(K794&lt;&gt;"",ISERROR(VLOOKUP(K794,ABBR!A:D,1,FALSE)),ISERROR(VLOOKUP(C794,ABBR!A:D,1,FALSE))),"")</f>
        <v/>
      </c>
      <c r="P794" t="str">
        <f>VLOOKUP(A794,Groups!A:L,5,FALSE)</f>
        <v>LOCA</v>
      </c>
      <c r="Q794" s="62" t="str">
        <f>IF(G794="PA",IF(M794&lt;&gt;"",ISERROR(VLOOKUP(M794,ABBR!C:F,1,FALSE)),ISERROR(VLOOKUP(E794,ABBR!C:F,1,FALSE))),"")</f>
        <v/>
      </c>
    </row>
    <row r="795" spans="1:17" s="62" customFormat="1" hidden="1" x14ac:dyDescent="0.25">
      <c r="A795" s="16" t="s">
        <v>484</v>
      </c>
      <c r="B795" s="17"/>
      <c r="C795" s="16" t="s">
        <v>1957</v>
      </c>
      <c r="D795" s="17" t="s">
        <v>600</v>
      </c>
      <c r="E795" s="17" t="s">
        <v>601</v>
      </c>
      <c r="F795" s="18" t="s">
        <v>1958</v>
      </c>
      <c r="G795" s="49" t="s">
        <v>1319</v>
      </c>
      <c r="H795" s="17">
        <v>3</v>
      </c>
      <c r="I795" s="30"/>
      <c r="J795" s="62" t="s">
        <v>473</v>
      </c>
      <c r="O795" s="62" t="str">
        <f>IF(E795="PA",IF(K795&lt;&gt;"",ISERROR(VLOOKUP(K795,ABBR!A:D,1,FALSE)),ISERROR(VLOOKUP(C795,ABBR!A:D,1,FALSE))),"")</f>
        <v/>
      </c>
      <c r="P795" t="str">
        <f>VLOOKUP(A795,Groups!A:L,5,FALSE)</f>
        <v>LOCA</v>
      </c>
      <c r="Q795" s="62" t="str">
        <f>IF(G795="PA",IF(M795&lt;&gt;"",ISERROR(VLOOKUP(M795,ABBR!C:F,1,FALSE)),ISERROR(VLOOKUP(E795,ABBR!C:F,1,FALSE))),"")</f>
        <v/>
      </c>
    </row>
    <row r="796" spans="1:17" s="62" customFormat="1" hidden="1" x14ac:dyDescent="0.25">
      <c r="A796" s="16" t="s">
        <v>484</v>
      </c>
      <c r="B796" s="17"/>
      <c r="C796" s="16" t="s">
        <v>1959</v>
      </c>
      <c r="D796" s="17"/>
      <c r="E796" s="17" t="s">
        <v>767</v>
      </c>
      <c r="F796" s="18" t="s">
        <v>1960</v>
      </c>
      <c r="G796" s="49" t="s">
        <v>1114</v>
      </c>
      <c r="H796" s="17">
        <v>4</v>
      </c>
      <c r="I796" s="30"/>
      <c r="J796" s="62" t="s">
        <v>473</v>
      </c>
      <c r="O796" s="62" t="str">
        <f>IF(E796="PA",IF(K796&lt;&gt;"",ISERROR(VLOOKUP(K796,ABBR!A:D,1,FALSE)),ISERROR(VLOOKUP(C796,ABBR!A:D,1,FALSE))),"")</f>
        <v/>
      </c>
      <c r="P796" t="str">
        <f>VLOOKUP(A796,Groups!A:L,5,FALSE)</f>
        <v>LOCA</v>
      </c>
      <c r="Q796" s="62" t="str">
        <f>IF(G796="PA",IF(M796&lt;&gt;"",ISERROR(VLOOKUP(M796,ABBR!C:F,1,FALSE)),ISERROR(VLOOKUP(E796,ABBR!C:F,1,FALSE))),"")</f>
        <v/>
      </c>
    </row>
    <row r="797" spans="1:17" s="62" customFormat="1" hidden="1" x14ac:dyDescent="0.25">
      <c r="A797" s="16" t="s">
        <v>484</v>
      </c>
      <c r="B797" s="17"/>
      <c r="C797" s="16" t="s">
        <v>1961</v>
      </c>
      <c r="D797" s="17"/>
      <c r="E797" s="17" t="s">
        <v>723</v>
      </c>
      <c r="F797" s="18" t="s">
        <v>1962</v>
      </c>
      <c r="G797" s="49" t="s">
        <v>1963</v>
      </c>
      <c r="H797" s="17">
        <v>5</v>
      </c>
      <c r="I797" s="30"/>
      <c r="J797" s="62" t="s">
        <v>473</v>
      </c>
      <c r="O797" s="62" t="str">
        <f>IF(E797="PA",IF(K797&lt;&gt;"",ISERROR(VLOOKUP(K797,ABBR!A:D,1,FALSE)),ISERROR(VLOOKUP(C797,ABBR!A:D,1,FALSE))),"")</f>
        <v/>
      </c>
      <c r="P797" t="str">
        <f>VLOOKUP(A797,Groups!A:L,5,FALSE)</f>
        <v>LOCA</v>
      </c>
      <c r="Q797" s="62" t="str">
        <f>IF(G797="PA",IF(M797&lt;&gt;"",ISERROR(VLOOKUP(M797,ABBR!C:F,1,FALSE)),ISERROR(VLOOKUP(E797,ABBR!C:F,1,FALSE))),"")</f>
        <v/>
      </c>
    </row>
    <row r="798" spans="1:17" s="62" customFormat="1" hidden="1" x14ac:dyDescent="0.25">
      <c r="A798" s="16" t="s">
        <v>484</v>
      </c>
      <c r="B798" s="17"/>
      <c r="C798" s="16" t="s">
        <v>1964</v>
      </c>
      <c r="D798" s="17"/>
      <c r="E798" s="17" t="s">
        <v>608</v>
      </c>
      <c r="F798" s="18" t="s">
        <v>1965</v>
      </c>
      <c r="G798" s="49" t="s">
        <v>642</v>
      </c>
      <c r="H798" s="17">
        <v>6</v>
      </c>
      <c r="I798" s="30"/>
      <c r="J798" s="62" t="s">
        <v>473</v>
      </c>
      <c r="O798" s="62" t="str">
        <f>IF(E798="PA",IF(K798&lt;&gt;"",ISERROR(VLOOKUP(K798,ABBR!A:D,1,FALSE)),ISERROR(VLOOKUP(C798,ABBR!A:D,1,FALSE))),"")</f>
        <v/>
      </c>
      <c r="P798" t="str">
        <f>VLOOKUP(A798,Groups!A:L,5,FALSE)</f>
        <v>LOCA</v>
      </c>
      <c r="Q798" s="62" t="str">
        <f>IF(G798="PA",IF(M798&lt;&gt;"",ISERROR(VLOOKUP(M798,ABBR!C:F,1,FALSE)),ISERROR(VLOOKUP(E798,ABBR!C:F,1,FALSE))),"")</f>
        <v/>
      </c>
    </row>
    <row r="799" spans="1:17" s="62" customFormat="1" hidden="1" x14ac:dyDescent="0.25">
      <c r="A799" s="16" t="s">
        <v>484</v>
      </c>
      <c r="B799" s="17"/>
      <c r="C799" s="16" t="s">
        <v>629</v>
      </c>
      <c r="D799" s="17"/>
      <c r="E799" s="17" t="s">
        <v>608</v>
      </c>
      <c r="F799" s="18" t="s">
        <v>630</v>
      </c>
      <c r="G799" s="49" t="s">
        <v>631</v>
      </c>
      <c r="H799" s="17">
        <v>7</v>
      </c>
      <c r="I799" s="30"/>
      <c r="J799" s="62" t="s">
        <v>473</v>
      </c>
      <c r="O799" s="62" t="str">
        <f>IF(E799="PA",IF(K799&lt;&gt;"",ISERROR(VLOOKUP(K799,ABBR!A:D,1,FALSE)),ISERROR(VLOOKUP(C799,ABBR!A:D,1,FALSE))),"")</f>
        <v/>
      </c>
      <c r="P799" t="str">
        <f>VLOOKUP(A799,Groups!A:L,5,FALSE)</f>
        <v>LOCA</v>
      </c>
      <c r="Q799" s="62" t="str">
        <f>IF(G799="PA",IF(M799&lt;&gt;"",ISERROR(VLOOKUP(M799,ABBR!C:F,1,FALSE)),ISERROR(VLOOKUP(E799,ABBR!C:F,1,FALSE))),"")</f>
        <v/>
      </c>
    </row>
    <row r="800" spans="1:17" s="62" customFormat="1" hidden="1" x14ac:dyDescent="0.25">
      <c r="A800" s="16" t="s">
        <v>128</v>
      </c>
      <c r="B800" s="17" t="s">
        <v>594</v>
      </c>
      <c r="C800" s="16" t="s">
        <v>595</v>
      </c>
      <c r="D800" s="17"/>
      <c r="E800" s="17" t="s">
        <v>596</v>
      </c>
      <c r="F800" s="18" t="s">
        <v>597</v>
      </c>
      <c r="G800" s="49" t="s">
        <v>598</v>
      </c>
      <c r="H800" s="17">
        <v>1</v>
      </c>
      <c r="I800" s="30"/>
      <c r="J800"/>
      <c r="K800"/>
      <c r="M800"/>
      <c r="N800"/>
      <c r="O800" s="62" t="str">
        <f>IF(E800="PA",IF(K800&lt;&gt;"",ISERROR(VLOOKUP(K800,ABBR!A:D,1,FALSE)),ISERROR(VLOOKUP(C800,ABBR!A:D,1,FALSE))),"")</f>
        <v/>
      </c>
      <c r="P800" t="str">
        <f>VLOOKUP(A800,Groups!A:L,5,FALSE)</f>
        <v>DCPG</v>
      </c>
      <c r="Q800" s="62" t="str">
        <f>IF(G800="PA",IF(M800&lt;&gt;"",ISERROR(VLOOKUP(M800,ABBR!C:F,1,FALSE)),ISERROR(VLOOKUP(E800,ABBR!C:F,1,FALSE))),"")</f>
        <v/>
      </c>
    </row>
    <row r="801" spans="1:17" s="62" customFormat="1" hidden="1" x14ac:dyDescent="0.25">
      <c r="A801" s="16" t="s">
        <v>128</v>
      </c>
      <c r="B801" s="17" t="s">
        <v>594</v>
      </c>
      <c r="C801" s="16" t="s">
        <v>1921</v>
      </c>
      <c r="D801" s="17" t="s">
        <v>924</v>
      </c>
      <c r="E801" s="17" t="s">
        <v>925</v>
      </c>
      <c r="F801" s="18" t="s">
        <v>1922</v>
      </c>
      <c r="G801" s="49" t="s">
        <v>1923</v>
      </c>
      <c r="H801" s="17">
        <v>2</v>
      </c>
      <c r="I801" s="30"/>
      <c r="J801"/>
      <c r="K801"/>
      <c r="M801"/>
      <c r="N801"/>
      <c r="O801" s="62" t="str">
        <f>IF(E801="PA",IF(K801&lt;&gt;"",ISERROR(VLOOKUP(K801,ABBR!A:D,1,FALSE)),ISERROR(VLOOKUP(C801,ABBR!A:D,1,FALSE))),"")</f>
        <v/>
      </c>
      <c r="P801" t="str">
        <f>VLOOKUP(A801,Groups!A:L,5,FALSE)</f>
        <v>DCPG</v>
      </c>
      <c r="Q801" s="62" t="str">
        <f>IF(G801="PA",IF(M801&lt;&gt;"",ISERROR(VLOOKUP(M801,ABBR!C:F,1,FALSE)),ISERROR(VLOOKUP(E801,ABBR!C:F,1,FALSE))),"")</f>
        <v/>
      </c>
    </row>
    <row r="802" spans="1:17" s="62" customFormat="1" hidden="1" x14ac:dyDescent="0.25">
      <c r="A802" s="16" t="s">
        <v>128</v>
      </c>
      <c r="B802" s="17" t="s">
        <v>594</v>
      </c>
      <c r="C802" s="16" t="s">
        <v>1924</v>
      </c>
      <c r="D802" s="17"/>
      <c r="E802" s="17" t="s">
        <v>608</v>
      </c>
      <c r="F802" s="18" t="s">
        <v>1323</v>
      </c>
      <c r="G802" s="49" t="s">
        <v>631</v>
      </c>
      <c r="H802" s="17">
        <v>3</v>
      </c>
      <c r="I802" s="30"/>
      <c r="J802"/>
      <c r="K802"/>
      <c r="M802"/>
      <c r="N802"/>
      <c r="O802" s="62" t="str">
        <f>IF(E802="PA",IF(K802&lt;&gt;"",ISERROR(VLOOKUP(K802,ABBR!A:D,1,FALSE)),ISERROR(VLOOKUP(C802,ABBR!A:D,1,FALSE))),"")</f>
        <v/>
      </c>
      <c r="P802" t="str">
        <f>VLOOKUP(A802,Groups!A:L,5,FALSE)</f>
        <v>DCPG</v>
      </c>
      <c r="Q802" s="62" t="str">
        <f>IF(G802="PA",IF(M802&lt;&gt;"",ISERROR(VLOOKUP(M802,ABBR!C:F,1,FALSE)),ISERROR(VLOOKUP(E802,ABBR!C:F,1,FALSE))),"")</f>
        <v/>
      </c>
    </row>
    <row r="803" spans="1:17" s="62" customFormat="1" hidden="1" x14ac:dyDescent="0.25">
      <c r="A803" s="16" t="s">
        <v>128</v>
      </c>
      <c r="B803" s="17" t="s">
        <v>594</v>
      </c>
      <c r="C803" s="16" t="s">
        <v>1925</v>
      </c>
      <c r="D803" s="17" t="s">
        <v>600</v>
      </c>
      <c r="E803" s="17" t="s">
        <v>601</v>
      </c>
      <c r="F803" s="18" t="s">
        <v>1926</v>
      </c>
      <c r="G803" s="49" t="s">
        <v>1927</v>
      </c>
      <c r="H803" s="17">
        <v>4</v>
      </c>
      <c r="I803" s="30"/>
      <c r="J803"/>
      <c r="K803"/>
      <c r="M803"/>
      <c r="N803"/>
      <c r="O803" s="62" t="str">
        <f>IF(E803="PA",IF(K803&lt;&gt;"",ISERROR(VLOOKUP(K803,ABBR!A:D,1,FALSE)),ISERROR(VLOOKUP(C803,ABBR!A:D,1,FALSE))),"")</f>
        <v/>
      </c>
      <c r="P803" t="str">
        <f>VLOOKUP(A803,Groups!A:L,5,FALSE)</f>
        <v>DCPG</v>
      </c>
      <c r="Q803" s="62" t="str">
        <f>IF(G803="PA",IF(M803&lt;&gt;"",ISERROR(VLOOKUP(M803,ABBR!C:F,1,FALSE)),ISERROR(VLOOKUP(E803,ABBR!C:F,1,FALSE))),"")</f>
        <v/>
      </c>
    </row>
    <row r="804" spans="1:17" s="62" customFormat="1" hidden="1" x14ac:dyDescent="0.25">
      <c r="A804" s="16" t="s">
        <v>128</v>
      </c>
      <c r="B804" s="17" t="s">
        <v>594</v>
      </c>
      <c r="C804" s="16" t="s">
        <v>1966</v>
      </c>
      <c r="D804" s="17"/>
      <c r="E804" s="17" t="s">
        <v>767</v>
      </c>
      <c r="F804" s="18" t="s">
        <v>1967</v>
      </c>
      <c r="G804" s="49" t="s">
        <v>631</v>
      </c>
      <c r="H804" s="17">
        <v>5</v>
      </c>
      <c r="I804" s="30"/>
      <c r="J804"/>
      <c r="K804"/>
      <c r="M804"/>
      <c r="N804"/>
      <c r="O804" s="62" t="str">
        <f>IF(E804="PA",IF(K804&lt;&gt;"",ISERROR(VLOOKUP(K804,ABBR!A:D,1,FALSE)),ISERROR(VLOOKUP(C804,ABBR!A:D,1,FALSE))),"")</f>
        <v/>
      </c>
      <c r="P804" t="str">
        <f>VLOOKUP(A804,Groups!A:L,5,FALSE)</f>
        <v>DCPG</v>
      </c>
      <c r="Q804" s="62" t="str">
        <f>IF(G804="PA",IF(M804&lt;&gt;"",ISERROR(VLOOKUP(M804,ABBR!C:F,1,FALSE)),ISERROR(VLOOKUP(E804,ABBR!C:F,1,FALSE))),"")</f>
        <v/>
      </c>
    </row>
    <row r="805" spans="1:17" s="62" customFormat="1" hidden="1" x14ac:dyDescent="0.25">
      <c r="A805" s="16" t="s">
        <v>128</v>
      </c>
      <c r="B805" s="17"/>
      <c r="C805" s="16" t="s">
        <v>1968</v>
      </c>
      <c r="D805" s="17" t="s">
        <v>722</v>
      </c>
      <c r="E805" s="17" t="s">
        <v>767</v>
      </c>
      <c r="F805" s="18" t="s">
        <v>1969</v>
      </c>
      <c r="G805" s="49" t="s">
        <v>1041</v>
      </c>
      <c r="H805" s="17">
        <v>6</v>
      </c>
      <c r="I805" s="30"/>
      <c r="J805"/>
      <c r="K805"/>
      <c r="M805"/>
      <c r="N805"/>
      <c r="O805" s="62" t="str">
        <f>IF(E805="PA",IF(K805&lt;&gt;"",ISERROR(VLOOKUP(K805,ABBR!A:D,1,FALSE)),ISERROR(VLOOKUP(C805,ABBR!A:D,1,FALSE))),"")</f>
        <v/>
      </c>
      <c r="P805" t="str">
        <f>VLOOKUP(A805,Groups!A:L,5,FALSE)</f>
        <v>DCPG</v>
      </c>
      <c r="Q805" s="62" t="str">
        <f>IF(G805="PA",IF(M805&lt;&gt;"",ISERROR(VLOOKUP(M805,ABBR!C:F,1,FALSE)),ISERROR(VLOOKUP(E805,ABBR!C:F,1,FALSE))),"")</f>
        <v/>
      </c>
    </row>
    <row r="806" spans="1:17" s="62" customFormat="1" hidden="1" x14ac:dyDescent="0.25">
      <c r="A806" s="16" t="s">
        <v>128</v>
      </c>
      <c r="B806" s="17"/>
      <c r="C806" s="16" t="s">
        <v>1970</v>
      </c>
      <c r="D806" s="17" t="s">
        <v>1416</v>
      </c>
      <c r="E806" s="17" t="s">
        <v>1417</v>
      </c>
      <c r="F806" s="18" t="s">
        <v>1971</v>
      </c>
      <c r="G806" s="49" t="s">
        <v>1972</v>
      </c>
      <c r="H806" s="17">
        <v>7</v>
      </c>
      <c r="I806" s="30"/>
      <c r="J806"/>
      <c r="K806"/>
      <c r="M806"/>
      <c r="N806"/>
      <c r="O806" s="62" t="str">
        <f>IF(E806="PA",IF(K806&lt;&gt;"",ISERROR(VLOOKUP(K806,ABBR!A:D,1,FALSE)),ISERROR(VLOOKUP(C806,ABBR!A:D,1,FALSE))),"")</f>
        <v/>
      </c>
      <c r="P806" t="str">
        <f>VLOOKUP(A806,Groups!A:L,5,FALSE)</f>
        <v>DCPG</v>
      </c>
      <c r="Q806" s="62" t="str">
        <f>IF(G806="PA",IF(M806&lt;&gt;"",ISERROR(VLOOKUP(M806,ABBR!C:F,1,FALSE)),ISERROR(VLOOKUP(E806,ABBR!C:F,1,FALSE))),"")</f>
        <v/>
      </c>
    </row>
    <row r="807" spans="1:17" s="62" customFormat="1" hidden="1" x14ac:dyDescent="0.25">
      <c r="A807" s="16" t="s">
        <v>128</v>
      </c>
      <c r="B807" s="17"/>
      <c r="C807" s="16" t="s">
        <v>1973</v>
      </c>
      <c r="D807" s="17"/>
      <c r="E807" s="17" t="s">
        <v>608</v>
      </c>
      <c r="F807" s="18" t="s">
        <v>1974</v>
      </c>
      <c r="G807" s="49" t="s">
        <v>16</v>
      </c>
      <c r="H807" s="17">
        <v>8</v>
      </c>
      <c r="I807" s="30"/>
      <c r="J807"/>
      <c r="K807"/>
      <c r="M807" s="101"/>
      <c r="N807"/>
      <c r="O807" s="62" t="str">
        <f>IF(E807="PA",IF(K807&lt;&gt;"",ISERROR(VLOOKUP(K807,ABBR!A:D,1,FALSE)),ISERROR(VLOOKUP(C807,ABBR!A:D,1,FALSE))),"")</f>
        <v/>
      </c>
      <c r="P807" t="str">
        <f>VLOOKUP(A807,Groups!A:L,5,FALSE)</f>
        <v>DCPG</v>
      </c>
      <c r="Q807" s="62" t="str">
        <f>IF(G807="PA",IF(M807&lt;&gt;"",ISERROR(VLOOKUP(M807,ABBR!C:F,1,FALSE)),ISERROR(VLOOKUP(E807,ABBR!C:F,1,FALSE))),"")</f>
        <v/>
      </c>
    </row>
    <row r="808" spans="1:17" s="62" customFormat="1" hidden="1" x14ac:dyDescent="0.25">
      <c r="A808" s="16" t="s">
        <v>133</v>
      </c>
      <c r="B808" s="17" t="s">
        <v>594</v>
      </c>
      <c r="C808" s="16" t="s">
        <v>595</v>
      </c>
      <c r="D808" s="17"/>
      <c r="E808" s="17" t="s">
        <v>596</v>
      </c>
      <c r="F808" s="18" t="s">
        <v>597</v>
      </c>
      <c r="G808" s="49" t="s">
        <v>598</v>
      </c>
      <c r="H808" s="17">
        <v>1</v>
      </c>
      <c r="I808" s="30"/>
      <c r="J808"/>
      <c r="K808"/>
      <c r="M808"/>
      <c r="N808"/>
      <c r="O808" s="62" t="str">
        <f>IF(E808="PA",IF(K808&lt;&gt;"",ISERROR(VLOOKUP(K808,ABBR!A:D,1,FALSE)),ISERROR(VLOOKUP(C808,ABBR!A:D,1,FALSE))),"")</f>
        <v/>
      </c>
      <c r="P808" t="str">
        <f>VLOOKUP(A808,Groups!A:L,5,FALSE)</f>
        <v>LOCA</v>
      </c>
      <c r="Q808" s="62" t="str">
        <f>IF(G808="PA",IF(M808&lt;&gt;"",ISERROR(VLOOKUP(M808,ABBR!C:F,1,FALSE)),ISERROR(VLOOKUP(E808,ABBR!C:F,1,FALSE))),"")</f>
        <v/>
      </c>
    </row>
    <row r="809" spans="1:17" s="62" customFormat="1" hidden="1" x14ac:dyDescent="0.25">
      <c r="A809" s="16" t="s">
        <v>133</v>
      </c>
      <c r="B809" s="17" t="s">
        <v>594</v>
      </c>
      <c r="C809" s="16" t="s">
        <v>1975</v>
      </c>
      <c r="D809" s="17" t="s">
        <v>600</v>
      </c>
      <c r="E809" s="17" t="s">
        <v>601</v>
      </c>
      <c r="F809" s="18" t="s">
        <v>1976</v>
      </c>
      <c r="G809" s="49" t="s">
        <v>1977</v>
      </c>
      <c r="H809" s="17">
        <v>2</v>
      </c>
      <c r="I809" s="30"/>
      <c r="J809"/>
      <c r="K809"/>
      <c r="M809"/>
      <c r="N809"/>
      <c r="O809" s="62" t="str">
        <f>IF(E809="PA",IF(K809&lt;&gt;"",ISERROR(VLOOKUP(K809,ABBR!A:D,1,FALSE)),ISERROR(VLOOKUP(C809,ABBR!A:D,1,FALSE))),"")</f>
        <v/>
      </c>
      <c r="P809" t="str">
        <f>VLOOKUP(A809,Groups!A:L,5,FALSE)</f>
        <v>LOCA</v>
      </c>
      <c r="Q809" s="62" t="str">
        <f>IF(G809="PA",IF(M809&lt;&gt;"",ISERROR(VLOOKUP(M809,ABBR!C:F,1,FALSE)),ISERROR(VLOOKUP(E809,ABBR!C:F,1,FALSE))),"")</f>
        <v/>
      </c>
    </row>
    <row r="810" spans="1:17" s="62" customFormat="1" hidden="1" x14ac:dyDescent="0.25">
      <c r="A810" s="16" t="s">
        <v>133</v>
      </c>
      <c r="B810" s="17" t="s">
        <v>594</v>
      </c>
      <c r="C810" s="16" t="s">
        <v>1978</v>
      </c>
      <c r="D810" s="17" t="s">
        <v>600</v>
      </c>
      <c r="E810" s="17" t="s">
        <v>601</v>
      </c>
      <c r="F810" s="18" t="s">
        <v>1979</v>
      </c>
      <c r="G810" s="49" t="s">
        <v>1980</v>
      </c>
      <c r="H810" s="17">
        <v>3</v>
      </c>
      <c r="I810" s="30"/>
      <c r="J810"/>
      <c r="K810"/>
      <c r="M810"/>
      <c r="N810"/>
      <c r="O810" s="62" t="str">
        <f>IF(E810="PA",IF(K810&lt;&gt;"",ISERROR(VLOOKUP(K810,ABBR!A:D,1,FALSE)),ISERROR(VLOOKUP(C810,ABBR!A:D,1,FALSE))),"")</f>
        <v/>
      </c>
      <c r="P810" t="str">
        <f>VLOOKUP(A810,Groups!A:L,5,FALSE)</f>
        <v>LOCA</v>
      </c>
      <c r="Q810" s="62" t="str">
        <f>IF(G810="PA",IF(M810&lt;&gt;"",ISERROR(VLOOKUP(M810,ABBR!C:F,1,FALSE)),ISERROR(VLOOKUP(E810,ABBR!C:F,1,FALSE))),"")</f>
        <v/>
      </c>
    </row>
    <row r="811" spans="1:17" s="62" customFormat="1" hidden="1" x14ac:dyDescent="0.25">
      <c r="A811" s="16" t="s">
        <v>133</v>
      </c>
      <c r="B811" s="17"/>
      <c r="C811" s="16" t="s">
        <v>1981</v>
      </c>
      <c r="D811" s="17"/>
      <c r="E811" s="17" t="s">
        <v>608</v>
      </c>
      <c r="F811" s="18" t="s">
        <v>1982</v>
      </c>
      <c r="G811" s="49" t="s">
        <v>1983</v>
      </c>
      <c r="H811" s="17">
        <v>4</v>
      </c>
      <c r="I811" s="30"/>
      <c r="J811"/>
      <c r="K811"/>
      <c r="M811"/>
      <c r="N811"/>
      <c r="O811" s="62" t="str">
        <f>IF(E811="PA",IF(K811&lt;&gt;"",ISERROR(VLOOKUP(K811,ABBR!A:D,1,FALSE)),ISERROR(VLOOKUP(C811,ABBR!A:D,1,FALSE))),"")</f>
        <v/>
      </c>
      <c r="P811" t="str">
        <f>VLOOKUP(A811,Groups!A:L,5,FALSE)</f>
        <v>LOCA</v>
      </c>
      <c r="Q811" s="62" t="str">
        <f>IF(G811="PA",IF(M811&lt;&gt;"",ISERROR(VLOOKUP(M811,ABBR!C:F,1,FALSE)),ISERROR(VLOOKUP(E811,ABBR!C:F,1,FALSE))),"")</f>
        <v/>
      </c>
    </row>
    <row r="812" spans="1:17" s="62" customFormat="1" hidden="1" x14ac:dyDescent="0.25">
      <c r="A812" s="16" t="s">
        <v>133</v>
      </c>
      <c r="B812" s="17"/>
      <c r="C812" s="16" t="s">
        <v>1984</v>
      </c>
      <c r="D812" s="17"/>
      <c r="E812" s="17" t="s">
        <v>608</v>
      </c>
      <c r="F812" s="18" t="s">
        <v>642</v>
      </c>
      <c r="G812" s="49" t="s">
        <v>16</v>
      </c>
      <c r="H812" s="17">
        <v>5</v>
      </c>
      <c r="I812" s="30"/>
      <c r="J812"/>
      <c r="K812"/>
      <c r="M812" s="101"/>
      <c r="N812"/>
      <c r="O812" s="62" t="str">
        <f>IF(E812="PA",IF(K812&lt;&gt;"",ISERROR(VLOOKUP(K812,ABBR!A:D,1,FALSE)),ISERROR(VLOOKUP(C812,ABBR!A:D,1,FALSE))),"")</f>
        <v/>
      </c>
      <c r="P812" t="str">
        <f>VLOOKUP(A812,Groups!A:L,5,FALSE)</f>
        <v>LOCA</v>
      </c>
      <c r="Q812" s="62" t="str">
        <f>IF(G812="PA",IF(M812&lt;&gt;"",ISERROR(VLOOKUP(M812,ABBR!C:F,1,FALSE)),ISERROR(VLOOKUP(E812,ABBR!C:F,1,FALSE))),"")</f>
        <v/>
      </c>
    </row>
    <row r="813" spans="1:17" hidden="1" x14ac:dyDescent="0.25">
      <c r="A813" s="16" t="s">
        <v>133</v>
      </c>
      <c r="B813" s="17"/>
      <c r="C813" s="16" t="s">
        <v>643</v>
      </c>
      <c r="D813" s="17"/>
      <c r="E813" s="17" t="s">
        <v>608</v>
      </c>
      <c r="F813" s="18" t="s">
        <v>1985</v>
      </c>
      <c r="G813" s="49" t="s">
        <v>645</v>
      </c>
      <c r="H813" s="17">
        <v>6</v>
      </c>
      <c r="L813" s="62"/>
      <c r="O813" s="62" t="str">
        <f>IF(E813="PA",IF(K813&lt;&gt;"",ISERROR(VLOOKUP(K813,ABBR!A:D,1,FALSE)),ISERROR(VLOOKUP(C813,ABBR!A:D,1,FALSE))),"")</f>
        <v/>
      </c>
      <c r="P813" t="str">
        <f>VLOOKUP(A813,Groups!A:L,5,FALSE)</f>
        <v>LOCA</v>
      </c>
      <c r="Q813" s="62" t="str">
        <f>IF(G813="PA",IF(M813&lt;&gt;"",ISERROR(VLOOKUP(M813,ABBR!C:F,1,FALSE)),ISERROR(VLOOKUP(E813,ABBR!C:F,1,FALSE))),"")</f>
        <v/>
      </c>
    </row>
    <row r="814" spans="1:17" ht="25" hidden="1" x14ac:dyDescent="0.25">
      <c r="A814" s="16" t="s">
        <v>29</v>
      </c>
      <c r="B814" s="17" t="s">
        <v>960</v>
      </c>
      <c r="C814" s="16" t="s">
        <v>1986</v>
      </c>
      <c r="D814" s="17"/>
      <c r="E814" s="17" t="s">
        <v>618</v>
      </c>
      <c r="F814" s="18" t="s">
        <v>1987</v>
      </c>
      <c r="G814" s="49" t="s">
        <v>1988</v>
      </c>
      <c r="H814" s="17">
        <v>1</v>
      </c>
      <c r="L814" s="62"/>
      <c r="O814" s="62" t="b">
        <f>IF(E814="PA",IF(K814&lt;&gt;"",ISERROR(VLOOKUP(K814,ABBR!A:D,1,FALSE)),ISERROR(VLOOKUP(C814,ABBR!A:D,1,FALSE))),"")</f>
        <v>0</v>
      </c>
      <c r="P814" t="str">
        <f>VLOOKUP(A814,Groups!A:L,5,FALSE)</f>
        <v>-</v>
      </c>
      <c r="Q814" s="62" t="str">
        <f>IF(G814="PA",IF(M814&lt;&gt;"",ISERROR(VLOOKUP(M814,ABBR!C:F,1,FALSE)),ISERROR(VLOOKUP(E814,ABBR!C:F,1,FALSE))),"")</f>
        <v/>
      </c>
    </row>
    <row r="815" spans="1:17" hidden="1" x14ac:dyDescent="0.25">
      <c r="A815" s="16" t="s">
        <v>29</v>
      </c>
      <c r="B815" s="17" t="s">
        <v>960</v>
      </c>
      <c r="C815" s="16" t="s">
        <v>1989</v>
      </c>
      <c r="D815" s="17"/>
      <c r="E815" s="17" t="s">
        <v>608</v>
      </c>
      <c r="F815" s="18" t="s">
        <v>1990</v>
      </c>
      <c r="G815" s="49" t="s">
        <v>1991</v>
      </c>
      <c r="H815" s="17">
        <v>2</v>
      </c>
      <c r="L815" s="62"/>
      <c r="O815" s="62" t="str">
        <f>IF(E815="PA",IF(K815&lt;&gt;"",ISERROR(VLOOKUP(K815,ABBR!A:D,1,FALSE)),ISERROR(VLOOKUP(C815,ABBR!A:D,1,FALSE))),"")</f>
        <v/>
      </c>
      <c r="P815" t="str">
        <f>VLOOKUP(A815,Groups!A:L,5,FALSE)</f>
        <v>-</v>
      </c>
      <c r="Q815" s="62" t="str">
        <f>IF(G815="PA",IF(M815&lt;&gt;"",ISERROR(VLOOKUP(M815,ABBR!C:F,1,FALSE)),ISERROR(VLOOKUP(E815,ABBR!C:F,1,FALSE))),"")</f>
        <v/>
      </c>
    </row>
    <row r="816" spans="1:17" ht="37.5" hidden="1" x14ac:dyDescent="0.25">
      <c r="A816" s="16" t="s">
        <v>29</v>
      </c>
      <c r="B816" s="17" t="s">
        <v>594</v>
      </c>
      <c r="C816" s="16" t="s">
        <v>1992</v>
      </c>
      <c r="D816" s="17"/>
      <c r="E816" s="17" t="s">
        <v>608</v>
      </c>
      <c r="F816" s="18" t="s">
        <v>1993</v>
      </c>
      <c r="G816" s="49" t="s">
        <v>1994</v>
      </c>
      <c r="H816" s="17">
        <v>3</v>
      </c>
      <c r="L816" s="62"/>
      <c r="O816" s="62" t="str">
        <f>IF(E816="PA",IF(K816&lt;&gt;"",ISERROR(VLOOKUP(K816,ABBR!A:D,1,FALSE)),ISERROR(VLOOKUP(C816,ABBR!A:D,1,FALSE))),"")</f>
        <v/>
      </c>
      <c r="P816" t="str">
        <f>VLOOKUP(A816,Groups!A:L,5,FALSE)</f>
        <v>-</v>
      </c>
      <c r="Q816" s="62" t="str">
        <f>IF(G816="PA",IF(M816&lt;&gt;"",ISERROR(VLOOKUP(M816,ABBR!C:F,1,FALSE)),ISERROR(VLOOKUP(E816,ABBR!C:F,1,FALSE))),"")</f>
        <v/>
      </c>
    </row>
    <row r="817" spans="1:17" ht="37.5" hidden="1" x14ac:dyDescent="0.25">
      <c r="A817" s="16" t="s">
        <v>29</v>
      </c>
      <c r="B817" s="17"/>
      <c r="C817" s="16" t="s">
        <v>1995</v>
      </c>
      <c r="D817" s="17"/>
      <c r="E817" s="17" t="s">
        <v>618</v>
      </c>
      <c r="F817" s="18" t="s">
        <v>1996</v>
      </c>
      <c r="G817" s="49" t="s">
        <v>1997</v>
      </c>
      <c r="H817" s="17">
        <v>4</v>
      </c>
      <c r="L817" s="62"/>
      <c r="O817" s="62" t="b">
        <f>IF(E817="PA",IF(K817&lt;&gt;"",ISERROR(VLOOKUP(K817,ABBR!A:D,1,FALSE)),ISERROR(VLOOKUP(C817,ABBR!A:D,1,FALSE))),"")</f>
        <v>0</v>
      </c>
      <c r="P817" t="str">
        <f>VLOOKUP(A817,Groups!A:L,5,FALSE)</f>
        <v>-</v>
      </c>
      <c r="Q817" s="62" t="str">
        <f>IF(G817="PA",IF(M817&lt;&gt;"",ISERROR(VLOOKUP(M817,ABBR!C:F,1,FALSE)),ISERROR(VLOOKUP(E817,ABBR!C:F,1,FALSE))),"")</f>
        <v/>
      </c>
    </row>
    <row r="818" spans="1:17" ht="37.5" hidden="1" x14ac:dyDescent="0.25">
      <c r="A818" s="16" t="s">
        <v>29</v>
      </c>
      <c r="B818" s="17"/>
      <c r="C818" s="16" t="s">
        <v>1998</v>
      </c>
      <c r="D818" s="17"/>
      <c r="E818" s="17" t="s">
        <v>1999</v>
      </c>
      <c r="F818" s="18" t="s">
        <v>2000</v>
      </c>
      <c r="G818" s="49" t="s">
        <v>601</v>
      </c>
      <c r="H818" s="17">
        <v>5</v>
      </c>
      <c r="L818" s="62"/>
      <c r="O818" s="62" t="str">
        <f>IF(E818="PA",IF(K818&lt;&gt;"",ISERROR(VLOOKUP(K818,ABBR!A:D,1,FALSE)),ISERROR(VLOOKUP(C818,ABBR!A:D,1,FALSE))),"")</f>
        <v/>
      </c>
      <c r="P818" t="str">
        <f>VLOOKUP(A818,Groups!A:L,5,FALSE)</f>
        <v>-</v>
      </c>
      <c r="Q818" s="62" t="str">
        <f>IF(G818="PA",IF(M818&lt;&gt;"",ISERROR(VLOOKUP(M818,ABBR!C:F,1,FALSE)),ISERROR(VLOOKUP(E818,ABBR!C:F,1,FALSE))),"")</f>
        <v/>
      </c>
    </row>
    <row r="819" spans="1:17" hidden="1" x14ac:dyDescent="0.25">
      <c r="A819" s="16" t="s">
        <v>29</v>
      </c>
      <c r="B819" s="17" t="s">
        <v>966</v>
      </c>
      <c r="C819" s="16" t="s">
        <v>2001</v>
      </c>
      <c r="D819" s="17"/>
      <c r="E819" s="17" t="s">
        <v>608</v>
      </c>
      <c r="F819" s="18" t="s">
        <v>589</v>
      </c>
      <c r="G819" s="49" t="s">
        <v>2002</v>
      </c>
      <c r="H819" s="17">
        <v>6</v>
      </c>
      <c r="L819" s="62"/>
      <c r="O819" s="62" t="str">
        <f>IF(E819="PA",IF(K819&lt;&gt;"",ISERROR(VLOOKUP(K819,ABBR!A:D,1,FALSE)),ISERROR(VLOOKUP(C819,ABBR!A:D,1,FALSE))),"")</f>
        <v/>
      </c>
      <c r="P819" t="str">
        <f>VLOOKUP(A819,Groups!A:L,5,FALSE)</f>
        <v>-</v>
      </c>
      <c r="Q819" s="62" t="str">
        <f>IF(G819="PA",IF(M819&lt;&gt;"",ISERROR(VLOOKUP(M819,ABBR!C:F,1,FALSE)),ISERROR(VLOOKUP(E819,ABBR!C:F,1,FALSE))),"")</f>
        <v/>
      </c>
    </row>
    <row r="820" spans="1:17" ht="37.5" hidden="1" x14ac:dyDescent="0.25">
      <c r="A820" s="16" t="s">
        <v>29</v>
      </c>
      <c r="B820" s="17"/>
      <c r="C820" s="16" t="s">
        <v>2003</v>
      </c>
      <c r="D820" s="17"/>
      <c r="E820" s="17" t="s">
        <v>2004</v>
      </c>
      <c r="F820" s="18" t="s">
        <v>2005</v>
      </c>
      <c r="G820" s="49" t="s">
        <v>2006</v>
      </c>
      <c r="H820" s="17">
        <v>7</v>
      </c>
      <c r="L820" s="62"/>
      <c r="O820" s="62" t="str">
        <f>IF(E820="PA",IF(K820&lt;&gt;"",ISERROR(VLOOKUP(K820,ABBR!A:D,1,FALSE)),ISERROR(VLOOKUP(C820,ABBR!A:D,1,FALSE))),"")</f>
        <v/>
      </c>
      <c r="P820" t="str">
        <f>VLOOKUP(A820,Groups!A:L,5,FALSE)</f>
        <v>-</v>
      </c>
      <c r="Q820" s="62" t="str">
        <f>IF(G820="PA",IF(M820&lt;&gt;"",ISERROR(VLOOKUP(M820,ABBR!C:F,1,FALSE)),ISERROR(VLOOKUP(E820,ABBR!C:F,1,FALSE))),"")</f>
        <v/>
      </c>
    </row>
    <row r="821" spans="1:17" hidden="1" x14ac:dyDescent="0.25">
      <c r="A821" s="16" t="s">
        <v>29</v>
      </c>
      <c r="B821" s="17"/>
      <c r="C821" s="16" t="s">
        <v>2007</v>
      </c>
      <c r="D821" s="17"/>
      <c r="E821" s="17" t="s">
        <v>608</v>
      </c>
      <c r="F821" s="18" t="s">
        <v>845</v>
      </c>
      <c r="G821" s="49" t="s">
        <v>897</v>
      </c>
      <c r="H821" s="17">
        <v>8</v>
      </c>
      <c r="L821" s="62"/>
      <c r="O821" s="62" t="str">
        <f>IF(E821="PA",IF(K821&lt;&gt;"",ISERROR(VLOOKUP(K821,ABBR!A:D,1,FALSE)),ISERROR(VLOOKUP(C821,ABBR!A:D,1,FALSE))),"")</f>
        <v/>
      </c>
      <c r="P821" t="str">
        <f>VLOOKUP(A821,Groups!A:L,5,FALSE)</f>
        <v>-</v>
      </c>
      <c r="Q821" s="62" t="str">
        <f>IF(G821="PA",IF(M821&lt;&gt;"",ISERROR(VLOOKUP(M821,ABBR!C:F,1,FALSE)),ISERROR(VLOOKUP(E821,ABBR!C:F,1,FALSE))),"")</f>
        <v/>
      </c>
    </row>
    <row r="822" spans="1:17" ht="37.5" hidden="1" x14ac:dyDescent="0.25">
      <c r="A822" s="16" t="s">
        <v>29</v>
      </c>
      <c r="B822" s="17"/>
      <c r="C822" s="16" t="s">
        <v>2008</v>
      </c>
      <c r="D822" s="17"/>
      <c r="E822" s="17" t="s">
        <v>608</v>
      </c>
      <c r="F822" s="18" t="s">
        <v>2009</v>
      </c>
      <c r="G822" s="49" t="s">
        <v>80</v>
      </c>
      <c r="H822" s="17">
        <v>9</v>
      </c>
      <c r="L822" s="62"/>
      <c r="O822" s="62" t="str">
        <f>IF(E822="PA",IF(K822&lt;&gt;"",ISERROR(VLOOKUP(K822,ABBR!A:D,1,FALSE)),ISERROR(VLOOKUP(C822,ABBR!A:D,1,FALSE))),"")</f>
        <v/>
      </c>
      <c r="P822" t="str">
        <f>VLOOKUP(A822,Groups!A:L,5,FALSE)</f>
        <v>-</v>
      </c>
      <c r="Q822" s="62" t="str">
        <f>IF(G822="PA",IF(M822&lt;&gt;"",ISERROR(VLOOKUP(M822,ABBR!C:F,1,FALSE)),ISERROR(VLOOKUP(E822,ABBR!C:F,1,FALSE))),"")</f>
        <v/>
      </c>
    </row>
    <row r="823" spans="1:17" hidden="1" x14ac:dyDescent="0.25">
      <c r="A823" s="16" t="s">
        <v>29</v>
      </c>
      <c r="B823" s="17"/>
      <c r="C823" s="16" t="s">
        <v>2010</v>
      </c>
      <c r="D823" s="17"/>
      <c r="E823" s="17" t="s">
        <v>608</v>
      </c>
      <c r="F823" s="18" t="s">
        <v>642</v>
      </c>
      <c r="G823" s="49" t="s">
        <v>16</v>
      </c>
      <c r="H823" s="17">
        <v>10</v>
      </c>
      <c r="L823" s="62"/>
      <c r="M823" s="101"/>
      <c r="O823" s="62" t="str">
        <f>IF(E823="PA",IF(K823&lt;&gt;"",ISERROR(VLOOKUP(K823,ABBR!A:D,1,FALSE)),ISERROR(VLOOKUP(C823,ABBR!A:D,1,FALSE))),"")</f>
        <v/>
      </c>
      <c r="P823" t="str">
        <f>VLOOKUP(A823,Groups!A:L,5,FALSE)</f>
        <v>-</v>
      </c>
      <c r="Q823" s="62" t="str">
        <f>IF(G823="PA",IF(M823&lt;&gt;"",ISERROR(VLOOKUP(M823,ABBR!C:F,1,FALSE)),ISERROR(VLOOKUP(E823,ABBR!C:F,1,FALSE))),"")</f>
        <v/>
      </c>
    </row>
    <row r="824" spans="1:17" hidden="1" x14ac:dyDescent="0.25">
      <c r="A824" s="16" t="s">
        <v>29</v>
      </c>
      <c r="B824" s="17"/>
      <c r="C824" s="16" t="s">
        <v>643</v>
      </c>
      <c r="D824" s="17"/>
      <c r="E824" s="17" t="s">
        <v>608</v>
      </c>
      <c r="F824" s="18" t="s">
        <v>1714</v>
      </c>
      <c r="G824" s="49" t="s">
        <v>975</v>
      </c>
      <c r="H824" s="17">
        <v>11</v>
      </c>
      <c r="L824" s="62"/>
      <c r="O824" s="62" t="str">
        <f>IF(E824="PA",IF(K824&lt;&gt;"",ISERROR(VLOOKUP(K824,ABBR!A:D,1,FALSE)),ISERROR(VLOOKUP(C824,ABBR!A:D,1,FALSE))),"")</f>
        <v/>
      </c>
      <c r="P824" t="str">
        <f>VLOOKUP(A824,Groups!A:L,5,FALSE)</f>
        <v>-</v>
      </c>
      <c r="Q824" s="62" t="str">
        <f>IF(G824="PA",IF(M824&lt;&gt;"",ISERROR(VLOOKUP(M824,ABBR!C:F,1,FALSE)),ISERROR(VLOOKUP(E824,ABBR!C:F,1,FALSE))),"")</f>
        <v/>
      </c>
    </row>
    <row r="825" spans="1:17" hidden="1" x14ac:dyDescent="0.25">
      <c r="A825" s="16" t="s">
        <v>137</v>
      </c>
      <c r="B825" s="17" t="s">
        <v>594</v>
      </c>
      <c r="C825" s="16" t="s">
        <v>595</v>
      </c>
      <c r="D825" s="17"/>
      <c r="E825" s="17" t="s">
        <v>596</v>
      </c>
      <c r="F825" s="18" t="s">
        <v>597</v>
      </c>
      <c r="G825" s="49" t="s">
        <v>598</v>
      </c>
      <c r="H825" s="17">
        <v>1</v>
      </c>
      <c r="L825" s="62"/>
      <c r="N825" s="62"/>
      <c r="O825" s="62" t="str">
        <f>IF(E825="PA",IF(K825&lt;&gt;"",ISERROR(VLOOKUP(K825,ABBR!A:D,1,FALSE)),ISERROR(VLOOKUP(C825,ABBR!A:D,1,FALSE))),"")</f>
        <v/>
      </c>
      <c r="P825" t="str">
        <f>VLOOKUP(A825,Groups!A:L,5,FALSE)</f>
        <v>LOCA</v>
      </c>
      <c r="Q825" s="62" t="str">
        <f>IF(G825="PA",IF(M825&lt;&gt;"",ISERROR(VLOOKUP(M825,ABBR!C:F,1,FALSE)),ISERROR(VLOOKUP(E825,ABBR!C:F,1,FALSE))),"")</f>
        <v/>
      </c>
    </row>
    <row r="826" spans="1:17" ht="50" hidden="1" x14ac:dyDescent="0.25">
      <c r="A826" s="16" t="s">
        <v>137</v>
      </c>
      <c r="B826" s="17" t="s">
        <v>594</v>
      </c>
      <c r="C826" s="16" t="s">
        <v>2011</v>
      </c>
      <c r="D826" s="17" t="s">
        <v>600</v>
      </c>
      <c r="E826" s="17" t="s">
        <v>601</v>
      </c>
      <c r="F826" s="18" t="s">
        <v>2012</v>
      </c>
      <c r="G826" s="49" t="s">
        <v>2013</v>
      </c>
      <c r="H826" s="17">
        <v>2</v>
      </c>
      <c r="J826" s="62" t="s">
        <v>1279</v>
      </c>
      <c r="K826" s="62"/>
      <c r="L826" s="62"/>
      <c r="M826" s="62"/>
      <c r="N826" s="62"/>
      <c r="O826" s="62" t="str">
        <f>IF(E826="PA",IF(K826&lt;&gt;"",ISERROR(VLOOKUP(K826,ABBR!A:D,1,FALSE)),ISERROR(VLOOKUP(C826,ABBR!A:D,1,FALSE))),"")</f>
        <v/>
      </c>
      <c r="P826" t="str">
        <f>VLOOKUP(A826,Groups!A:L,5,FALSE)</f>
        <v>LOCA</v>
      </c>
      <c r="Q826" s="62" t="str">
        <f>IF(G826="PA",IF(M826&lt;&gt;"",ISERROR(VLOOKUP(M826,ABBR!C:F,1,FALSE)),ISERROR(VLOOKUP(E826,ABBR!C:F,1,FALSE))),"")</f>
        <v/>
      </c>
    </row>
    <row r="827" spans="1:17" ht="25" hidden="1" x14ac:dyDescent="0.25">
      <c r="A827" s="16" t="s">
        <v>137</v>
      </c>
      <c r="B827" s="17" t="s">
        <v>594</v>
      </c>
      <c r="C827" s="16" t="s">
        <v>2014</v>
      </c>
      <c r="D827" s="17" t="s">
        <v>600</v>
      </c>
      <c r="E827" s="17" t="s">
        <v>601</v>
      </c>
      <c r="F827" s="18" t="s">
        <v>2015</v>
      </c>
      <c r="G827" s="49" t="s">
        <v>2016</v>
      </c>
      <c r="H827" s="17">
        <v>3</v>
      </c>
      <c r="L827" s="62"/>
      <c r="O827" s="62" t="str">
        <f>IF(E827="PA",IF(K827&lt;&gt;"",ISERROR(VLOOKUP(K827,ABBR!A:D,1,FALSE)),ISERROR(VLOOKUP(C827,ABBR!A:D,1,FALSE))),"")</f>
        <v/>
      </c>
      <c r="P827" t="str">
        <f>VLOOKUP(A827,Groups!A:L,5,FALSE)</f>
        <v>LOCA</v>
      </c>
      <c r="Q827" s="62" t="str">
        <f>IF(G827="PA",IF(M827&lt;&gt;"",ISERROR(VLOOKUP(M827,ABBR!C:F,1,FALSE)),ISERROR(VLOOKUP(E827,ABBR!C:F,1,FALSE))),"")</f>
        <v/>
      </c>
    </row>
    <row r="828" spans="1:17" hidden="1" x14ac:dyDescent="0.25">
      <c r="A828" s="16" t="s">
        <v>137</v>
      </c>
      <c r="B828" s="17" t="s">
        <v>594</v>
      </c>
      <c r="C828" s="16" t="s">
        <v>2017</v>
      </c>
      <c r="D828" s="17"/>
      <c r="E828" s="17" t="s">
        <v>608</v>
      </c>
      <c r="F828" s="18" t="s">
        <v>2018</v>
      </c>
      <c r="G828" s="49" t="s">
        <v>2019</v>
      </c>
      <c r="H828" s="17">
        <v>4</v>
      </c>
      <c r="L828" s="62"/>
      <c r="O828" s="62" t="str">
        <f>IF(E828="PA",IF(K828&lt;&gt;"",ISERROR(VLOOKUP(K828,ABBR!A:D,1,FALSE)),ISERROR(VLOOKUP(C828,ABBR!A:D,1,FALSE))),"")</f>
        <v/>
      </c>
      <c r="P828" t="str">
        <f>VLOOKUP(A828,Groups!A:L,5,FALSE)</f>
        <v>LOCA</v>
      </c>
      <c r="Q828" s="62" t="str">
        <f>IF(G828="PA",IF(M828&lt;&gt;"",ISERROR(VLOOKUP(M828,ABBR!C:F,1,FALSE)),ISERROR(VLOOKUP(E828,ABBR!C:F,1,FALSE))),"")</f>
        <v/>
      </c>
    </row>
    <row r="829" spans="1:17" hidden="1" x14ac:dyDescent="0.25">
      <c r="A829" s="16" t="s">
        <v>137</v>
      </c>
      <c r="B829" s="17" t="s">
        <v>594</v>
      </c>
      <c r="C829" s="16" t="s">
        <v>2020</v>
      </c>
      <c r="D829" s="17"/>
      <c r="E829" s="17" t="s">
        <v>608</v>
      </c>
      <c r="F829" s="18" t="s">
        <v>2021</v>
      </c>
      <c r="G829" s="49" t="s">
        <v>2022</v>
      </c>
      <c r="H829" s="17">
        <v>5</v>
      </c>
      <c r="L829" s="62"/>
      <c r="O829" s="62" t="str">
        <f>IF(E829="PA",IF(K829&lt;&gt;"",ISERROR(VLOOKUP(K829,ABBR!A:D,1,FALSE)),ISERROR(VLOOKUP(C829,ABBR!A:D,1,FALSE))),"")</f>
        <v/>
      </c>
      <c r="P829" t="str">
        <f>VLOOKUP(A829,Groups!A:L,5,FALSE)</f>
        <v>LOCA</v>
      </c>
      <c r="Q829" s="62" t="str">
        <f>IF(G829="PA",IF(M829&lt;&gt;"",ISERROR(VLOOKUP(M829,ABBR!C:F,1,FALSE)),ISERROR(VLOOKUP(E829,ABBR!C:F,1,FALSE))),"")</f>
        <v/>
      </c>
    </row>
    <row r="830" spans="1:17" hidden="1" x14ac:dyDescent="0.25">
      <c r="A830" s="16" t="s">
        <v>137</v>
      </c>
      <c r="B830" s="17"/>
      <c r="C830" s="16" t="s">
        <v>2023</v>
      </c>
      <c r="D830" s="17"/>
      <c r="E830" s="17" t="s">
        <v>618</v>
      </c>
      <c r="F830" s="18" t="s">
        <v>2024</v>
      </c>
      <c r="G830" s="49" t="s">
        <v>2025</v>
      </c>
      <c r="H830" s="17">
        <v>6</v>
      </c>
      <c r="L830" s="62"/>
      <c r="O830" s="62" t="b">
        <f>IF(E830="PA",IF(K830&lt;&gt;"",ISERROR(VLOOKUP(K830,ABBR!A:D,1,FALSE)),ISERROR(VLOOKUP(C830,ABBR!A:D,1,FALSE))),"")</f>
        <v>0</v>
      </c>
      <c r="P830" t="str">
        <f>VLOOKUP(A830,Groups!A:L,5,FALSE)</f>
        <v>LOCA</v>
      </c>
      <c r="Q830" s="62" t="str">
        <f>IF(G830="PA",IF(M830&lt;&gt;"",ISERROR(VLOOKUP(M830,ABBR!C:F,1,FALSE)),ISERROR(VLOOKUP(E830,ABBR!C:F,1,FALSE))),"")</f>
        <v/>
      </c>
    </row>
    <row r="831" spans="1:17" ht="25" hidden="1" x14ac:dyDescent="0.25">
      <c r="A831" s="16" t="s">
        <v>137</v>
      </c>
      <c r="B831" s="17"/>
      <c r="C831" s="16" t="s">
        <v>2026</v>
      </c>
      <c r="D831" s="17" t="s">
        <v>2027</v>
      </c>
      <c r="E831" s="17" t="s">
        <v>608</v>
      </c>
      <c r="F831" s="18" t="s">
        <v>2028</v>
      </c>
      <c r="G831" s="49" t="s">
        <v>2029</v>
      </c>
      <c r="H831" s="17">
        <v>7</v>
      </c>
      <c r="I831" s="30" t="s">
        <v>2030</v>
      </c>
      <c r="J831" s="62" t="s">
        <v>1279</v>
      </c>
      <c r="K831" s="62"/>
      <c r="L831" s="62"/>
      <c r="M831" s="62"/>
      <c r="N831" s="62"/>
      <c r="O831" s="62" t="str">
        <f>IF(E831="PA",IF(K831&lt;&gt;"",ISERROR(VLOOKUP(K831,ABBR!A:D,1,FALSE)),ISERROR(VLOOKUP(C831,ABBR!A:D,1,FALSE))),"")</f>
        <v/>
      </c>
      <c r="P831" t="str">
        <f>VLOOKUP(A831,Groups!A:L,5,FALSE)</f>
        <v>LOCA</v>
      </c>
      <c r="Q831" s="62" t="str">
        <f>IF(G831="PA",IF(M831&lt;&gt;"",ISERROR(VLOOKUP(M831,ABBR!C:F,1,FALSE)),ISERROR(VLOOKUP(E831,ABBR!C:F,1,FALSE))),"")</f>
        <v/>
      </c>
    </row>
    <row r="832" spans="1:17" hidden="1" x14ac:dyDescent="0.25">
      <c r="A832" s="16" t="s">
        <v>137</v>
      </c>
      <c r="B832" s="17"/>
      <c r="C832" s="16" t="s">
        <v>2031</v>
      </c>
      <c r="D832" s="17" t="s">
        <v>2027</v>
      </c>
      <c r="E832" s="17" t="s">
        <v>608</v>
      </c>
      <c r="F832" s="18" t="s">
        <v>2032</v>
      </c>
      <c r="G832" s="49" t="s">
        <v>2033</v>
      </c>
      <c r="H832" s="17">
        <v>8</v>
      </c>
      <c r="I832" s="30" t="s">
        <v>2030</v>
      </c>
      <c r="J832" s="62" t="s">
        <v>1279</v>
      </c>
      <c r="K832" s="62"/>
      <c r="L832" s="62"/>
      <c r="M832" s="62" t="s">
        <v>8790</v>
      </c>
      <c r="N832" s="62"/>
      <c r="O832" s="62" t="str">
        <f>IF(E832="PA",IF(K832&lt;&gt;"",ISERROR(VLOOKUP(K832,ABBR!A:D,1,FALSE)),ISERROR(VLOOKUP(C832,ABBR!A:D,1,FALSE))),"")</f>
        <v/>
      </c>
      <c r="P832" t="str">
        <f>VLOOKUP(A832,Groups!A:L,5,FALSE)</f>
        <v>LOCA</v>
      </c>
      <c r="Q832" s="62" t="str">
        <f>IF(G832="PA",IF(M832&lt;&gt;"",ISERROR(VLOOKUP(M832,ABBR!C:F,1,FALSE)),ISERROR(VLOOKUP(E832,ABBR!C:F,1,FALSE))),"")</f>
        <v/>
      </c>
    </row>
    <row r="833" spans="1:17" hidden="1" x14ac:dyDescent="0.25">
      <c r="A833" s="16" t="s">
        <v>137</v>
      </c>
      <c r="B833" s="17"/>
      <c r="C833" s="16" t="s">
        <v>2034</v>
      </c>
      <c r="D833" s="17"/>
      <c r="E833" s="17" t="s">
        <v>618</v>
      </c>
      <c r="F833" s="18" t="s">
        <v>2035</v>
      </c>
      <c r="G833" s="49" t="s">
        <v>2036</v>
      </c>
      <c r="H833" s="17">
        <v>9</v>
      </c>
      <c r="J833" s="62" t="s">
        <v>1279</v>
      </c>
      <c r="K833" s="62"/>
      <c r="L833" s="62"/>
      <c r="M833" s="62"/>
      <c r="N833" s="62"/>
      <c r="O833" s="62" t="b">
        <f>IF(E833="PA",IF(K833&lt;&gt;"",ISERROR(VLOOKUP(K833,ABBR!A:D,1,FALSE)),ISERROR(VLOOKUP(C833,ABBR!A:D,1,FALSE))),"")</f>
        <v>0</v>
      </c>
      <c r="P833" t="str">
        <f>VLOOKUP(A833,Groups!A:L,5,FALSE)</f>
        <v>LOCA</v>
      </c>
      <c r="Q833" s="62" t="str">
        <f>IF(G833="PA",IF(M833&lt;&gt;"",ISERROR(VLOOKUP(M833,ABBR!C:F,1,FALSE)),ISERROR(VLOOKUP(E833,ABBR!C:F,1,FALSE))),"")</f>
        <v/>
      </c>
    </row>
    <row r="834" spans="1:17" hidden="1" x14ac:dyDescent="0.25">
      <c r="A834" s="16" t="s">
        <v>137</v>
      </c>
      <c r="B834" s="17"/>
      <c r="C834" s="16" t="s">
        <v>2037</v>
      </c>
      <c r="D834" s="17"/>
      <c r="E834" s="17" t="s">
        <v>618</v>
      </c>
      <c r="F834" s="18" t="s">
        <v>2038</v>
      </c>
      <c r="G834" s="49" t="s">
        <v>2039</v>
      </c>
      <c r="H834" s="17">
        <v>10</v>
      </c>
      <c r="J834" s="62" t="s">
        <v>1279</v>
      </c>
      <c r="K834" s="62"/>
      <c r="L834" s="62"/>
      <c r="M834" s="62"/>
      <c r="N834" s="62"/>
      <c r="O834" s="62" t="b">
        <f>IF(E834="PA",IF(K834&lt;&gt;"",ISERROR(VLOOKUP(K834,ABBR!A:D,1,FALSE)),ISERROR(VLOOKUP(C834,ABBR!A:D,1,FALSE))),"")</f>
        <v>0</v>
      </c>
      <c r="P834" t="str">
        <f>VLOOKUP(A834,Groups!A:L,5,FALSE)</f>
        <v>LOCA</v>
      </c>
      <c r="Q834" s="62" t="str">
        <f>IF(G834="PA",IF(M834&lt;&gt;"",ISERROR(VLOOKUP(M834,ABBR!C:F,1,FALSE)),ISERROR(VLOOKUP(E834,ABBR!C:F,1,FALSE))),"")</f>
        <v/>
      </c>
    </row>
    <row r="835" spans="1:17" hidden="1" x14ac:dyDescent="0.25">
      <c r="A835" s="16" t="s">
        <v>137</v>
      </c>
      <c r="B835" s="17"/>
      <c r="C835" s="16" t="s">
        <v>2040</v>
      </c>
      <c r="D835" s="17" t="s">
        <v>600</v>
      </c>
      <c r="E835" s="17" t="s">
        <v>723</v>
      </c>
      <c r="F835" s="18" t="s">
        <v>2041</v>
      </c>
      <c r="G835" s="49" t="s">
        <v>1226</v>
      </c>
      <c r="H835" s="17">
        <v>11</v>
      </c>
      <c r="J835" s="62" t="s">
        <v>1279</v>
      </c>
      <c r="K835" s="62"/>
      <c r="L835" s="62"/>
      <c r="M835" s="62"/>
      <c r="N835" s="62"/>
      <c r="O835" s="62" t="str">
        <f>IF(E835="PA",IF(K835&lt;&gt;"",ISERROR(VLOOKUP(K835,ABBR!A:D,1,FALSE)),ISERROR(VLOOKUP(C835,ABBR!A:D,1,FALSE))),"")</f>
        <v/>
      </c>
      <c r="P835" t="str">
        <f>VLOOKUP(A835,Groups!A:L,5,FALSE)</f>
        <v>LOCA</v>
      </c>
      <c r="Q835" s="62" t="str">
        <f>IF(G835="PA",IF(M835&lt;&gt;"",ISERROR(VLOOKUP(M835,ABBR!C:F,1,FALSE)),ISERROR(VLOOKUP(E835,ABBR!C:F,1,FALSE))),"")</f>
        <v/>
      </c>
    </row>
    <row r="836" spans="1:17" hidden="1" x14ac:dyDescent="0.25">
      <c r="A836" s="16" t="s">
        <v>137</v>
      </c>
      <c r="B836" s="17"/>
      <c r="C836" s="16" t="s">
        <v>2042</v>
      </c>
      <c r="D836" s="17" t="s">
        <v>600</v>
      </c>
      <c r="E836" s="17" t="s">
        <v>723</v>
      </c>
      <c r="F836" s="18" t="s">
        <v>2043</v>
      </c>
      <c r="G836" s="49" t="s">
        <v>2044</v>
      </c>
      <c r="H836" s="17">
        <v>12</v>
      </c>
      <c r="J836" s="62" t="s">
        <v>1279</v>
      </c>
      <c r="K836" s="62"/>
      <c r="L836" s="62"/>
      <c r="M836" s="62"/>
      <c r="N836" s="62"/>
      <c r="O836" s="62" t="str">
        <f>IF(E836="PA",IF(K836&lt;&gt;"",ISERROR(VLOOKUP(K836,ABBR!A:D,1,FALSE)),ISERROR(VLOOKUP(C836,ABBR!A:D,1,FALSE))),"")</f>
        <v/>
      </c>
      <c r="P836" t="str">
        <f>VLOOKUP(A836,Groups!A:L,5,FALSE)</f>
        <v>LOCA</v>
      </c>
      <c r="Q836" s="62" t="str">
        <f>IF(G836="PA",IF(M836&lt;&gt;"",ISERROR(VLOOKUP(M836,ABBR!C:F,1,FALSE)),ISERROR(VLOOKUP(E836,ABBR!C:F,1,FALSE))),"")</f>
        <v/>
      </c>
    </row>
    <row r="837" spans="1:17" hidden="1" x14ac:dyDescent="0.25">
      <c r="A837" s="16" t="s">
        <v>137</v>
      </c>
      <c r="B837" s="17"/>
      <c r="C837" s="16" t="s">
        <v>2045</v>
      </c>
      <c r="D837" s="17"/>
      <c r="E837" s="17" t="s">
        <v>767</v>
      </c>
      <c r="F837" s="18" t="s">
        <v>2046</v>
      </c>
      <c r="G837" s="49" t="s">
        <v>910</v>
      </c>
      <c r="H837" s="17">
        <v>13</v>
      </c>
      <c r="L837" s="62"/>
      <c r="O837" s="62" t="str">
        <f>IF(E837="PA",IF(K837&lt;&gt;"",ISERROR(VLOOKUP(K837,ABBR!A:D,1,FALSE)),ISERROR(VLOOKUP(C837,ABBR!A:D,1,FALSE))),"")</f>
        <v/>
      </c>
      <c r="P837" t="str">
        <f>VLOOKUP(A837,Groups!A:L,5,FALSE)</f>
        <v>LOCA</v>
      </c>
      <c r="Q837" s="62" t="str">
        <f>IF(G837="PA",IF(M837&lt;&gt;"",ISERROR(VLOOKUP(M837,ABBR!C:F,1,FALSE)),ISERROR(VLOOKUP(E837,ABBR!C:F,1,FALSE))),"")</f>
        <v/>
      </c>
    </row>
    <row r="838" spans="1:17" hidden="1" x14ac:dyDescent="0.25">
      <c r="A838" s="16" t="s">
        <v>137</v>
      </c>
      <c r="B838" s="17"/>
      <c r="C838" s="16" t="s">
        <v>2047</v>
      </c>
      <c r="D838" s="17"/>
      <c r="E838" s="17" t="s">
        <v>608</v>
      </c>
      <c r="F838" s="18" t="s">
        <v>2048</v>
      </c>
      <c r="G838" s="49" t="s">
        <v>2049</v>
      </c>
      <c r="H838" s="17">
        <v>14</v>
      </c>
      <c r="J838" s="62" t="s">
        <v>1279</v>
      </c>
      <c r="K838" s="62"/>
      <c r="L838" s="62"/>
      <c r="M838" s="62"/>
      <c r="N838" s="62"/>
      <c r="O838" s="62" t="str">
        <f>IF(E838="PA",IF(K838&lt;&gt;"",ISERROR(VLOOKUP(K838,ABBR!A:D,1,FALSE)),ISERROR(VLOOKUP(C838,ABBR!A:D,1,FALSE))),"")</f>
        <v/>
      </c>
      <c r="P838" t="str">
        <f>VLOOKUP(A838,Groups!A:L,5,FALSE)</f>
        <v>LOCA</v>
      </c>
      <c r="Q838" s="62" t="str">
        <f>IF(G838="PA",IF(M838&lt;&gt;"",ISERROR(VLOOKUP(M838,ABBR!C:F,1,FALSE)),ISERROR(VLOOKUP(E838,ABBR!C:F,1,FALSE))),"")</f>
        <v/>
      </c>
    </row>
    <row r="839" spans="1:17" ht="25" hidden="1" x14ac:dyDescent="0.25">
      <c r="A839" s="16" t="s">
        <v>137</v>
      </c>
      <c r="B839" s="17"/>
      <c r="C839" s="16" t="s">
        <v>2050</v>
      </c>
      <c r="D839" s="17" t="s">
        <v>722</v>
      </c>
      <c r="E839" s="17" t="s">
        <v>1391</v>
      </c>
      <c r="F839" s="18" t="s">
        <v>2051</v>
      </c>
      <c r="G839" s="49" t="s">
        <v>2052</v>
      </c>
      <c r="H839" s="17">
        <v>15</v>
      </c>
      <c r="I839" s="30" t="s">
        <v>2053</v>
      </c>
      <c r="J839" s="62" t="s">
        <v>1279</v>
      </c>
      <c r="K839" s="62"/>
      <c r="L839" s="62"/>
      <c r="M839" s="62"/>
      <c r="N839" s="62"/>
      <c r="O839" s="62" t="str">
        <f>IF(E839="PA",IF(K839&lt;&gt;"",ISERROR(VLOOKUP(K839,ABBR!A:D,1,FALSE)),ISERROR(VLOOKUP(C839,ABBR!A:D,1,FALSE))),"")</f>
        <v/>
      </c>
      <c r="P839" t="str">
        <f>VLOOKUP(A839,Groups!A:L,5,FALSE)</f>
        <v>LOCA</v>
      </c>
      <c r="Q839" s="62" t="str">
        <f>IF(G839="PA",IF(M839&lt;&gt;"",ISERROR(VLOOKUP(M839,ABBR!C:F,1,FALSE)),ISERROR(VLOOKUP(E839,ABBR!C:F,1,FALSE))),"")</f>
        <v/>
      </c>
    </row>
    <row r="840" spans="1:17" hidden="1" x14ac:dyDescent="0.25">
      <c r="A840" s="16" t="s">
        <v>137</v>
      </c>
      <c r="B840" s="17"/>
      <c r="C840" s="16" t="s">
        <v>2054</v>
      </c>
      <c r="D840" s="17"/>
      <c r="E840" s="17" t="s">
        <v>618</v>
      </c>
      <c r="F840" s="98" t="s">
        <v>2055</v>
      </c>
      <c r="G840" s="49" t="s">
        <v>2056</v>
      </c>
      <c r="H840" s="17">
        <v>16</v>
      </c>
      <c r="J840" s="62" t="s">
        <v>1279</v>
      </c>
      <c r="K840" s="62"/>
      <c r="L840" s="62"/>
      <c r="M840" s="62"/>
      <c r="N840" s="62"/>
      <c r="O840" s="62" t="b">
        <f>IF(E840="PA",IF(K840&lt;&gt;"",ISERROR(VLOOKUP(K840,ABBR!A:D,1,FALSE)),ISERROR(VLOOKUP(C840,ABBR!A:D,1,FALSE))),"")</f>
        <v>0</v>
      </c>
      <c r="P840" t="str">
        <f>VLOOKUP(A840,Groups!A:L,5,FALSE)</f>
        <v>LOCA</v>
      </c>
      <c r="Q840" s="62" t="str">
        <f>IF(G840="PA",IF(M840&lt;&gt;"",ISERROR(VLOOKUP(M840,ABBR!C:F,1,FALSE)),ISERROR(VLOOKUP(E840,ABBR!C:F,1,FALSE))),"")</f>
        <v/>
      </c>
    </row>
    <row r="841" spans="1:17" hidden="1" x14ac:dyDescent="0.25">
      <c r="A841" s="16" t="s">
        <v>137</v>
      </c>
      <c r="B841" s="17"/>
      <c r="C841" s="16" t="s">
        <v>2057</v>
      </c>
      <c r="D841" s="17"/>
      <c r="E841" s="17" t="s">
        <v>608</v>
      </c>
      <c r="F841" s="18" t="s">
        <v>2058</v>
      </c>
      <c r="G841" s="49" t="s">
        <v>2059</v>
      </c>
      <c r="H841" s="17">
        <v>17</v>
      </c>
      <c r="L841" s="62"/>
      <c r="O841" s="62" t="str">
        <f>IF(E841="PA",IF(K841&lt;&gt;"",ISERROR(VLOOKUP(K841,ABBR!A:D,1,FALSE)),ISERROR(VLOOKUP(C841,ABBR!A:D,1,FALSE))),"")</f>
        <v/>
      </c>
      <c r="P841" t="str">
        <f>VLOOKUP(A841,Groups!A:L,5,FALSE)</f>
        <v>LOCA</v>
      </c>
      <c r="Q841" s="62" t="str">
        <f>IF(G841="PA",IF(M841&lt;&gt;"",ISERROR(VLOOKUP(M841,ABBR!C:F,1,FALSE)),ISERROR(VLOOKUP(E841,ABBR!C:F,1,FALSE))),"")</f>
        <v/>
      </c>
    </row>
    <row r="842" spans="1:17" hidden="1" x14ac:dyDescent="0.25">
      <c r="A842" s="16" t="s">
        <v>137</v>
      </c>
      <c r="B842" s="17"/>
      <c r="C842" s="16" t="s">
        <v>2060</v>
      </c>
      <c r="D842" s="17"/>
      <c r="E842" s="17" t="s">
        <v>618</v>
      </c>
      <c r="F842" s="18" t="s">
        <v>2061</v>
      </c>
      <c r="G842" s="49" t="s">
        <v>2062</v>
      </c>
      <c r="H842" s="17">
        <v>18</v>
      </c>
      <c r="L842" s="62"/>
      <c r="O842" s="62" t="b">
        <f>IF(E842="PA",IF(K842&lt;&gt;"",ISERROR(VLOOKUP(K842,ABBR!A:D,1,FALSE)),ISERROR(VLOOKUP(C842,ABBR!A:D,1,FALSE))),"")</f>
        <v>0</v>
      </c>
      <c r="P842" t="str">
        <f>VLOOKUP(A842,Groups!A:L,5,FALSE)</f>
        <v>LOCA</v>
      </c>
      <c r="Q842" s="62" t="str">
        <f>IF(G842="PA",IF(M842&lt;&gt;"",ISERROR(VLOOKUP(M842,ABBR!C:F,1,FALSE)),ISERROR(VLOOKUP(E842,ABBR!C:F,1,FALSE))),"")</f>
        <v/>
      </c>
    </row>
    <row r="843" spans="1:17" hidden="1" x14ac:dyDescent="0.25">
      <c r="A843" s="16" t="s">
        <v>137</v>
      </c>
      <c r="B843" s="17"/>
      <c r="C843" s="16" t="s">
        <v>2063</v>
      </c>
      <c r="D843" s="17" t="s">
        <v>600</v>
      </c>
      <c r="E843" s="17" t="s">
        <v>723</v>
      </c>
      <c r="F843" s="18" t="s">
        <v>2064</v>
      </c>
      <c r="G843" s="49" t="s">
        <v>1963</v>
      </c>
      <c r="H843" s="17">
        <v>19</v>
      </c>
      <c r="L843" s="62"/>
      <c r="O843" s="62" t="str">
        <f>IF(E843="PA",IF(K843&lt;&gt;"",ISERROR(VLOOKUP(K843,ABBR!A:D,1,FALSE)),ISERROR(VLOOKUP(C843,ABBR!A:D,1,FALSE))),"")</f>
        <v/>
      </c>
      <c r="P843" t="str">
        <f>VLOOKUP(A843,Groups!A:L,5,FALSE)</f>
        <v>LOCA</v>
      </c>
      <c r="Q843" s="62" t="str">
        <f>IF(G843="PA",IF(M843&lt;&gt;"",ISERROR(VLOOKUP(M843,ABBR!C:F,1,FALSE)),ISERROR(VLOOKUP(E843,ABBR!C:F,1,FALSE))),"")</f>
        <v/>
      </c>
    </row>
    <row r="844" spans="1:17" hidden="1" x14ac:dyDescent="0.25">
      <c r="A844" s="16" t="s">
        <v>137</v>
      </c>
      <c r="B844" s="17"/>
      <c r="C844" s="16" t="s">
        <v>2065</v>
      </c>
      <c r="D844" s="17" t="s">
        <v>1710</v>
      </c>
      <c r="E844" s="17" t="s">
        <v>767</v>
      </c>
      <c r="F844" s="18" t="s">
        <v>2066</v>
      </c>
      <c r="G844" s="49" t="s">
        <v>2067</v>
      </c>
      <c r="H844" s="17">
        <v>20</v>
      </c>
      <c r="O844" s="62" t="str">
        <f>IF(E844="PA",IF(K844&lt;&gt;"",ISERROR(VLOOKUP(K844,ABBR!A:D,1,FALSE)),ISERROR(VLOOKUP(C844,ABBR!A:D,1,FALSE))),"")</f>
        <v/>
      </c>
      <c r="P844" t="str">
        <f>VLOOKUP(A844,Groups!A:L,5,FALSE)</f>
        <v>LOCA</v>
      </c>
      <c r="Q844" s="62" t="str">
        <f>IF(G844="PA",IF(M844&lt;&gt;"",ISERROR(VLOOKUP(M844,ABBR!C:F,1,FALSE)),ISERROR(VLOOKUP(E844,ABBR!C:F,1,FALSE))),"")</f>
        <v/>
      </c>
    </row>
    <row r="845" spans="1:17" hidden="1" x14ac:dyDescent="0.25">
      <c r="A845" s="16" t="s">
        <v>137</v>
      </c>
      <c r="B845" s="17"/>
      <c r="C845" s="16" t="s">
        <v>2068</v>
      </c>
      <c r="D845" s="17"/>
      <c r="E845" s="17" t="s">
        <v>608</v>
      </c>
      <c r="F845" s="18" t="s">
        <v>2069</v>
      </c>
      <c r="G845" s="49" t="s">
        <v>2070</v>
      </c>
      <c r="H845" s="17">
        <v>21</v>
      </c>
      <c r="O845" s="62" t="str">
        <f>IF(E845="PA",IF(K845&lt;&gt;"",ISERROR(VLOOKUP(K845,ABBR!A:D,1,FALSE)),ISERROR(VLOOKUP(C845,ABBR!A:D,1,FALSE))),"")</f>
        <v/>
      </c>
      <c r="P845" t="str">
        <f>VLOOKUP(A845,Groups!A:L,5,FALSE)</f>
        <v>LOCA</v>
      </c>
      <c r="Q845" s="62" t="str">
        <f>IF(G845="PA",IF(M845&lt;&gt;"",ISERROR(VLOOKUP(M845,ABBR!C:F,1,FALSE)),ISERROR(VLOOKUP(E845,ABBR!C:F,1,FALSE))),"")</f>
        <v/>
      </c>
    </row>
    <row r="846" spans="1:17" hidden="1" x14ac:dyDescent="0.25">
      <c r="A846" s="16" t="s">
        <v>137</v>
      </c>
      <c r="B846" s="17"/>
      <c r="C846" s="16" t="s">
        <v>2071</v>
      </c>
      <c r="D846" s="17"/>
      <c r="E846" s="17" t="s">
        <v>608</v>
      </c>
      <c r="F846" s="18" t="s">
        <v>2072</v>
      </c>
      <c r="G846" s="49" t="s">
        <v>2073</v>
      </c>
      <c r="H846" s="17">
        <v>22</v>
      </c>
      <c r="O846" s="62" t="str">
        <f>IF(E846="PA",IF(K846&lt;&gt;"",ISERROR(VLOOKUP(K846,ABBR!A:D,1,FALSE)),ISERROR(VLOOKUP(C846,ABBR!A:D,1,FALSE))),"")</f>
        <v/>
      </c>
      <c r="P846" t="str">
        <f>VLOOKUP(A846,Groups!A:L,5,FALSE)</f>
        <v>LOCA</v>
      </c>
      <c r="Q846" s="62" t="str">
        <f>IF(G846="PA",IF(M846&lt;&gt;"",ISERROR(VLOOKUP(M846,ABBR!C:F,1,FALSE)),ISERROR(VLOOKUP(E846,ABBR!C:F,1,FALSE))),"")</f>
        <v/>
      </c>
    </row>
    <row r="847" spans="1:17" hidden="1" x14ac:dyDescent="0.25">
      <c r="A847" s="16" t="s">
        <v>137</v>
      </c>
      <c r="B847" s="17"/>
      <c r="C847" s="16" t="s">
        <v>2074</v>
      </c>
      <c r="D847" s="17" t="s">
        <v>2075</v>
      </c>
      <c r="E847" s="17" t="s">
        <v>767</v>
      </c>
      <c r="F847" s="18" t="s">
        <v>2076</v>
      </c>
      <c r="G847" s="49" t="s">
        <v>1229</v>
      </c>
      <c r="H847" s="17">
        <v>23</v>
      </c>
      <c r="O847" s="62" t="str">
        <f>IF(E847="PA",IF(K847&lt;&gt;"",ISERROR(VLOOKUP(K847,ABBR!A:D,1,FALSE)),ISERROR(VLOOKUP(C847,ABBR!A:D,1,FALSE))),"")</f>
        <v/>
      </c>
      <c r="P847" t="str">
        <f>VLOOKUP(A847,Groups!A:L,5,FALSE)</f>
        <v>LOCA</v>
      </c>
      <c r="Q847" s="62" t="str">
        <f>IF(G847="PA",IF(M847&lt;&gt;"",ISERROR(VLOOKUP(M847,ABBR!C:F,1,FALSE)),ISERROR(VLOOKUP(E847,ABBR!C:F,1,FALSE))),"")</f>
        <v/>
      </c>
    </row>
    <row r="848" spans="1:17" hidden="1" x14ac:dyDescent="0.25">
      <c r="A848" s="16" t="s">
        <v>137</v>
      </c>
      <c r="B848" s="17"/>
      <c r="C848" s="16" t="s">
        <v>2077</v>
      </c>
      <c r="D848" s="17"/>
      <c r="E848" s="17" t="s">
        <v>608</v>
      </c>
      <c r="F848" s="18" t="s">
        <v>642</v>
      </c>
      <c r="G848" s="49" t="s">
        <v>16</v>
      </c>
      <c r="H848" s="17">
        <v>24</v>
      </c>
      <c r="M848" s="101"/>
      <c r="O848" s="62" t="str">
        <f>IF(E848="PA",IF(K848&lt;&gt;"",ISERROR(VLOOKUP(K848,ABBR!A:D,1,FALSE)),ISERROR(VLOOKUP(C848,ABBR!A:D,1,FALSE))),"")</f>
        <v/>
      </c>
      <c r="P848" t="str">
        <f>VLOOKUP(A848,Groups!A:L,5,FALSE)</f>
        <v>LOCA</v>
      </c>
      <c r="Q848" s="62" t="str">
        <f>IF(G848="PA",IF(M848&lt;&gt;"",ISERROR(VLOOKUP(M848,ABBR!C:F,1,FALSE)),ISERROR(VLOOKUP(E848,ABBR!C:F,1,FALSE))),"")</f>
        <v/>
      </c>
    </row>
    <row r="849" spans="1:17" hidden="1" x14ac:dyDescent="0.25">
      <c r="A849" s="16" t="s">
        <v>137</v>
      </c>
      <c r="B849" s="17"/>
      <c r="C849" s="16" t="s">
        <v>643</v>
      </c>
      <c r="D849" s="17"/>
      <c r="E849" s="17" t="s">
        <v>608</v>
      </c>
      <c r="F849" s="18" t="s">
        <v>1985</v>
      </c>
      <c r="G849" s="49" t="s">
        <v>2078</v>
      </c>
      <c r="H849" s="17">
        <v>25</v>
      </c>
      <c r="O849" s="62" t="str">
        <f>IF(E849="PA",IF(K849&lt;&gt;"",ISERROR(VLOOKUP(K849,ABBR!A:D,1,FALSE)),ISERROR(VLOOKUP(C849,ABBR!A:D,1,FALSE))),"")</f>
        <v/>
      </c>
      <c r="P849" t="str">
        <f>VLOOKUP(A849,Groups!A:L,5,FALSE)</f>
        <v>LOCA</v>
      </c>
      <c r="Q849" s="62" t="str">
        <f>IF(G849="PA",IF(M849&lt;&gt;"",ISERROR(VLOOKUP(M849,ABBR!C:F,1,FALSE)),ISERROR(VLOOKUP(E849,ABBR!C:F,1,FALSE))),"")</f>
        <v/>
      </c>
    </row>
    <row r="850" spans="1:17" hidden="1" x14ac:dyDescent="0.25">
      <c r="A850" s="16" t="s">
        <v>137</v>
      </c>
      <c r="B850" s="17"/>
      <c r="C850" s="16" t="s">
        <v>2079</v>
      </c>
      <c r="D850" s="17" t="s">
        <v>2027</v>
      </c>
      <c r="E850" s="17" t="s">
        <v>767</v>
      </c>
      <c r="F850" s="18" t="s">
        <v>2080</v>
      </c>
      <c r="G850" s="49" t="s">
        <v>2029</v>
      </c>
      <c r="H850" s="17">
        <v>26</v>
      </c>
      <c r="J850" s="62" t="s">
        <v>473</v>
      </c>
      <c r="K850" s="62"/>
      <c r="M850" s="62" t="s">
        <v>2081</v>
      </c>
      <c r="N850" s="62"/>
      <c r="O850" s="62" t="str">
        <f>IF(E850="PA",IF(K850&lt;&gt;"",ISERROR(VLOOKUP(K850,ABBR!A:D,1,FALSE)),ISERROR(VLOOKUP(C850,ABBR!A:D,1,FALSE))),"")</f>
        <v/>
      </c>
      <c r="P850" t="str">
        <f>VLOOKUP(A850,Groups!A:L,5,FALSE)</f>
        <v>LOCA</v>
      </c>
      <c r="Q850" s="62" t="str">
        <f>IF(G850="PA",IF(M850&lt;&gt;"",ISERROR(VLOOKUP(M850,ABBR!C:F,1,FALSE)),ISERROR(VLOOKUP(E850,ABBR!C:F,1,FALSE))),"")</f>
        <v/>
      </c>
    </row>
    <row r="851" spans="1:17" hidden="1" x14ac:dyDescent="0.25">
      <c r="A851" s="16" t="s">
        <v>137</v>
      </c>
      <c r="B851" s="17"/>
      <c r="C851" s="16" t="s">
        <v>2082</v>
      </c>
      <c r="D851" s="17" t="s">
        <v>2027</v>
      </c>
      <c r="E851" s="17" t="s">
        <v>767</v>
      </c>
      <c r="F851" s="18" t="s">
        <v>2083</v>
      </c>
      <c r="G851" s="49" t="s">
        <v>2033</v>
      </c>
      <c r="H851" s="17">
        <v>27</v>
      </c>
      <c r="J851" s="62" t="s">
        <v>473</v>
      </c>
      <c r="K851" s="62"/>
      <c r="M851" s="62" t="s">
        <v>2081</v>
      </c>
      <c r="N851" s="62"/>
      <c r="O851" s="62" t="str">
        <f>IF(E851="PA",IF(K851&lt;&gt;"",ISERROR(VLOOKUP(K851,ABBR!A:D,1,FALSE)),ISERROR(VLOOKUP(C851,ABBR!A:D,1,FALSE))),"")</f>
        <v/>
      </c>
      <c r="P851" t="str">
        <f>VLOOKUP(A851,Groups!A:L,5,FALSE)</f>
        <v>LOCA</v>
      </c>
      <c r="Q851" s="62" t="str">
        <f>IF(G851="PA",IF(M851&lt;&gt;"",ISERROR(VLOOKUP(M851,ABBR!C:F,1,FALSE)),ISERROR(VLOOKUP(E851,ABBR!C:F,1,FALSE))),"")</f>
        <v/>
      </c>
    </row>
    <row r="852" spans="1:17" ht="25" hidden="1" x14ac:dyDescent="0.25">
      <c r="A852" s="16" t="s">
        <v>137</v>
      </c>
      <c r="B852" s="17"/>
      <c r="C852" s="16" t="s">
        <v>2084</v>
      </c>
      <c r="D852" s="17" t="s">
        <v>2027</v>
      </c>
      <c r="E852" s="17" t="s">
        <v>767</v>
      </c>
      <c r="F852" s="18" t="s">
        <v>2085</v>
      </c>
      <c r="G852" s="49" t="s">
        <v>1091</v>
      </c>
      <c r="H852" s="17">
        <v>28</v>
      </c>
      <c r="J852" s="62" t="s">
        <v>473</v>
      </c>
      <c r="K852" s="62"/>
      <c r="M852" s="62"/>
      <c r="N852" s="62"/>
      <c r="O852" s="62" t="str">
        <f>IF(E852="PA",IF(K852&lt;&gt;"",ISERROR(VLOOKUP(K852,ABBR!A:D,1,FALSE)),ISERROR(VLOOKUP(C852,ABBR!A:D,1,FALSE))),"")</f>
        <v/>
      </c>
      <c r="P852" t="str">
        <f>VLOOKUP(A852,Groups!A:L,5,FALSE)</f>
        <v>LOCA</v>
      </c>
      <c r="Q852" s="62" t="str">
        <f>IF(G852="PA",IF(M852&lt;&gt;"",ISERROR(VLOOKUP(M852,ABBR!C:F,1,FALSE)),ISERROR(VLOOKUP(E852,ABBR!C:F,1,FALSE))),"")</f>
        <v/>
      </c>
    </row>
    <row r="853" spans="1:17" ht="25" hidden="1" x14ac:dyDescent="0.25">
      <c r="A853" s="16" t="s">
        <v>137</v>
      </c>
      <c r="B853" s="17"/>
      <c r="C853" s="16" t="s">
        <v>2086</v>
      </c>
      <c r="D853" s="17"/>
      <c r="E853" s="17" t="s">
        <v>674</v>
      </c>
      <c r="F853" s="18" t="s">
        <v>2087</v>
      </c>
      <c r="G853" s="49" t="s">
        <v>677</v>
      </c>
      <c r="H853" s="17">
        <v>29</v>
      </c>
      <c r="J853" s="62" t="s">
        <v>473</v>
      </c>
      <c r="K853" s="62"/>
      <c r="M853" s="62"/>
      <c r="N853" s="62"/>
      <c r="O853" s="62" t="str">
        <f>IF(E853="PA",IF(K853&lt;&gt;"",ISERROR(VLOOKUP(K853,ABBR!A:D,1,FALSE)),ISERROR(VLOOKUP(C853,ABBR!A:D,1,FALSE))),"")</f>
        <v/>
      </c>
      <c r="P853" t="str">
        <f>VLOOKUP(A853,Groups!A:L,5,FALSE)</f>
        <v>LOCA</v>
      </c>
      <c r="Q853" s="62" t="str">
        <f>IF(G853="PA",IF(M853&lt;&gt;"",ISERROR(VLOOKUP(M853,ABBR!C:F,1,FALSE)),ISERROR(VLOOKUP(E853,ABBR!C:F,1,FALSE))),"")</f>
        <v/>
      </c>
    </row>
    <row r="854" spans="1:17" hidden="1" x14ac:dyDescent="0.25">
      <c r="A854" s="16" t="s">
        <v>137</v>
      </c>
      <c r="B854" s="17"/>
      <c r="C854" s="16" t="s">
        <v>2088</v>
      </c>
      <c r="D854" s="17"/>
      <c r="E854" s="17" t="s">
        <v>608</v>
      </c>
      <c r="F854" s="18" t="s">
        <v>2089</v>
      </c>
      <c r="G854" s="49" t="s">
        <v>2090</v>
      </c>
      <c r="H854" s="17">
        <v>30</v>
      </c>
      <c r="J854" s="62" t="s">
        <v>473</v>
      </c>
      <c r="K854" s="62"/>
      <c r="M854" s="62"/>
      <c r="N854" s="62"/>
      <c r="O854" s="62" t="str">
        <f>IF(E854="PA",IF(K854&lt;&gt;"",ISERROR(VLOOKUP(K854,ABBR!A:D,1,FALSE)),ISERROR(VLOOKUP(C854,ABBR!A:D,1,FALSE))),"")</f>
        <v/>
      </c>
      <c r="P854" t="str">
        <f>VLOOKUP(A854,Groups!A:L,5,FALSE)</f>
        <v>LOCA</v>
      </c>
      <c r="Q854" s="62" t="str">
        <f>IF(G854="PA",IF(M854&lt;&gt;"",ISERROR(VLOOKUP(M854,ABBR!C:F,1,FALSE)),ISERROR(VLOOKUP(E854,ABBR!C:F,1,FALSE))),"")</f>
        <v/>
      </c>
    </row>
    <row r="855" spans="1:17" hidden="1" x14ac:dyDescent="0.25">
      <c r="A855" s="16" t="s">
        <v>137</v>
      </c>
      <c r="B855" s="17"/>
      <c r="C855" s="16" t="s">
        <v>2091</v>
      </c>
      <c r="D855" s="17"/>
      <c r="E855" s="17" t="s">
        <v>608</v>
      </c>
      <c r="F855" s="18" t="s">
        <v>2092</v>
      </c>
      <c r="G855" s="49" t="s">
        <v>2093</v>
      </c>
      <c r="H855" s="17">
        <v>31</v>
      </c>
      <c r="J855" s="62" t="s">
        <v>473</v>
      </c>
      <c r="K855" s="62"/>
      <c r="M855" s="62"/>
      <c r="N855" s="62"/>
      <c r="O855" s="62" t="str">
        <f>IF(E855="PA",IF(K855&lt;&gt;"",ISERROR(VLOOKUP(K855,ABBR!A:D,1,FALSE)),ISERROR(VLOOKUP(C855,ABBR!A:D,1,FALSE))),"")</f>
        <v/>
      </c>
      <c r="P855" t="str">
        <f>VLOOKUP(A855,Groups!A:L,5,FALSE)</f>
        <v>LOCA</v>
      </c>
      <c r="Q855" s="62" t="str">
        <f>IF(G855="PA",IF(M855&lt;&gt;"",ISERROR(VLOOKUP(M855,ABBR!C:F,1,FALSE)),ISERROR(VLOOKUP(E855,ABBR!C:F,1,FALSE))),"")</f>
        <v/>
      </c>
    </row>
    <row r="856" spans="1:17" hidden="1" x14ac:dyDescent="0.25">
      <c r="A856" s="16" t="s">
        <v>142</v>
      </c>
      <c r="B856" s="17" t="s">
        <v>594</v>
      </c>
      <c r="C856" s="16" t="s">
        <v>595</v>
      </c>
      <c r="D856" s="17"/>
      <c r="E856" s="17" t="s">
        <v>596</v>
      </c>
      <c r="F856" s="18" t="s">
        <v>597</v>
      </c>
      <c r="G856" s="49" t="s">
        <v>598</v>
      </c>
      <c r="H856" s="17">
        <v>1</v>
      </c>
      <c r="I856" s="30" t="s">
        <v>955</v>
      </c>
      <c r="J856" s="80">
        <v>4.0999999999999996</v>
      </c>
      <c r="O856" s="62" t="str">
        <f>IF(E856="PA",IF(K856&lt;&gt;"",ISERROR(VLOOKUP(K856,ABBR!A:D,1,FALSE)),ISERROR(VLOOKUP(C856,ABBR!A:D,1,FALSE))),"")</f>
        <v/>
      </c>
      <c r="P856" t="str">
        <f>VLOOKUP(A856,Groups!A:L,5,FALSE)</f>
        <v>LOCA</v>
      </c>
      <c r="Q856" s="62" t="str">
        <f>IF(G856="PA",IF(M856&lt;&gt;"",ISERROR(VLOOKUP(M856,ABBR!C:F,1,FALSE)),ISERROR(VLOOKUP(E856,ABBR!C:F,1,FALSE))),"")</f>
        <v/>
      </c>
    </row>
    <row r="857" spans="1:17" hidden="1" x14ac:dyDescent="0.25">
      <c r="A857" s="16" t="s">
        <v>142</v>
      </c>
      <c r="B857" s="17" t="s">
        <v>594</v>
      </c>
      <c r="C857" s="16" t="s">
        <v>2094</v>
      </c>
      <c r="D857" s="17" t="s">
        <v>600</v>
      </c>
      <c r="E857" s="17" t="s">
        <v>601</v>
      </c>
      <c r="F857" s="18" t="s">
        <v>2095</v>
      </c>
      <c r="G857" s="49" t="s">
        <v>2096</v>
      </c>
      <c r="H857" s="17">
        <v>2</v>
      </c>
      <c r="I857" s="30" t="s">
        <v>955</v>
      </c>
      <c r="J857" s="80">
        <v>4.0999999999999996</v>
      </c>
      <c r="O857" s="62" t="str">
        <f>IF(E857="PA",IF(K857&lt;&gt;"",ISERROR(VLOOKUP(K857,ABBR!A:D,1,FALSE)),ISERROR(VLOOKUP(C857,ABBR!A:D,1,FALSE))),"")</f>
        <v/>
      </c>
      <c r="P857" t="str">
        <f>VLOOKUP(A857,Groups!A:L,5,FALSE)</f>
        <v>LOCA</v>
      </c>
      <c r="Q857" s="62" t="str">
        <f>IF(G857="PA",IF(M857&lt;&gt;"",ISERROR(VLOOKUP(M857,ABBR!C:F,1,FALSE)),ISERROR(VLOOKUP(E857,ABBR!C:F,1,FALSE))),"")</f>
        <v/>
      </c>
    </row>
    <row r="858" spans="1:17" hidden="1" x14ac:dyDescent="0.25">
      <c r="A858" s="16" t="s">
        <v>142</v>
      </c>
      <c r="B858" s="17" t="s">
        <v>594</v>
      </c>
      <c r="C858" s="16" t="s">
        <v>2097</v>
      </c>
      <c r="D858" s="17" t="s">
        <v>600</v>
      </c>
      <c r="E858" s="17" t="s">
        <v>601</v>
      </c>
      <c r="F858" s="18" t="s">
        <v>2098</v>
      </c>
      <c r="G858" s="49" t="s">
        <v>2099</v>
      </c>
      <c r="H858" s="17">
        <v>3</v>
      </c>
      <c r="I858" s="30" t="s">
        <v>955</v>
      </c>
      <c r="J858" s="80">
        <v>4.0999999999999996</v>
      </c>
      <c r="O858" s="62" t="str">
        <f>IF(E858="PA",IF(K858&lt;&gt;"",ISERROR(VLOOKUP(K858,ABBR!A:D,1,FALSE)),ISERROR(VLOOKUP(C858,ABBR!A:D,1,FALSE))),"")</f>
        <v/>
      </c>
      <c r="P858" t="str">
        <f>VLOOKUP(A858,Groups!A:L,5,FALSE)</f>
        <v>LOCA</v>
      </c>
      <c r="Q858" s="62" t="str">
        <f>IF(G858="PA",IF(M858&lt;&gt;"",ISERROR(VLOOKUP(M858,ABBR!C:F,1,FALSE)),ISERROR(VLOOKUP(E858,ABBR!C:F,1,FALSE))),"")</f>
        <v/>
      </c>
    </row>
    <row r="859" spans="1:17" hidden="1" x14ac:dyDescent="0.25">
      <c r="A859" s="16" t="s">
        <v>142</v>
      </c>
      <c r="B859" s="17"/>
      <c r="C859" s="16" t="s">
        <v>2100</v>
      </c>
      <c r="D859" s="17"/>
      <c r="E859" s="17" t="s">
        <v>608</v>
      </c>
      <c r="F859" s="18" t="s">
        <v>2101</v>
      </c>
      <c r="G859" s="49" t="s">
        <v>2102</v>
      </c>
      <c r="H859" s="17">
        <v>4</v>
      </c>
      <c r="I859" s="30" t="s">
        <v>955</v>
      </c>
      <c r="J859" s="80">
        <v>4.0999999999999996</v>
      </c>
      <c r="O859" s="62" t="str">
        <f>IF(E859="PA",IF(K859&lt;&gt;"",ISERROR(VLOOKUP(K859,ABBR!A:D,1,FALSE)),ISERROR(VLOOKUP(C859,ABBR!A:D,1,FALSE))),"")</f>
        <v/>
      </c>
      <c r="P859" t="str">
        <f>VLOOKUP(A859,Groups!A:L,5,FALSE)</f>
        <v>LOCA</v>
      </c>
      <c r="Q859" s="62" t="str">
        <f>IF(G859="PA",IF(M859&lt;&gt;"",ISERROR(VLOOKUP(M859,ABBR!C:F,1,FALSE)),ISERROR(VLOOKUP(E859,ABBR!C:F,1,FALSE))),"")</f>
        <v/>
      </c>
    </row>
    <row r="860" spans="1:17" hidden="1" x14ac:dyDescent="0.25">
      <c r="A860" s="16" t="s">
        <v>142</v>
      </c>
      <c r="B860" s="17"/>
      <c r="C860" s="16" t="s">
        <v>2103</v>
      </c>
      <c r="D860" s="17"/>
      <c r="E860" s="17" t="s">
        <v>608</v>
      </c>
      <c r="F860" s="18" t="s">
        <v>642</v>
      </c>
      <c r="G860" s="49" t="s">
        <v>16</v>
      </c>
      <c r="H860" s="17">
        <v>5</v>
      </c>
      <c r="I860" s="30" t="s">
        <v>955</v>
      </c>
      <c r="J860" s="80">
        <v>4.0999999999999996</v>
      </c>
      <c r="M860" s="101"/>
      <c r="O860" s="62" t="str">
        <f>IF(E860="PA",IF(K860&lt;&gt;"",ISERROR(VLOOKUP(K860,ABBR!A:D,1,FALSE)),ISERROR(VLOOKUP(C860,ABBR!A:D,1,FALSE))),"")</f>
        <v/>
      </c>
      <c r="P860" t="str">
        <f>VLOOKUP(A860,Groups!A:L,5,FALSE)</f>
        <v>LOCA</v>
      </c>
      <c r="Q860" s="62" t="str">
        <f>IF(G860="PA",IF(M860&lt;&gt;"",ISERROR(VLOOKUP(M860,ABBR!C:F,1,FALSE)),ISERROR(VLOOKUP(E860,ABBR!C:F,1,FALSE))),"")</f>
        <v/>
      </c>
    </row>
    <row r="861" spans="1:17" hidden="1" x14ac:dyDescent="0.25">
      <c r="A861" s="16" t="s">
        <v>142</v>
      </c>
      <c r="B861" s="17"/>
      <c r="C861" s="16" t="s">
        <v>643</v>
      </c>
      <c r="D861" s="17"/>
      <c r="E861" s="17" t="s">
        <v>608</v>
      </c>
      <c r="F861" s="18" t="s">
        <v>2104</v>
      </c>
      <c r="G861" s="49" t="s">
        <v>2105</v>
      </c>
      <c r="H861" s="17">
        <v>6</v>
      </c>
      <c r="I861" s="30" t="s">
        <v>955</v>
      </c>
      <c r="J861" s="80">
        <v>4.0999999999999996</v>
      </c>
      <c r="O861" s="62" t="str">
        <f>IF(E861="PA",IF(K861&lt;&gt;"",ISERROR(VLOOKUP(K861,ABBR!A:D,1,FALSE)),ISERROR(VLOOKUP(C861,ABBR!A:D,1,FALSE))),"")</f>
        <v/>
      </c>
      <c r="P861" t="str">
        <f>VLOOKUP(A861,Groups!A:L,5,FALSE)</f>
        <v>LOCA</v>
      </c>
      <c r="Q861" s="62" t="str">
        <f>IF(G861="PA",IF(M861&lt;&gt;"",ISERROR(VLOOKUP(M861,ABBR!C:F,1,FALSE)),ISERROR(VLOOKUP(E861,ABBR!C:F,1,FALSE))),"")</f>
        <v/>
      </c>
    </row>
    <row r="862" spans="1:17" hidden="1" x14ac:dyDescent="0.25">
      <c r="A862" s="16" t="s">
        <v>487</v>
      </c>
      <c r="B862" s="17" t="s">
        <v>594</v>
      </c>
      <c r="C862" s="16" t="s">
        <v>595</v>
      </c>
      <c r="D862" s="17"/>
      <c r="E862" s="17" t="s">
        <v>596</v>
      </c>
      <c r="F862" s="18" t="s">
        <v>597</v>
      </c>
      <c r="G862" s="49" t="s">
        <v>598</v>
      </c>
      <c r="H862" s="17">
        <v>1</v>
      </c>
      <c r="J862" s="62" t="s">
        <v>491</v>
      </c>
      <c r="K862" s="62"/>
      <c r="M862" s="62"/>
      <c r="O862" s="62" t="str">
        <f>IF(E862="PA",IF(K862&lt;&gt;"",ISERROR(VLOOKUP(K862,ABBR!A:D,1,FALSE)),ISERROR(VLOOKUP(C862,ABBR!A:D,1,FALSE))),"")</f>
        <v/>
      </c>
      <c r="P862" t="str">
        <f>VLOOKUP(A862,Groups!A:L,5,FALSE)</f>
        <v>LOCA</v>
      </c>
      <c r="Q862" s="62" t="str">
        <f>IF(G862="PA",IF(M862&lt;&gt;"",ISERROR(VLOOKUP(M862,ABBR!C:F,1,FALSE)),ISERROR(VLOOKUP(E862,ABBR!C:F,1,FALSE))),"")</f>
        <v/>
      </c>
    </row>
    <row r="863" spans="1:17" hidden="1" x14ac:dyDescent="0.25">
      <c r="A863" s="16" t="s">
        <v>487</v>
      </c>
      <c r="B863" s="17" t="s">
        <v>594</v>
      </c>
      <c r="C863" s="16" t="s">
        <v>2106</v>
      </c>
      <c r="D863" s="17"/>
      <c r="E863" s="17" t="s">
        <v>608</v>
      </c>
      <c r="F863" s="18" t="s">
        <v>1323</v>
      </c>
      <c r="G863" s="49" t="s">
        <v>1114</v>
      </c>
      <c r="H863" s="17">
        <v>2</v>
      </c>
      <c r="J863" s="62" t="s">
        <v>491</v>
      </c>
      <c r="K863" s="62"/>
      <c r="M863" s="62"/>
      <c r="N863" s="62"/>
      <c r="O863" s="62" t="str">
        <f>IF(E863="PA",IF(K863&lt;&gt;"",ISERROR(VLOOKUP(K863,ABBR!A:D,1,FALSE)),ISERROR(VLOOKUP(C863,ABBR!A:D,1,FALSE))),"")</f>
        <v/>
      </c>
      <c r="P863" t="str">
        <f>VLOOKUP(A863,Groups!A:L,5,FALSE)</f>
        <v>LOCA</v>
      </c>
      <c r="Q863" s="62" t="str">
        <f>IF(G863="PA",IF(M863&lt;&gt;"",ISERROR(VLOOKUP(M863,ABBR!C:F,1,FALSE)),ISERROR(VLOOKUP(E863,ABBR!C:F,1,FALSE))),"")</f>
        <v/>
      </c>
    </row>
    <row r="864" spans="1:17" hidden="1" x14ac:dyDescent="0.25">
      <c r="A864" s="16" t="s">
        <v>487</v>
      </c>
      <c r="B864" s="17" t="s">
        <v>594</v>
      </c>
      <c r="C864" s="16" t="s">
        <v>2107</v>
      </c>
      <c r="D864" s="17" t="s">
        <v>600</v>
      </c>
      <c r="E864" s="17" t="s">
        <v>601</v>
      </c>
      <c r="F864" s="18" t="s">
        <v>2108</v>
      </c>
      <c r="G864" s="49" t="s">
        <v>2109</v>
      </c>
      <c r="H864" s="17">
        <v>3</v>
      </c>
      <c r="J864" s="62" t="s">
        <v>491</v>
      </c>
      <c r="K864" s="62"/>
      <c r="M864" s="62"/>
      <c r="N864" s="62"/>
      <c r="O864" s="62" t="str">
        <f>IF(E864="PA",IF(K864&lt;&gt;"",ISERROR(VLOOKUP(K864,ABBR!A:D,1,FALSE)),ISERROR(VLOOKUP(C864,ABBR!A:D,1,FALSE))),"")</f>
        <v/>
      </c>
      <c r="P864" t="str">
        <f>VLOOKUP(A864,Groups!A:L,5,FALSE)</f>
        <v>LOCA</v>
      </c>
      <c r="Q864" s="62" t="str">
        <f>IF(G864="PA",IF(M864&lt;&gt;"",ISERROR(VLOOKUP(M864,ABBR!C:F,1,FALSE)),ISERROR(VLOOKUP(E864,ABBR!C:F,1,FALSE))),"")</f>
        <v/>
      </c>
    </row>
    <row r="865" spans="1:17" hidden="1" x14ac:dyDescent="0.25">
      <c r="A865" s="16" t="s">
        <v>487</v>
      </c>
      <c r="B865" s="17"/>
      <c r="C865" s="16" t="s">
        <v>2110</v>
      </c>
      <c r="D865" s="17" t="s">
        <v>893</v>
      </c>
      <c r="E865" s="17" t="s">
        <v>601</v>
      </c>
      <c r="F865" s="18" t="s">
        <v>2111</v>
      </c>
      <c r="G865" s="49" t="s">
        <v>2112</v>
      </c>
      <c r="H865" s="17">
        <v>4</v>
      </c>
      <c r="J865" s="62" t="s">
        <v>491</v>
      </c>
      <c r="K865" s="62"/>
      <c r="M865" s="62"/>
      <c r="N865" s="62"/>
      <c r="O865" s="62" t="str">
        <f>IF(E865="PA",IF(K865&lt;&gt;"",ISERROR(VLOOKUP(K865,ABBR!A:D,1,FALSE)),ISERROR(VLOOKUP(C865,ABBR!A:D,1,FALSE))),"")</f>
        <v/>
      </c>
      <c r="P865" t="str">
        <f>VLOOKUP(A865,Groups!A:L,5,FALSE)</f>
        <v>LOCA</v>
      </c>
      <c r="Q865" s="62" t="str">
        <f>IF(G865="PA",IF(M865&lt;&gt;"",ISERROR(VLOOKUP(M865,ABBR!C:F,1,FALSE)),ISERROR(VLOOKUP(E865,ABBR!C:F,1,FALSE))),"")</f>
        <v/>
      </c>
    </row>
    <row r="866" spans="1:17" ht="25" hidden="1" x14ac:dyDescent="0.25">
      <c r="A866" s="16" t="s">
        <v>487</v>
      </c>
      <c r="B866" s="17"/>
      <c r="C866" s="16" t="s">
        <v>2113</v>
      </c>
      <c r="D866" s="17" t="s">
        <v>1585</v>
      </c>
      <c r="E866" s="17" t="s">
        <v>723</v>
      </c>
      <c r="F866" s="18" t="s">
        <v>2114</v>
      </c>
      <c r="G866" s="49" t="s">
        <v>2115</v>
      </c>
      <c r="H866" s="17">
        <v>5</v>
      </c>
      <c r="J866" s="62" t="s">
        <v>491</v>
      </c>
      <c r="K866" s="62"/>
      <c r="M866" s="62"/>
      <c r="N866" s="62"/>
      <c r="O866" s="62" t="str">
        <f>IF(E866="PA",IF(K866&lt;&gt;"",ISERROR(VLOOKUP(K866,ABBR!A:D,1,FALSE)),ISERROR(VLOOKUP(C866,ABBR!A:D,1,FALSE))),"")</f>
        <v/>
      </c>
      <c r="P866" t="str">
        <f>VLOOKUP(A866,Groups!A:L,5,FALSE)</f>
        <v>LOCA</v>
      </c>
      <c r="Q866" s="62" t="str">
        <f>IF(G866="PA",IF(M866&lt;&gt;"",ISERROR(VLOOKUP(M866,ABBR!C:F,1,FALSE)),ISERROR(VLOOKUP(E866,ABBR!C:F,1,FALSE))),"")</f>
        <v/>
      </c>
    </row>
    <row r="867" spans="1:17" ht="25" hidden="1" x14ac:dyDescent="0.25">
      <c r="A867" s="16" t="s">
        <v>487</v>
      </c>
      <c r="B867" s="17"/>
      <c r="C867" s="16" t="s">
        <v>2116</v>
      </c>
      <c r="D867" s="17" t="s">
        <v>1706</v>
      </c>
      <c r="E867" s="17" t="s">
        <v>2117</v>
      </c>
      <c r="F867" s="18" t="s">
        <v>2118</v>
      </c>
      <c r="G867" s="49" t="s">
        <v>2119</v>
      </c>
      <c r="H867" s="17">
        <v>6</v>
      </c>
      <c r="J867" s="62" t="s">
        <v>491</v>
      </c>
      <c r="K867" s="62"/>
      <c r="M867" s="62"/>
      <c r="N867" s="62"/>
      <c r="O867" s="62" t="str">
        <f>IF(E867="PA",IF(K867&lt;&gt;"",ISERROR(VLOOKUP(K867,ABBR!A:D,1,FALSE)),ISERROR(VLOOKUP(C867,ABBR!A:D,1,FALSE))),"")</f>
        <v/>
      </c>
      <c r="P867" t="str">
        <f>VLOOKUP(A867,Groups!A:L,5,FALSE)</f>
        <v>LOCA</v>
      </c>
      <c r="Q867" s="62" t="str">
        <f>IF(G867="PA",IF(M867&lt;&gt;"",ISERROR(VLOOKUP(M867,ABBR!C:F,1,FALSE)),ISERROR(VLOOKUP(E867,ABBR!C:F,1,FALSE))),"")</f>
        <v/>
      </c>
    </row>
    <row r="868" spans="1:17" hidden="1" x14ac:dyDescent="0.25">
      <c r="A868" s="16" t="s">
        <v>487</v>
      </c>
      <c r="B868" s="17"/>
      <c r="C868" s="16" t="s">
        <v>2120</v>
      </c>
      <c r="D868" s="17" t="s">
        <v>924</v>
      </c>
      <c r="E868" s="17" t="s">
        <v>925</v>
      </c>
      <c r="F868" s="18" t="s">
        <v>1922</v>
      </c>
      <c r="G868" s="49" t="s">
        <v>2121</v>
      </c>
      <c r="H868" s="17">
        <v>7</v>
      </c>
      <c r="J868" s="62" t="s">
        <v>491</v>
      </c>
      <c r="K868" s="62"/>
      <c r="M868" s="62"/>
      <c r="N868" s="62"/>
      <c r="O868" s="62" t="str">
        <f>IF(E868="PA",IF(K868&lt;&gt;"",ISERROR(VLOOKUP(K868,ABBR!A:D,1,FALSE)),ISERROR(VLOOKUP(C868,ABBR!A:D,1,FALSE))),"")</f>
        <v/>
      </c>
      <c r="P868" t="str">
        <f>VLOOKUP(A868,Groups!A:L,5,FALSE)</f>
        <v>LOCA</v>
      </c>
      <c r="Q868" s="62" t="str">
        <f>IF(G868="PA",IF(M868&lt;&gt;"",ISERROR(VLOOKUP(M868,ABBR!C:F,1,FALSE)),ISERROR(VLOOKUP(E868,ABBR!C:F,1,FALSE))),"")</f>
        <v/>
      </c>
    </row>
    <row r="869" spans="1:17" hidden="1" x14ac:dyDescent="0.25">
      <c r="A869" s="16" t="s">
        <v>487</v>
      </c>
      <c r="B869" s="17"/>
      <c r="C869" s="16" t="s">
        <v>2122</v>
      </c>
      <c r="D869" s="17"/>
      <c r="E869" s="17" t="s">
        <v>608</v>
      </c>
      <c r="F869" s="18" t="s">
        <v>2123</v>
      </c>
      <c r="G869" s="49" t="s">
        <v>16</v>
      </c>
      <c r="H869" s="17">
        <v>8</v>
      </c>
      <c r="J869" s="62" t="s">
        <v>491</v>
      </c>
      <c r="K869" s="62"/>
      <c r="M869" s="62"/>
      <c r="N869" s="62"/>
      <c r="O869" s="62" t="str">
        <f>IF(E869="PA",IF(K869&lt;&gt;"",ISERROR(VLOOKUP(K869,ABBR!A:D,1,FALSE)),ISERROR(VLOOKUP(C869,ABBR!A:D,1,FALSE))),"")</f>
        <v/>
      </c>
      <c r="P869" t="str">
        <f>VLOOKUP(A869,Groups!A:L,5,FALSE)</f>
        <v>LOCA</v>
      </c>
      <c r="Q869" s="62" t="str">
        <f>IF(G869="PA",IF(M869&lt;&gt;"",ISERROR(VLOOKUP(M869,ABBR!C:F,1,FALSE)),ISERROR(VLOOKUP(E869,ABBR!C:F,1,FALSE))),"")</f>
        <v/>
      </c>
    </row>
    <row r="870" spans="1:17" hidden="1" x14ac:dyDescent="0.25">
      <c r="A870" s="16" t="s">
        <v>487</v>
      </c>
      <c r="B870" s="17"/>
      <c r="C870" s="16" t="s">
        <v>643</v>
      </c>
      <c r="D870" s="17"/>
      <c r="E870" s="17" t="s">
        <v>608</v>
      </c>
      <c r="F870" s="18" t="s">
        <v>2124</v>
      </c>
      <c r="G870" s="49" t="s">
        <v>940</v>
      </c>
      <c r="H870" s="17">
        <v>9</v>
      </c>
      <c r="J870" s="62" t="s">
        <v>491</v>
      </c>
      <c r="K870" s="62"/>
      <c r="M870" s="62"/>
      <c r="N870" s="62"/>
      <c r="O870" s="62" t="str">
        <f>IF(E870="PA",IF(K870&lt;&gt;"",ISERROR(VLOOKUP(K870,ABBR!A:D,1,FALSE)),ISERROR(VLOOKUP(C870,ABBR!A:D,1,FALSE))),"")</f>
        <v/>
      </c>
      <c r="P870" t="str">
        <f>VLOOKUP(A870,Groups!A:L,5,FALSE)</f>
        <v>LOCA</v>
      </c>
      <c r="Q870" s="62" t="str">
        <f>IF(G870="PA",IF(M870&lt;&gt;"",ISERROR(VLOOKUP(M870,ABBR!C:F,1,FALSE)),ISERROR(VLOOKUP(E870,ABBR!C:F,1,FALSE))),"")</f>
        <v/>
      </c>
    </row>
    <row r="871" spans="1:17" hidden="1" x14ac:dyDescent="0.25">
      <c r="A871" s="16" t="s">
        <v>487</v>
      </c>
      <c r="B871" s="17"/>
      <c r="C871" s="9" t="s">
        <v>2125</v>
      </c>
      <c r="D871" s="46"/>
      <c r="E871" s="46" t="s">
        <v>608</v>
      </c>
      <c r="F871" s="93" t="s">
        <v>1952</v>
      </c>
      <c r="G871" s="179" t="s">
        <v>876</v>
      </c>
      <c r="H871" s="46">
        <v>10</v>
      </c>
      <c r="I871" s="180"/>
      <c r="J871" s="62" t="s">
        <v>473</v>
      </c>
      <c r="K871" s="62"/>
      <c r="M871" s="62"/>
      <c r="N871" s="62"/>
      <c r="O871" s="62" t="str">
        <f>IF(E871="PA",IF(K871&lt;&gt;"",ISERROR(VLOOKUP(K871,ABBR!A:D,1,FALSE)),ISERROR(VLOOKUP(C871,ABBR!A:D,1,FALSE))),"")</f>
        <v/>
      </c>
      <c r="P871" t="str">
        <f>VLOOKUP(A871,Groups!A:L,5,FALSE)</f>
        <v>LOCA</v>
      </c>
      <c r="Q871" s="62" t="str">
        <f>IF(G871="PA",IF(M871&lt;&gt;"",ISERROR(VLOOKUP(M871,ABBR!C:F,1,FALSE)),ISERROR(VLOOKUP(E871,ABBR!C:F,1,FALSE))),"")</f>
        <v/>
      </c>
    </row>
    <row r="872" spans="1:17" hidden="1" x14ac:dyDescent="0.25">
      <c r="A872" s="16" t="s">
        <v>489</v>
      </c>
      <c r="B872" s="17" t="s">
        <v>594</v>
      </c>
      <c r="C872" s="16" t="s">
        <v>595</v>
      </c>
      <c r="D872" s="17"/>
      <c r="E872" s="17" t="s">
        <v>596</v>
      </c>
      <c r="F872" s="18" t="s">
        <v>597</v>
      </c>
      <c r="G872" s="49" t="s">
        <v>598</v>
      </c>
      <c r="H872" s="17">
        <v>1</v>
      </c>
      <c r="J872" s="62" t="s">
        <v>491</v>
      </c>
      <c r="K872" s="62"/>
      <c r="M872" s="62"/>
      <c r="N872" s="62"/>
      <c r="O872" s="62" t="str">
        <f>IF(E872="PA",IF(K872&lt;&gt;"",ISERROR(VLOOKUP(K872,ABBR!A:D,1,FALSE)),ISERROR(VLOOKUP(C872,ABBR!A:D,1,FALSE))),"")</f>
        <v/>
      </c>
      <c r="P872" t="str">
        <f>VLOOKUP(A872,Groups!A:L,5,FALSE)</f>
        <v>DMDG</v>
      </c>
      <c r="Q872" s="62" t="str">
        <f>IF(G872="PA",IF(M872&lt;&gt;"",ISERROR(VLOOKUP(M872,ABBR!C:F,1,FALSE)),ISERROR(VLOOKUP(E872,ABBR!C:F,1,FALSE))),"")</f>
        <v/>
      </c>
    </row>
    <row r="873" spans="1:17" hidden="1" x14ac:dyDescent="0.25">
      <c r="A873" s="16" t="s">
        <v>489</v>
      </c>
      <c r="B873" s="17" t="s">
        <v>594</v>
      </c>
      <c r="C873" s="16" t="s">
        <v>2106</v>
      </c>
      <c r="D873" s="17"/>
      <c r="E873" s="17" t="s">
        <v>608</v>
      </c>
      <c r="F873" s="18" t="s">
        <v>1323</v>
      </c>
      <c r="G873" s="49" t="s">
        <v>1114</v>
      </c>
      <c r="H873" s="17">
        <v>2</v>
      </c>
      <c r="J873" s="62" t="s">
        <v>491</v>
      </c>
      <c r="K873" s="62"/>
      <c r="M873" s="62"/>
      <c r="N873" s="62"/>
      <c r="O873" s="62" t="str">
        <f>IF(E873="PA",IF(K873&lt;&gt;"",ISERROR(VLOOKUP(K873,ABBR!A:D,1,FALSE)),ISERROR(VLOOKUP(C873,ABBR!A:D,1,FALSE))),"")</f>
        <v/>
      </c>
      <c r="P873" t="str">
        <f>VLOOKUP(A873,Groups!A:L,5,FALSE)</f>
        <v>DMDG</v>
      </c>
      <c r="Q873" s="62" t="str">
        <f>IF(G873="PA",IF(M873&lt;&gt;"",ISERROR(VLOOKUP(M873,ABBR!C:F,1,FALSE)),ISERROR(VLOOKUP(E873,ABBR!C:F,1,FALSE))),"")</f>
        <v/>
      </c>
    </row>
    <row r="874" spans="1:17" hidden="1" x14ac:dyDescent="0.25">
      <c r="A874" s="16" t="s">
        <v>489</v>
      </c>
      <c r="B874" s="17" t="s">
        <v>594</v>
      </c>
      <c r="C874" s="16" t="s">
        <v>2107</v>
      </c>
      <c r="D874" s="17" t="s">
        <v>600</v>
      </c>
      <c r="E874" s="17" t="s">
        <v>601</v>
      </c>
      <c r="F874" s="18" t="s">
        <v>2108</v>
      </c>
      <c r="G874" s="49" t="s">
        <v>2109</v>
      </c>
      <c r="H874" s="17">
        <v>3</v>
      </c>
      <c r="J874" s="62" t="s">
        <v>491</v>
      </c>
      <c r="K874" s="62"/>
      <c r="M874" s="62"/>
      <c r="N874" s="62"/>
      <c r="O874" s="62" t="str">
        <f>IF(E874="PA",IF(K874&lt;&gt;"",ISERROR(VLOOKUP(K874,ABBR!A:D,1,FALSE)),ISERROR(VLOOKUP(C874,ABBR!A:D,1,FALSE))),"")</f>
        <v/>
      </c>
      <c r="P874" t="str">
        <f>VLOOKUP(A874,Groups!A:L,5,FALSE)</f>
        <v>DMDG</v>
      </c>
      <c r="Q874" s="62" t="str">
        <f>IF(G874="PA",IF(M874&lt;&gt;"",ISERROR(VLOOKUP(M874,ABBR!C:F,1,FALSE)),ISERROR(VLOOKUP(E874,ABBR!C:F,1,FALSE))),"")</f>
        <v/>
      </c>
    </row>
    <row r="875" spans="1:17" hidden="1" x14ac:dyDescent="0.25">
      <c r="A875" s="16" t="s">
        <v>489</v>
      </c>
      <c r="B875" s="17" t="s">
        <v>594</v>
      </c>
      <c r="C875" s="16" t="s">
        <v>2126</v>
      </c>
      <c r="D875" s="17" t="s">
        <v>893</v>
      </c>
      <c r="E875" s="17" t="s">
        <v>601</v>
      </c>
      <c r="F875" s="18" t="s">
        <v>2127</v>
      </c>
      <c r="G875" s="49" t="s">
        <v>2128</v>
      </c>
      <c r="H875" s="17">
        <v>4</v>
      </c>
      <c r="J875" s="62" t="s">
        <v>491</v>
      </c>
      <c r="K875" s="62"/>
      <c r="M875" s="62"/>
      <c r="N875" s="62"/>
      <c r="O875" s="62" t="str">
        <f>IF(E875="PA",IF(K875&lt;&gt;"",ISERROR(VLOOKUP(K875,ABBR!A:D,1,FALSE)),ISERROR(VLOOKUP(C875,ABBR!A:D,1,FALSE))),"")</f>
        <v/>
      </c>
      <c r="P875" t="str">
        <f>VLOOKUP(A875,Groups!A:L,5,FALSE)</f>
        <v>DMDG</v>
      </c>
      <c r="Q875" s="62" t="str">
        <f>IF(G875="PA",IF(M875&lt;&gt;"",ISERROR(VLOOKUP(M875,ABBR!C:F,1,FALSE)),ISERROR(VLOOKUP(E875,ABBR!C:F,1,FALSE))),"")</f>
        <v/>
      </c>
    </row>
    <row r="876" spans="1:17" hidden="1" x14ac:dyDescent="0.25">
      <c r="A876" s="16" t="s">
        <v>489</v>
      </c>
      <c r="B876" s="17"/>
      <c r="C876" s="16" t="s">
        <v>2129</v>
      </c>
      <c r="D876" s="17" t="s">
        <v>1345</v>
      </c>
      <c r="E876" s="17" t="s">
        <v>601</v>
      </c>
      <c r="F876" s="18" t="s">
        <v>2130</v>
      </c>
      <c r="G876" s="49" t="s">
        <v>2131</v>
      </c>
      <c r="H876" s="17">
        <v>5</v>
      </c>
      <c r="J876" s="62" t="s">
        <v>491</v>
      </c>
      <c r="K876" s="62"/>
      <c r="M876" s="62"/>
      <c r="N876" s="62"/>
      <c r="O876" s="62" t="str">
        <f>IF(E876="PA",IF(K876&lt;&gt;"",ISERROR(VLOOKUP(K876,ABBR!A:D,1,FALSE)),ISERROR(VLOOKUP(C876,ABBR!A:D,1,FALSE))),"")</f>
        <v/>
      </c>
      <c r="P876" t="str">
        <f>VLOOKUP(A876,Groups!A:L,5,FALSE)</f>
        <v>DMDG</v>
      </c>
      <c r="Q876" s="62" t="str">
        <f>IF(G876="PA",IF(M876&lt;&gt;"",ISERROR(VLOOKUP(M876,ABBR!C:F,1,FALSE)),ISERROR(VLOOKUP(E876,ABBR!C:F,1,FALSE))),"")</f>
        <v/>
      </c>
    </row>
    <row r="877" spans="1:17" hidden="1" x14ac:dyDescent="0.25">
      <c r="A877" s="16" t="s">
        <v>489</v>
      </c>
      <c r="B877" s="17"/>
      <c r="C877" s="16" t="s">
        <v>2132</v>
      </c>
      <c r="D877" s="17"/>
      <c r="E877" s="17" t="s">
        <v>608</v>
      </c>
      <c r="F877" s="18" t="s">
        <v>2123</v>
      </c>
      <c r="G877" s="49" t="s">
        <v>16</v>
      </c>
      <c r="H877" s="17">
        <v>6</v>
      </c>
      <c r="J877" s="62" t="s">
        <v>491</v>
      </c>
      <c r="K877" s="62"/>
      <c r="M877" s="62"/>
      <c r="N877" s="62"/>
      <c r="O877" s="62" t="str">
        <f>IF(E877="PA",IF(K877&lt;&gt;"",ISERROR(VLOOKUP(K877,ABBR!A:D,1,FALSE)),ISERROR(VLOOKUP(C877,ABBR!A:D,1,FALSE))),"")</f>
        <v/>
      </c>
      <c r="P877" t="str">
        <f>VLOOKUP(A877,Groups!A:L,5,FALSE)</f>
        <v>DMDG</v>
      </c>
      <c r="Q877" s="62" t="str">
        <f>IF(G877="PA",IF(M877&lt;&gt;"",ISERROR(VLOOKUP(M877,ABBR!C:F,1,FALSE)),ISERROR(VLOOKUP(E877,ABBR!C:F,1,FALSE))),"")</f>
        <v/>
      </c>
    </row>
    <row r="878" spans="1:17" hidden="1" x14ac:dyDescent="0.25">
      <c r="A878" s="16" t="s">
        <v>489</v>
      </c>
      <c r="B878" s="17"/>
      <c r="C878" s="16" t="s">
        <v>643</v>
      </c>
      <c r="D878" s="17"/>
      <c r="E878" s="17" t="s">
        <v>608</v>
      </c>
      <c r="F878" s="18" t="s">
        <v>2124</v>
      </c>
      <c r="G878" s="49" t="s">
        <v>940</v>
      </c>
      <c r="H878" s="17">
        <v>7</v>
      </c>
      <c r="J878" s="62" t="s">
        <v>491</v>
      </c>
      <c r="K878" s="62"/>
      <c r="M878" s="62"/>
      <c r="N878" s="62"/>
      <c r="O878" s="62" t="str">
        <f>IF(E878="PA",IF(K878&lt;&gt;"",ISERROR(VLOOKUP(K878,ABBR!A:D,1,FALSE)),ISERROR(VLOOKUP(C878,ABBR!A:D,1,FALSE))),"")</f>
        <v/>
      </c>
      <c r="P878" t="str">
        <f>VLOOKUP(A878,Groups!A:L,5,FALSE)</f>
        <v>DMDG</v>
      </c>
      <c r="Q878" s="62" t="str">
        <f>IF(G878="PA",IF(M878&lt;&gt;"",ISERROR(VLOOKUP(M878,ABBR!C:F,1,FALSE)),ISERROR(VLOOKUP(E878,ABBR!C:F,1,FALSE))),"")</f>
        <v/>
      </c>
    </row>
    <row r="879" spans="1:17" hidden="1" x14ac:dyDescent="0.25">
      <c r="A879" s="16" t="s">
        <v>497</v>
      </c>
      <c r="B879" s="17" t="s">
        <v>594</v>
      </c>
      <c r="C879" s="16" t="s">
        <v>595</v>
      </c>
      <c r="D879" s="17"/>
      <c r="E879" s="17" t="s">
        <v>596</v>
      </c>
      <c r="F879" s="18" t="s">
        <v>597</v>
      </c>
      <c r="G879" s="49" t="s">
        <v>598</v>
      </c>
      <c r="H879" s="17">
        <v>1</v>
      </c>
      <c r="J879" s="62" t="s">
        <v>491</v>
      </c>
      <c r="K879" s="62"/>
      <c r="M879" s="62"/>
      <c r="N879" s="62"/>
      <c r="O879" s="62" t="str">
        <f>IF(E879="PA",IF(K879&lt;&gt;"",ISERROR(VLOOKUP(K879,ABBR!A:D,1,FALSE)),ISERROR(VLOOKUP(C879,ABBR!A:D,1,FALSE))),"")</f>
        <v/>
      </c>
      <c r="P879" t="str">
        <f>VLOOKUP(A879,Groups!A:L,5,FALSE)</f>
        <v>LOCA</v>
      </c>
      <c r="Q879" s="62" t="str">
        <f>IF(G879="PA",IF(M879&lt;&gt;"",ISERROR(VLOOKUP(M879,ABBR!C:F,1,FALSE)),ISERROR(VLOOKUP(E879,ABBR!C:F,1,FALSE))),"")</f>
        <v/>
      </c>
    </row>
    <row r="880" spans="1:17" hidden="1" x14ac:dyDescent="0.25">
      <c r="A880" s="16" t="s">
        <v>497</v>
      </c>
      <c r="B880" s="17" t="s">
        <v>594</v>
      </c>
      <c r="C880" s="16" t="s">
        <v>2106</v>
      </c>
      <c r="D880" s="17"/>
      <c r="E880" s="17" t="s">
        <v>608</v>
      </c>
      <c r="F880" s="18" t="s">
        <v>1323</v>
      </c>
      <c r="G880" s="49" t="s">
        <v>1114</v>
      </c>
      <c r="H880" s="17">
        <v>2</v>
      </c>
      <c r="J880" s="62" t="s">
        <v>491</v>
      </c>
      <c r="K880" s="62"/>
      <c r="M880" s="62"/>
      <c r="N880" s="62"/>
      <c r="O880" s="62" t="str">
        <f>IF(E880="PA",IF(K880&lt;&gt;"",ISERROR(VLOOKUP(K880,ABBR!A:D,1,FALSE)),ISERROR(VLOOKUP(C880,ABBR!A:D,1,FALSE))),"")</f>
        <v/>
      </c>
      <c r="P880" t="str">
        <f>VLOOKUP(A880,Groups!A:L,5,FALSE)</f>
        <v>LOCA</v>
      </c>
      <c r="Q880" s="62" t="str">
        <f>IF(G880="PA",IF(M880&lt;&gt;"",ISERROR(VLOOKUP(M880,ABBR!C:F,1,FALSE)),ISERROR(VLOOKUP(E880,ABBR!C:F,1,FALSE))),"")</f>
        <v/>
      </c>
    </row>
    <row r="881" spans="1:17" hidden="1" x14ac:dyDescent="0.25">
      <c r="A881" s="16" t="s">
        <v>497</v>
      </c>
      <c r="B881" s="17"/>
      <c r="C881" s="16" t="s">
        <v>2133</v>
      </c>
      <c r="D881" s="17" t="s">
        <v>924</v>
      </c>
      <c r="E881" s="17" t="s">
        <v>925</v>
      </c>
      <c r="F881" s="18" t="s">
        <v>1922</v>
      </c>
      <c r="G881" s="49" t="s">
        <v>2134</v>
      </c>
      <c r="H881" s="17">
        <v>3</v>
      </c>
      <c r="J881" s="62" t="s">
        <v>491</v>
      </c>
      <c r="K881" s="62"/>
      <c r="M881" s="62"/>
      <c r="N881" s="62"/>
      <c r="O881" s="62" t="str">
        <f>IF(E881="PA",IF(K881&lt;&gt;"",ISERROR(VLOOKUP(K881,ABBR!A:D,1,FALSE)),ISERROR(VLOOKUP(C881,ABBR!A:D,1,FALSE))),"")</f>
        <v/>
      </c>
      <c r="P881" t="str">
        <f>VLOOKUP(A881,Groups!A:L,5,FALSE)</f>
        <v>LOCA</v>
      </c>
      <c r="Q881" s="62" t="str">
        <f>IF(G881="PA",IF(M881&lt;&gt;"",ISERROR(VLOOKUP(M881,ABBR!C:F,1,FALSE)),ISERROR(VLOOKUP(E881,ABBR!C:F,1,FALSE))),"")</f>
        <v/>
      </c>
    </row>
    <row r="882" spans="1:17" hidden="1" x14ac:dyDescent="0.25">
      <c r="A882" s="16" t="s">
        <v>497</v>
      </c>
      <c r="B882" s="17"/>
      <c r="C882" s="16" t="s">
        <v>2135</v>
      </c>
      <c r="D882" s="17"/>
      <c r="E882" s="17" t="s">
        <v>608</v>
      </c>
      <c r="F882" s="18" t="s">
        <v>2123</v>
      </c>
      <c r="G882" s="49" t="s">
        <v>16</v>
      </c>
      <c r="H882" s="17">
        <v>4</v>
      </c>
      <c r="J882" s="62" t="s">
        <v>491</v>
      </c>
      <c r="K882" s="62"/>
      <c r="M882" s="62"/>
      <c r="N882" s="62"/>
      <c r="O882" s="62" t="str">
        <f>IF(E882="PA",IF(K882&lt;&gt;"",ISERROR(VLOOKUP(K882,ABBR!A:D,1,FALSE)),ISERROR(VLOOKUP(C882,ABBR!A:D,1,FALSE))),"")</f>
        <v/>
      </c>
      <c r="P882" t="str">
        <f>VLOOKUP(A882,Groups!A:L,5,FALSE)</f>
        <v>LOCA</v>
      </c>
      <c r="Q882" s="62" t="str">
        <f>IF(G882="PA",IF(M882&lt;&gt;"",ISERROR(VLOOKUP(M882,ABBR!C:F,1,FALSE)),ISERROR(VLOOKUP(E882,ABBR!C:F,1,FALSE))),"")</f>
        <v/>
      </c>
    </row>
    <row r="883" spans="1:17" hidden="1" x14ac:dyDescent="0.25">
      <c r="A883" s="16" t="s">
        <v>497</v>
      </c>
      <c r="B883" s="17"/>
      <c r="C883" s="16" t="s">
        <v>2136</v>
      </c>
      <c r="D883" s="17" t="s">
        <v>600</v>
      </c>
      <c r="E883" s="17" t="s">
        <v>601</v>
      </c>
      <c r="F883" s="18" t="s">
        <v>2137</v>
      </c>
      <c r="G883" s="49" t="s">
        <v>2138</v>
      </c>
      <c r="H883" s="17">
        <v>5</v>
      </c>
      <c r="J883" s="62" t="s">
        <v>491</v>
      </c>
      <c r="K883" s="62"/>
      <c r="M883" s="62"/>
      <c r="N883" s="62"/>
      <c r="O883" s="62" t="str">
        <f>IF(E883="PA",IF(K883&lt;&gt;"",ISERROR(VLOOKUP(K883,ABBR!A:D,1,FALSE)),ISERROR(VLOOKUP(C883,ABBR!A:D,1,FALSE))),"")</f>
        <v/>
      </c>
      <c r="P883" t="str">
        <f>VLOOKUP(A883,Groups!A:L,5,FALSE)</f>
        <v>LOCA</v>
      </c>
      <c r="Q883" s="62" t="str">
        <f>IF(G883="PA",IF(M883&lt;&gt;"",ISERROR(VLOOKUP(M883,ABBR!C:F,1,FALSE)),ISERROR(VLOOKUP(E883,ABBR!C:F,1,FALSE))),"")</f>
        <v/>
      </c>
    </row>
    <row r="884" spans="1:17" ht="25" hidden="1" x14ac:dyDescent="0.25">
      <c r="A884" s="16" t="s">
        <v>497</v>
      </c>
      <c r="B884" s="17"/>
      <c r="C884" s="16" t="s">
        <v>2139</v>
      </c>
      <c r="D884" s="17"/>
      <c r="E884" s="17" t="s">
        <v>618</v>
      </c>
      <c r="F884" s="18" t="s">
        <v>2140</v>
      </c>
      <c r="G884" s="49" t="s">
        <v>2141</v>
      </c>
      <c r="H884" s="17">
        <v>6</v>
      </c>
      <c r="J884" s="62" t="s">
        <v>491</v>
      </c>
      <c r="K884" s="62"/>
      <c r="M884" s="62"/>
      <c r="N884" s="62"/>
      <c r="O884" s="62" t="b">
        <f>IF(E884="PA",IF(K884&lt;&gt;"",ISERROR(VLOOKUP(K884,ABBR!A:D,1,FALSE)),ISERROR(VLOOKUP(C884,ABBR!A:D,1,FALSE))),"")</f>
        <v>0</v>
      </c>
      <c r="P884" t="str">
        <f>VLOOKUP(A884,Groups!A:L,5,FALSE)</f>
        <v>LOCA</v>
      </c>
      <c r="Q884" s="62" t="str">
        <f>IF(G884="PA",IF(M884&lt;&gt;"",ISERROR(VLOOKUP(M884,ABBR!C:F,1,FALSE)),ISERROR(VLOOKUP(E884,ABBR!C:F,1,FALSE))),"")</f>
        <v/>
      </c>
    </row>
    <row r="885" spans="1:17" hidden="1" x14ac:dyDescent="0.25">
      <c r="A885" s="16" t="s">
        <v>497</v>
      </c>
      <c r="B885" s="17"/>
      <c r="C885" s="16" t="s">
        <v>2142</v>
      </c>
      <c r="D885" s="17"/>
      <c r="E885" s="17" t="s">
        <v>608</v>
      </c>
      <c r="F885" s="18" t="s">
        <v>2143</v>
      </c>
      <c r="G885" s="49" t="s">
        <v>2144</v>
      </c>
      <c r="H885" s="17">
        <v>7</v>
      </c>
      <c r="J885" s="62" t="s">
        <v>491</v>
      </c>
      <c r="K885" s="62"/>
      <c r="M885" s="62"/>
      <c r="N885" s="62"/>
      <c r="O885" s="62" t="str">
        <f>IF(E885="PA",IF(K885&lt;&gt;"",ISERROR(VLOOKUP(K885,ABBR!A:D,1,FALSE)),ISERROR(VLOOKUP(C885,ABBR!A:D,1,FALSE))),"")</f>
        <v/>
      </c>
      <c r="P885" t="str">
        <f>VLOOKUP(A885,Groups!A:L,5,FALSE)</f>
        <v>LOCA</v>
      </c>
      <c r="Q885" s="62" t="str">
        <f>IF(G885="PA",IF(M885&lt;&gt;"",ISERROR(VLOOKUP(M885,ABBR!C:F,1,FALSE)),ISERROR(VLOOKUP(E885,ABBR!C:F,1,FALSE))),"")</f>
        <v/>
      </c>
    </row>
    <row r="886" spans="1:17" hidden="1" x14ac:dyDescent="0.25">
      <c r="A886" s="16" t="s">
        <v>497</v>
      </c>
      <c r="B886" s="17"/>
      <c r="C886" s="16" t="s">
        <v>2145</v>
      </c>
      <c r="D886" s="17"/>
      <c r="E886" s="17" t="s">
        <v>608</v>
      </c>
      <c r="F886" s="18" t="s">
        <v>2146</v>
      </c>
      <c r="G886" s="49" t="s">
        <v>2147</v>
      </c>
      <c r="H886" s="17">
        <v>8</v>
      </c>
      <c r="J886" s="62" t="s">
        <v>491</v>
      </c>
      <c r="K886" s="62"/>
      <c r="M886" s="62"/>
      <c r="N886" s="62"/>
      <c r="O886" s="62" t="str">
        <f>IF(E886="PA",IF(K886&lt;&gt;"",ISERROR(VLOOKUP(K886,ABBR!A:D,1,FALSE)),ISERROR(VLOOKUP(C886,ABBR!A:D,1,FALSE))),"")</f>
        <v/>
      </c>
      <c r="P886" t="str">
        <f>VLOOKUP(A886,Groups!A:L,5,FALSE)</f>
        <v>LOCA</v>
      </c>
      <c r="Q886" s="62" t="str">
        <f>IF(G886="PA",IF(M886&lt;&gt;"",ISERROR(VLOOKUP(M886,ABBR!C:F,1,FALSE)),ISERROR(VLOOKUP(E886,ABBR!C:F,1,FALSE))),"")</f>
        <v/>
      </c>
    </row>
    <row r="887" spans="1:17" hidden="1" x14ac:dyDescent="0.25">
      <c r="A887" s="16" t="s">
        <v>497</v>
      </c>
      <c r="B887" s="17"/>
      <c r="C887" s="16" t="s">
        <v>2148</v>
      </c>
      <c r="D887" s="17"/>
      <c r="E887" s="17" t="s">
        <v>608</v>
      </c>
      <c r="F887" s="18" t="s">
        <v>2149</v>
      </c>
      <c r="G887" s="49" t="s">
        <v>2150</v>
      </c>
      <c r="H887" s="17">
        <v>9</v>
      </c>
      <c r="J887" s="62" t="s">
        <v>491</v>
      </c>
      <c r="K887" s="62"/>
      <c r="M887" s="62"/>
      <c r="N887" s="62"/>
      <c r="O887" s="62" t="str">
        <f>IF(E887="PA",IF(K887&lt;&gt;"",ISERROR(VLOOKUP(K887,ABBR!A:D,1,FALSE)),ISERROR(VLOOKUP(C887,ABBR!A:D,1,FALSE))),"")</f>
        <v/>
      </c>
      <c r="P887" t="str">
        <f>VLOOKUP(A887,Groups!A:L,5,FALSE)</f>
        <v>LOCA</v>
      </c>
      <c r="Q887" s="62" t="str">
        <f>IF(G887="PA",IF(M887&lt;&gt;"",ISERROR(VLOOKUP(M887,ABBR!C:F,1,FALSE)),ISERROR(VLOOKUP(E887,ABBR!C:F,1,FALSE))),"")</f>
        <v/>
      </c>
    </row>
    <row r="888" spans="1:17" hidden="1" x14ac:dyDescent="0.25">
      <c r="A888" s="16" t="s">
        <v>497</v>
      </c>
      <c r="B888" s="17"/>
      <c r="C888" s="16" t="s">
        <v>2151</v>
      </c>
      <c r="D888" s="17"/>
      <c r="E888" s="17" t="s">
        <v>608</v>
      </c>
      <c r="F888" s="18" t="s">
        <v>2152</v>
      </c>
      <c r="G888" s="49" t="s">
        <v>2153</v>
      </c>
      <c r="H888" s="17">
        <v>10</v>
      </c>
      <c r="J888" s="62" t="s">
        <v>491</v>
      </c>
      <c r="K888" s="62"/>
      <c r="M888" s="62"/>
      <c r="N888" s="62"/>
      <c r="O888" s="62" t="str">
        <f>IF(E888="PA",IF(K888&lt;&gt;"",ISERROR(VLOOKUP(K888,ABBR!A:D,1,FALSE)),ISERROR(VLOOKUP(C888,ABBR!A:D,1,FALSE))),"")</f>
        <v/>
      </c>
      <c r="P888" t="str">
        <f>VLOOKUP(A888,Groups!A:L,5,FALSE)</f>
        <v>LOCA</v>
      </c>
      <c r="Q888" s="62" t="str">
        <f>IF(G888="PA",IF(M888&lt;&gt;"",ISERROR(VLOOKUP(M888,ABBR!C:F,1,FALSE)),ISERROR(VLOOKUP(E888,ABBR!C:F,1,FALSE))),"")</f>
        <v/>
      </c>
    </row>
    <row r="889" spans="1:17" hidden="1" x14ac:dyDescent="0.25">
      <c r="A889" s="16" t="s">
        <v>497</v>
      </c>
      <c r="B889" s="17"/>
      <c r="C889" s="16" t="s">
        <v>2154</v>
      </c>
      <c r="D889" s="17"/>
      <c r="E889" s="17" t="s">
        <v>608</v>
      </c>
      <c r="F889" s="93" t="s">
        <v>1952</v>
      </c>
      <c r="G889" s="179" t="s">
        <v>876</v>
      </c>
      <c r="H889" s="17">
        <v>11</v>
      </c>
      <c r="J889" s="62" t="s">
        <v>473</v>
      </c>
      <c r="K889" s="62"/>
      <c r="M889" s="62"/>
      <c r="N889" s="62"/>
      <c r="O889" s="62" t="str">
        <f>IF(E889="PA",IF(K889&lt;&gt;"",ISERROR(VLOOKUP(K889,ABBR!A:D,1,FALSE)),ISERROR(VLOOKUP(C889,ABBR!A:D,1,FALSE))),"")</f>
        <v/>
      </c>
      <c r="P889" t="str">
        <f>VLOOKUP(A889,Groups!A:L,5,FALSE)</f>
        <v>LOCA</v>
      </c>
      <c r="Q889" s="62" t="str">
        <f>IF(G889="PA",IF(M889&lt;&gt;"",ISERROR(VLOOKUP(M889,ABBR!C:F,1,FALSE)),ISERROR(VLOOKUP(E889,ABBR!C:F,1,FALSE))),"")</f>
        <v/>
      </c>
    </row>
    <row r="890" spans="1:17" hidden="1" x14ac:dyDescent="0.25">
      <c r="A890" s="16" t="s">
        <v>497</v>
      </c>
      <c r="B890" s="17"/>
      <c r="C890" s="16" t="s">
        <v>2155</v>
      </c>
      <c r="D890" s="17"/>
      <c r="E890" s="17" t="s">
        <v>608</v>
      </c>
      <c r="F890" s="18" t="s">
        <v>2156</v>
      </c>
      <c r="G890" s="49" t="s">
        <v>2157</v>
      </c>
      <c r="H890" s="17">
        <v>12</v>
      </c>
      <c r="J890" s="62" t="s">
        <v>473</v>
      </c>
      <c r="K890" s="62"/>
      <c r="M890" s="62"/>
      <c r="N890" s="62"/>
      <c r="O890" s="62" t="str">
        <f>IF(E890="PA",IF(K890&lt;&gt;"",ISERROR(VLOOKUP(K890,ABBR!A:D,1,FALSE)),ISERROR(VLOOKUP(C890,ABBR!A:D,1,FALSE))),"")</f>
        <v/>
      </c>
      <c r="P890" t="str">
        <f>VLOOKUP(A890,Groups!A:L,5,FALSE)</f>
        <v>LOCA</v>
      </c>
      <c r="Q890" s="62" t="str">
        <f>IF(G890="PA",IF(M890&lt;&gt;"",ISERROR(VLOOKUP(M890,ABBR!C:F,1,FALSE)),ISERROR(VLOOKUP(E890,ABBR!C:F,1,FALSE))),"")</f>
        <v/>
      </c>
    </row>
    <row r="891" spans="1:17" hidden="1" x14ac:dyDescent="0.25">
      <c r="A891" s="16" t="s">
        <v>497</v>
      </c>
      <c r="B891" s="17"/>
      <c r="C891" s="16" t="s">
        <v>2158</v>
      </c>
      <c r="D891" s="17"/>
      <c r="E891" s="17" t="s">
        <v>608</v>
      </c>
      <c r="F891" s="18" t="s">
        <v>2159</v>
      </c>
      <c r="G891" s="49" t="s">
        <v>2160</v>
      </c>
      <c r="H891" s="17">
        <v>13</v>
      </c>
      <c r="J891" s="62" t="s">
        <v>491</v>
      </c>
      <c r="K891" s="62"/>
      <c r="M891" s="62"/>
      <c r="N891" s="62"/>
      <c r="O891" s="62" t="str">
        <f>IF(E891="PA",IF(K891&lt;&gt;"",ISERROR(VLOOKUP(K891,ABBR!A:D,1,FALSE)),ISERROR(VLOOKUP(C891,ABBR!A:D,1,FALSE))),"")</f>
        <v/>
      </c>
      <c r="P891" t="str">
        <f>VLOOKUP(A891,Groups!A:L,5,FALSE)</f>
        <v>LOCA</v>
      </c>
      <c r="Q891" s="62" t="str">
        <f>IF(G891="PA",IF(M891&lt;&gt;"",ISERROR(VLOOKUP(M891,ABBR!C:F,1,FALSE)),ISERROR(VLOOKUP(E891,ABBR!C:F,1,FALSE))),"")</f>
        <v/>
      </c>
    </row>
    <row r="892" spans="1:17" hidden="1" x14ac:dyDescent="0.25">
      <c r="A892" s="16" t="s">
        <v>497</v>
      </c>
      <c r="B892" s="17"/>
      <c r="C892" s="16" t="s">
        <v>2161</v>
      </c>
      <c r="D892" s="17"/>
      <c r="E892" s="17" t="s">
        <v>608</v>
      </c>
      <c r="F892" s="18" t="s">
        <v>2162</v>
      </c>
      <c r="G892" s="49" t="s">
        <v>16</v>
      </c>
      <c r="H892" s="17">
        <v>14</v>
      </c>
      <c r="J892" s="62" t="s">
        <v>491</v>
      </c>
      <c r="K892" s="62"/>
      <c r="M892" s="62"/>
      <c r="N892" s="62"/>
      <c r="O892" s="62" t="str">
        <f>IF(E892="PA",IF(K892&lt;&gt;"",ISERROR(VLOOKUP(K892,ABBR!A:D,1,FALSE)),ISERROR(VLOOKUP(C892,ABBR!A:D,1,FALSE))),"")</f>
        <v/>
      </c>
      <c r="P892" t="str">
        <f>VLOOKUP(A892,Groups!A:L,5,FALSE)</f>
        <v>LOCA</v>
      </c>
      <c r="Q892" s="62" t="str">
        <f>IF(G892="PA",IF(M892&lt;&gt;"",ISERROR(VLOOKUP(M892,ABBR!C:F,1,FALSE)),ISERROR(VLOOKUP(E892,ABBR!C:F,1,FALSE))),"")</f>
        <v/>
      </c>
    </row>
    <row r="893" spans="1:17" hidden="1" x14ac:dyDescent="0.25">
      <c r="A893" s="16" t="s">
        <v>497</v>
      </c>
      <c r="B893" s="17"/>
      <c r="C893" s="16" t="s">
        <v>2163</v>
      </c>
      <c r="D893" s="17"/>
      <c r="E893" s="17" t="s">
        <v>608</v>
      </c>
      <c r="F893" s="18" t="s">
        <v>2164</v>
      </c>
      <c r="G893" s="49" t="s">
        <v>16</v>
      </c>
      <c r="H893" s="17">
        <v>15</v>
      </c>
      <c r="J893" s="62" t="s">
        <v>491</v>
      </c>
      <c r="K893" s="62"/>
      <c r="M893" s="62"/>
      <c r="N893" s="62"/>
      <c r="O893" s="62" t="str">
        <f>IF(E893="PA",IF(K893&lt;&gt;"",ISERROR(VLOOKUP(K893,ABBR!A:D,1,FALSE)),ISERROR(VLOOKUP(C893,ABBR!A:D,1,FALSE))),"")</f>
        <v/>
      </c>
      <c r="P893" t="str">
        <f>VLOOKUP(A893,Groups!A:L,5,FALSE)</f>
        <v>LOCA</v>
      </c>
      <c r="Q893" s="62" t="str">
        <f>IF(G893="PA",IF(M893&lt;&gt;"",ISERROR(VLOOKUP(M893,ABBR!C:F,1,FALSE)),ISERROR(VLOOKUP(E893,ABBR!C:F,1,FALSE))),"")</f>
        <v/>
      </c>
    </row>
    <row r="894" spans="1:17" hidden="1" x14ac:dyDescent="0.25">
      <c r="A894" s="16" t="s">
        <v>497</v>
      </c>
      <c r="B894" s="17"/>
      <c r="C894" s="16" t="s">
        <v>2165</v>
      </c>
      <c r="D894" s="17" t="s">
        <v>722</v>
      </c>
      <c r="E894" s="17" t="s">
        <v>601</v>
      </c>
      <c r="F894" s="18" t="s">
        <v>2166</v>
      </c>
      <c r="G894" s="49" t="s">
        <v>2167</v>
      </c>
      <c r="H894" s="17">
        <v>16</v>
      </c>
      <c r="J894" s="62" t="s">
        <v>491</v>
      </c>
      <c r="K894" s="62"/>
      <c r="M894" s="62"/>
      <c r="N894" s="62"/>
      <c r="O894" s="62" t="str">
        <f>IF(E894="PA",IF(K894&lt;&gt;"",ISERROR(VLOOKUP(K894,ABBR!A:D,1,FALSE)),ISERROR(VLOOKUP(C894,ABBR!A:D,1,FALSE))),"")</f>
        <v/>
      </c>
      <c r="P894" t="str">
        <f>VLOOKUP(A894,Groups!A:L,5,FALSE)</f>
        <v>LOCA</v>
      </c>
      <c r="Q894" s="62" t="str">
        <f>IF(G894="PA",IF(M894&lt;&gt;"",ISERROR(VLOOKUP(M894,ABBR!C:F,1,FALSE)),ISERROR(VLOOKUP(E894,ABBR!C:F,1,FALSE))),"")</f>
        <v/>
      </c>
    </row>
    <row r="895" spans="1:17" hidden="1" x14ac:dyDescent="0.25">
      <c r="A895" s="16" t="s">
        <v>497</v>
      </c>
      <c r="B895" s="17"/>
      <c r="C895" s="16" t="s">
        <v>2168</v>
      </c>
      <c r="D895" s="17" t="s">
        <v>1345</v>
      </c>
      <c r="E895" s="17" t="s">
        <v>601</v>
      </c>
      <c r="F895" s="18" t="s">
        <v>2169</v>
      </c>
      <c r="G895" s="49" t="s">
        <v>2170</v>
      </c>
      <c r="H895" s="17">
        <v>17</v>
      </c>
      <c r="J895" s="62" t="s">
        <v>491</v>
      </c>
      <c r="K895" s="62"/>
      <c r="M895" s="62"/>
      <c r="N895" s="62"/>
      <c r="O895" s="62" t="str">
        <f>IF(E895="PA",IF(K895&lt;&gt;"",ISERROR(VLOOKUP(K895,ABBR!A:D,1,FALSE)),ISERROR(VLOOKUP(C895,ABBR!A:D,1,FALSE))),"")</f>
        <v/>
      </c>
      <c r="P895" t="str">
        <f>VLOOKUP(A895,Groups!A:L,5,FALSE)</f>
        <v>LOCA</v>
      </c>
      <c r="Q895" s="62" t="str">
        <f>IF(G895="PA",IF(M895&lt;&gt;"",ISERROR(VLOOKUP(M895,ABBR!C:F,1,FALSE)),ISERROR(VLOOKUP(E895,ABBR!C:F,1,FALSE))),"")</f>
        <v/>
      </c>
    </row>
    <row r="896" spans="1:17" hidden="1" x14ac:dyDescent="0.25">
      <c r="A896" s="16" t="s">
        <v>497</v>
      </c>
      <c r="B896" s="17"/>
      <c r="C896" s="16" t="s">
        <v>2171</v>
      </c>
      <c r="D896" s="17" t="s">
        <v>1345</v>
      </c>
      <c r="E896" s="17" t="s">
        <v>601</v>
      </c>
      <c r="F896" s="18" t="s">
        <v>2172</v>
      </c>
      <c r="G896" s="49" t="s">
        <v>2173</v>
      </c>
      <c r="H896" s="17">
        <v>18</v>
      </c>
      <c r="J896" s="62" t="s">
        <v>491</v>
      </c>
      <c r="K896" s="62"/>
      <c r="M896" s="62"/>
      <c r="N896" s="62"/>
      <c r="O896" s="62" t="str">
        <f>IF(E896="PA",IF(K896&lt;&gt;"",ISERROR(VLOOKUP(K896,ABBR!A:D,1,FALSE)),ISERROR(VLOOKUP(C896,ABBR!A:D,1,FALSE))),"")</f>
        <v/>
      </c>
      <c r="P896" t="str">
        <f>VLOOKUP(A896,Groups!A:L,5,FALSE)</f>
        <v>LOCA</v>
      </c>
      <c r="Q896" s="62" t="str">
        <f>IF(G896="PA",IF(M896&lt;&gt;"",ISERROR(VLOOKUP(M896,ABBR!C:F,1,FALSE)),ISERROR(VLOOKUP(E896,ABBR!C:F,1,FALSE))),"")</f>
        <v/>
      </c>
    </row>
    <row r="897" spans="1:17" hidden="1" x14ac:dyDescent="0.25">
      <c r="A897" s="16" t="s">
        <v>497</v>
      </c>
      <c r="B897" s="17"/>
      <c r="C897" s="16" t="s">
        <v>2174</v>
      </c>
      <c r="D897" s="17"/>
      <c r="E897" s="17" t="s">
        <v>608</v>
      </c>
      <c r="F897" s="18" t="s">
        <v>2175</v>
      </c>
      <c r="G897" s="49" t="s">
        <v>2176</v>
      </c>
      <c r="H897" s="17">
        <v>19</v>
      </c>
      <c r="J897" s="62" t="s">
        <v>491</v>
      </c>
      <c r="K897" s="62"/>
      <c r="M897" s="62"/>
      <c r="N897" s="62"/>
      <c r="O897" s="62" t="str">
        <f>IF(E897="PA",IF(K897&lt;&gt;"",ISERROR(VLOOKUP(K897,ABBR!A:D,1,FALSE)),ISERROR(VLOOKUP(C897,ABBR!A:D,1,FALSE))),"")</f>
        <v/>
      </c>
      <c r="P897" t="str">
        <f>VLOOKUP(A897,Groups!A:L,5,FALSE)</f>
        <v>LOCA</v>
      </c>
      <c r="Q897" s="62" t="str">
        <f>IF(G897="PA",IF(M897&lt;&gt;"",ISERROR(VLOOKUP(M897,ABBR!C:F,1,FALSE)),ISERROR(VLOOKUP(E897,ABBR!C:F,1,FALSE))),"")</f>
        <v/>
      </c>
    </row>
    <row r="898" spans="1:17" hidden="1" x14ac:dyDescent="0.25">
      <c r="A898" s="16" t="s">
        <v>497</v>
      </c>
      <c r="B898" s="17"/>
      <c r="C898" s="16" t="s">
        <v>2177</v>
      </c>
      <c r="D898" s="17" t="s">
        <v>1710</v>
      </c>
      <c r="E898" s="17" t="s">
        <v>601</v>
      </c>
      <c r="F898" s="18" t="s">
        <v>2178</v>
      </c>
      <c r="G898" s="49" t="s">
        <v>2179</v>
      </c>
      <c r="H898" s="17">
        <v>20</v>
      </c>
      <c r="J898" s="62" t="s">
        <v>491</v>
      </c>
      <c r="K898" s="62"/>
      <c r="M898" s="62"/>
      <c r="N898" s="62"/>
      <c r="O898" s="62" t="str">
        <f>IF(E898="PA",IF(K898&lt;&gt;"",ISERROR(VLOOKUP(K898,ABBR!A:D,1,FALSE)),ISERROR(VLOOKUP(C898,ABBR!A:D,1,FALSE))),"")</f>
        <v/>
      </c>
      <c r="P898" t="str">
        <f>VLOOKUP(A898,Groups!A:L,5,FALSE)</f>
        <v>LOCA</v>
      </c>
      <c r="Q898" s="62" t="str">
        <f>IF(G898="PA",IF(M898&lt;&gt;"",ISERROR(VLOOKUP(M898,ABBR!C:F,1,FALSE)),ISERROR(VLOOKUP(E898,ABBR!C:F,1,FALSE))),"")</f>
        <v/>
      </c>
    </row>
    <row r="899" spans="1:17" hidden="1" x14ac:dyDescent="0.25">
      <c r="A899" s="16" t="s">
        <v>497</v>
      </c>
      <c r="B899" s="17"/>
      <c r="C899" s="16" t="s">
        <v>2180</v>
      </c>
      <c r="D899" s="17" t="s">
        <v>600</v>
      </c>
      <c r="E899" s="17" t="s">
        <v>601</v>
      </c>
      <c r="F899" s="18" t="s">
        <v>2181</v>
      </c>
      <c r="G899" s="49" t="s">
        <v>1927</v>
      </c>
      <c r="H899" s="17">
        <v>21</v>
      </c>
      <c r="J899" s="62" t="s">
        <v>491</v>
      </c>
      <c r="K899" s="62"/>
      <c r="M899" s="62"/>
      <c r="N899" s="62"/>
      <c r="O899" s="62" t="str">
        <f>IF(E899="PA",IF(K899&lt;&gt;"",ISERROR(VLOOKUP(K899,ABBR!A:D,1,FALSE)),ISERROR(VLOOKUP(C899,ABBR!A:D,1,FALSE))),"")</f>
        <v/>
      </c>
      <c r="P899" t="str">
        <f>VLOOKUP(A899,Groups!A:L,5,FALSE)</f>
        <v>LOCA</v>
      </c>
      <c r="Q899" s="62" t="str">
        <f>IF(G899="PA",IF(M899&lt;&gt;"",ISERROR(VLOOKUP(M899,ABBR!C:F,1,FALSE)),ISERROR(VLOOKUP(E899,ABBR!C:F,1,FALSE))),"")</f>
        <v/>
      </c>
    </row>
    <row r="900" spans="1:17" hidden="1" x14ac:dyDescent="0.25">
      <c r="A900" s="16" t="s">
        <v>497</v>
      </c>
      <c r="B900" s="17"/>
      <c r="C900" s="16" t="s">
        <v>643</v>
      </c>
      <c r="D900" s="17"/>
      <c r="E900" s="17" t="s">
        <v>608</v>
      </c>
      <c r="F900" s="18" t="s">
        <v>1714</v>
      </c>
      <c r="G900" s="49" t="s">
        <v>940</v>
      </c>
      <c r="H900" s="17">
        <v>22</v>
      </c>
      <c r="J900" s="62" t="s">
        <v>491</v>
      </c>
      <c r="K900" s="62"/>
      <c r="M900" s="62"/>
      <c r="N900" s="62"/>
      <c r="O900" s="62" t="str">
        <f>IF(E900="PA",IF(K900&lt;&gt;"",ISERROR(VLOOKUP(K900,ABBR!A:D,1,FALSE)),ISERROR(VLOOKUP(C900,ABBR!A:D,1,FALSE))),"")</f>
        <v/>
      </c>
      <c r="P900" t="str">
        <f>VLOOKUP(A900,Groups!A:L,5,FALSE)</f>
        <v>LOCA</v>
      </c>
      <c r="Q900" s="62" t="str">
        <f>IF(G900="PA",IF(M900&lt;&gt;"",ISERROR(VLOOKUP(M900,ABBR!C:F,1,FALSE)),ISERROR(VLOOKUP(E900,ABBR!C:F,1,FALSE))),"")</f>
        <v/>
      </c>
    </row>
    <row r="901" spans="1:17" hidden="1" x14ac:dyDescent="0.25">
      <c r="A901" s="16" t="s">
        <v>501</v>
      </c>
      <c r="B901" s="17" t="s">
        <v>594</v>
      </c>
      <c r="C901" s="16" t="s">
        <v>595</v>
      </c>
      <c r="D901" s="17"/>
      <c r="E901" s="17" t="s">
        <v>596</v>
      </c>
      <c r="F901" s="18" t="s">
        <v>597</v>
      </c>
      <c r="G901" s="49" t="s">
        <v>598</v>
      </c>
      <c r="H901" s="17">
        <v>1</v>
      </c>
      <c r="J901" s="62" t="s">
        <v>491</v>
      </c>
      <c r="K901" s="62"/>
      <c r="M901" s="62"/>
      <c r="N901" s="62"/>
      <c r="O901" s="62" t="str">
        <f>IF(E901="PA",IF(K901&lt;&gt;"",ISERROR(VLOOKUP(K901,ABBR!A:D,1,FALSE)),ISERROR(VLOOKUP(C901,ABBR!A:D,1,FALSE))),"")</f>
        <v/>
      </c>
      <c r="P901" t="str">
        <f>VLOOKUP(A901,Groups!A:L,5,FALSE)</f>
        <v>DMTT</v>
      </c>
      <c r="Q901" s="62" t="str">
        <f>IF(G901="PA",IF(M901&lt;&gt;"",ISERROR(VLOOKUP(M901,ABBR!C:F,1,FALSE)),ISERROR(VLOOKUP(E901,ABBR!C:F,1,FALSE))),"")</f>
        <v/>
      </c>
    </row>
    <row r="902" spans="1:17" hidden="1" x14ac:dyDescent="0.25">
      <c r="A902" s="16" t="s">
        <v>501</v>
      </c>
      <c r="B902" s="17" t="s">
        <v>594</v>
      </c>
      <c r="C902" s="16" t="s">
        <v>2106</v>
      </c>
      <c r="D902" s="17"/>
      <c r="E902" s="17" t="s">
        <v>608</v>
      </c>
      <c r="F902" s="18" t="s">
        <v>1323</v>
      </c>
      <c r="G902" s="49" t="s">
        <v>1114</v>
      </c>
      <c r="H902" s="17">
        <v>2</v>
      </c>
      <c r="J902" s="62" t="s">
        <v>491</v>
      </c>
      <c r="K902" s="62"/>
      <c r="M902" s="62"/>
      <c r="N902" s="62"/>
      <c r="O902" s="62" t="str">
        <f>IF(E902="PA",IF(K902&lt;&gt;"",ISERROR(VLOOKUP(K902,ABBR!A:D,1,FALSE)),ISERROR(VLOOKUP(C902,ABBR!A:D,1,FALSE))),"")</f>
        <v/>
      </c>
      <c r="P902" t="str">
        <f>VLOOKUP(A902,Groups!A:L,5,FALSE)</f>
        <v>DMTT</v>
      </c>
      <c r="Q902" s="62" t="str">
        <f>IF(G902="PA",IF(M902&lt;&gt;"",ISERROR(VLOOKUP(M902,ABBR!C:F,1,FALSE)),ISERROR(VLOOKUP(E902,ABBR!C:F,1,FALSE))),"")</f>
        <v/>
      </c>
    </row>
    <row r="903" spans="1:17" hidden="1" x14ac:dyDescent="0.25">
      <c r="A903" s="16" t="s">
        <v>501</v>
      </c>
      <c r="B903" s="17" t="s">
        <v>594</v>
      </c>
      <c r="C903" s="16" t="s">
        <v>2182</v>
      </c>
      <c r="D903" s="17" t="s">
        <v>600</v>
      </c>
      <c r="E903" s="17" t="s">
        <v>601</v>
      </c>
      <c r="F903" s="18" t="s">
        <v>2183</v>
      </c>
      <c r="G903" s="49" t="s">
        <v>2184</v>
      </c>
      <c r="H903" s="17">
        <v>3</v>
      </c>
      <c r="J903" s="62" t="s">
        <v>491</v>
      </c>
      <c r="K903" s="62"/>
      <c r="M903" s="62"/>
      <c r="N903" s="62"/>
      <c r="O903" s="62" t="str">
        <f>IF(E903="PA",IF(K903&lt;&gt;"",ISERROR(VLOOKUP(K903,ABBR!A:D,1,FALSE)),ISERROR(VLOOKUP(C903,ABBR!A:D,1,FALSE))),"")</f>
        <v/>
      </c>
      <c r="P903" t="str">
        <f>VLOOKUP(A903,Groups!A:L,5,FALSE)</f>
        <v>DMTT</v>
      </c>
      <c r="Q903" s="62" t="str">
        <f>IF(G903="PA",IF(M903&lt;&gt;"",ISERROR(VLOOKUP(M903,ABBR!C:F,1,FALSE)),ISERROR(VLOOKUP(E903,ABBR!C:F,1,FALSE))),"")</f>
        <v/>
      </c>
    </row>
    <row r="904" spans="1:17" hidden="1" x14ac:dyDescent="0.25">
      <c r="A904" s="16" t="s">
        <v>501</v>
      </c>
      <c r="B904" s="17" t="s">
        <v>594</v>
      </c>
      <c r="C904" s="16" t="s">
        <v>2185</v>
      </c>
      <c r="D904" s="17"/>
      <c r="E904" s="17" t="s">
        <v>608</v>
      </c>
      <c r="F904" s="18" t="s">
        <v>2186</v>
      </c>
      <c r="G904" s="49" t="s">
        <v>2187</v>
      </c>
      <c r="H904" s="17">
        <v>4</v>
      </c>
      <c r="J904" s="62" t="s">
        <v>491</v>
      </c>
      <c r="K904" s="62"/>
      <c r="M904" s="62"/>
      <c r="N904" s="62"/>
      <c r="O904" s="62" t="str">
        <f>IF(E904="PA",IF(K904&lt;&gt;"",ISERROR(VLOOKUP(K904,ABBR!A:D,1,FALSE)),ISERROR(VLOOKUP(C904,ABBR!A:D,1,FALSE))),"")</f>
        <v/>
      </c>
      <c r="P904" t="str">
        <f>VLOOKUP(A904,Groups!A:L,5,FALSE)</f>
        <v>DMTT</v>
      </c>
      <c r="Q904" s="62" t="str">
        <f>IF(G904="PA",IF(M904&lt;&gt;"",ISERROR(VLOOKUP(M904,ABBR!C:F,1,FALSE)),ISERROR(VLOOKUP(E904,ABBR!C:F,1,FALSE))),"")</f>
        <v/>
      </c>
    </row>
    <row r="905" spans="1:17" hidden="1" x14ac:dyDescent="0.25">
      <c r="A905" s="16" t="s">
        <v>501</v>
      </c>
      <c r="B905" s="17"/>
      <c r="C905" s="16" t="s">
        <v>2188</v>
      </c>
      <c r="D905" s="17"/>
      <c r="E905" s="17" t="s">
        <v>601</v>
      </c>
      <c r="F905" s="18" t="s">
        <v>2189</v>
      </c>
      <c r="G905" s="49" t="s">
        <v>2190</v>
      </c>
      <c r="H905" s="17">
        <v>5</v>
      </c>
      <c r="J905" s="62" t="s">
        <v>491</v>
      </c>
      <c r="K905" s="62"/>
      <c r="M905" s="62"/>
      <c r="N905" s="62"/>
      <c r="O905" s="62" t="str">
        <f>IF(E905="PA",IF(K905&lt;&gt;"",ISERROR(VLOOKUP(K905,ABBR!A:D,1,FALSE)),ISERROR(VLOOKUP(C905,ABBR!A:D,1,FALSE))),"")</f>
        <v/>
      </c>
      <c r="P905" t="str">
        <f>VLOOKUP(A905,Groups!A:L,5,FALSE)</f>
        <v>DMTT</v>
      </c>
      <c r="Q905" s="62" t="str">
        <f>IF(G905="PA",IF(M905&lt;&gt;"",ISERROR(VLOOKUP(M905,ABBR!C:F,1,FALSE)),ISERROR(VLOOKUP(E905,ABBR!C:F,1,FALSE))),"")</f>
        <v/>
      </c>
    </row>
    <row r="906" spans="1:17" hidden="1" x14ac:dyDescent="0.25">
      <c r="A906" s="16" t="s">
        <v>501</v>
      </c>
      <c r="B906" s="17"/>
      <c r="C906" s="16" t="s">
        <v>2191</v>
      </c>
      <c r="D906" s="17"/>
      <c r="E906" s="17" t="s">
        <v>723</v>
      </c>
      <c r="F906" s="18" t="s">
        <v>2192</v>
      </c>
      <c r="G906" s="49" t="s">
        <v>2193</v>
      </c>
      <c r="H906" s="17">
        <v>6</v>
      </c>
      <c r="J906" s="62" t="s">
        <v>491</v>
      </c>
      <c r="K906" s="62"/>
      <c r="M906" s="62"/>
      <c r="N906" s="62"/>
      <c r="O906" s="62" t="str">
        <f>IF(E906="PA",IF(K906&lt;&gt;"",ISERROR(VLOOKUP(K906,ABBR!A:D,1,FALSE)),ISERROR(VLOOKUP(C906,ABBR!A:D,1,FALSE))),"")</f>
        <v/>
      </c>
      <c r="P906" t="str">
        <f>VLOOKUP(A906,Groups!A:L,5,FALSE)</f>
        <v>DMTT</v>
      </c>
      <c r="Q906" s="62" t="str">
        <f>IF(G906="PA",IF(M906&lt;&gt;"",ISERROR(VLOOKUP(M906,ABBR!C:F,1,FALSE)),ISERROR(VLOOKUP(E906,ABBR!C:F,1,FALSE))),"")</f>
        <v/>
      </c>
    </row>
    <row r="907" spans="1:17" hidden="1" x14ac:dyDescent="0.25">
      <c r="A907" s="16" t="s">
        <v>501</v>
      </c>
      <c r="B907" s="17"/>
      <c r="C907" s="16" t="s">
        <v>2194</v>
      </c>
      <c r="D907" s="17" t="s">
        <v>1710</v>
      </c>
      <c r="E907" s="17" t="s">
        <v>723</v>
      </c>
      <c r="F907" s="18" t="s">
        <v>2195</v>
      </c>
      <c r="G907" s="49" t="s">
        <v>2196</v>
      </c>
      <c r="H907" s="17">
        <v>7</v>
      </c>
      <c r="J907" s="62" t="s">
        <v>491</v>
      </c>
      <c r="K907" s="62"/>
      <c r="M907" s="62"/>
      <c r="N907" s="62"/>
      <c r="O907" s="62" t="str">
        <f>IF(E907="PA",IF(K907&lt;&gt;"",ISERROR(VLOOKUP(K907,ABBR!A:D,1,FALSE)),ISERROR(VLOOKUP(C907,ABBR!A:D,1,FALSE))),"")</f>
        <v/>
      </c>
      <c r="P907" t="str">
        <f>VLOOKUP(A907,Groups!A:L,5,FALSE)</f>
        <v>DMTT</v>
      </c>
      <c r="Q907" s="62" t="str">
        <f>IF(G907="PA",IF(M907&lt;&gt;"",ISERROR(VLOOKUP(M907,ABBR!C:F,1,FALSE)),ISERROR(VLOOKUP(E907,ABBR!C:F,1,FALSE))),"")</f>
        <v/>
      </c>
    </row>
    <row r="908" spans="1:17" hidden="1" x14ac:dyDescent="0.25">
      <c r="A908" s="16" t="s">
        <v>501</v>
      </c>
      <c r="B908" s="17"/>
      <c r="C908" s="16" t="s">
        <v>2197</v>
      </c>
      <c r="D908" s="17"/>
      <c r="E908" s="17" t="s">
        <v>608</v>
      </c>
      <c r="F908" s="18" t="s">
        <v>2198</v>
      </c>
      <c r="G908" s="49" t="s">
        <v>2199</v>
      </c>
      <c r="H908" s="17">
        <v>8</v>
      </c>
      <c r="J908" s="62" t="s">
        <v>491</v>
      </c>
      <c r="K908" s="62"/>
      <c r="M908" s="62"/>
      <c r="N908" s="62"/>
      <c r="O908" s="62" t="str">
        <f>IF(E908="PA",IF(K908&lt;&gt;"",ISERROR(VLOOKUP(K908,ABBR!A:D,1,FALSE)),ISERROR(VLOOKUP(C908,ABBR!A:D,1,FALSE))),"")</f>
        <v/>
      </c>
      <c r="P908" t="str">
        <f>VLOOKUP(A908,Groups!A:L,5,FALSE)</f>
        <v>DMTT</v>
      </c>
      <c r="Q908" s="62" t="str">
        <f>IF(G908="PA",IF(M908&lt;&gt;"",ISERROR(VLOOKUP(M908,ABBR!C:F,1,FALSE)),ISERROR(VLOOKUP(E908,ABBR!C:F,1,FALSE))),"")</f>
        <v/>
      </c>
    </row>
    <row r="909" spans="1:17" hidden="1" x14ac:dyDescent="0.25">
      <c r="A909" s="16" t="s">
        <v>501</v>
      </c>
      <c r="B909" s="17"/>
      <c r="C909" s="16" t="s">
        <v>2200</v>
      </c>
      <c r="D909" s="17" t="s">
        <v>2201</v>
      </c>
      <c r="E909" s="17" t="s">
        <v>723</v>
      </c>
      <c r="F909" s="18" t="s">
        <v>2202</v>
      </c>
      <c r="G909" s="49" t="s">
        <v>2203</v>
      </c>
      <c r="H909" s="17">
        <v>9</v>
      </c>
      <c r="J909" s="62" t="s">
        <v>491</v>
      </c>
      <c r="K909" s="62"/>
      <c r="M909" s="62"/>
      <c r="N909" s="62"/>
      <c r="O909" s="62" t="str">
        <f>IF(E909="PA",IF(K909&lt;&gt;"",ISERROR(VLOOKUP(K909,ABBR!A:D,1,FALSE)),ISERROR(VLOOKUP(C909,ABBR!A:D,1,FALSE))),"")</f>
        <v/>
      </c>
      <c r="P909" t="str">
        <f>VLOOKUP(A909,Groups!A:L,5,FALSE)</f>
        <v>DMTT</v>
      </c>
      <c r="Q909" s="62" t="str">
        <f>IF(G909="PA",IF(M909&lt;&gt;"",ISERROR(VLOOKUP(M909,ABBR!C:F,1,FALSE)),ISERROR(VLOOKUP(E909,ABBR!C:F,1,FALSE))),"")</f>
        <v/>
      </c>
    </row>
    <row r="910" spans="1:17" ht="37.5" hidden="1" x14ac:dyDescent="0.25">
      <c r="A910" s="16" t="s">
        <v>501</v>
      </c>
      <c r="B910" s="17"/>
      <c r="C910" s="16" t="s">
        <v>2204</v>
      </c>
      <c r="D910" s="17" t="s">
        <v>1345</v>
      </c>
      <c r="E910" s="17" t="s">
        <v>767</v>
      </c>
      <c r="F910" s="18" t="s">
        <v>2205</v>
      </c>
      <c r="G910" s="49" t="s">
        <v>2067</v>
      </c>
      <c r="H910" s="17">
        <v>10</v>
      </c>
      <c r="J910" s="62" t="s">
        <v>491</v>
      </c>
      <c r="K910" s="62"/>
      <c r="M910" s="62"/>
      <c r="N910" s="62"/>
      <c r="O910" s="62" t="str">
        <f>IF(E910="PA",IF(K910&lt;&gt;"",ISERROR(VLOOKUP(K910,ABBR!A:D,1,FALSE)),ISERROR(VLOOKUP(C910,ABBR!A:D,1,FALSE))),"")</f>
        <v/>
      </c>
      <c r="P910" t="str">
        <f>VLOOKUP(A910,Groups!A:L,5,FALSE)</f>
        <v>DMTT</v>
      </c>
      <c r="Q910" s="62" t="str">
        <f>IF(G910="PA",IF(M910&lt;&gt;"",ISERROR(VLOOKUP(M910,ABBR!C:F,1,FALSE)),ISERROR(VLOOKUP(E910,ABBR!C:F,1,FALSE))),"")</f>
        <v/>
      </c>
    </row>
    <row r="911" spans="1:17" ht="25" hidden="1" x14ac:dyDescent="0.25">
      <c r="A911" s="16" t="s">
        <v>501</v>
      </c>
      <c r="B911" s="17"/>
      <c r="C911" s="16" t="s">
        <v>2206</v>
      </c>
      <c r="D911" s="17"/>
      <c r="E911" s="17" t="s">
        <v>601</v>
      </c>
      <c r="F911" s="18" t="s">
        <v>2207</v>
      </c>
      <c r="G911" s="49" t="s">
        <v>2208</v>
      </c>
      <c r="H911" s="17">
        <v>11</v>
      </c>
      <c r="J911" s="62" t="s">
        <v>491</v>
      </c>
      <c r="K911" s="62"/>
      <c r="M911" s="62"/>
      <c r="N911" s="62"/>
      <c r="O911" s="62" t="str">
        <f>IF(E911="PA",IF(K911&lt;&gt;"",ISERROR(VLOOKUP(K911,ABBR!A:D,1,FALSE)),ISERROR(VLOOKUP(C911,ABBR!A:D,1,FALSE))),"")</f>
        <v/>
      </c>
      <c r="P911" t="str">
        <f>VLOOKUP(A911,Groups!A:L,5,FALSE)</f>
        <v>DMTT</v>
      </c>
      <c r="Q911" s="62" t="str">
        <f>IF(G911="PA",IF(M911&lt;&gt;"",ISERROR(VLOOKUP(M911,ABBR!C:F,1,FALSE)),ISERROR(VLOOKUP(E911,ABBR!C:F,1,FALSE))),"")</f>
        <v/>
      </c>
    </row>
    <row r="912" spans="1:17" hidden="1" x14ac:dyDescent="0.25">
      <c r="A912" s="16" t="s">
        <v>501</v>
      </c>
      <c r="B912" s="17"/>
      <c r="C912" s="16" t="s">
        <v>2209</v>
      </c>
      <c r="D912" s="17"/>
      <c r="E912" s="17" t="s">
        <v>723</v>
      </c>
      <c r="F912" s="18" t="s">
        <v>2210</v>
      </c>
      <c r="G912" s="49" t="s">
        <v>2211</v>
      </c>
      <c r="H912" s="17">
        <v>12</v>
      </c>
      <c r="J912" s="62" t="s">
        <v>491</v>
      </c>
      <c r="K912" s="62"/>
      <c r="M912" s="62"/>
      <c r="N912" s="62"/>
      <c r="O912" s="62" t="str">
        <f>IF(E912="PA",IF(K912&lt;&gt;"",ISERROR(VLOOKUP(K912,ABBR!A:D,1,FALSE)),ISERROR(VLOOKUP(C912,ABBR!A:D,1,FALSE))),"")</f>
        <v/>
      </c>
      <c r="P912" t="str">
        <f>VLOOKUP(A912,Groups!A:L,5,FALSE)</f>
        <v>DMTT</v>
      </c>
      <c r="Q912" s="62" t="str">
        <f>IF(G912="PA",IF(M912&lt;&gt;"",ISERROR(VLOOKUP(M912,ABBR!C:F,1,FALSE)),ISERROR(VLOOKUP(E912,ABBR!C:F,1,FALSE))),"")</f>
        <v/>
      </c>
    </row>
    <row r="913" spans="1:17" hidden="1" x14ac:dyDescent="0.25">
      <c r="A913" s="16" t="s">
        <v>501</v>
      </c>
      <c r="B913" s="17"/>
      <c r="C913" s="16" t="s">
        <v>2212</v>
      </c>
      <c r="D913" s="17"/>
      <c r="E913" s="17" t="s">
        <v>618</v>
      </c>
      <c r="F913" s="18" t="s">
        <v>2213</v>
      </c>
      <c r="G913" s="49" t="s">
        <v>2214</v>
      </c>
      <c r="H913" s="17">
        <v>13</v>
      </c>
      <c r="J913" s="62" t="s">
        <v>491</v>
      </c>
      <c r="K913" s="62"/>
      <c r="M913" s="62"/>
      <c r="N913" s="62"/>
      <c r="O913" s="62" t="b">
        <f>IF(E913="PA",IF(K913&lt;&gt;"",ISERROR(VLOOKUP(K913,ABBR!A:D,1,FALSE)),ISERROR(VLOOKUP(C913,ABBR!A:D,1,FALSE))),"")</f>
        <v>0</v>
      </c>
      <c r="P913" t="str">
        <f>VLOOKUP(A913,Groups!A:L,5,FALSE)</f>
        <v>DMTT</v>
      </c>
      <c r="Q913" s="62" t="str">
        <f>IF(G913="PA",IF(M913&lt;&gt;"",ISERROR(VLOOKUP(M913,ABBR!C:F,1,FALSE)),ISERROR(VLOOKUP(E913,ABBR!C:F,1,FALSE))),"")</f>
        <v/>
      </c>
    </row>
    <row r="914" spans="1:17" ht="25" hidden="1" x14ac:dyDescent="0.25">
      <c r="A914" s="16" t="s">
        <v>501</v>
      </c>
      <c r="B914" s="17"/>
      <c r="C914" s="16" t="s">
        <v>2215</v>
      </c>
      <c r="D914" s="17" t="s">
        <v>1345</v>
      </c>
      <c r="E914" s="17" t="s">
        <v>767</v>
      </c>
      <c r="F914" s="18" t="s">
        <v>2216</v>
      </c>
      <c r="G914" s="49" t="s">
        <v>2067</v>
      </c>
      <c r="H914" s="17">
        <v>14</v>
      </c>
      <c r="J914" s="62" t="s">
        <v>491</v>
      </c>
      <c r="K914" s="62"/>
      <c r="M914" s="62"/>
      <c r="N914" s="62"/>
      <c r="O914" s="62" t="str">
        <f>IF(E914="PA",IF(K914&lt;&gt;"",ISERROR(VLOOKUP(K914,ABBR!A:D,1,FALSE)),ISERROR(VLOOKUP(C914,ABBR!A:D,1,FALSE))),"")</f>
        <v/>
      </c>
      <c r="P914" t="str">
        <f>VLOOKUP(A914,Groups!A:L,5,FALSE)</f>
        <v>DMTT</v>
      </c>
      <c r="Q914" s="62" t="str">
        <f>IF(G914="PA",IF(M914&lt;&gt;"",ISERROR(VLOOKUP(M914,ABBR!C:F,1,FALSE)),ISERROR(VLOOKUP(E914,ABBR!C:F,1,FALSE))),"")</f>
        <v/>
      </c>
    </row>
    <row r="915" spans="1:17" ht="37.5" hidden="1" x14ac:dyDescent="0.25">
      <c r="A915" s="16" t="s">
        <v>501</v>
      </c>
      <c r="B915" s="17"/>
      <c r="C915" s="16" t="s">
        <v>2217</v>
      </c>
      <c r="D915" s="17" t="s">
        <v>1345</v>
      </c>
      <c r="E915" s="17" t="s">
        <v>767</v>
      </c>
      <c r="F915" s="18" t="s">
        <v>2218</v>
      </c>
      <c r="G915" s="49" t="s">
        <v>897</v>
      </c>
      <c r="H915" s="17">
        <v>15</v>
      </c>
      <c r="J915" s="62" t="s">
        <v>491</v>
      </c>
      <c r="K915" s="62"/>
      <c r="M915" s="62"/>
      <c r="N915" s="62"/>
      <c r="O915" s="62" t="str">
        <f>IF(E915="PA",IF(K915&lt;&gt;"",ISERROR(VLOOKUP(K915,ABBR!A:D,1,FALSE)),ISERROR(VLOOKUP(C915,ABBR!A:D,1,FALSE))),"")</f>
        <v/>
      </c>
      <c r="P915" t="str">
        <f>VLOOKUP(A915,Groups!A:L,5,FALSE)</f>
        <v>DMTT</v>
      </c>
      <c r="Q915" s="62" t="str">
        <f>IF(G915="PA",IF(M915&lt;&gt;"",ISERROR(VLOOKUP(M915,ABBR!C:F,1,FALSE)),ISERROR(VLOOKUP(E915,ABBR!C:F,1,FALSE))),"")</f>
        <v/>
      </c>
    </row>
    <row r="916" spans="1:17" hidden="1" x14ac:dyDescent="0.25">
      <c r="A916" s="16" t="s">
        <v>501</v>
      </c>
      <c r="B916" s="17"/>
      <c r="C916" s="16" t="s">
        <v>2219</v>
      </c>
      <c r="D916" s="17"/>
      <c r="E916" s="17" t="s">
        <v>601</v>
      </c>
      <c r="F916" s="18" t="s">
        <v>2220</v>
      </c>
      <c r="G916" s="49" t="s">
        <v>2221</v>
      </c>
      <c r="H916" s="17">
        <v>16</v>
      </c>
      <c r="J916" s="62" t="s">
        <v>491</v>
      </c>
      <c r="K916" s="62"/>
      <c r="M916" s="62"/>
      <c r="N916" s="62"/>
      <c r="O916" s="62" t="str">
        <f>IF(E916="PA",IF(K916&lt;&gt;"",ISERROR(VLOOKUP(K916,ABBR!A:D,1,FALSE)),ISERROR(VLOOKUP(C916,ABBR!A:D,1,FALSE))),"")</f>
        <v/>
      </c>
      <c r="P916" t="str">
        <f>VLOOKUP(A916,Groups!A:L,5,FALSE)</f>
        <v>DMTT</v>
      </c>
      <c r="Q916" s="62" t="str">
        <f>IF(G916="PA",IF(M916&lt;&gt;"",ISERROR(VLOOKUP(M916,ABBR!C:F,1,FALSE)),ISERROR(VLOOKUP(E916,ABBR!C:F,1,FALSE))),"")</f>
        <v/>
      </c>
    </row>
    <row r="917" spans="1:17" hidden="1" x14ac:dyDescent="0.25">
      <c r="A917" s="16" t="s">
        <v>501</v>
      </c>
      <c r="B917" s="17"/>
      <c r="C917" s="16" t="s">
        <v>2222</v>
      </c>
      <c r="D917" s="17" t="s">
        <v>2027</v>
      </c>
      <c r="E917" s="17" t="s">
        <v>723</v>
      </c>
      <c r="F917" s="18" t="s">
        <v>2223</v>
      </c>
      <c r="G917" s="49" t="s">
        <v>2224</v>
      </c>
      <c r="H917" s="17">
        <v>17</v>
      </c>
      <c r="J917" s="62" t="s">
        <v>491</v>
      </c>
      <c r="K917" s="62"/>
      <c r="M917" s="62"/>
      <c r="N917" s="62"/>
      <c r="O917" s="62" t="str">
        <f>IF(E917="PA",IF(K917&lt;&gt;"",ISERROR(VLOOKUP(K917,ABBR!A:D,1,FALSE)),ISERROR(VLOOKUP(C917,ABBR!A:D,1,FALSE))),"")</f>
        <v/>
      </c>
      <c r="P917" t="str">
        <f>VLOOKUP(A917,Groups!A:L,5,FALSE)</f>
        <v>DMTT</v>
      </c>
      <c r="Q917" s="62" t="str">
        <f>IF(G917="PA",IF(M917&lt;&gt;"",ISERROR(VLOOKUP(M917,ABBR!C:F,1,FALSE)),ISERROR(VLOOKUP(E917,ABBR!C:F,1,FALSE))),"")</f>
        <v/>
      </c>
    </row>
    <row r="918" spans="1:17" hidden="1" x14ac:dyDescent="0.25">
      <c r="A918" s="16" t="s">
        <v>501</v>
      </c>
      <c r="B918" s="17"/>
      <c r="C918" s="16" t="s">
        <v>2225</v>
      </c>
      <c r="D918" s="17" t="s">
        <v>1710</v>
      </c>
      <c r="E918" s="17" t="s">
        <v>723</v>
      </c>
      <c r="F918" s="18" t="s">
        <v>2226</v>
      </c>
      <c r="G918" s="49" t="s">
        <v>2227</v>
      </c>
      <c r="H918" s="17">
        <v>18</v>
      </c>
      <c r="J918" s="62" t="s">
        <v>491</v>
      </c>
      <c r="K918" s="62"/>
      <c r="M918" s="62"/>
      <c r="N918" s="62"/>
      <c r="O918" s="62" t="str">
        <f>IF(E918="PA",IF(K918&lt;&gt;"",ISERROR(VLOOKUP(K918,ABBR!A:D,1,FALSE)),ISERROR(VLOOKUP(C918,ABBR!A:D,1,FALSE))),"")</f>
        <v/>
      </c>
      <c r="P918" t="str">
        <f>VLOOKUP(A918,Groups!A:L,5,FALSE)</f>
        <v>DMTT</v>
      </c>
      <c r="Q918" s="62" t="str">
        <f>IF(G918="PA",IF(M918&lt;&gt;"",ISERROR(VLOOKUP(M918,ABBR!C:F,1,FALSE)),ISERROR(VLOOKUP(E918,ABBR!C:F,1,FALSE))),"")</f>
        <v/>
      </c>
    </row>
    <row r="919" spans="1:17" hidden="1" x14ac:dyDescent="0.25">
      <c r="A919" s="16" t="s">
        <v>501</v>
      </c>
      <c r="B919" s="17"/>
      <c r="C919" s="16" t="s">
        <v>2228</v>
      </c>
      <c r="D919" s="17" t="s">
        <v>1345</v>
      </c>
      <c r="E919" s="17" t="s">
        <v>767</v>
      </c>
      <c r="F919" s="18" t="s">
        <v>2229</v>
      </c>
      <c r="G919" s="49" t="s">
        <v>897</v>
      </c>
      <c r="H919" s="17">
        <v>19</v>
      </c>
      <c r="J919" s="62" t="s">
        <v>491</v>
      </c>
      <c r="K919" s="62"/>
      <c r="M919" s="62"/>
      <c r="N919" s="62"/>
      <c r="O919" s="62" t="str">
        <f>IF(E919="PA",IF(K919&lt;&gt;"",ISERROR(VLOOKUP(K919,ABBR!A:D,1,FALSE)),ISERROR(VLOOKUP(C919,ABBR!A:D,1,FALSE))),"")</f>
        <v/>
      </c>
      <c r="P919" t="str">
        <f>VLOOKUP(A919,Groups!A:L,5,FALSE)</f>
        <v>DMTT</v>
      </c>
      <c r="Q919" s="62" t="str">
        <f>IF(G919="PA",IF(M919&lt;&gt;"",ISERROR(VLOOKUP(M919,ABBR!C:F,1,FALSE)),ISERROR(VLOOKUP(E919,ABBR!C:F,1,FALSE))),"")</f>
        <v/>
      </c>
    </row>
    <row r="920" spans="1:17" hidden="1" x14ac:dyDescent="0.25">
      <c r="A920" s="16" t="s">
        <v>501</v>
      </c>
      <c r="B920" s="17"/>
      <c r="C920" s="16" t="s">
        <v>2230</v>
      </c>
      <c r="D920" s="17" t="s">
        <v>1710</v>
      </c>
      <c r="E920" s="17" t="s">
        <v>723</v>
      </c>
      <c r="F920" s="18" t="s">
        <v>2231</v>
      </c>
      <c r="G920" s="49" t="s">
        <v>2232</v>
      </c>
      <c r="H920" s="17">
        <v>20</v>
      </c>
      <c r="J920" s="62" t="s">
        <v>491</v>
      </c>
      <c r="K920" s="62"/>
      <c r="M920" s="62"/>
      <c r="N920" s="62"/>
      <c r="O920" s="62" t="str">
        <f>IF(E920="PA",IF(K920&lt;&gt;"",ISERROR(VLOOKUP(K920,ABBR!A:D,1,FALSE)),ISERROR(VLOOKUP(C920,ABBR!A:D,1,FALSE))),"")</f>
        <v/>
      </c>
      <c r="P920" t="str">
        <f>VLOOKUP(A920,Groups!A:L,5,FALSE)</f>
        <v>DMTT</v>
      </c>
      <c r="Q920" s="62" t="str">
        <f>IF(G920="PA",IF(M920&lt;&gt;"",ISERROR(VLOOKUP(M920,ABBR!C:F,1,FALSE)),ISERROR(VLOOKUP(E920,ABBR!C:F,1,FALSE))),"")</f>
        <v/>
      </c>
    </row>
    <row r="921" spans="1:17" ht="25" hidden="1" x14ac:dyDescent="0.25">
      <c r="A921" s="16" t="s">
        <v>501</v>
      </c>
      <c r="B921" s="17"/>
      <c r="C921" s="16" t="s">
        <v>2233</v>
      </c>
      <c r="D921" s="17" t="s">
        <v>2234</v>
      </c>
      <c r="E921" s="17" t="s">
        <v>767</v>
      </c>
      <c r="F921" s="18" t="s">
        <v>2235</v>
      </c>
      <c r="G921" s="49" t="s">
        <v>2236</v>
      </c>
      <c r="H921" s="17">
        <v>21</v>
      </c>
      <c r="J921" s="62" t="s">
        <v>491</v>
      </c>
      <c r="K921" s="62"/>
      <c r="M921" s="62"/>
      <c r="N921" s="62"/>
      <c r="O921" s="62" t="str">
        <f>IF(E921="PA",IF(K921&lt;&gt;"",ISERROR(VLOOKUP(K921,ABBR!A:D,1,FALSE)),ISERROR(VLOOKUP(C921,ABBR!A:D,1,FALSE))),"")</f>
        <v/>
      </c>
      <c r="P921" t="str">
        <f>VLOOKUP(A921,Groups!A:L,5,FALSE)</f>
        <v>DMTT</v>
      </c>
      <c r="Q921" s="62" t="str">
        <f>IF(G921="PA",IF(M921&lt;&gt;"",ISERROR(VLOOKUP(M921,ABBR!C:F,1,FALSE)),ISERROR(VLOOKUP(E921,ABBR!C:F,1,FALSE))),"")</f>
        <v/>
      </c>
    </row>
    <row r="922" spans="1:17" hidden="1" x14ac:dyDescent="0.25">
      <c r="A922" s="16" t="s">
        <v>501</v>
      </c>
      <c r="B922" s="17"/>
      <c r="C922" s="16" t="s">
        <v>2237</v>
      </c>
      <c r="D922" s="17"/>
      <c r="E922" s="17" t="s">
        <v>608</v>
      </c>
      <c r="F922" s="18" t="s">
        <v>642</v>
      </c>
      <c r="G922" s="49" t="s">
        <v>16</v>
      </c>
      <c r="H922" s="17">
        <v>22</v>
      </c>
      <c r="J922" s="62" t="s">
        <v>491</v>
      </c>
      <c r="K922" s="62"/>
      <c r="M922" s="62"/>
      <c r="N922" s="62"/>
      <c r="O922" s="62" t="str">
        <f>IF(E922="PA",IF(K922&lt;&gt;"",ISERROR(VLOOKUP(K922,ABBR!A:D,1,FALSE)),ISERROR(VLOOKUP(C922,ABBR!A:D,1,FALSE))),"")</f>
        <v/>
      </c>
      <c r="P922" t="str">
        <f>VLOOKUP(A922,Groups!A:L,5,FALSE)</f>
        <v>DMTT</v>
      </c>
      <c r="Q922" s="62" t="str">
        <f>IF(G922="PA",IF(M922&lt;&gt;"",ISERROR(VLOOKUP(M922,ABBR!C:F,1,FALSE)),ISERROR(VLOOKUP(E922,ABBR!C:F,1,FALSE))),"")</f>
        <v/>
      </c>
    </row>
    <row r="923" spans="1:17" hidden="1" x14ac:dyDescent="0.25">
      <c r="A923" s="16" t="s">
        <v>501</v>
      </c>
      <c r="B923" s="17"/>
      <c r="C923" s="16" t="s">
        <v>643</v>
      </c>
      <c r="D923" s="17"/>
      <c r="E923" s="17" t="s">
        <v>608</v>
      </c>
      <c r="F923" s="18" t="s">
        <v>1714</v>
      </c>
      <c r="G923" s="49" t="s">
        <v>940</v>
      </c>
      <c r="H923" s="17">
        <v>23</v>
      </c>
      <c r="J923" s="62" t="s">
        <v>491</v>
      </c>
      <c r="K923" s="62"/>
      <c r="M923" s="62"/>
      <c r="N923" s="62"/>
      <c r="O923" s="62" t="str">
        <f>IF(E923="PA",IF(K923&lt;&gt;"",ISERROR(VLOOKUP(K923,ABBR!A:D,1,FALSE)),ISERROR(VLOOKUP(C923,ABBR!A:D,1,FALSE))),"")</f>
        <v/>
      </c>
      <c r="P923" t="str">
        <f>VLOOKUP(A923,Groups!A:L,5,FALSE)</f>
        <v>DMTT</v>
      </c>
      <c r="Q923" s="62" t="str">
        <f>IF(G923="PA",IF(M923&lt;&gt;"",ISERROR(VLOOKUP(M923,ABBR!C:F,1,FALSE)),ISERROR(VLOOKUP(E923,ABBR!C:F,1,FALSE))),"")</f>
        <v/>
      </c>
    </row>
    <row r="924" spans="1:17" hidden="1" x14ac:dyDescent="0.25">
      <c r="A924" s="16" t="s">
        <v>503</v>
      </c>
      <c r="B924" s="17" t="s">
        <v>594</v>
      </c>
      <c r="C924" s="16" t="s">
        <v>595</v>
      </c>
      <c r="D924" s="17"/>
      <c r="E924" s="17" t="s">
        <v>596</v>
      </c>
      <c r="F924" s="18" t="s">
        <v>597</v>
      </c>
      <c r="G924" s="49" t="s">
        <v>598</v>
      </c>
      <c r="H924" s="17">
        <v>1</v>
      </c>
      <c r="J924" s="62" t="s">
        <v>491</v>
      </c>
      <c r="K924" s="62"/>
      <c r="M924" s="62"/>
      <c r="N924" s="62"/>
      <c r="O924" s="62" t="str">
        <f>IF(E924="PA",IF(K924&lt;&gt;"",ISERROR(VLOOKUP(K924,ABBR!A:D,1,FALSE)),ISERROR(VLOOKUP(C924,ABBR!A:D,1,FALSE))),"")</f>
        <v/>
      </c>
      <c r="P924" t="str">
        <f>VLOOKUP(A924,Groups!A:L,5,FALSE)</f>
        <v>DMTG</v>
      </c>
      <c r="Q924" s="62" t="str">
        <f>IF(G924="PA",IF(M924&lt;&gt;"",ISERROR(VLOOKUP(M924,ABBR!C:F,1,FALSE)),ISERROR(VLOOKUP(E924,ABBR!C:F,1,FALSE))),"")</f>
        <v/>
      </c>
    </row>
    <row r="925" spans="1:17" hidden="1" x14ac:dyDescent="0.25">
      <c r="A925" s="16" t="s">
        <v>503</v>
      </c>
      <c r="B925" s="17" t="s">
        <v>594</v>
      </c>
      <c r="C925" s="16" t="s">
        <v>2106</v>
      </c>
      <c r="D925" s="17"/>
      <c r="E925" s="17" t="s">
        <v>608</v>
      </c>
      <c r="F925" s="18" t="s">
        <v>1323</v>
      </c>
      <c r="G925" s="49" t="s">
        <v>1114</v>
      </c>
      <c r="H925" s="17">
        <v>2</v>
      </c>
      <c r="J925" s="62" t="s">
        <v>491</v>
      </c>
      <c r="K925" s="62"/>
      <c r="M925" s="62"/>
      <c r="N925" s="62"/>
      <c r="O925" s="62" t="str">
        <f>IF(E925="PA",IF(K925&lt;&gt;"",ISERROR(VLOOKUP(K925,ABBR!A:D,1,FALSE)),ISERROR(VLOOKUP(C925,ABBR!A:D,1,FALSE))),"")</f>
        <v/>
      </c>
      <c r="P925" t="str">
        <f>VLOOKUP(A925,Groups!A:L,5,FALSE)</f>
        <v>DMTG</v>
      </c>
      <c r="Q925" s="62" t="str">
        <f>IF(G925="PA",IF(M925&lt;&gt;"",ISERROR(VLOOKUP(M925,ABBR!C:F,1,FALSE)),ISERROR(VLOOKUP(E925,ABBR!C:F,1,FALSE))),"")</f>
        <v/>
      </c>
    </row>
    <row r="926" spans="1:17" hidden="1" x14ac:dyDescent="0.25">
      <c r="A926" s="16" t="s">
        <v>503</v>
      </c>
      <c r="B926" s="17" t="s">
        <v>594</v>
      </c>
      <c r="C926" s="16" t="s">
        <v>2182</v>
      </c>
      <c r="D926" s="17" t="s">
        <v>600</v>
      </c>
      <c r="E926" s="17" t="s">
        <v>601</v>
      </c>
      <c r="F926" s="18" t="s">
        <v>2183</v>
      </c>
      <c r="G926" s="49" t="s">
        <v>2184</v>
      </c>
      <c r="H926" s="17">
        <v>3</v>
      </c>
      <c r="J926" s="62" t="s">
        <v>491</v>
      </c>
      <c r="K926" s="62"/>
      <c r="M926" s="62"/>
      <c r="N926" s="62"/>
      <c r="O926" s="62" t="str">
        <f>IF(E926="PA",IF(K926&lt;&gt;"",ISERROR(VLOOKUP(K926,ABBR!A:D,1,FALSE)),ISERROR(VLOOKUP(C926,ABBR!A:D,1,FALSE))),"")</f>
        <v/>
      </c>
      <c r="P926" t="str">
        <f>VLOOKUP(A926,Groups!A:L,5,FALSE)</f>
        <v>DMTG</v>
      </c>
      <c r="Q926" s="62" t="str">
        <f>IF(G926="PA",IF(M926&lt;&gt;"",ISERROR(VLOOKUP(M926,ABBR!C:F,1,FALSE)),ISERROR(VLOOKUP(E926,ABBR!C:F,1,FALSE))),"")</f>
        <v/>
      </c>
    </row>
    <row r="927" spans="1:17" hidden="1" x14ac:dyDescent="0.25">
      <c r="A927" s="16" t="s">
        <v>503</v>
      </c>
      <c r="B927" s="17"/>
      <c r="C927" s="16" t="s">
        <v>2238</v>
      </c>
      <c r="D927" s="17" t="s">
        <v>1002</v>
      </c>
      <c r="E927" s="17" t="s">
        <v>601</v>
      </c>
      <c r="F927" s="18" t="s">
        <v>2239</v>
      </c>
      <c r="G927" s="49" t="s">
        <v>2240</v>
      </c>
      <c r="H927" s="17">
        <v>4</v>
      </c>
      <c r="J927" s="62" t="s">
        <v>491</v>
      </c>
      <c r="K927" s="62"/>
      <c r="M927" s="62"/>
      <c r="N927" s="62"/>
      <c r="O927" s="62" t="str">
        <f>IF(E927="PA",IF(K927&lt;&gt;"",ISERROR(VLOOKUP(K927,ABBR!A:D,1,FALSE)),ISERROR(VLOOKUP(C927,ABBR!A:D,1,FALSE))),"")</f>
        <v/>
      </c>
      <c r="P927" t="str">
        <f>VLOOKUP(A927,Groups!A:L,5,FALSE)</f>
        <v>DMTG</v>
      </c>
      <c r="Q927" s="62" t="str">
        <f>IF(G927="PA",IF(M927&lt;&gt;"",ISERROR(VLOOKUP(M927,ABBR!C:F,1,FALSE)),ISERROR(VLOOKUP(E927,ABBR!C:F,1,FALSE))),"")</f>
        <v/>
      </c>
    </row>
    <row r="928" spans="1:17" ht="25" hidden="1" x14ac:dyDescent="0.25">
      <c r="A928" s="16" t="s">
        <v>503</v>
      </c>
      <c r="B928" s="17"/>
      <c r="C928" s="16" t="s">
        <v>2241</v>
      </c>
      <c r="D928" s="17" t="s">
        <v>1718</v>
      </c>
      <c r="E928" s="17" t="s">
        <v>925</v>
      </c>
      <c r="F928" s="18" t="s">
        <v>2242</v>
      </c>
      <c r="G928" s="49" t="s">
        <v>2243</v>
      </c>
      <c r="H928" s="17">
        <v>5</v>
      </c>
      <c r="J928" s="62" t="s">
        <v>491</v>
      </c>
      <c r="K928" s="62"/>
      <c r="M928" s="62"/>
      <c r="N928" s="62"/>
      <c r="O928" s="62" t="str">
        <f>IF(E928="PA",IF(K928&lt;&gt;"",ISERROR(VLOOKUP(K928,ABBR!A:D,1,FALSE)),ISERROR(VLOOKUP(C928,ABBR!A:D,1,FALSE))),"")</f>
        <v/>
      </c>
      <c r="P928" t="str">
        <f>VLOOKUP(A928,Groups!A:L,5,FALSE)</f>
        <v>DMTG</v>
      </c>
      <c r="Q928" s="62" t="str">
        <f>IF(G928="PA",IF(M928&lt;&gt;"",ISERROR(VLOOKUP(M928,ABBR!C:F,1,FALSE)),ISERROR(VLOOKUP(E928,ABBR!C:F,1,FALSE))),"")</f>
        <v/>
      </c>
    </row>
    <row r="929" spans="1:17" hidden="1" x14ac:dyDescent="0.25">
      <c r="A929" s="16" t="s">
        <v>503</v>
      </c>
      <c r="B929" s="17"/>
      <c r="C929" s="16" t="s">
        <v>2244</v>
      </c>
      <c r="D929" s="17" t="s">
        <v>1345</v>
      </c>
      <c r="E929" s="17" t="s">
        <v>601</v>
      </c>
      <c r="F929" s="18" t="s">
        <v>2130</v>
      </c>
      <c r="G929" s="49" t="s">
        <v>2245</v>
      </c>
      <c r="H929" s="17">
        <v>6</v>
      </c>
      <c r="J929" s="62" t="s">
        <v>491</v>
      </c>
      <c r="K929" s="62"/>
      <c r="M929" s="62"/>
      <c r="N929" s="62"/>
      <c r="O929" s="62" t="str">
        <f>IF(E929="PA",IF(K929&lt;&gt;"",ISERROR(VLOOKUP(K929,ABBR!A:D,1,FALSE)),ISERROR(VLOOKUP(C929,ABBR!A:D,1,FALSE))),"")</f>
        <v/>
      </c>
      <c r="P929" t="str">
        <f>VLOOKUP(A929,Groups!A:L,5,FALSE)</f>
        <v>DMTG</v>
      </c>
      <c r="Q929" s="62" t="str">
        <f>IF(G929="PA",IF(M929&lt;&gt;"",ISERROR(VLOOKUP(M929,ABBR!C:F,1,FALSE)),ISERROR(VLOOKUP(E929,ABBR!C:F,1,FALSE))),"")</f>
        <v/>
      </c>
    </row>
    <row r="930" spans="1:17" hidden="1" x14ac:dyDescent="0.25">
      <c r="A930" s="16" t="s">
        <v>503</v>
      </c>
      <c r="B930" s="17"/>
      <c r="C930" s="16" t="s">
        <v>2246</v>
      </c>
      <c r="D930" s="17" t="s">
        <v>1698</v>
      </c>
      <c r="E930" s="17" t="s">
        <v>723</v>
      </c>
      <c r="F930" s="18" t="s">
        <v>2247</v>
      </c>
      <c r="G930" s="49">
        <v>14.6</v>
      </c>
      <c r="H930" s="17">
        <v>7</v>
      </c>
      <c r="J930" s="62" t="s">
        <v>491</v>
      </c>
      <c r="K930" s="62"/>
      <c r="M930" s="62"/>
      <c r="N930" s="62"/>
      <c r="O930" s="62" t="str">
        <f>IF(E930="PA",IF(K930&lt;&gt;"",ISERROR(VLOOKUP(K930,ABBR!A:D,1,FALSE)),ISERROR(VLOOKUP(C930,ABBR!A:D,1,FALSE))),"")</f>
        <v/>
      </c>
      <c r="P930" t="str">
        <f>VLOOKUP(A930,Groups!A:L,5,FALSE)</f>
        <v>DMTG</v>
      </c>
      <c r="Q930" s="62" t="str">
        <f>IF(G930="PA",IF(M930&lt;&gt;"",ISERROR(VLOOKUP(M930,ABBR!C:F,1,FALSE)),ISERROR(VLOOKUP(E930,ABBR!C:F,1,FALSE))),"")</f>
        <v/>
      </c>
    </row>
    <row r="931" spans="1:17" hidden="1" x14ac:dyDescent="0.25">
      <c r="A931" s="16" t="s">
        <v>503</v>
      </c>
      <c r="B931" s="17"/>
      <c r="C931" s="16" t="s">
        <v>2248</v>
      </c>
      <c r="D931" s="17" t="s">
        <v>1345</v>
      </c>
      <c r="E931" s="17" t="s">
        <v>601</v>
      </c>
      <c r="F931" s="18" t="s">
        <v>2249</v>
      </c>
      <c r="G931" s="49" t="s">
        <v>2250</v>
      </c>
      <c r="H931" s="17">
        <v>8</v>
      </c>
      <c r="J931" s="62" t="s">
        <v>491</v>
      </c>
      <c r="K931" s="62"/>
      <c r="M931" s="62"/>
      <c r="N931" s="62"/>
      <c r="O931" s="62" t="str">
        <f>IF(E931="PA",IF(K931&lt;&gt;"",ISERROR(VLOOKUP(K931,ABBR!A:D,1,FALSE)),ISERROR(VLOOKUP(C931,ABBR!A:D,1,FALSE))),"")</f>
        <v/>
      </c>
      <c r="P931" t="str">
        <f>VLOOKUP(A931,Groups!A:L,5,FALSE)</f>
        <v>DMTG</v>
      </c>
      <c r="Q931" s="62" t="str">
        <f>IF(G931="PA",IF(M931&lt;&gt;"",ISERROR(VLOOKUP(M931,ABBR!C:F,1,FALSE)),ISERROR(VLOOKUP(E931,ABBR!C:F,1,FALSE))),"")</f>
        <v/>
      </c>
    </row>
    <row r="932" spans="1:17" hidden="1" x14ac:dyDescent="0.25">
      <c r="A932" s="16" t="s">
        <v>503</v>
      </c>
      <c r="B932" s="17"/>
      <c r="C932" s="16" t="s">
        <v>2251</v>
      </c>
      <c r="D932" s="17" t="s">
        <v>1698</v>
      </c>
      <c r="E932" s="17" t="s">
        <v>723</v>
      </c>
      <c r="F932" s="18" t="s">
        <v>2252</v>
      </c>
      <c r="G932" s="49">
        <v>28.5</v>
      </c>
      <c r="H932" s="17">
        <v>9</v>
      </c>
      <c r="J932" s="62" t="s">
        <v>491</v>
      </c>
      <c r="K932" s="62"/>
      <c r="M932" s="62"/>
      <c r="N932" s="62"/>
      <c r="O932" s="62" t="str">
        <f>IF(E932="PA",IF(K932&lt;&gt;"",ISERROR(VLOOKUP(K932,ABBR!A:D,1,FALSE)),ISERROR(VLOOKUP(C932,ABBR!A:D,1,FALSE))),"")</f>
        <v/>
      </c>
      <c r="P932" t="str">
        <f>VLOOKUP(A932,Groups!A:L,5,FALSE)</f>
        <v>DMTG</v>
      </c>
      <c r="Q932" s="62" t="str">
        <f>IF(G932="PA",IF(M932&lt;&gt;"",ISERROR(VLOOKUP(M932,ABBR!C:F,1,FALSE)),ISERROR(VLOOKUP(E932,ABBR!C:F,1,FALSE))),"")</f>
        <v/>
      </c>
    </row>
    <row r="933" spans="1:17" hidden="1" x14ac:dyDescent="0.25">
      <c r="A933" s="16" t="s">
        <v>503</v>
      </c>
      <c r="B933" s="17"/>
      <c r="C933" s="16" t="s">
        <v>2253</v>
      </c>
      <c r="D933" s="17" t="s">
        <v>1345</v>
      </c>
      <c r="E933" s="17" t="s">
        <v>601</v>
      </c>
      <c r="F933" s="18" t="s">
        <v>2254</v>
      </c>
      <c r="G933" s="49" t="s">
        <v>2240</v>
      </c>
      <c r="H933" s="17">
        <v>10</v>
      </c>
      <c r="J933" s="62" t="s">
        <v>491</v>
      </c>
      <c r="K933" s="62"/>
      <c r="M933" s="62"/>
      <c r="N933" s="62"/>
      <c r="O933" s="62" t="str">
        <f>IF(E933="PA",IF(K933&lt;&gt;"",ISERROR(VLOOKUP(K933,ABBR!A:D,1,FALSE)),ISERROR(VLOOKUP(C933,ABBR!A:D,1,FALSE))),"")</f>
        <v/>
      </c>
      <c r="P933" t="str">
        <f>VLOOKUP(A933,Groups!A:L,5,FALSE)</f>
        <v>DMTG</v>
      </c>
      <c r="Q933" s="62" t="str">
        <f>IF(G933="PA",IF(M933&lt;&gt;"",ISERROR(VLOOKUP(M933,ABBR!C:F,1,FALSE)),ISERROR(VLOOKUP(E933,ABBR!C:F,1,FALSE))),"")</f>
        <v/>
      </c>
    </row>
    <row r="934" spans="1:17" hidden="1" x14ac:dyDescent="0.25">
      <c r="A934" s="16" t="s">
        <v>503</v>
      </c>
      <c r="B934" s="17"/>
      <c r="C934" s="16" t="s">
        <v>2255</v>
      </c>
      <c r="D934" s="17" t="s">
        <v>1698</v>
      </c>
      <c r="E934" s="17" t="s">
        <v>723</v>
      </c>
      <c r="F934" s="18" t="s">
        <v>2256</v>
      </c>
      <c r="G934" s="49">
        <v>115.4</v>
      </c>
      <c r="H934" s="17">
        <v>11</v>
      </c>
      <c r="J934" s="62" t="s">
        <v>491</v>
      </c>
      <c r="K934" s="62"/>
      <c r="M934" s="62"/>
      <c r="N934" s="62"/>
      <c r="O934" s="62" t="str">
        <f>IF(E934="PA",IF(K934&lt;&gt;"",ISERROR(VLOOKUP(K934,ABBR!A:D,1,FALSE)),ISERROR(VLOOKUP(C934,ABBR!A:D,1,FALSE))),"")</f>
        <v/>
      </c>
      <c r="P934" t="str">
        <f>VLOOKUP(A934,Groups!A:L,5,FALSE)</f>
        <v>DMTG</v>
      </c>
      <c r="Q934" s="62" t="str">
        <f>IF(G934="PA",IF(M934&lt;&gt;"",ISERROR(VLOOKUP(M934,ABBR!C:F,1,FALSE)),ISERROR(VLOOKUP(E934,ABBR!C:F,1,FALSE))),"")</f>
        <v/>
      </c>
    </row>
    <row r="935" spans="1:17" hidden="1" x14ac:dyDescent="0.25">
      <c r="A935" s="16" t="s">
        <v>503</v>
      </c>
      <c r="B935" s="17"/>
      <c r="C935" s="16" t="s">
        <v>2257</v>
      </c>
      <c r="D935" s="17" t="s">
        <v>1345</v>
      </c>
      <c r="E935" s="17" t="s">
        <v>767</v>
      </c>
      <c r="F935" s="18" t="s">
        <v>2258</v>
      </c>
      <c r="G935" s="49" t="s">
        <v>2259</v>
      </c>
      <c r="H935" s="17">
        <v>12</v>
      </c>
      <c r="J935" s="62" t="s">
        <v>491</v>
      </c>
      <c r="K935" s="62"/>
      <c r="M935" s="62"/>
      <c r="N935" s="62"/>
      <c r="O935" s="62" t="str">
        <f>IF(E935="PA",IF(K935&lt;&gt;"",ISERROR(VLOOKUP(K935,ABBR!A:D,1,FALSE)),ISERROR(VLOOKUP(C935,ABBR!A:D,1,FALSE))),"")</f>
        <v/>
      </c>
      <c r="P935" t="str">
        <f>VLOOKUP(A935,Groups!A:L,5,FALSE)</f>
        <v>DMTG</v>
      </c>
      <c r="Q935" s="62" t="str">
        <f>IF(G935="PA",IF(M935&lt;&gt;"",ISERROR(VLOOKUP(M935,ABBR!C:F,1,FALSE)),ISERROR(VLOOKUP(E935,ABBR!C:F,1,FALSE))),"")</f>
        <v/>
      </c>
    </row>
    <row r="936" spans="1:17" hidden="1" x14ac:dyDescent="0.25">
      <c r="A936" s="16" t="s">
        <v>503</v>
      </c>
      <c r="B936" s="17"/>
      <c r="C936" s="16" t="s">
        <v>2260</v>
      </c>
      <c r="D936" s="17" t="s">
        <v>1345</v>
      </c>
      <c r="E936" s="17" t="s">
        <v>767</v>
      </c>
      <c r="F936" s="18" t="s">
        <v>2261</v>
      </c>
      <c r="G936" s="49" t="s">
        <v>2262</v>
      </c>
      <c r="H936" s="17">
        <v>13</v>
      </c>
      <c r="J936" s="62" t="s">
        <v>491</v>
      </c>
      <c r="K936" s="62"/>
      <c r="M936" s="62"/>
      <c r="N936" s="62"/>
      <c r="O936" s="62" t="str">
        <f>IF(E936="PA",IF(K936&lt;&gt;"",ISERROR(VLOOKUP(K936,ABBR!A:D,1,FALSE)),ISERROR(VLOOKUP(C936,ABBR!A:D,1,FALSE))),"")</f>
        <v/>
      </c>
      <c r="P936" t="str">
        <f>VLOOKUP(A936,Groups!A:L,5,FALSE)</f>
        <v>DMTG</v>
      </c>
      <c r="Q936" s="62" t="str">
        <f>IF(G936="PA",IF(M936&lt;&gt;"",ISERROR(VLOOKUP(M936,ABBR!C:F,1,FALSE)),ISERROR(VLOOKUP(E936,ABBR!C:F,1,FALSE))),"")</f>
        <v/>
      </c>
    </row>
    <row r="937" spans="1:17" hidden="1" x14ac:dyDescent="0.25">
      <c r="A937" s="16" t="s">
        <v>503</v>
      </c>
      <c r="B937" s="17"/>
      <c r="C937" s="16" t="s">
        <v>2263</v>
      </c>
      <c r="D937" s="17" t="s">
        <v>1345</v>
      </c>
      <c r="E937" s="17" t="s">
        <v>767</v>
      </c>
      <c r="F937" s="18" t="s">
        <v>2264</v>
      </c>
      <c r="G937" s="49" t="s">
        <v>2265</v>
      </c>
      <c r="H937" s="17">
        <v>14</v>
      </c>
      <c r="J937" s="62" t="s">
        <v>491</v>
      </c>
      <c r="K937" s="62"/>
      <c r="M937" s="62"/>
      <c r="N937" s="62"/>
      <c r="O937" s="62" t="str">
        <f>IF(E937="PA",IF(K937&lt;&gt;"",ISERROR(VLOOKUP(K937,ABBR!A:D,1,FALSE)),ISERROR(VLOOKUP(C937,ABBR!A:D,1,FALSE))),"")</f>
        <v/>
      </c>
      <c r="P937" t="str">
        <f>VLOOKUP(A937,Groups!A:L,5,FALSE)</f>
        <v>DMTG</v>
      </c>
      <c r="Q937" s="62" t="str">
        <f>IF(G937="PA",IF(M937&lt;&gt;"",ISERROR(VLOOKUP(M937,ABBR!C:F,1,FALSE)),ISERROR(VLOOKUP(E937,ABBR!C:F,1,FALSE))),"")</f>
        <v/>
      </c>
    </row>
    <row r="938" spans="1:17" hidden="1" x14ac:dyDescent="0.25">
      <c r="A938" s="16" t="s">
        <v>503</v>
      </c>
      <c r="B938" s="17"/>
      <c r="C938" s="16" t="s">
        <v>2266</v>
      </c>
      <c r="D938" s="17" t="s">
        <v>2027</v>
      </c>
      <c r="E938" s="17" t="s">
        <v>601</v>
      </c>
      <c r="F938" s="18" t="s">
        <v>2267</v>
      </c>
      <c r="G938" s="49" t="s">
        <v>2268</v>
      </c>
      <c r="H938" s="17">
        <v>15</v>
      </c>
      <c r="J938" s="62" t="s">
        <v>491</v>
      </c>
      <c r="K938" s="62"/>
      <c r="M938" s="62"/>
      <c r="N938" s="62"/>
      <c r="O938" s="62" t="str">
        <f>IF(E938="PA",IF(K938&lt;&gt;"",ISERROR(VLOOKUP(K938,ABBR!A:D,1,FALSE)),ISERROR(VLOOKUP(C938,ABBR!A:D,1,FALSE))),"")</f>
        <v/>
      </c>
      <c r="P938" t="str">
        <f>VLOOKUP(A938,Groups!A:L,5,FALSE)</f>
        <v>DMTG</v>
      </c>
      <c r="Q938" s="62" t="str">
        <f>IF(G938="PA",IF(M938&lt;&gt;"",ISERROR(VLOOKUP(M938,ABBR!C:F,1,FALSE)),ISERROR(VLOOKUP(E938,ABBR!C:F,1,FALSE))),"")</f>
        <v/>
      </c>
    </row>
    <row r="939" spans="1:17" hidden="1" x14ac:dyDescent="0.25">
      <c r="A939" s="16" t="s">
        <v>503</v>
      </c>
      <c r="B939" s="17"/>
      <c r="C939" s="16" t="s">
        <v>2269</v>
      </c>
      <c r="D939" s="17" t="s">
        <v>2027</v>
      </c>
      <c r="E939" s="17" t="s">
        <v>601</v>
      </c>
      <c r="F939" s="18" t="s">
        <v>2270</v>
      </c>
      <c r="G939" s="49" t="s">
        <v>2271</v>
      </c>
      <c r="H939" s="17">
        <v>16</v>
      </c>
      <c r="J939" s="62" t="s">
        <v>491</v>
      </c>
      <c r="K939" s="62"/>
      <c r="M939" s="62"/>
      <c r="N939" s="62"/>
      <c r="O939" s="62" t="str">
        <f>IF(E939="PA",IF(K939&lt;&gt;"",ISERROR(VLOOKUP(K939,ABBR!A:D,1,FALSE)),ISERROR(VLOOKUP(C939,ABBR!A:D,1,FALSE))),"")</f>
        <v/>
      </c>
      <c r="P939" t="str">
        <f>VLOOKUP(A939,Groups!A:L,5,FALSE)</f>
        <v>DMTG</v>
      </c>
      <c r="Q939" s="62" t="str">
        <f>IF(G939="PA",IF(M939&lt;&gt;"",ISERROR(VLOOKUP(M939,ABBR!C:F,1,FALSE)),ISERROR(VLOOKUP(E939,ABBR!C:F,1,FALSE))),"")</f>
        <v/>
      </c>
    </row>
    <row r="940" spans="1:17" ht="25" hidden="1" x14ac:dyDescent="0.25">
      <c r="A940" s="16" t="s">
        <v>503</v>
      </c>
      <c r="B940" s="17"/>
      <c r="C940" s="16" t="s">
        <v>2272</v>
      </c>
      <c r="D940" s="17"/>
      <c r="E940" s="17" t="s">
        <v>608</v>
      </c>
      <c r="F940" s="18" t="s">
        <v>2273</v>
      </c>
      <c r="G940" s="49" t="s">
        <v>2274</v>
      </c>
      <c r="H940" s="17">
        <v>17</v>
      </c>
      <c r="J940" s="62" t="s">
        <v>491</v>
      </c>
      <c r="K940" s="62"/>
      <c r="M940" s="62"/>
      <c r="N940" s="62"/>
      <c r="O940" s="62" t="str">
        <f>IF(E940="PA",IF(K940&lt;&gt;"",ISERROR(VLOOKUP(K940,ABBR!A:D,1,FALSE)),ISERROR(VLOOKUP(C940,ABBR!A:D,1,FALSE))),"")</f>
        <v/>
      </c>
      <c r="P940" t="str">
        <f>VLOOKUP(A940,Groups!A:L,5,FALSE)</f>
        <v>DMTG</v>
      </c>
      <c r="Q940" s="62" t="str">
        <f>IF(G940="PA",IF(M940&lt;&gt;"",ISERROR(VLOOKUP(M940,ABBR!C:F,1,FALSE)),ISERROR(VLOOKUP(E940,ABBR!C:F,1,FALSE))),"")</f>
        <v/>
      </c>
    </row>
    <row r="941" spans="1:17" hidden="1" x14ac:dyDescent="0.25">
      <c r="A941" s="16" t="s">
        <v>503</v>
      </c>
      <c r="B941" s="17"/>
      <c r="C941" s="16" t="s">
        <v>2275</v>
      </c>
      <c r="D941" s="17" t="s">
        <v>1706</v>
      </c>
      <c r="E941" s="17" t="s">
        <v>767</v>
      </c>
      <c r="F941" s="18" t="s">
        <v>2276</v>
      </c>
      <c r="G941" s="49" t="s">
        <v>897</v>
      </c>
      <c r="H941" s="17">
        <v>18</v>
      </c>
      <c r="J941" s="62" t="s">
        <v>491</v>
      </c>
      <c r="K941" s="62"/>
      <c r="M941" s="62"/>
      <c r="N941" s="62"/>
      <c r="O941" s="62" t="str">
        <f>IF(E941="PA",IF(K941&lt;&gt;"",ISERROR(VLOOKUP(K941,ABBR!A:D,1,FALSE)),ISERROR(VLOOKUP(C941,ABBR!A:D,1,FALSE))),"")</f>
        <v/>
      </c>
      <c r="P941" t="str">
        <f>VLOOKUP(A941,Groups!A:L,5,FALSE)</f>
        <v>DMTG</v>
      </c>
      <c r="Q941" s="62" t="str">
        <f>IF(G941="PA",IF(M941&lt;&gt;"",ISERROR(VLOOKUP(M941,ABBR!C:F,1,FALSE)),ISERROR(VLOOKUP(E941,ABBR!C:F,1,FALSE))),"")</f>
        <v/>
      </c>
    </row>
    <row r="942" spans="1:17" hidden="1" x14ac:dyDescent="0.25">
      <c r="A942" s="16" t="s">
        <v>503</v>
      </c>
      <c r="B942" s="17"/>
      <c r="C942" s="16" t="s">
        <v>2277</v>
      </c>
      <c r="D942" s="17"/>
      <c r="E942" s="17" t="s">
        <v>608</v>
      </c>
      <c r="F942" s="18" t="s">
        <v>2278</v>
      </c>
      <c r="G942" s="49" t="s">
        <v>16</v>
      </c>
      <c r="H942" s="17">
        <v>19</v>
      </c>
      <c r="J942" s="62" t="s">
        <v>491</v>
      </c>
      <c r="K942" s="62"/>
      <c r="M942" s="62"/>
      <c r="N942" s="62"/>
      <c r="O942" s="62" t="str">
        <f>IF(E942="PA",IF(K942&lt;&gt;"",ISERROR(VLOOKUP(K942,ABBR!A:D,1,FALSE)),ISERROR(VLOOKUP(C942,ABBR!A:D,1,FALSE))),"")</f>
        <v/>
      </c>
      <c r="P942" t="str">
        <f>VLOOKUP(A942,Groups!A:L,5,FALSE)</f>
        <v>DMTG</v>
      </c>
      <c r="Q942" s="62" t="str">
        <f>IF(G942="PA",IF(M942&lt;&gt;"",ISERROR(VLOOKUP(M942,ABBR!C:F,1,FALSE)),ISERROR(VLOOKUP(E942,ABBR!C:F,1,FALSE))),"")</f>
        <v/>
      </c>
    </row>
    <row r="943" spans="1:17" hidden="1" x14ac:dyDescent="0.25">
      <c r="A943" s="16" t="s">
        <v>503</v>
      </c>
      <c r="B943" s="17"/>
      <c r="C943" s="16" t="s">
        <v>2279</v>
      </c>
      <c r="D943" s="17"/>
      <c r="E943" s="17" t="s">
        <v>608</v>
      </c>
      <c r="F943" s="18" t="s">
        <v>642</v>
      </c>
      <c r="G943" s="49" t="s">
        <v>16</v>
      </c>
      <c r="H943" s="17">
        <v>20</v>
      </c>
      <c r="J943" s="62" t="s">
        <v>491</v>
      </c>
      <c r="K943" s="62"/>
      <c r="M943" s="62"/>
      <c r="N943" s="62"/>
      <c r="O943" s="62" t="str">
        <f>IF(E943="PA",IF(K943&lt;&gt;"",ISERROR(VLOOKUP(K943,ABBR!A:D,1,FALSE)),ISERROR(VLOOKUP(C943,ABBR!A:D,1,FALSE))),"")</f>
        <v/>
      </c>
      <c r="P943" t="str">
        <f>VLOOKUP(A943,Groups!A:L,5,FALSE)</f>
        <v>DMTG</v>
      </c>
      <c r="Q943" s="62" t="str">
        <f>IF(G943="PA",IF(M943&lt;&gt;"",ISERROR(VLOOKUP(M943,ABBR!C:F,1,FALSE)),ISERROR(VLOOKUP(E943,ABBR!C:F,1,FALSE))),"")</f>
        <v/>
      </c>
    </row>
    <row r="944" spans="1:17" hidden="1" x14ac:dyDescent="0.25">
      <c r="A944" s="16" t="s">
        <v>503</v>
      </c>
      <c r="B944" s="17"/>
      <c r="C944" s="16" t="s">
        <v>643</v>
      </c>
      <c r="D944" s="17"/>
      <c r="E944" s="17" t="s">
        <v>608</v>
      </c>
      <c r="F944" s="18" t="s">
        <v>1714</v>
      </c>
      <c r="G944" s="49" t="s">
        <v>940</v>
      </c>
      <c r="H944" s="17">
        <v>21</v>
      </c>
      <c r="J944" s="62" t="s">
        <v>491</v>
      </c>
      <c r="K944" s="62"/>
      <c r="M944" s="62"/>
      <c r="N944" s="62"/>
      <c r="O944" s="62" t="str">
        <f>IF(E944="PA",IF(K944&lt;&gt;"",ISERROR(VLOOKUP(K944,ABBR!A:D,1,FALSE)),ISERROR(VLOOKUP(C944,ABBR!A:D,1,FALSE))),"")</f>
        <v/>
      </c>
      <c r="P944" t="str">
        <f>VLOOKUP(A944,Groups!A:L,5,FALSE)</f>
        <v>DMTG</v>
      </c>
      <c r="Q944" s="62" t="str">
        <f>IF(G944="PA",IF(M944&lt;&gt;"",ISERROR(VLOOKUP(M944,ABBR!C:F,1,FALSE)),ISERROR(VLOOKUP(E944,ABBR!C:F,1,FALSE))),"")</f>
        <v/>
      </c>
    </row>
    <row r="945" spans="1:17" hidden="1" x14ac:dyDescent="0.25">
      <c r="A945" s="16" t="s">
        <v>503</v>
      </c>
      <c r="B945" s="17"/>
      <c r="C945" s="16" t="s">
        <v>2280</v>
      </c>
      <c r="D945" s="17" t="s">
        <v>1706</v>
      </c>
      <c r="E945" s="17" t="s">
        <v>767</v>
      </c>
      <c r="F945" s="18" t="s">
        <v>2281</v>
      </c>
      <c r="G945" s="49" t="s">
        <v>2236</v>
      </c>
      <c r="H945" s="17">
        <v>22</v>
      </c>
      <c r="J945" s="62" t="s">
        <v>491</v>
      </c>
      <c r="K945" s="62"/>
      <c r="M945" s="62"/>
      <c r="N945" s="62"/>
      <c r="O945" s="62" t="str">
        <f>IF(E945="PA",IF(K945&lt;&gt;"",ISERROR(VLOOKUP(K945,ABBR!A:D,1,FALSE)),ISERROR(VLOOKUP(C945,ABBR!A:D,1,FALSE))),"")</f>
        <v/>
      </c>
      <c r="P945" t="str">
        <f>VLOOKUP(A945,Groups!A:L,5,FALSE)</f>
        <v>DMTG</v>
      </c>
      <c r="Q945" s="62" t="str">
        <f>IF(G945="PA",IF(M945&lt;&gt;"",ISERROR(VLOOKUP(M945,ABBR!C:F,1,FALSE)),ISERROR(VLOOKUP(E945,ABBR!C:F,1,FALSE))),"")</f>
        <v/>
      </c>
    </row>
    <row r="946" spans="1:17" hidden="1" x14ac:dyDescent="0.25">
      <c r="A946" s="16" t="s">
        <v>503</v>
      </c>
      <c r="B946" s="17"/>
      <c r="C946" s="16" t="s">
        <v>2282</v>
      </c>
      <c r="D946" s="17" t="s">
        <v>1706</v>
      </c>
      <c r="E946" s="17" t="s">
        <v>767</v>
      </c>
      <c r="F946" s="18" t="s">
        <v>2283</v>
      </c>
      <c r="G946" s="49" t="s">
        <v>2284</v>
      </c>
      <c r="H946" s="17">
        <v>23</v>
      </c>
      <c r="J946" s="62" t="s">
        <v>491</v>
      </c>
      <c r="K946" s="62"/>
      <c r="M946" s="62"/>
      <c r="N946" s="62"/>
      <c r="O946" s="62" t="str">
        <f>IF(E946="PA",IF(K946&lt;&gt;"",ISERROR(VLOOKUP(K946,ABBR!A:D,1,FALSE)),ISERROR(VLOOKUP(C946,ABBR!A:D,1,FALSE))),"")</f>
        <v/>
      </c>
      <c r="P946" t="str">
        <f>VLOOKUP(A946,Groups!A:L,5,FALSE)</f>
        <v>DMTG</v>
      </c>
      <c r="Q946" s="62" t="str">
        <f>IF(G946="PA",IF(M946&lt;&gt;"",ISERROR(VLOOKUP(M946,ABBR!C:F,1,FALSE)),ISERROR(VLOOKUP(E946,ABBR!C:F,1,FALSE))),"")</f>
        <v/>
      </c>
    </row>
    <row r="947" spans="1:17" ht="25" hidden="1" x14ac:dyDescent="0.25">
      <c r="A947" s="16" t="s">
        <v>503</v>
      </c>
      <c r="B947" s="17"/>
      <c r="C947" s="16" t="s">
        <v>2285</v>
      </c>
      <c r="D947" s="17"/>
      <c r="E947" s="17" t="s">
        <v>608</v>
      </c>
      <c r="F947" s="18" t="s">
        <v>2286</v>
      </c>
      <c r="G947" s="49" t="s">
        <v>2274</v>
      </c>
      <c r="H947" s="17">
        <v>24</v>
      </c>
      <c r="J947" s="62" t="s">
        <v>491</v>
      </c>
      <c r="K947" s="62"/>
      <c r="M947" s="62"/>
      <c r="N947" s="62"/>
      <c r="O947" s="62" t="str">
        <f>IF(E947="PA",IF(K947&lt;&gt;"",ISERROR(VLOOKUP(K947,ABBR!A:D,1,FALSE)),ISERROR(VLOOKUP(C947,ABBR!A:D,1,FALSE))),"")</f>
        <v/>
      </c>
      <c r="P947" t="str">
        <f>VLOOKUP(A947,Groups!A:L,5,FALSE)</f>
        <v>DMTG</v>
      </c>
      <c r="Q947" s="62" t="str">
        <f>IF(G947="PA",IF(M947&lt;&gt;"",ISERROR(VLOOKUP(M947,ABBR!C:F,1,FALSE)),ISERROR(VLOOKUP(E947,ABBR!C:F,1,FALSE))),"")</f>
        <v/>
      </c>
    </row>
    <row r="948" spans="1:17" hidden="1" x14ac:dyDescent="0.25">
      <c r="A948" s="16" t="s">
        <v>145</v>
      </c>
      <c r="B948" s="17" t="s">
        <v>594</v>
      </c>
      <c r="C948" s="16" t="s">
        <v>595</v>
      </c>
      <c r="D948" s="17"/>
      <c r="E948" s="17" t="s">
        <v>596</v>
      </c>
      <c r="F948" s="18" t="s">
        <v>597</v>
      </c>
      <c r="G948" s="49" t="s">
        <v>598</v>
      </c>
      <c r="H948" s="17">
        <v>1</v>
      </c>
      <c r="O948" s="62" t="str">
        <f>IF(E948="PA",IF(K948&lt;&gt;"",ISERROR(VLOOKUP(K948,ABBR!A:D,1,FALSE)),ISERROR(VLOOKUP(C948,ABBR!A:D,1,FALSE))),"")</f>
        <v/>
      </c>
      <c r="P948" t="str">
        <f>VLOOKUP(A948,Groups!A:L,5,FALSE)</f>
        <v>LOCA</v>
      </c>
      <c r="Q948" s="62" t="str">
        <f>IF(G948="PA",IF(M948&lt;&gt;"",ISERROR(VLOOKUP(M948,ABBR!C:F,1,FALSE)),ISERROR(VLOOKUP(E948,ABBR!C:F,1,FALSE))),"")</f>
        <v/>
      </c>
    </row>
    <row r="949" spans="1:17" hidden="1" x14ac:dyDescent="0.25">
      <c r="A949" s="16" t="s">
        <v>145</v>
      </c>
      <c r="B949" s="17" t="s">
        <v>594</v>
      </c>
      <c r="C949" s="16" t="s">
        <v>2287</v>
      </c>
      <c r="D949" s="17" t="s">
        <v>600</v>
      </c>
      <c r="E949" s="17" t="s">
        <v>601</v>
      </c>
      <c r="F949" s="18" t="s">
        <v>2288</v>
      </c>
      <c r="G949" s="49" t="s">
        <v>2289</v>
      </c>
      <c r="H949" s="17">
        <v>2</v>
      </c>
      <c r="O949" s="62" t="str">
        <f>IF(E949="PA",IF(K949&lt;&gt;"",ISERROR(VLOOKUP(K949,ABBR!A:D,1,FALSE)),ISERROR(VLOOKUP(C949,ABBR!A:D,1,FALSE))),"")</f>
        <v/>
      </c>
      <c r="P949" t="str">
        <f>VLOOKUP(A949,Groups!A:L,5,FALSE)</f>
        <v>LOCA</v>
      </c>
      <c r="Q949" s="62" t="str">
        <f>IF(G949="PA",IF(M949&lt;&gt;"",ISERROR(VLOOKUP(M949,ABBR!C:F,1,FALSE)),ISERROR(VLOOKUP(E949,ABBR!C:F,1,FALSE))),"")</f>
        <v/>
      </c>
    </row>
    <row r="950" spans="1:17" hidden="1" x14ac:dyDescent="0.25">
      <c r="A950" s="16" t="s">
        <v>145</v>
      </c>
      <c r="B950" s="17" t="s">
        <v>594</v>
      </c>
      <c r="C950" s="16" t="s">
        <v>2290</v>
      </c>
      <c r="D950" s="17" t="s">
        <v>600</v>
      </c>
      <c r="E950" s="17" t="s">
        <v>601</v>
      </c>
      <c r="F950" s="18" t="s">
        <v>2291</v>
      </c>
      <c r="G950" s="49" t="s">
        <v>2292</v>
      </c>
      <c r="H950" s="17">
        <v>3</v>
      </c>
      <c r="O950" s="62" t="str">
        <f>IF(E950="PA",IF(K950&lt;&gt;"",ISERROR(VLOOKUP(K950,ABBR!A:D,1,FALSE)),ISERROR(VLOOKUP(C950,ABBR!A:D,1,FALSE))),"")</f>
        <v/>
      </c>
      <c r="P950" t="str">
        <f>VLOOKUP(A950,Groups!A:L,5,FALSE)</f>
        <v>LOCA</v>
      </c>
      <c r="Q950" s="62" t="str">
        <f>IF(G950="PA",IF(M950&lt;&gt;"",ISERROR(VLOOKUP(M950,ABBR!C:F,1,FALSE)),ISERROR(VLOOKUP(E950,ABBR!C:F,1,FALSE))),"")</f>
        <v/>
      </c>
    </row>
    <row r="951" spans="1:17" hidden="1" x14ac:dyDescent="0.25">
      <c r="A951" s="16" t="s">
        <v>145</v>
      </c>
      <c r="B951" s="17" t="s">
        <v>594</v>
      </c>
      <c r="C951" s="16" t="s">
        <v>2293</v>
      </c>
      <c r="D951" s="17"/>
      <c r="E951" s="17" t="s">
        <v>608</v>
      </c>
      <c r="F951" s="18" t="s">
        <v>2294</v>
      </c>
      <c r="G951" s="49" t="s">
        <v>2187</v>
      </c>
      <c r="H951" s="17">
        <v>4</v>
      </c>
      <c r="O951" s="62" t="str">
        <f>IF(E951="PA",IF(K951&lt;&gt;"",ISERROR(VLOOKUP(K951,ABBR!A:D,1,FALSE)),ISERROR(VLOOKUP(C951,ABBR!A:D,1,FALSE))),"")</f>
        <v/>
      </c>
      <c r="P951" t="str">
        <f>VLOOKUP(A951,Groups!A:L,5,FALSE)</f>
        <v>LOCA</v>
      </c>
      <c r="Q951" s="62" t="str">
        <f>IF(G951="PA",IF(M951&lt;&gt;"",ISERROR(VLOOKUP(M951,ABBR!C:F,1,FALSE)),ISERROR(VLOOKUP(E951,ABBR!C:F,1,FALSE))),"")</f>
        <v/>
      </c>
    </row>
    <row r="952" spans="1:17" hidden="1" x14ac:dyDescent="0.25">
      <c r="A952" s="16" t="s">
        <v>145</v>
      </c>
      <c r="B952" s="17"/>
      <c r="C952" s="16" t="s">
        <v>2295</v>
      </c>
      <c r="D952" s="17" t="s">
        <v>1639</v>
      </c>
      <c r="E952" s="17" t="s">
        <v>1417</v>
      </c>
      <c r="F952" s="18" t="s">
        <v>2296</v>
      </c>
      <c r="G952" s="49" t="s">
        <v>2297</v>
      </c>
      <c r="H952" s="17">
        <v>5</v>
      </c>
      <c r="O952" s="62" t="str">
        <f>IF(E952="PA",IF(K952&lt;&gt;"",ISERROR(VLOOKUP(K952,ABBR!A:D,1,FALSE)),ISERROR(VLOOKUP(C952,ABBR!A:D,1,FALSE))),"")</f>
        <v/>
      </c>
      <c r="P952" t="str">
        <f>VLOOKUP(A952,Groups!A:L,5,FALSE)</f>
        <v>LOCA</v>
      </c>
      <c r="Q952" s="62" t="str">
        <f>IF(G952="PA",IF(M952&lt;&gt;"",ISERROR(VLOOKUP(M952,ABBR!C:F,1,FALSE)),ISERROR(VLOOKUP(E952,ABBR!C:F,1,FALSE))),"")</f>
        <v/>
      </c>
    </row>
    <row r="953" spans="1:17" ht="25" hidden="1" x14ac:dyDescent="0.25">
      <c r="A953" s="16" t="s">
        <v>145</v>
      </c>
      <c r="B953" s="17"/>
      <c r="C953" s="16" t="s">
        <v>2298</v>
      </c>
      <c r="D953" s="17" t="s">
        <v>1718</v>
      </c>
      <c r="E953" s="17" t="s">
        <v>925</v>
      </c>
      <c r="F953" s="18" t="s">
        <v>2299</v>
      </c>
      <c r="G953" s="49" t="s">
        <v>2300</v>
      </c>
      <c r="H953" s="17">
        <v>6</v>
      </c>
      <c r="O953" s="62" t="str">
        <f>IF(E953="PA",IF(K953&lt;&gt;"",ISERROR(VLOOKUP(K953,ABBR!A:D,1,FALSE)),ISERROR(VLOOKUP(C953,ABBR!A:D,1,FALSE))),"")</f>
        <v/>
      </c>
      <c r="P953" t="str">
        <f>VLOOKUP(A953,Groups!A:L,5,FALSE)</f>
        <v>LOCA</v>
      </c>
      <c r="Q953" s="62" t="str">
        <f>IF(G953="PA",IF(M953&lt;&gt;"",ISERROR(VLOOKUP(M953,ABBR!C:F,1,FALSE)),ISERROR(VLOOKUP(E953,ABBR!C:F,1,FALSE))),"")</f>
        <v/>
      </c>
    </row>
    <row r="954" spans="1:17" ht="25" hidden="1" x14ac:dyDescent="0.25">
      <c r="A954" s="16" t="s">
        <v>145</v>
      </c>
      <c r="B954" s="17"/>
      <c r="C954" s="16" t="s">
        <v>2301</v>
      </c>
      <c r="D954" s="17" t="s">
        <v>1718</v>
      </c>
      <c r="E954" s="17" t="s">
        <v>925</v>
      </c>
      <c r="F954" s="18" t="s">
        <v>2302</v>
      </c>
      <c r="G954" s="49" t="s">
        <v>2303</v>
      </c>
      <c r="H954" s="17">
        <v>7</v>
      </c>
      <c r="O954" s="62" t="str">
        <f>IF(E954="PA",IF(K954&lt;&gt;"",ISERROR(VLOOKUP(K954,ABBR!A:D,1,FALSE)),ISERROR(VLOOKUP(C954,ABBR!A:D,1,FALSE))),"")</f>
        <v/>
      </c>
      <c r="P954" t="str">
        <f>VLOOKUP(A954,Groups!A:L,5,FALSE)</f>
        <v>LOCA</v>
      </c>
      <c r="Q954" s="62" t="str">
        <f>IF(G954="PA",IF(M954&lt;&gt;"",ISERROR(VLOOKUP(M954,ABBR!C:F,1,FALSE)),ISERROR(VLOOKUP(E954,ABBR!C:F,1,FALSE))),"")</f>
        <v/>
      </c>
    </row>
    <row r="955" spans="1:17" hidden="1" x14ac:dyDescent="0.25">
      <c r="A955" s="16" t="s">
        <v>145</v>
      </c>
      <c r="B955" s="17"/>
      <c r="C955" s="16" t="s">
        <v>2304</v>
      </c>
      <c r="D955" s="17" t="s">
        <v>2305</v>
      </c>
      <c r="E955" s="17" t="s">
        <v>723</v>
      </c>
      <c r="F955" s="18" t="s">
        <v>2306</v>
      </c>
      <c r="G955" s="49">
        <v>250.5</v>
      </c>
      <c r="H955" s="17">
        <v>8</v>
      </c>
      <c r="O955" s="62" t="str">
        <f>IF(E955="PA",IF(K955&lt;&gt;"",ISERROR(VLOOKUP(K955,ABBR!A:D,1,FALSE)),ISERROR(VLOOKUP(C955,ABBR!A:D,1,FALSE))),"")</f>
        <v/>
      </c>
      <c r="P955" t="str">
        <f>VLOOKUP(A955,Groups!A:L,5,FALSE)</f>
        <v>LOCA</v>
      </c>
      <c r="Q955" s="62" t="str">
        <f>IF(G955="PA",IF(M955&lt;&gt;"",ISERROR(VLOOKUP(M955,ABBR!C:F,1,FALSE)),ISERROR(VLOOKUP(E955,ABBR!C:F,1,FALSE))),"")</f>
        <v/>
      </c>
    </row>
    <row r="956" spans="1:17" hidden="1" x14ac:dyDescent="0.25">
      <c r="A956" s="16" t="s">
        <v>145</v>
      </c>
      <c r="B956" s="17"/>
      <c r="C956" s="16" t="s">
        <v>2307</v>
      </c>
      <c r="D956" s="17" t="s">
        <v>2308</v>
      </c>
      <c r="E956" s="17" t="s">
        <v>767</v>
      </c>
      <c r="F956" s="18" t="s">
        <v>2309</v>
      </c>
      <c r="G956" s="49" t="s">
        <v>2310</v>
      </c>
      <c r="H956" s="17">
        <v>9</v>
      </c>
      <c r="O956" s="62" t="str">
        <f>IF(E956="PA",IF(K956&lt;&gt;"",ISERROR(VLOOKUP(K956,ABBR!A:D,1,FALSE)),ISERROR(VLOOKUP(C956,ABBR!A:D,1,FALSE))),"")</f>
        <v/>
      </c>
      <c r="P956" t="str">
        <f>VLOOKUP(A956,Groups!A:L,5,FALSE)</f>
        <v>LOCA</v>
      </c>
      <c r="Q956" s="62" t="str">
        <f>IF(G956="PA",IF(M956&lt;&gt;"",ISERROR(VLOOKUP(M956,ABBR!C:F,1,FALSE)),ISERROR(VLOOKUP(E956,ABBR!C:F,1,FALSE))),"")</f>
        <v/>
      </c>
    </row>
    <row r="957" spans="1:17" hidden="1" x14ac:dyDescent="0.25">
      <c r="A957" s="16" t="s">
        <v>145</v>
      </c>
      <c r="B957" s="17"/>
      <c r="C957" s="16" t="s">
        <v>2311</v>
      </c>
      <c r="D957" s="17" t="s">
        <v>2312</v>
      </c>
      <c r="E957" s="17" t="s">
        <v>723</v>
      </c>
      <c r="F957" s="18" t="s">
        <v>2313</v>
      </c>
      <c r="G957" s="49" t="s">
        <v>2314</v>
      </c>
      <c r="H957" s="17">
        <v>10</v>
      </c>
      <c r="O957" s="62" t="str">
        <f>IF(E957="PA",IF(K957&lt;&gt;"",ISERROR(VLOOKUP(K957,ABBR!A:D,1,FALSE)),ISERROR(VLOOKUP(C957,ABBR!A:D,1,FALSE))),"")</f>
        <v/>
      </c>
      <c r="P957" t="str">
        <f>VLOOKUP(A957,Groups!A:L,5,FALSE)</f>
        <v>LOCA</v>
      </c>
      <c r="Q957" s="62" t="str">
        <f>IF(G957="PA",IF(M957&lt;&gt;"",ISERROR(VLOOKUP(M957,ABBR!C:F,1,FALSE)),ISERROR(VLOOKUP(E957,ABBR!C:F,1,FALSE))),"")</f>
        <v/>
      </c>
    </row>
    <row r="958" spans="1:17" hidden="1" x14ac:dyDescent="0.25">
      <c r="A958" s="16" t="s">
        <v>145</v>
      </c>
      <c r="B958" s="17"/>
      <c r="C958" s="16" t="s">
        <v>2315</v>
      </c>
      <c r="D958" s="17"/>
      <c r="E958" s="17" t="s">
        <v>674</v>
      </c>
      <c r="F958" s="18" t="s">
        <v>2316</v>
      </c>
      <c r="G958" s="49" t="s">
        <v>676</v>
      </c>
      <c r="H958" s="17">
        <v>11</v>
      </c>
      <c r="O958" s="62" t="str">
        <f>IF(E958="PA",IF(K958&lt;&gt;"",ISERROR(VLOOKUP(K958,ABBR!A:D,1,FALSE)),ISERROR(VLOOKUP(C958,ABBR!A:D,1,FALSE))),"")</f>
        <v/>
      </c>
      <c r="P958" t="str">
        <f>VLOOKUP(A958,Groups!A:L,5,FALSE)</f>
        <v>LOCA</v>
      </c>
      <c r="Q958" s="62" t="str">
        <f>IF(G958="PA",IF(M958&lt;&gt;"",ISERROR(VLOOKUP(M958,ABBR!C:F,1,FALSE)),ISERROR(VLOOKUP(E958,ABBR!C:F,1,FALSE))),"")</f>
        <v/>
      </c>
    </row>
    <row r="959" spans="1:17" hidden="1" x14ac:dyDescent="0.25">
      <c r="A959" s="16" t="s">
        <v>145</v>
      </c>
      <c r="B959" s="17"/>
      <c r="C959" s="16" t="s">
        <v>2317</v>
      </c>
      <c r="D959" s="17" t="s">
        <v>2318</v>
      </c>
      <c r="E959" s="17" t="s">
        <v>723</v>
      </c>
      <c r="F959" s="18" t="s">
        <v>2319</v>
      </c>
      <c r="G959" s="49" t="s">
        <v>2320</v>
      </c>
      <c r="H959" s="17">
        <v>12</v>
      </c>
      <c r="O959" s="62" t="str">
        <f>IF(E959="PA",IF(K959&lt;&gt;"",ISERROR(VLOOKUP(K959,ABBR!A:D,1,FALSE)),ISERROR(VLOOKUP(C959,ABBR!A:D,1,FALSE))),"")</f>
        <v/>
      </c>
      <c r="P959" t="str">
        <f>VLOOKUP(A959,Groups!A:L,5,FALSE)</f>
        <v>LOCA</v>
      </c>
      <c r="Q959" s="62" t="str">
        <f>IF(G959="PA",IF(M959&lt;&gt;"",ISERROR(VLOOKUP(M959,ABBR!C:F,1,FALSE)),ISERROR(VLOOKUP(E959,ABBR!C:F,1,FALSE))),"")</f>
        <v/>
      </c>
    </row>
    <row r="960" spans="1:17" hidden="1" x14ac:dyDescent="0.25">
      <c r="A960" s="16" t="s">
        <v>145</v>
      </c>
      <c r="B960" s="17"/>
      <c r="C960" s="16" t="s">
        <v>2321</v>
      </c>
      <c r="D960" s="17" t="s">
        <v>2318</v>
      </c>
      <c r="E960" s="17" t="s">
        <v>723</v>
      </c>
      <c r="F960" s="18" t="s">
        <v>2322</v>
      </c>
      <c r="G960" s="49" t="s">
        <v>2323</v>
      </c>
      <c r="H960" s="17">
        <v>13</v>
      </c>
      <c r="O960" s="62" t="str">
        <f>IF(E960="PA",IF(K960&lt;&gt;"",ISERROR(VLOOKUP(K960,ABBR!A:D,1,FALSE)),ISERROR(VLOOKUP(C960,ABBR!A:D,1,FALSE))),"")</f>
        <v/>
      </c>
      <c r="P960" t="str">
        <f>VLOOKUP(A960,Groups!A:L,5,FALSE)</f>
        <v>LOCA</v>
      </c>
      <c r="Q960" s="62" t="str">
        <f>IF(G960="PA",IF(M960&lt;&gt;"",ISERROR(VLOOKUP(M960,ABBR!C:F,1,FALSE)),ISERROR(VLOOKUP(E960,ABBR!C:F,1,FALSE))),"")</f>
        <v/>
      </c>
    </row>
    <row r="961" spans="1:17" hidden="1" x14ac:dyDescent="0.25">
      <c r="A961" s="16" t="s">
        <v>145</v>
      </c>
      <c r="B961" s="17"/>
      <c r="C961" s="16" t="s">
        <v>2324</v>
      </c>
      <c r="D961" s="17" t="s">
        <v>2318</v>
      </c>
      <c r="E961" s="17" t="s">
        <v>723</v>
      </c>
      <c r="F961" s="18" t="s">
        <v>2325</v>
      </c>
      <c r="G961" s="49" t="s">
        <v>2326</v>
      </c>
      <c r="H961" s="17">
        <v>14</v>
      </c>
      <c r="O961" s="62" t="str">
        <f>IF(E961="PA",IF(K961&lt;&gt;"",ISERROR(VLOOKUP(K961,ABBR!A:D,1,FALSE)),ISERROR(VLOOKUP(C961,ABBR!A:D,1,FALSE))),"")</f>
        <v/>
      </c>
      <c r="P961" t="str">
        <f>VLOOKUP(A961,Groups!A:L,5,FALSE)</f>
        <v>LOCA</v>
      </c>
      <c r="Q961" s="62" t="str">
        <f>IF(G961="PA",IF(M961&lt;&gt;"",ISERROR(VLOOKUP(M961,ABBR!C:F,1,FALSE)),ISERROR(VLOOKUP(E961,ABBR!C:F,1,FALSE))),"")</f>
        <v/>
      </c>
    </row>
    <row r="962" spans="1:17" hidden="1" x14ac:dyDescent="0.25">
      <c r="A962" s="16" t="s">
        <v>145</v>
      </c>
      <c r="B962" s="17"/>
      <c r="C962" s="16" t="s">
        <v>2327</v>
      </c>
      <c r="D962" s="17" t="s">
        <v>2305</v>
      </c>
      <c r="E962" s="17" t="s">
        <v>723</v>
      </c>
      <c r="F962" s="18" t="s">
        <v>2328</v>
      </c>
      <c r="G962" s="49" t="s">
        <v>2329</v>
      </c>
      <c r="H962" s="17">
        <v>15</v>
      </c>
      <c r="O962" s="62" t="str">
        <f>IF(E962="PA",IF(K962&lt;&gt;"",ISERROR(VLOOKUP(K962,ABBR!A:D,1,FALSE)),ISERROR(VLOOKUP(C962,ABBR!A:D,1,FALSE))),"")</f>
        <v/>
      </c>
      <c r="P962" t="str">
        <f>VLOOKUP(A962,Groups!A:L,5,FALSE)</f>
        <v>LOCA</v>
      </c>
      <c r="Q962" s="62" t="str">
        <f>IF(G962="PA",IF(M962&lt;&gt;"",ISERROR(VLOOKUP(M962,ABBR!C:F,1,FALSE)),ISERROR(VLOOKUP(E962,ABBR!C:F,1,FALSE))),"")</f>
        <v/>
      </c>
    </row>
    <row r="963" spans="1:17" hidden="1" x14ac:dyDescent="0.25">
      <c r="A963" s="16" t="s">
        <v>145</v>
      </c>
      <c r="B963" s="17"/>
      <c r="C963" s="16" t="s">
        <v>2330</v>
      </c>
      <c r="D963" s="17" t="s">
        <v>1002</v>
      </c>
      <c r="E963" s="17" t="s">
        <v>723</v>
      </c>
      <c r="F963" s="18" t="s">
        <v>2331</v>
      </c>
      <c r="G963" s="49" t="s">
        <v>725</v>
      </c>
      <c r="H963" s="17">
        <v>16</v>
      </c>
      <c r="O963" s="62" t="str">
        <f>IF(E963="PA",IF(K963&lt;&gt;"",ISERROR(VLOOKUP(K963,ABBR!A:D,1,FALSE)),ISERROR(VLOOKUP(C963,ABBR!A:D,1,FALSE))),"")</f>
        <v/>
      </c>
      <c r="P963" t="str">
        <f>VLOOKUP(A963,Groups!A:L,5,FALSE)</f>
        <v>LOCA</v>
      </c>
      <c r="Q963" s="62" t="str">
        <f>IF(G963="PA",IF(M963&lt;&gt;"",ISERROR(VLOOKUP(M963,ABBR!C:F,1,FALSE)),ISERROR(VLOOKUP(E963,ABBR!C:F,1,FALSE))),"")</f>
        <v/>
      </c>
    </row>
    <row r="964" spans="1:17" hidden="1" x14ac:dyDescent="0.25">
      <c r="A964" s="16" t="s">
        <v>145</v>
      </c>
      <c r="B964" s="17"/>
      <c r="C964" s="16" t="s">
        <v>2332</v>
      </c>
      <c r="D964" s="17" t="s">
        <v>1002</v>
      </c>
      <c r="E964" s="17" t="s">
        <v>723</v>
      </c>
      <c r="F964" s="18" t="s">
        <v>2333</v>
      </c>
      <c r="G964" s="49" t="s">
        <v>725</v>
      </c>
      <c r="H964" s="17">
        <v>17</v>
      </c>
      <c r="O964" s="62" t="str">
        <f>IF(E964="PA",IF(K964&lt;&gt;"",ISERROR(VLOOKUP(K964,ABBR!A:D,1,FALSE)),ISERROR(VLOOKUP(C964,ABBR!A:D,1,FALSE))),"")</f>
        <v/>
      </c>
      <c r="P964" t="str">
        <f>VLOOKUP(A964,Groups!A:L,5,FALSE)</f>
        <v>LOCA</v>
      </c>
      <c r="Q964" s="62" t="str">
        <f>IF(G964="PA",IF(M964&lt;&gt;"",ISERROR(VLOOKUP(M964,ABBR!C:F,1,FALSE)),ISERROR(VLOOKUP(E964,ABBR!C:F,1,FALSE))),"")</f>
        <v/>
      </c>
    </row>
    <row r="965" spans="1:17" hidden="1" x14ac:dyDescent="0.25">
      <c r="A965" s="16" t="s">
        <v>145</v>
      </c>
      <c r="B965" s="17"/>
      <c r="C965" s="16" t="s">
        <v>2334</v>
      </c>
      <c r="D965" s="17" t="s">
        <v>2318</v>
      </c>
      <c r="E965" s="17" t="s">
        <v>723</v>
      </c>
      <c r="F965" s="18" t="s">
        <v>2335</v>
      </c>
      <c r="G965" s="49" t="s">
        <v>1024</v>
      </c>
      <c r="H965" s="17">
        <v>18</v>
      </c>
      <c r="O965" s="62" t="str">
        <f>IF(E965="PA",IF(K965&lt;&gt;"",ISERROR(VLOOKUP(K965,ABBR!A:D,1,FALSE)),ISERROR(VLOOKUP(C965,ABBR!A:D,1,FALSE))),"")</f>
        <v/>
      </c>
      <c r="P965" t="str">
        <f>VLOOKUP(A965,Groups!A:L,5,FALSE)</f>
        <v>LOCA</v>
      </c>
      <c r="Q965" s="62" t="str">
        <f>IF(G965="PA",IF(M965&lt;&gt;"",ISERROR(VLOOKUP(M965,ABBR!C:F,1,FALSE)),ISERROR(VLOOKUP(E965,ABBR!C:F,1,FALSE))),"")</f>
        <v/>
      </c>
    </row>
    <row r="966" spans="1:17" hidden="1" x14ac:dyDescent="0.25">
      <c r="A966" s="16" t="s">
        <v>145</v>
      </c>
      <c r="B966" s="17"/>
      <c r="C966" s="16" t="s">
        <v>2336</v>
      </c>
      <c r="D966" s="17" t="s">
        <v>2337</v>
      </c>
      <c r="E966" s="17" t="s">
        <v>723</v>
      </c>
      <c r="F966" s="18" t="s">
        <v>2338</v>
      </c>
      <c r="G966" s="49" t="s">
        <v>2339</v>
      </c>
      <c r="H966" s="17">
        <v>19</v>
      </c>
      <c r="O966" s="62" t="str">
        <f>IF(E966="PA",IF(K966&lt;&gt;"",ISERROR(VLOOKUP(K966,ABBR!A:D,1,FALSE)),ISERROR(VLOOKUP(C966,ABBR!A:D,1,FALSE))),"")</f>
        <v/>
      </c>
      <c r="P966" t="str">
        <f>VLOOKUP(A966,Groups!A:L,5,FALSE)</f>
        <v>LOCA</v>
      </c>
      <c r="Q966" s="62" t="str">
        <f>IF(G966="PA",IF(M966&lt;&gt;"",ISERROR(VLOOKUP(M966,ABBR!C:F,1,FALSE)),ISERROR(VLOOKUP(E966,ABBR!C:F,1,FALSE))),"")</f>
        <v/>
      </c>
    </row>
    <row r="967" spans="1:17" ht="25" hidden="1" x14ac:dyDescent="0.25">
      <c r="A967" s="16" t="s">
        <v>145</v>
      </c>
      <c r="B967" s="17"/>
      <c r="C967" s="16" t="s">
        <v>2340</v>
      </c>
      <c r="D967" s="17" t="s">
        <v>1345</v>
      </c>
      <c r="E967" s="17" t="s">
        <v>723</v>
      </c>
      <c r="F967" s="18" t="s">
        <v>2341</v>
      </c>
      <c r="G967" s="49" t="s">
        <v>2342</v>
      </c>
      <c r="H967" s="17">
        <v>20</v>
      </c>
      <c r="O967" s="62" t="str">
        <f>IF(E967="PA",IF(K967&lt;&gt;"",ISERROR(VLOOKUP(K967,ABBR!A:D,1,FALSE)),ISERROR(VLOOKUP(C967,ABBR!A:D,1,FALSE))),"")</f>
        <v/>
      </c>
      <c r="P967" t="str">
        <f>VLOOKUP(A967,Groups!A:L,5,FALSE)</f>
        <v>LOCA</v>
      </c>
      <c r="Q967" s="62" t="str">
        <f>IF(G967="PA",IF(M967&lt;&gt;"",ISERROR(VLOOKUP(M967,ABBR!C:F,1,FALSE)),ISERROR(VLOOKUP(E967,ABBR!C:F,1,FALSE))),"")</f>
        <v/>
      </c>
    </row>
    <row r="968" spans="1:17" hidden="1" x14ac:dyDescent="0.25">
      <c r="A968" s="16" t="s">
        <v>145</v>
      </c>
      <c r="B968" s="17"/>
      <c r="C968" s="16" t="s">
        <v>2343</v>
      </c>
      <c r="D968" s="17" t="s">
        <v>2344</v>
      </c>
      <c r="E968" s="17" t="s">
        <v>723</v>
      </c>
      <c r="F968" s="18" t="s">
        <v>2345</v>
      </c>
      <c r="G968" s="49" t="s">
        <v>2346</v>
      </c>
      <c r="H968" s="17">
        <v>21</v>
      </c>
      <c r="O968" s="62" t="str">
        <f>IF(E968="PA",IF(K968&lt;&gt;"",ISERROR(VLOOKUP(K968,ABBR!A:D,1,FALSE)),ISERROR(VLOOKUP(C968,ABBR!A:D,1,FALSE))),"")</f>
        <v/>
      </c>
      <c r="P968" t="str">
        <f>VLOOKUP(A968,Groups!A:L,5,FALSE)</f>
        <v>LOCA</v>
      </c>
      <c r="Q968" s="62" t="str">
        <f>IF(G968="PA",IF(M968&lt;&gt;"",ISERROR(VLOOKUP(M968,ABBR!C:F,1,FALSE)),ISERROR(VLOOKUP(E968,ABBR!C:F,1,FALSE))),"")</f>
        <v/>
      </c>
    </row>
    <row r="969" spans="1:17" hidden="1" x14ac:dyDescent="0.25">
      <c r="A969" s="16" t="s">
        <v>145</v>
      </c>
      <c r="B969" s="17"/>
      <c r="C969" s="16" t="s">
        <v>2347</v>
      </c>
      <c r="D969" s="17" t="s">
        <v>2344</v>
      </c>
      <c r="E969" s="17" t="s">
        <v>723</v>
      </c>
      <c r="F969" s="18" t="s">
        <v>2348</v>
      </c>
      <c r="G969" s="49" t="s">
        <v>1542</v>
      </c>
      <c r="H969" s="17">
        <v>22</v>
      </c>
      <c r="O969" s="62" t="str">
        <f>IF(E969="PA",IF(K969&lt;&gt;"",ISERROR(VLOOKUP(K969,ABBR!A:D,1,FALSE)),ISERROR(VLOOKUP(C969,ABBR!A:D,1,FALSE))),"")</f>
        <v/>
      </c>
      <c r="P969" t="str">
        <f>VLOOKUP(A969,Groups!A:L,5,FALSE)</f>
        <v>LOCA</v>
      </c>
      <c r="Q969" s="62" t="str">
        <f>IF(G969="PA",IF(M969&lt;&gt;"",ISERROR(VLOOKUP(M969,ABBR!C:F,1,FALSE)),ISERROR(VLOOKUP(E969,ABBR!C:F,1,FALSE))),"")</f>
        <v/>
      </c>
    </row>
    <row r="970" spans="1:17" hidden="1" x14ac:dyDescent="0.25">
      <c r="A970" s="16" t="s">
        <v>145</v>
      </c>
      <c r="B970" s="17"/>
      <c r="C970" s="16" t="s">
        <v>2349</v>
      </c>
      <c r="D970" s="17"/>
      <c r="E970" s="17" t="s">
        <v>608</v>
      </c>
      <c r="F970" s="18" t="s">
        <v>642</v>
      </c>
      <c r="G970" s="49" t="s">
        <v>16</v>
      </c>
      <c r="H970" s="17">
        <v>23</v>
      </c>
      <c r="M970" s="101"/>
      <c r="O970" s="62" t="str">
        <f>IF(E970="PA",IF(K970&lt;&gt;"",ISERROR(VLOOKUP(K970,ABBR!A:D,1,FALSE)),ISERROR(VLOOKUP(C970,ABBR!A:D,1,FALSE))),"")</f>
        <v/>
      </c>
      <c r="P970" t="str">
        <f>VLOOKUP(A970,Groups!A:L,5,FALSE)</f>
        <v>LOCA</v>
      </c>
      <c r="Q970" s="62" t="str">
        <f>IF(G970="PA",IF(M970&lt;&gt;"",ISERROR(VLOOKUP(M970,ABBR!C:F,1,FALSE)),ISERROR(VLOOKUP(E970,ABBR!C:F,1,FALSE))),"")</f>
        <v/>
      </c>
    </row>
    <row r="971" spans="1:17" ht="25" hidden="1" x14ac:dyDescent="0.25">
      <c r="A971" s="16" t="s">
        <v>145</v>
      </c>
      <c r="B971" s="17"/>
      <c r="C971" s="16" t="s">
        <v>643</v>
      </c>
      <c r="D971" s="17"/>
      <c r="E971" s="17" t="s">
        <v>608</v>
      </c>
      <c r="F971" s="18" t="s">
        <v>2350</v>
      </c>
      <c r="G971" s="49" t="s">
        <v>2351</v>
      </c>
      <c r="H971" s="17">
        <v>24</v>
      </c>
      <c r="O971" s="62" t="str">
        <f>IF(E971="PA",IF(K971&lt;&gt;"",ISERROR(VLOOKUP(K971,ABBR!A:D,1,FALSE)),ISERROR(VLOOKUP(C971,ABBR!A:D,1,FALSE))),"")</f>
        <v/>
      </c>
      <c r="P971" t="str">
        <f>VLOOKUP(A971,Groups!A:L,5,FALSE)</f>
        <v>LOCA</v>
      </c>
      <c r="Q971" s="62" t="str">
        <f>IF(G971="PA",IF(M971&lt;&gt;"",ISERROR(VLOOKUP(M971,ABBR!C:F,1,FALSE)),ISERROR(VLOOKUP(E971,ABBR!C:F,1,FALSE))),"")</f>
        <v/>
      </c>
    </row>
    <row r="972" spans="1:17" hidden="1" x14ac:dyDescent="0.25">
      <c r="A972" s="16" t="s">
        <v>148</v>
      </c>
      <c r="B972" s="17" t="s">
        <v>594</v>
      </c>
      <c r="C972" s="16" t="s">
        <v>595</v>
      </c>
      <c r="D972" s="17"/>
      <c r="E972" s="17" t="s">
        <v>596</v>
      </c>
      <c r="F972" s="18" t="s">
        <v>597</v>
      </c>
      <c r="G972" s="49" t="s">
        <v>598</v>
      </c>
      <c r="H972" s="17">
        <v>1</v>
      </c>
      <c r="O972" s="62" t="str">
        <f>IF(E972="PA",IF(K972&lt;&gt;"",ISERROR(VLOOKUP(K972,ABBR!A:D,1,FALSE)),ISERROR(VLOOKUP(C972,ABBR!A:D,1,FALSE))),"")</f>
        <v/>
      </c>
      <c r="P972" t="str">
        <f>VLOOKUP(A972,Groups!A:L,5,FALSE)</f>
        <v>DPRG</v>
      </c>
      <c r="Q972" s="62" t="str">
        <f>IF(G972="PA",IF(M972&lt;&gt;"",ISERROR(VLOOKUP(M972,ABBR!C:F,1,FALSE)),ISERROR(VLOOKUP(E972,ABBR!C:F,1,FALSE))),"")</f>
        <v/>
      </c>
    </row>
    <row r="973" spans="1:17" hidden="1" x14ac:dyDescent="0.25">
      <c r="A973" s="16" t="s">
        <v>148</v>
      </c>
      <c r="B973" s="17" t="s">
        <v>594</v>
      </c>
      <c r="C973" s="16" t="s">
        <v>2352</v>
      </c>
      <c r="D973" s="17"/>
      <c r="E973" s="17" t="s">
        <v>608</v>
      </c>
      <c r="F973" s="18" t="s">
        <v>1323</v>
      </c>
      <c r="G973" s="49" t="s">
        <v>631</v>
      </c>
      <c r="H973" s="17">
        <v>2</v>
      </c>
      <c r="O973" s="62" t="str">
        <f>IF(E973="PA",IF(K973&lt;&gt;"",ISERROR(VLOOKUP(K973,ABBR!A:D,1,FALSE)),ISERROR(VLOOKUP(C973,ABBR!A:D,1,FALSE))),"")</f>
        <v/>
      </c>
      <c r="P973" t="str">
        <f>VLOOKUP(A973,Groups!A:L,5,FALSE)</f>
        <v>DPRG</v>
      </c>
      <c r="Q973" s="62" t="str">
        <f>IF(G973="PA",IF(M973&lt;&gt;"",ISERROR(VLOOKUP(M973,ABBR!C:F,1,FALSE)),ISERROR(VLOOKUP(E973,ABBR!C:F,1,FALSE))),"")</f>
        <v/>
      </c>
    </row>
    <row r="974" spans="1:17" hidden="1" x14ac:dyDescent="0.25">
      <c r="A974" s="16" t="s">
        <v>148</v>
      </c>
      <c r="B974" s="17" t="s">
        <v>594</v>
      </c>
      <c r="C974" s="16" t="s">
        <v>2353</v>
      </c>
      <c r="D974" s="17" t="s">
        <v>600</v>
      </c>
      <c r="E974" s="17" t="s">
        <v>601</v>
      </c>
      <c r="F974" s="18" t="s">
        <v>2354</v>
      </c>
      <c r="G974" s="49" t="s">
        <v>2355</v>
      </c>
      <c r="H974" s="17">
        <v>3</v>
      </c>
      <c r="O974" s="62" t="str">
        <f>IF(E974="PA",IF(K974&lt;&gt;"",ISERROR(VLOOKUP(K974,ABBR!A:D,1,FALSE)),ISERROR(VLOOKUP(C974,ABBR!A:D,1,FALSE))),"")</f>
        <v/>
      </c>
      <c r="P974" t="str">
        <f>VLOOKUP(A974,Groups!A:L,5,FALSE)</f>
        <v>DPRG</v>
      </c>
      <c r="Q974" s="62" t="str">
        <f>IF(G974="PA",IF(M974&lt;&gt;"",ISERROR(VLOOKUP(M974,ABBR!C:F,1,FALSE)),ISERROR(VLOOKUP(E974,ABBR!C:F,1,FALSE))),"")</f>
        <v/>
      </c>
    </row>
    <row r="975" spans="1:17" hidden="1" x14ac:dyDescent="0.25">
      <c r="A975" s="16" t="s">
        <v>148</v>
      </c>
      <c r="B975" s="17"/>
      <c r="C975" s="16" t="s">
        <v>2356</v>
      </c>
      <c r="D975" s="17"/>
      <c r="E975" s="17" t="s">
        <v>767</v>
      </c>
      <c r="F975" s="18" t="s">
        <v>2357</v>
      </c>
      <c r="G975" s="49" t="s">
        <v>1458</v>
      </c>
      <c r="H975" s="17">
        <v>4</v>
      </c>
      <c r="O975" s="62" t="str">
        <f>IF(E975="PA",IF(K975&lt;&gt;"",ISERROR(VLOOKUP(K975,ABBR!A:D,1,FALSE)),ISERROR(VLOOKUP(C975,ABBR!A:D,1,FALSE))),"")</f>
        <v/>
      </c>
      <c r="P975" t="str">
        <f>VLOOKUP(A975,Groups!A:L,5,FALSE)</f>
        <v>DPRG</v>
      </c>
      <c r="Q975" s="62" t="str">
        <f>IF(G975="PA",IF(M975&lt;&gt;"",ISERROR(VLOOKUP(M975,ABBR!C:F,1,FALSE)),ISERROR(VLOOKUP(E975,ABBR!C:F,1,FALSE))),"")</f>
        <v/>
      </c>
    </row>
    <row r="976" spans="1:17" hidden="1" x14ac:dyDescent="0.25">
      <c r="A976" s="16" t="s">
        <v>148</v>
      </c>
      <c r="B976" s="17"/>
      <c r="C976" s="16" t="s">
        <v>2358</v>
      </c>
      <c r="D976" s="17"/>
      <c r="E976" s="17" t="s">
        <v>767</v>
      </c>
      <c r="F976" s="18" t="s">
        <v>2359</v>
      </c>
      <c r="G976" s="49" t="s">
        <v>2360</v>
      </c>
      <c r="H976" s="17">
        <v>5</v>
      </c>
      <c r="O976" s="62" t="str">
        <f>IF(E976="PA",IF(K976&lt;&gt;"",ISERROR(VLOOKUP(K976,ABBR!A:D,1,FALSE)),ISERROR(VLOOKUP(C976,ABBR!A:D,1,FALSE))),"")</f>
        <v/>
      </c>
      <c r="P976" t="str">
        <f>VLOOKUP(A976,Groups!A:L,5,FALSE)</f>
        <v>DPRG</v>
      </c>
      <c r="Q976" s="62" t="str">
        <f>IF(G976="PA",IF(M976&lt;&gt;"",ISERROR(VLOOKUP(M976,ABBR!C:F,1,FALSE)),ISERROR(VLOOKUP(E976,ABBR!C:F,1,FALSE))),"")</f>
        <v/>
      </c>
    </row>
    <row r="977" spans="1:17" hidden="1" x14ac:dyDescent="0.25">
      <c r="A977" s="16" t="s">
        <v>148</v>
      </c>
      <c r="B977" s="17"/>
      <c r="C977" s="16" t="s">
        <v>2361</v>
      </c>
      <c r="D977" s="17" t="s">
        <v>2305</v>
      </c>
      <c r="E977" s="17" t="s">
        <v>767</v>
      </c>
      <c r="F977" s="18" t="s">
        <v>2362</v>
      </c>
      <c r="G977" s="49" t="s">
        <v>1027</v>
      </c>
      <c r="H977" s="17">
        <v>6</v>
      </c>
      <c r="O977" s="62" t="str">
        <f>IF(E977="PA",IF(K977&lt;&gt;"",ISERROR(VLOOKUP(K977,ABBR!A:D,1,FALSE)),ISERROR(VLOOKUP(C977,ABBR!A:D,1,FALSE))),"")</f>
        <v/>
      </c>
      <c r="P977" t="str">
        <f>VLOOKUP(A977,Groups!A:L,5,FALSE)</f>
        <v>DPRG</v>
      </c>
      <c r="Q977" s="62" t="str">
        <f>IF(G977="PA",IF(M977&lt;&gt;"",ISERROR(VLOOKUP(M977,ABBR!C:F,1,FALSE)),ISERROR(VLOOKUP(E977,ABBR!C:F,1,FALSE))),"")</f>
        <v/>
      </c>
    </row>
    <row r="978" spans="1:17" hidden="1" x14ac:dyDescent="0.25">
      <c r="A978" s="16" t="s">
        <v>148</v>
      </c>
      <c r="B978" s="17"/>
      <c r="C978" s="16" t="s">
        <v>2363</v>
      </c>
      <c r="D978" s="17" t="s">
        <v>1416</v>
      </c>
      <c r="E978" s="17" t="s">
        <v>1417</v>
      </c>
      <c r="F978" s="18" t="s">
        <v>1971</v>
      </c>
      <c r="G978" s="49" t="s">
        <v>1972</v>
      </c>
      <c r="H978" s="17">
        <v>7</v>
      </c>
      <c r="O978" s="62" t="str">
        <f>IF(E978="PA",IF(K978&lt;&gt;"",ISERROR(VLOOKUP(K978,ABBR!A:D,1,FALSE)),ISERROR(VLOOKUP(C978,ABBR!A:D,1,FALSE))),"")</f>
        <v/>
      </c>
      <c r="P978" t="str">
        <f>VLOOKUP(A978,Groups!A:L,5,FALSE)</f>
        <v>DPRG</v>
      </c>
      <c r="Q978" s="62" t="str">
        <f>IF(G978="PA",IF(M978&lt;&gt;"",ISERROR(VLOOKUP(M978,ABBR!C:F,1,FALSE)),ISERROR(VLOOKUP(E978,ABBR!C:F,1,FALSE))),"")</f>
        <v/>
      </c>
    </row>
    <row r="979" spans="1:17" hidden="1" x14ac:dyDescent="0.25">
      <c r="A979" s="16" t="s">
        <v>148</v>
      </c>
      <c r="B979" s="17"/>
      <c r="C979" s="16" t="s">
        <v>2364</v>
      </c>
      <c r="D979" s="17" t="s">
        <v>722</v>
      </c>
      <c r="E979" s="17" t="s">
        <v>767</v>
      </c>
      <c r="F979" s="18" t="s">
        <v>2365</v>
      </c>
      <c r="G979" s="49" t="s">
        <v>1116</v>
      </c>
      <c r="H979" s="17">
        <v>8</v>
      </c>
      <c r="O979" s="62" t="str">
        <f>IF(E979="PA",IF(K979&lt;&gt;"",ISERROR(VLOOKUP(K979,ABBR!A:D,1,FALSE)),ISERROR(VLOOKUP(C979,ABBR!A:D,1,FALSE))),"")</f>
        <v/>
      </c>
      <c r="P979" t="str">
        <f>VLOOKUP(A979,Groups!A:L,5,FALSE)</f>
        <v>DPRG</v>
      </c>
      <c r="Q979" s="62" t="str">
        <f>IF(G979="PA",IF(M979&lt;&gt;"",ISERROR(VLOOKUP(M979,ABBR!C:F,1,FALSE)),ISERROR(VLOOKUP(E979,ABBR!C:F,1,FALSE))),"")</f>
        <v/>
      </c>
    </row>
    <row r="980" spans="1:17" hidden="1" x14ac:dyDescent="0.25">
      <c r="A980" s="16" t="s">
        <v>148</v>
      </c>
      <c r="B980" s="17"/>
      <c r="C980" s="16" t="s">
        <v>2366</v>
      </c>
      <c r="D980" s="17"/>
      <c r="E980" s="17" t="s">
        <v>608</v>
      </c>
      <c r="F980" s="18" t="s">
        <v>2367</v>
      </c>
      <c r="G980" s="49" t="s">
        <v>16</v>
      </c>
      <c r="H980" s="17">
        <v>9</v>
      </c>
      <c r="M980" s="101"/>
      <c r="O980" s="62" t="str">
        <f>IF(E980="PA",IF(K980&lt;&gt;"",ISERROR(VLOOKUP(K980,ABBR!A:D,1,FALSE)),ISERROR(VLOOKUP(C980,ABBR!A:D,1,FALSE))),"")</f>
        <v/>
      </c>
      <c r="P980" t="str">
        <f>VLOOKUP(A980,Groups!A:L,5,FALSE)</f>
        <v>DPRG</v>
      </c>
      <c r="Q980" s="62" t="str">
        <f>IF(G980="PA",IF(M980&lt;&gt;"",ISERROR(VLOOKUP(M980,ABBR!C:F,1,FALSE)),ISERROR(VLOOKUP(E980,ABBR!C:F,1,FALSE))),"")</f>
        <v/>
      </c>
    </row>
    <row r="981" spans="1:17" hidden="1" x14ac:dyDescent="0.25">
      <c r="A981" s="16" t="s">
        <v>148</v>
      </c>
      <c r="B981" s="17"/>
      <c r="C981" s="16" t="s">
        <v>643</v>
      </c>
      <c r="D981" s="17"/>
      <c r="E981" s="17" t="s">
        <v>608</v>
      </c>
      <c r="F981" s="18" t="s">
        <v>1714</v>
      </c>
      <c r="G981" s="49" t="s">
        <v>2368</v>
      </c>
      <c r="H981" s="17">
        <v>10</v>
      </c>
      <c r="O981" s="62" t="str">
        <f>IF(E981="PA",IF(K981&lt;&gt;"",ISERROR(VLOOKUP(K981,ABBR!A:D,1,FALSE)),ISERROR(VLOOKUP(C981,ABBR!A:D,1,FALSE))),"")</f>
        <v/>
      </c>
      <c r="P981" t="str">
        <f>VLOOKUP(A981,Groups!A:L,5,FALSE)</f>
        <v>DPRG</v>
      </c>
      <c r="Q981" s="62" t="str">
        <f>IF(G981="PA",IF(M981&lt;&gt;"",ISERROR(VLOOKUP(M981,ABBR!C:F,1,FALSE)),ISERROR(VLOOKUP(E981,ABBR!C:F,1,FALSE))),"")</f>
        <v/>
      </c>
    </row>
    <row r="982" spans="1:17" hidden="1" x14ac:dyDescent="0.25">
      <c r="A982" s="16" t="s">
        <v>150</v>
      </c>
      <c r="B982" s="17" t="s">
        <v>594</v>
      </c>
      <c r="C982" s="16" t="s">
        <v>595</v>
      </c>
      <c r="D982" s="17"/>
      <c r="E982" s="17" t="s">
        <v>596</v>
      </c>
      <c r="F982" s="18" t="s">
        <v>597</v>
      </c>
      <c r="G982" s="49" t="s">
        <v>598</v>
      </c>
      <c r="H982" s="17">
        <v>1</v>
      </c>
      <c r="O982" s="62" t="str">
        <f>IF(E982="PA",IF(K982&lt;&gt;"",ISERROR(VLOOKUP(K982,ABBR!A:D,1,FALSE)),ISERROR(VLOOKUP(C982,ABBR!A:D,1,FALSE))),"")</f>
        <v/>
      </c>
      <c r="P982" t="str">
        <f>VLOOKUP(A982,Groups!A:L,5,FALSE)</f>
        <v>LOCA</v>
      </c>
      <c r="Q982" s="62" t="str">
        <f>IF(G982="PA",IF(M982&lt;&gt;"",ISERROR(VLOOKUP(M982,ABBR!C:F,1,FALSE)),ISERROR(VLOOKUP(E982,ABBR!C:F,1,FALSE))),"")</f>
        <v/>
      </c>
    </row>
    <row r="983" spans="1:17" hidden="1" x14ac:dyDescent="0.25">
      <c r="A983" s="16" t="s">
        <v>150</v>
      </c>
      <c r="B983" s="17" t="s">
        <v>594</v>
      </c>
      <c r="C983" s="16" t="s">
        <v>2352</v>
      </c>
      <c r="D983" s="17"/>
      <c r="E983" s="17" t="s">
        <v>608</v>
      </c>
      <c r="F983" s="18" t="s">
        <v>1323</v>
      </c>
      <c r="G983" s="49" t="s">
        <v>631</v>
      </c>
      <c r="H983" s="17">
        <v>2</v>
      </c>
      <c r="O983" s="62" t="str">
        <f>IF(E983="PA",IF(K983&lt;&gt;"",ISERROR(VLOOKUP(K983,ABBR!A:D,1,FALSE)),ISERROR(VLOOKUP(C983,ABBR!A:D,1,FALSE))),"")</f>
        <v/>
      </c>
      <c r="P983" t="str">
        <f>VLOOKUP(A983,Groups!A:L,5,FALSE)</f>
        <v>LOCA</v>
      </c>
      <c r="Q983" s="62" t="str">
        <f>IF(G983="PA",IF(M983&lt;&gt;"",ISERROR(VLOOKUP(M983,ABBR!C:F,1,FALSE)),ISERROR(VLOOKUP(E983,ABBR!C:F,1,FALSE))),"")</f>
        <v/>
      </c>
    </row>
    <row r="984" spans="1:17" hidden="1" x14ac:dyDescent="0.25">
      <c r="A984" s="16" t="s">
        <v>150</v>
      </c>
      <c r="B984" s="17"/>
      <c r="C984" s="16" t="s">
        <v>2369</v>
      </c>
      <c r="D984" s="17" t="s">
        <v>924</v>
      </c>
      <c r="E984" s="17" t="s">
        <v>925</v>
      </c>
      <c r="F984" s="18" t="s">
        <v>1922</v>
      </c>
      <c r="G984" s="49" t="s">
        <v>1923</v>
      </c>
      <c r="H984" s="17">
        <v>3</v>
      </c>
      <c r="O984" s="62" t="str">
        <f>IF(E984="PA",IF(K984&lt;&gt;"",ISERROR(VLOOKUP(K984,ABBR!A:D,1,FALSE)),ISERROR(VLOOKUP(C984,ABBR!A:D,1,FALSE))),"")</f>
        <v/>
      </c>
      <c r="P984" t="str">
        <f>VLOOKUP(A984,Groups!A:L,5,FALSE)</f>
        <v>LOCA</v>
      </c>
      <c r="Q984" s="62" t="str">
        <f>IF(G984="PA",IF(M984&lt;&gt;"",ISERROR(VLOOKUP(M984,ABBR!C:F,1,FALSE)),ISERROR(VLOOKUP(E984,ABBR!C:F,1,FALSE))),"")</f>
        <v/>
      </c>
    </row>
    <row r="985" spans="1:17" hidden="1" x14ac:dyDescent="0.25">
      <c r="A985" s="16" t="s">
        <v>150</v>
      </c>
      <c r="B985" s="17"/>
      <c r="C985" s="16" t="s">
        <v>2370</v>
      </c>
      <c r="D985" s="17"/>
      <c r="E985" s="17" t="s">
        <v>618</v>
      </c>
      <c r="F985" s="18" t="s">
        <v>2371</v>
      </c>
      <c r="G985" s="49" t="s">
        <v>2372</v>
      </c>
      <c r="H985" s="17">
        <v>4</v>
      </c>
      <c r="O985" s="62" t="b">
        <f>IF(E985="PA",IF(K985&lt;&gt;"",ISERROR(VLOOKUP(K985,ABBR!A:D,1,FALSE)),ISERROR(VLOOKUP(C985,ABBR!A:D,1,FALSE))),"")</f>
        <v>0</v>
      </c>
      <c r="P985" t="str">
        <f>VLOOKUP(A985,Groups!A:L,5,FALSE)</f>
        <v>LOCA</v>
      </c>
      <c r="Q985" s="62" t="str">
        <f>IF(G985="PA",IF(M985&lt;&gt;"",ISERROR(VLOOKUP(M985,ABBR!C:F,1,FALSE)),ISERROR(VLOOKUP(E985,ABBR!C:F,1,FALSE))),"")</f>
        <v/>
      </c>
    </row>
    <row r="986" spans="1:17" hidden="1" x14ac:dyDescent="0.25">
      <c r="A986" s="16" t="s">
        <v>150</v>
      </c>
      <c r="B986" s="17"/>
      <c r="C986" s="16" t="s">
        <v>2373</v>
      </c>
      <c r="D986" s="17"/>
      <c r="E986" s="17" t="s">
        <v>608</v>
      </c>
      <c r="F986" s="18" t="s">
        <v>918</v>
      </c>
      <c r="G986" s="49" t="s">
        <v>2374</v>
      </c>
      <c r="H986" s="17">
        <v>5</v>
      </c>
      <c r="O986" s="62" t="str">
        <f>IF(E986="PA",IF(K986&lt;&gt;"",ISERROR(VLOOKUP(K986,ABBR!A:D,1,FALSE)),ISERROR(VLOOKUP(C986,ABBR!A:D,1,FALSE))),"")</f>
        <v/>
      </c>
      <c r="P986" t="str">
        <f>VLOOKUP(A986,Groups!A:L,5,FALSE)</f>
        <v>LOCA</v>
      </c>
      <c r="Q986" s="62" t="str">
        <f>IF(G986="PA",IF(M986&lt;&gt;"",ISERROR(VLOOKUP(M986,ABBR!C:F,1,FALSE)),ISERROR(VLOOKUP(E986,ABBR!C:F,1,FALSE))),"")</f>
        <v/>
      </c>
    </row>
    <row r="987" spans="1:17" hidden="1" x14ac:dyDescent="0.25">
      <c r="A987" s="16" t="s">
        <v>150</v>
      </c>
      <c r="B987" s="17"/>
      <c r="C987" s="16" t="s">
        <v>2375</v>
      </c>
      <c r="D987" s="17" t="s">
        <v>908</v>
      </c>
      <c r="E987" s="17" t="s">
        <v>723</v>
      </c>
      <c r="F987" s="18" t="s">
        <v>2376</v>
      </c>
      <c r="G987" s="49" t="s">
        <v>2377</v>
      </c>
      <c r="H987" s="17">
        <v>6</v>
      </c>
      <c r="I987" s="30" t="s">
        <v>2378</v>
      </c>
      <c r="O987" s="62" t="str">
        <f>IF(E987="PA",IF(K987&lt;&gt;"",ISERROR(VLOOKUP(K987,ABBR!A:D,1,FALSE)),ISERROR(VLOOKUP(C987,ABBR!A:D,1,FALSE))),"")</f>
        <v/>
      </c>
      <c r="P987" t="str">
        <f>VLOOKUP(A987,Groups!A:L,5,FALSE)</f>
        <v>LOCA</v>
      </c>
      <c r="Q987" s="62" t="str">
        <f>IF(G987="PA",IF(M987&lt;&gt;"",ISERROR(VLOOKUP(M987,ABBR!C:F,1,FALSE)),ISERROR(VLOOKUP(E987,ABBR!C:F,1,FALSE))),"")</f>
        <v/>
      </c>
    </row>
    <row r="988" spans="1:17" hidden="1" x14ac:dyDescent="0.25">
      <c r="A988" s="16" t="s">
        <v>150</v>
      </c>
      <c r="B988" s="17"/>
      <c r="C988" s="16" t="s">
        <v>2379</v>
      </c>
      <c r="D988" s="17" t="s">
        <v>722</v>
      </c>
      <c r="E988" s="17" t="s">
        <v>767</v>
      </c>
      <c r="F988" s="18" t="s">
        <v>2380</v>
      </c>
      <c r="G988" s="49" t="s">
        <v>2381</v>
      </c>
      <c r="H988" s="17">
        <v>7</v>
      </c>
      <c r="O988" s="62" t="str">
        <f>IF(E988="PA",IF(K988&lt;&gt;"",ISERROR(VLOOKUP(K988,ABBR!A:D,1,FALSE)),ISERROR(VLOOKUP(C988,ABBR!A:D,1,FALSE))),"")</f>
        <v/>
      </c>
      <c r="P988" t="str">
        <f>VLOOKUP(A988,Groups!A:L,5,FALSE)</f>
        <v>LOCA</v>
      </c>
      <c r="Q988" s="62" t="str">
        <f>IF(G988="PA",IF(M988&lt;&gt;"",ISERROR(VLOOKUP(M988,ABBR!C:F,1,FALSE)),ISERROR(VLOOKUP(E988,ABBR!C:F,1,FALSE))),"")</f>
        <v/>
      </c>
    </row>
    <row r="989" spans="1:17" hidden="1" x14ac:dyDescent="0.25">
      <c r="A989" s="16" t="s">
        <v>150</v>
      </c>
      <c r="B989" s="17"/>
      <c r="C989" s="16" t="s">
        <v>2382</v>
      </c>
      <c r="D989" s="17" t="s">
        <v>722</v>
      </c>
      <c r="E989" s="17" t="s">
        <v>723</v>
      </c>
      <c r="F989" s="18" t="s">
        <v>2383</v>
      </c>
      <c r="G989" s="49" t="s">
        <v>2384</v>
      </c>
      <c r="H989" s="17">
        <v>8</v>
      </c>
      <c r="O989" s="62" t="str">
        <f>IF(E989="PA",IF(K989&lt;&gt;"",ISERROR(VLOOKUP(K989,ABBR!A:D,1,FALSE)),ISERROR(VLOOKUP(C989,ABBR!A:D,1,FALSE))),"")</f>
        <v/>
      </c>
      <c r="P989" t="str">
        <f>VLOOKUP(A989,Groups!A:L,5,FALSE)</f>
        <v>LOCA</v>
      </c>
      <c r="Q989" s="62" t="str">
        <f>IF(G989="PA",IF(M989&lt;&gt;"",ISERROR(VLOOKUP(M989,ABBR!C:F,1,FALSE)),ISERROR(VLOOKUP(E989,ABBR!C:F,1,FALSE))),"")</f>
        <v/>
      </c>
    </row>
    <row r="990" spans="1:17" hidden="1" x14ac:dyDescent="0.25">
      <c r="A990" s="16" t="s">
        <v>150</v>
      </c>
      <c r="B990" s="17"/>
      <c r="C990" s="16" t="s">
        <v>2385</v>
      </c>
      <c r="D990" s="17" t="s">
        <v>722</v>
      </c>
      <c r="E990" s="17" t="s">
        <v>767</v>
      </c>
      <c r="F990" s="18" t="s">
        <v>2386</v>
      </c>
      <c r="G990" s="49" t="s">
        <v>2360</v>
      </c>
      <c r="H990" s="17">
        <v>9</v>
      </c>
      <c r="O990" s="62" t="str">
        <f>IF(E990="PA",IF(K990&lt;&gt;"",ISERROR(VLOOKUP(K990,ABBR!A:D,1,FALSE)),ISERROR(VLOOKUP(C990,ABBR!A:D,1,FALSE))),"")</f>
        <v/>
      </c>
      <c r="P990" t="str">
        <f>VLOOKUP(A990,Groups!A:L,5,FALSE)</f>
        <v>LOCA</v>
      </c>
      <c r="Q990" s="62" t="str">
        <f>IF(G990="PA",IF(M990&lt;&gt;"",ISERROR(VLOOKUP(M990,ABBR!C:F,1,FALSE)),ISERROR(VLOOKUP(E990,ABBR!C:F,1,FALSE))),"")</f>
        <v/>
      </c>
    </row>
    <row r="991" spans="1:17" hidden="1" x14ac:dyDescent="0.25">
      <c r="A991" s="16" t="s">
        <v>150</v>
      </c>
      <c r="B991" s="17"/>
      <c r="C991" s="16" t="s">
        <v>2387</v>
      </c>
      <c r="D991" s="17"/>
      <c r="E991" s="17" t="s">
        <v>608</v>
      </c>
      <c r="F991" s="18" t="s">
        <v>2388</v>
      </c>
      <c r="G991" s="49"/>
      <c r="H991" s="17">
        <v>10</v>
      </c>
      <c r="M991" s="101" t="s">
        <v>1044</v>
      </c>
      <c r="O991" s="62" t="str">
        <f>IF(E991="PA",IF(K991&lt;&gt;"",ISERROR(VLOOKUP(K991,ABBR!A:D,1,FALSE)),ISERROR(VLOOKUP(C991,ABBR!A:D,1,FALSE))),"")</f>
        <v/>
      </c>
      <c r="P991" t="str">
        <f>VLOOKUP(A991,Groups!A:L,5,FALSE)</f>
        <v>LOCA</v>
      </c>
      <c r="Q991" s="62" t="str">
        <f>IF(G991="PA",IF(M991&lt;&gt;"",ISERROR(VLOOKUP(M991,ABBR!C:F,1,FALSE)),ISERROR(VLOOKUP(E991,ABBR!C:F,1,FALSE))),"")</f>
        <v/>
      </c>
    </row>
    <row r="992" spans="1:17" hidden="1" x14ac:dyDescent="0.25">
      <c r="A992" s="16" t="s">
        <v>150</v>
      </c>
      <c r="B992" s="17"/>
      <c r="C992" s="16" t="s">
        <v>2389</v>
      </c>
      <c r="D992" s="17"/>
      <c r="E992" s="17" t="s">
        <v>608</v>
      </c>
      <c r="F992" s="18" t="s">
        <v>2390</v>
      </c>
      <c r="G992" s="49" t="s">
        <v>2391</v>
      </c>
      <c r="H992" s="17">
        <v>11</v>
      </c>
      <c r="O992" s="62" t="str">
        <f>IF(E992="PA",IF(K992&lt;&gt;"",ISERROR(VLOOKUP(K992,ABBR!A:D,1,FALSE)),ISERROR(VLOOKUP(C992,ABBR!A:D,1,FALSE))),"")</f>
        <v/>
      </c>
      <c r="P992" t="str">
        <f>VLOOKUP(A992,Groups!A:L,5,FALSE)</f>
        <v>LOCA</v>
      </c>
      <c r="Q992" s="62" t="str">
        <f>IF(G992="PA",IF(M992&lt;&gt;"",ISERROR(VLOOKUP(M992,ABBR!C:F,1,FALSE)),ISERROR(VLOOKUP(E992,ABBR!C:F,1,FALSE))),"")</f>
        <v/>
      </c>
    </row>
    <row r="993" spans="1:17" hidden="1" x14ac:dyDescent="0.25">
      <c r="A993" s="16" t="s">
        <v>150</v>
      </c>
      <c r="B993" s="17"/>
      <c r="C993" s="16" t="s">
        <v>2392</v>
      </c>
      <c r="D993" s="17" t="s">
        <v>600</v>
      </c>
      <c r="E993" s="17" t="s">
        <v>601</v>
      </c>
      <c r="F993" s="18" t="s">
        <v>2393</v>
      </c>
      <c r="G993" s="49" t="s">
        <v>2394</v>
      </c>
      <c r="H993" s="17">
        <v>12</v>
      </c>
      <c r="O993" s="62" t="str">
        <f>IF(E993="PA",IF(K993&lt;&gt;"",ISERROR(VLOOKUP(K993,ABBR!A:D,1,FALSE)),ISERROR(VLOOKUP(C993,ABBR!A:D,1,FALSE))),"")</f>
        <v/>
      </c>
      <c r="P993" t="str">
        <f>VLOOKUP(A993,Groups!A:L,5,FALSE)</f>
        <v>LOCA</v>
      </c>
      <c r="Q993" s="62" t="str">
        <f>IF(G993="PA",IF(M993&lt;&gt;"",ISERROR(VLOOKUP(M993,ABBR!C:F,1,FALSE)),ISERROR(VLOOKUP(E993,ABBR!C:F,1,FALSE))),"")</f>
        <v/>
      </c>
    </row>
    <row r="994" spans="1:17" ht="25" hidden="1" x14ac:dyDescent="0.25">
      <c r="A994" s="16" t="s">
        <v>150</v>
      </c>
      <c r="B994" s="17"/>
      <c r="C994" s="16" t="s">
        <v>2395</v>
      </c>
      <c r="D994" s="17"/>
      <c r="E994" s="17" t="s">
        <v>608</v>
      </c>
      <c r="F994" s="18" t="s">
        <v>2396</v>
      </c>
      <c r="G994" s="49" t="s">
        <v>2397</v>
      </c>
      <c r="H994" s="17">
        <v>13</v>
      </c>
      <c r="O994" s="62" t="str">
        <f>IF(E994="PA",IF(K994&lt;&gt;"",ISERROR(VLOOKUP(K994,ABBR!A:D,1,FALSE)),ISERROR(VLOOKUP(C994,ABBR!A:D,1,FALSE))),"")</f>
        <v/>
      </c>
      <c r="P994" t="str">
        <f>VLOOKUP(A994,Groups!A:L,5,FALSE)</f>
        <v>LOCA</v>
      </c>
      <c r="Q994" s="62" t="str">
        <f>IF(G994="PA",IF(M994&lt;&gt;"",ISERROR(VLOOKUP(M994,ABBR!C:F,1,FALSE)),ISERROR(VLOOKUP(E994,ABBR!C:F,1,FALSE))),"")</f>
        <v/>
      </c>
    </row>
    <row r="995" spans="1:17" hidden="1" x14ac:dyDescent="0.25">
      <c r="A995" s="16" t="s">
        <v>150</v>
      </c>
      <c r="B995" s="17"/>
      <c r="C995" s="16" t="s">
        <v>2398</v>
      </c>
      <c r="D995" s="17" t="s">
        <v>2027</v>
      </c>
      <c r="E995" s="17" t="s">
        <v>767</v>
      </c>
      <c r="F995" s="18" t="s">
        <v>2399</v>
      </c>
      <c r="G995" s="49" t="s">
        <v>2400</v>
      </c>
      <c r="H995" s="17">
        <v>14</v>
      </c>
      <c r="O995" s="62" t="str">
        <f>IF(E995="PA",IF(K995&lt;&gt;"",ISERROR(VLOOKUP(K995,ABBR!A:D,1,FALSE)),ISERROR(VLOOKUP(C995,ABBR!A:D,1,FALSE))),"")</f>
        <v/>
      </c>
      <c r="P995" t="str">
        <f>VLOOKUP(A995,Groups!A:L,5,FALSE)</f>
        <v>LOCA</v>
      </c>
      <c r="Q995" s="62" t="str">
        <f>IF(G995="PA",IF(M995&lt;&gt;"",ISERROR(VLOOKUP(M995,ABBR!C:F,1,FALSE)),ISERROR(VLOOKUP(E995,ABBR!C:F,1,FALSE))),"")</f>
        <v/>
      </c>
    </row>
    <row r="996" spans="1:17" hidden="1" x14ac:dyDescent="0.25">
      <c r="A996" s="16" t="s">
        <v>150</v>
      </c>
      <c r="B996" s="17"/>
      <c r="C996" s="16" t="s">
        <v>2401</v>
      </c>
      <c r="D996" s="17" t="s">
        <v>2402</v>
      </c>
      <c r="E996" s="17" t="s">
        <v>723</v>
      </c>
      <c r="F996" s="18" t="s">
        <v>2403</v>
      </c>
      <c r="G996" s="49" t="s">
        <v>1788</v>
      </c>
      <c r="H996" s="17">
        <v>15</v>
      </c>
      <c r="O996" s="62" t="str">
        <f>IF(E996="PA",IF(K996&lt;&gt;"",ISERROR(VLOOKUP(K996,ABBR!A:D,1,FALSE)),ISERROR(VLOOKUP(C996,ABBR!A:D,1,FALSE))),"")</f>
        <v/>
      </c>
      <c r="P996" t="str">
        <f>VLOOKUP(A996,Groups!A:L,5,FALSE)</f>
        <v>LOCA</v>
      </c>
      <c r="Q996" s="62" t="str">
        <f>IF(G996="PA",IF(M996&lt;&gt;"",ISERROR(VLOOKUP(M996,ABBR!C:F,1,FALSE)),ISERROR(VLOOKUP(E996,ABBR!C:F,1,FALSE))),"")</f>
        <v/>
      </c>
    </row>
    <row r="997" spans="1:17" hidden="1" x14ac:dyDescent="0.25">
      <c r="A997" s="16" t="s">
        <v>150</v>
      </c>
      <c r="B997" s="17"/>
      <c r="C997" s="16" t="s">
        <v>2404</v>
      </c>
      <c r="D997" s="17"/>
      <c r="E997" s="17" t="s">
        <v>608</v>
      </c>
      <c r="F997" s="18" t="s">
        <v>2405</v>
      </c>
      <c r="G997" s="49"/>
      <c r="H997" s="17">
        <v>16</v>
      </c>
      <c r="M997" s="101" t="s">
        <v>1044</v>
      </c>
      <c r="O997" s="62" t="str">
        <f>IF(E997="PA",IF(K997&lt;&gt;"",ISERROR(VLOOKUP(K997,ABBR!A:D,1,FALSE)),ISERROR(VLOOKUP(C997,ABBR!A:D,1,FALSE))),"")</f>
        <v/>
      </c>
      <c r="P997" t="str">
        <f>VLOOKUP(A997,Groups!A:L,5,FALSE)</f>
        <v>LOCA</v>
      </c>
      <c r="Q997" s="62" t="str">
        <f>IF(G997="PA",IF(M997&lt;&gt;"",ISERROR(VLOOKUP(M997,ABBR!C:F,1,FALSE)),ISERROR(VLOOKUP(E997,ABBR!C:F,1,FALSE))),"")</f>
        <v/>
      </c>
    </row>
    <row r="998" spans="1:17" hidden="1" x14ac:dyDescent="0.25">
      <c r="A998" s="16" t="s">
        <v>150</v>
      </c>
      <c r="B998" s="17"/>
      <c r="C998" s="16" t="s">
        <v>2406</v>
      </c>
      <c r="D998" s="17"/>
      <c r="E998" s="17" t="s">
        <v>608</v>
      </c>
      <c r="F998" s="18" t="s">
        <v>2407</v>
      </c>
      <c r="G998" s="49"/>
      <c r="H998" s="17">
        <v>17</v>
      </c>
      <c r="M998" s="101" t="s">
        <v>1044</v>
      </c>
      <c r="O998" s="62" t="str">
        <f>IF(E998="PA",IF(K998&lt;&gt;"",ISERROR(VLOOKUP(K998,ABBR!A:D,1,FALSE)),ISERROR(VLOOKUP(C998,ABBR!A:D,1,FALSE))),"")</f>
        <v/>
      </c>
      <c r="P998" t="str">
        <f>VLOOKUP(A998,Groups!A:L,5,FALSE)</f>
        <v>LOCA</v>
      </c>
      <c r="Q998" s="62" t="str">
        <f>IF(G998="PA",IF(M998&lt;&gt;"",ISERROR(VLOOKUP(M998,ABBR!C:F,1,FALSE)),ISERROR(VLOOKUP(E998,ABBR!C:F,1,FALSE))),"")</f>
        <v/>
      </c>
    </row>
    <row r="999" spans="1:17" hidden="1" x14ac:dyDescent="0.25">
      <c r="A999" s="16" t="s">
        <v>150</v>
      </c>
      <c r="B999" s="17"/>
      <c r="C999" s="16" t="s">
        <v>2408</v>
      </c>
      <c r="D999" s="17"/>
      <c r="E999" s="17" t="s">
        <v>608</v>
      </c>
      <c r="F999" s="18" t="s">
        <v>2409</v>
      </c>
      <c r="G999" s="49"/>
      <c r="H999" s="17">
        <v>18</v>
      </c>
      <c r="M999" s="101" t="s">
        <v>1044</v>
      </c>
      <c r="O999" s="62" t="str">
        <f>IF(E999="PA",IF(K999&lt;&gt;"",ISERROR(VLOOKUP(K999,ABBR!A:D,1,FALSE)),ISERROR(VLOOKUP(C999,ABBR!A:D,1,FALSE))),"")</f>
        <v/>
      </c>
      <c r="P999" t="str">
        <f>VLOOKUP(A999,Groups!A:L,5,FALSE)</f>
        <v>LOCA</v>
      </c>
      <c r="Q999" s="62" t="str">
        <f>IF(G999="PA",IF(M999&lt;&gt;"",ISERROR(VLOOKUP(M999,ABBR!C:F,1,FALSE)),ISERROR(VLOOKUP(E999,ABBR!C:F,1,FALSE))),"")</f>
        <v/>
      </c>
    </row>
    <row r="1000" spans="1:17" hidden="1" x14ac:dyDescent="0.25">
      <c r="A1000" s="16" t="s">
        <v>150</v>
      </c>
      <c r="B1000" s="17"/>
      <c r="C1000" s="16" t="s">
        <v>2410</v>
      </c>
      <c r="D1000" s="17" t="s">
        <v>600</v>
      </c>
      <c r="E1000" s="17" t="s">
        <v>601</v>
      </c>
      <c r="F1000" s="18" t="s">
        <v>2411</v>
      </c>
      <c r="G1000" s="49" t="s">
        <v>1956</v>
      </c>
      <c r="H1000" s="17">
        <v>19</v>
      </c>
      <c r="O1000" s="62" t="str">
        <f>IF(E1000="PA",IF(K1000&lt;&gt;"",ISERROR(VLOOKUP(K1000,ABBR!A:D,1,FALSE)),ISERROR(VLOOKUP(C1000,ABBR!A:D,1,FALSE))),"")</f>
        <v/>
      </c>
      <c r="P1000" t="str">
        <f>VLOOKUP(A1000,Groups!A:L,5,FALSE)</f>
        <v>LOCA</v>
      </c>
      <c r="Q1000" s="62" t="str">
        <f>IF(G1000="PA",IF(M1000&lt;&gt;"",ISERROR(VLOOKUP(M1000,ABBR!C:F,1,FALSE)),ISERROR(VLOOKUP(E1000,ABBR!C:F,1,FALSE))),"")</f>
        <v/>
      </c>
    </row>
    <row r="1001" spans="1:17" hidden="1" x14ac:dyDescent="0.25">
      <c r="A1001" s="16" t="s">
        <v>150</v>
      </c>
      <c r="B1001" s="17"/>
      <c r="C1001" s="16" t="s">
        <v>2412</v>
      </c>
      <c r="D1001" s="17"/>
      <c r="E1001" s="17" t="s">
        <v>608</v>
      </c>
      <c r="F1001" s="18" t="s">
        <v>2413</v>
      </c>
      <c r="G1001" s="49"/>
      <c r="H1001" s="17">
        <v>20</v>
      </c>
      <c r="M1001" s="101" t="s">
        <v>1044</v>
      </c>
      <c r="O1001" s="62" t="str">
        <f>IF(E1001="PA",IF(K1001&lt;&gt;"",ISERROR(VLOOKUP(K1001,ABBR!A:D,1,FALSE)),ISERROR(VLOOKUP(C1001,ABBR!A:D,1,FALSE))),"")</f>
        <v/>
      </c>
      <c r="P1001" t="str">
        <f>VLOOKUP(A1001,Groups!A:L,5,FALSE)</f>
        <v>LOCA</v>
      </c>
      <c r="Q1001" s="62" t="str">
        <f>IF(G1001="PA",IF(M1001&lt;&gt;"",ISERROR(VLOOKUP(M1001,ABBR!C:F,1,FALSE)),ISERROR(VLOOKUP(E1001,ABBR!C:F,1,FALSE))),"")</f>
        <v/>
      </c>
    </row>
    <row r="1002" spans="1:17" ht="25" hidden="1" x14ac:dyDescent="0.25">
      <c r="A1002" s="16" t="s">
        <v>150</v>
      </c>
      <c r="B1002" s="17"/>
      <c r="C1002" s="16" t="s">
        <v>2414</v>
      </c>
      <c r="D1002" s="17"/>
      <c r="E1002" s="17" t="s">
        <v>608</v>
      </c>
      <c r="F1002" s="18" t="s">
        <v>1938</v>
      </c>
      <c r="G1002" s="49" t="s">
        <v>2415</v>
      </c>
      <c r="H1002" s="17">
        <v>21</v>
      </c>
      <c r="O1002" s="62" t="str">
        <f>IF(E1002="PA",IF(K1002&lt;&gt;"",ISERROR(VLOOKUP(K1002,ABBR!A:D,1,FALSE)),ISERROR(VLOOKUP(C1002,ABBR!A:D,1,FALSE))),"")</f>
        <v/>
      </c>
      <c r="P1002" t="str">
        <f>VLOOKUP(A1002,Groups!A:L,5,FALSE)</f>
        <v>LOCA</v>
      </c>
      <c r="Q1002" s="62" t="str">
        <f>IF(G1002="PA",IF(M1002&lt;&gt;"",ISERROR(VLOOKUP(M1002,ABBR!C:F,1,FALSE)),ISERROR(VLOOKUP(E1002,ABBR!C:F,1,FALSE))),"")</f>
        <v/>
      </c>
    </row>
    <row r="1003" spans="1:17" ht="25" hidden="1" x14ac:dyDescent="0.25">
      <c r="A1003" s="16" t="s">
        <v>150</v>
      </c>
      <c r="B1003" s="17"/>
      <c r="C1003" s="16" t="s">
        <v>2416</v>
      </c>
      <c r="D1003" s="17"/>
      <c r="E1003" s="17" t="s">
        <v>608</v>
      </c>
      <c r="F1003" s="18" t="s">
        <v>1943</v>
      </c>
      <c r="G1003" s="49" t="s">
        <v>1944</v>
      </c>
      <c r="H1003" s="17">
        <v>22</v>
      </c>
      <c r="O1003" s="62" t="str">
        <f>IF(E1003="PA",IF(K1003&lt;&gt;"",ISERROR(VLOOKUP(K1003,ABBR!A:D,1,FALSE)),ISERROR(VLOOKUP(C1003,ABBR!A:D,1,FALSE))),"")</f>
        <v/>
      </c>
      <c r="P1003" t="str">
        <f>VLOOKUP(A1003,Groups!A:L,5,FALSE)</f>
        <v>LOCA</v>
      </c>
      <c r="Q1003" s="62" t="str">
        <f>IF(G1003="PA",IF(M1003&lt;&gt;"",ISERROR(VLOOKUP(M1003,ABBR!C:F,1,FALSE)),ISERROR(VLOOKUP(E1003,ABBR!C:F,1,FALSE))),"")</f>
        <v/>
      </c>
    </row>
    <row r="1004" spans="1:17" ht="25" hidden="1" x14ac:dyDescent="0.25">
      <c r="A1004" s="16" t="s">
        <v>150</v>
      </c>
      <c r="B1004" s="17"/>
      <c r="C1004" s="16" t="s">
        <v>2417</v>
      </c>
      <c r="D1004" s="17"/>
      <c r="E1004" s="17" t="s">
        <v>608</v>
      </c>
      <c r="F1004" s="18" t="s">
        <v>934</v>
      </c>
      <c r="G1004" s="8" t="s">
        <v>953</v>
      </c>
      <c r="H1004" s="17">
        <v>23</v>
      </c>
      <c r="O1004" s="62" t="str">
        <f>IF(E1004="PA",IF(K1004&lt;&gt;"",ISERROR(VLOOKUP(K1004,ABBR!A:D,1,FALSE)),ISERROR(VLOOKUP(C1004,ABBR!A:D,1,FALSE))),"")</f>
        <v/>
      </c>
      <c r="P1004" t="str">
        <f>VLOOKUP(A1004,Groups!A:L,5,FALSE)</f>
        <v>LOCA</v>
      </c>
      <c r="Q1004" s="62" t="str">
        <f>IF(G1004="PA",IF(M1004&lt;&gt;"",ISERROR(VLOOKUP(M1004,ABBR!C:F,1,FALSE)),ISERROR(VLOOKUP(E1004,ABBR!C:F,1,FALSE))),"")</f>
        <v/>
      </c>
    </row>
    <row r="1005" spans="1:17" hidden="1" x14ac:dyDescent="0.25">
      <c r="A1005" s="16" t="s">
        <v>150</v>
      </c>
      <c r="B1005" s="17"/>
      <c r="C1005" s="16" t="s">
        <v>936</v>
      </c>
      <c r="D1005" s="17"/>
      <c r="E1005" s="22" t="s">
        <v>608</v>
      </c>
      <c r="F1005" s="18" t="s">
        <v>937</v>
      </c>
      <c r="G1005" s="49" t="s">
        <v>938</v>
      </c>
      <c r="H1005" s="17">
        <v>24</v>
      </c>
      <c r="O1005" s="62" t="str">
        <f>IF(E1005="PA",IF(K1005&lt;&gt;"",ISERROR(VLOOKUP(K1005,ABBR!A:D,1,FALSE)),ISERROR(VLOOKUP(C1005,ABBR!A:D,1,FALSE))),"")</f>
        <v/>
      </c>
      <c r="P1005" t="str">
        <f>VLOOKUP(A1005,Groups!A:L,5,FALSE)</f>
        <v>LOCA</v>
      </c>
      <c r="Q1005" s="62" t="str">
        <f>IF(G1005="PA",IF(M1005&lt;&gt;"",ISERROR(VLOOKUP(M1005,ABBR!C:F,1,FALSE)),ISERROR(VLOOKUP(E1005,ABBR!C:F,1,FALSE))),"")</f>
        <v/>
      </c>
    </row>
    <row r="1006" spans="1:17" hidden="1" x14ac:dyDescent="0.25">
      <c r="A1006" s="16" t="s">
        <v>150</v>
      </c>
      <c r="B1006" s="17"/>
      <c r="C1006" s="16" t="s">
        <v>643</v>
      </c>
      <c r="D1006" s="17"/>
      <c r="E1006" s="17" t="s">
        <v>608</v>
      </c>
      <c r="F1006" s="18" t="s">
        <v>1294</v>
      </c>
      <c r="G1006" s="49" t="s">
        <v>2368</v>
      </c>
      <c r="H1006" s="17">
        <v>25</v>
      </c>
      <c r="O1006" s="62" t="str">
        <f>IF(E1006="PA",IF(K1006&lt;&gt;"",ISERROR(VLOOKUP(K1006,ABBR!A:D,1,FALSE)),ISERROR(VLOOKUP(C1006,ABBR!A:D,1,FALSE))),"")</f>
        <v/>
      </c>
      <c r="P1006" t="str">
        <f>VLOOKUP(A1006,Groups!A:L,5,FALSE)</f>
        <v>LOCA</v>
      </c>
      <c r="Q1006" s="62" t="str">
        <f>IF(G1006="PA",IF(M1006&lt;&gt;"",ISERROR(VLOOKUP(M1006,ABBR!C:F,1,FALSE)),ISERROR(VLOOKUP(E1006,ABBR!C:F,1,FALSE))),"")</f>
        <v/>
      </c>
    </row>
    <row r="1007" spans="1:17" hidden="1" x14ac:dyDescent="0.25">
      <c r="A1007" s="16" t="s">
        <v>150</v>
      </c>
      <c r="B1007" s="17"/>
      <c r="C1007" s="16" t="s">
        <v>2418</v>
      </c>
      <c r="D1007" s="17"/>
      <c r="E1007" s="17" t="s">
        <v>608</v>
      </c>
      <c r="F1007" s="18" t="s">
        <v>1952</v>
      </c>
      <c r="G1007" s="49" t="s">
        <v>876</v>
      </c>
      <c r="H1007" s="17">
        <v>26</v>
      </c>
      <c r="J1007" t="s">
        <v>473</v>
      </c>
      <c r="O1007" s="62" t="str">
        <f>IF(E1007="PA",IF(K1007&lt;&gt;"",ISERROR(VLOOKUP(K1007,ABBR!A:D,1,FALSE)),ISERROR(VLOOKUP(C1007,ABBR!A:D,1,FALSE))),"")</f>
        <v/>
      </c>
      <c r="P1007" t="str">
        <f>VLOOKUP(A1007,Groups!A:L,5,FALSE)</f>
        <v>LOCA</v>
      </c>
      <c r="Q1007" s="62" t="str">
        <f>IF(G1007="PA",IF(M1007&lt;&gt;"",ISERROR(VLOOKUP(M1007,ABBR!C:F,1,FALSE)),ISERROR(VLOOKUP(E1007,ABBR!C:F,1,FALSE))),"")</f>
        <v/>
      </c>
    </row>
    <row r="1008" spans="1:17" hidden="1" x14ac:dyDescent="0.25">
      <c r="A1008" s="16" t="s">
        <v>155</v>
      </c>
      <c r="B1008" s="17" t="s">
        <v>594</v>
      </c>
      <c r="C1008" s="16" t="s">
        <v>595</v>
      </c>
      <c r="D1008" s="17"/>
      <c r="E1008" s="17" t="s">
        <v>596</v>
      </c>
      <c r="F1008" s="18" t="s">
        <v>597</v>
      </c>
      <c r="G1008" s="49" t="s">
        <v>598</v>
      </c>
      <c r="H1008" s="17">
        <v>1</v>
      </c>
      <c r="O1008" s="62" t="str">
        <f>IF(E1008="PA",IF(K1008&lt;&gt;"",ISERROR(VLOOKUP(K1008,ABBR!A:D,1,FALSE)),ISERROR(VLOOKUP(C1008,ABBR!A:D,1,FALSE))),"")</f>
        <v/>
      </c>
      <c r="P1008" t="str">
        <f>VLOOKUP(A1008,Groups!A:L,5,FALSE)</f>
        <v>LOCA</v>
      </c>
      <c r="Q1008" s="62" t="str">
        <f>IF(G1008="PA",IF(M1008&lt;&gt;"",ISERROR(VLOOKUP(M1008,ABBR!C:F,1,FALSE)),ISERROR(VLOOKUP(E1008,ABBR!C:F,1,FALSE))),"")</f>
        <v/>
      </c>
    </row>
    <row r="1009" spans="1:17" hidden="1" x14ac:dyDescent="0.25">
      <c r="A1009" s="16" t="s">
        <v>155</v>
      </c>
      <c r="B1009" s="17" t="s">
        <v>594</v>
      </c>
      <c r="C1009" s="16" t="s">
        <v>2419</v>
      </c>
      <c r="D1009" s="17" t="s">
        <v>600</v>
      </c>
      <c r="E1009" s="17" t="s">
        <v>601</v>
      </c>
      <c r="F1009" s="18" t="s">
        <v>2420</v>
      </c>
      <c r="G1009" s="49" t="s">
        <v>2421</v>
      </c>
      <c r="H1009" s="17">
        <v>2</v>
      </c>
      <c r="O1009" s="62" t="str">
        <f>IF(E1009="PA",IF(K1009&lt;&gt;"",ISERROR(VLOOKUP(K1009,ABBR!A:D,1,FALSE)),ISERROR(VLOOKUP(C1009,ABBR!A:D,1,FALSE))),"")</f>
        <v/>
      </c>
      <c r="P1009" t="str">
        <f>VLOOKUP(A1009,Groups!A:L,5,FALSE)</f>
        <v>LOCA</v>
      </c>
      <c r="Q1009" s="62" t="str">
        <f>IF(G1009="PA",IF(M1009&lt;&gt;"",ISERROR(VLOOKUP(M1009,ABBR!C:F,1,FALSE)),ISERROR(VLOOKUP(E1009,ABBR!C:F,1,FALSE))),"")</f>
        <v/>
      </c>
    </row>
    <row r="1010" spans="1:17" hidden="1" x14ac:dyDescent="0.25">
      <c r="A1010" s="16" t="s">
        <v>155</v>
      </c>
      <c r="B1010" s="17" t="s">
        <v>594</v>
      </c>
      <c r="C1010" s="16" t="s">
        <v>2422</v>
      </c>
      <c r="D1010" s="17" t="s">
        <v>600</v>
      </c>
      <c r="E1010" s="17" t="s">
        <v>601</v>
      </c>
      <c r="F1010" s="18" t="s">
        <v>2423</v>
      </c>
      <c r="G1010" s="49" t="s">
        <v>2424</v>
      </c>
      <c r="H1010" s="17">
        <v>3</v>
      </c>
      <c r="O1010" s="62" t="str">
        <f>IF(E1010="PA",IF(K1010&lt;&gt;"",ISERROR(VLOOKUP(K1010,ABBR!A:D,1,FALSE)),ISERROR(VLOOKUP(C1010,ABBR!A:D,1,FALSE))),"")</f>
        <v/>
      </c>
      <c r="P1010" t="str">
        <f>VLOOKUP(A1010,Groups!A:L,5,FALSE)</f>
        <v>LOCA</v>
      </c>
      <c r="Q1010" s="62" t="str">
        <f>IF(G1010="PA",IF(M1010&lt;&gt;"",ISERROR(VLOOKUP(M1010,ABBR!C:F,1,FALSE)),ISERROR(VLOOKUP(E1010,ABBR!C:F,1,FALSE))),"")</f>
        <v/>
      </c>
    </row>
    <row r="1011" spans="1:17" ht="25" hidden="1" x14ac:dyDescent="0.25">
      <c r="A1011" s="16" t="s">
        <v>155</v>
      </c>
      <c r="B1011" s="17"/>
      <c r="C1011" s="16" t="s">
        <v>2425</v>
      </c>
      <c r="D1011" s="17"/>
      <c r="E1011" s="17" t="s">
        <v>608</v>
      </c>
      <c r="F1011" s="18" t="s">
        <v>2426</v>
      </c>
      <c r="G1011" s="49" t="s">
        <v>2427</v>
      </c>
      <c r="H1011" s="17">
        <v>4</v>
      </c>
      <c r="O1011" s="62" t="str">
        <f>IF(E1011="PA",IF(K1011&lt;&gt;"",ISERROR(VLOOKUP(K1011,ABBR!A:D,1,FALSE)),ISERROR(VLOOKUP(C1011,ABBR!A:D,1,FALSE))),"")</f>
        <v/>
      </c>
      <c r="P1011" t="str">
        <f>VLOOKUP(A1011,Groups!A:L,5,FALSE)</f>
        <v>LOCA</v>
      </c>
      <c r="Q1011" s="62" t="str">
        <f>IF(G1011="PA",IF(M1011&lt;&gt;"",ISERROR(VLOOKUP(M1011,ABBR!C:F,1,FALSE)),ISERROR(VLOOKUP(E1011,ABBR!C:F,1,FALSE))),"")</f>
        <v/>
      </c>
    </row>
    <row r="1012" spans="1:17" hidden="1" x14ac:dyDescent="0.25">
      <c r="A1012" s="16" t="s">
        <v>155</v>
      </c>
      <c r="B1012" s="17"/>
      <c r="C1012" s="16" t="s">
        <v>643</v>
      </c>
      <c r="D1012" s="17"/>
      <c r="E1012" s="17" t="s">
        <v>608</v>
      </c>
      <c r="F1012" s="18" t="s">
        <v>1267</v>
      </c>
      <c r="G1012" s="49" t="s">
        <v>1615</v>
      </c>
      <c r="H1012" s="17">
        <v>5</v>
      </c>
      <c r="O1012" s="62" t="str">
        <f>IF(E1012="PA",IF(K1012&lt;&gt;"",ISERROR(VLOOKUP(K1012,ABBR!A:D,1,FALSE)),ISERROR(VLOOKUP(C1012,ABBR!A:D,1,FALSE))),"")</f>
        <v/>
      </c>
      <c r="P1012" t="str">
        <f>VLOOKUP(A1012,Groups!A:L,5,FALSE)</f>
        <v>LOCA</v>
      </c>
      <c r="Q1012" s="62" t="str">
        <f>IF(G1012="PA",IF(M1012&lt;&gt;"",ISERROR(VLOOKUP(M1012,ABBR!C:F,1,FALSE)),ISERROR(VLOOKUP(E1012,ABBR!C:F,1,FALSE))),"")</f>
        <v/>
      </c>
    </row>
    <row r="1013" spans="1:17" hidden="1" x14ac:dyDescent="0.25">
      <c r="A1013" s="16" t="s">
        <v>158</v>
      </c>
      <c r="B1013" s="17" t="s">
        <v>594</v>
      </c>
      <c r="C1013" s="16" t="s">
        <v>595</v>
      </c>
      <c r="D1013" s="17"/>
      <c r="E1013" s="17" t="s">
        <v>596</v>
      </c>
      <c r="F1013" s="18" t="s">
        <v>597</v>
      </c>
      <c r="G1013" s="49" t="s">
        <v>598</v>
      </c>
      <c r="H1013" s="17">
        <v>1</v>
      </c>
      <c r="I1013" s="30" t="s">
        <v>955</v>
      </c>
      <c r="J1013" s="80">
        <v>4.0999999999999996</v>
      </c>
      <c r="O1013" s="62" t="str">
        <f>IF(E1013="PA",IF(K1013&lt;&gt;"",ISERROR(VLOOKUP(K1013,ABBR!A:D,1,FALSE)),ISERROR(VLOOKUP(C1013,ABBR!A:D,1,FALSE))),"")</f>
        <v/>
      </c>
      <c r="P1013" t="str">
        <f>VLOOKUP(A1013,Groups!A:L,5,FALSE)</f>
        <v>SAMP</v>
      </c>
      <c r="Q1013" s="62" t="str">
        <f>IF(G1013="PA",IF(M1013&lt;&gt;"",ISERROR(VLOOKUP(M1013,ABBR!C:F,1,FALSE)),ISERROR(VLOOKUP(E1013,ABBR!C:F,1,FALSE))),"")</f>
        <v/>
      </c>
    </row>
    <row r="1014" spans="1:17" hidden="1" x14ac:dyDescent="0.25">
      <c r="A1014" s="16" t="s">
        <v>158</v>
      </c>
      <c r="B1014" s="17" t="s">
        <v>594</v>
      </c>
      <c r="C1014" s="16" t="s">
        <v>851</v>
      </c>
      <c r="D1014" s="17" t="s">
        <v>600</v>
      </c>
      <c r="E1014" s="17" t="s">
        <v>601</v>
      </c>
      <c r="F1014" s="18" t="s">
        <v>852</v>
      </c>
      <c r="G1014" s="49" t="s">
        <v>2096</v>
      </c>
      <c r="H1014" s="17">
        <v>2</v>
      </c>
      <c r="I1014" s="30" t="s">
        <v>955</v>
      </c>
      <c r="J1014" s="80">
        <v>4.0999999999999996</v>
      </c>
      <c r="O1014" s="62" t="str">
        <f>IF(E1014="PA",IF(K1014&lt;&gt;"",ISERROR(VLOOKUP(K1014,ABBR!A:D,1,FALSE)),ISERROR(VLOOKUP(C1014,ABBR!A:D,1,FALSE))),"")</f>
        <v/>
      </c>
      <c r="P1014" t="str">
        <f>VLOOKUP(A1014,Groups!A:L,5,FALSE)</f>
        <v>SAMP</v>
      </c>
      <c r="Q1014" s="62" t="str">
        <f>IF(G1014="PA",IF(M1014&lt;&gt;"",ISERROR(VLOOKUP(M1014,ABBR!C:F,1,FALSE)),ISERROR(VLOOKUP(E1014,ABBR!C:F,1,FALSE))),"")</f>
        <v/>
      </c>
    </row>
    <row r="1015" spans="1:17" hidden="1" x14ac:dyDescent="0.25">
      <c r="A1015" s="16" t="s">
        <v>158</v>
      </c>
      <c r="B1015" s="17" t="s">
        <v>594</v>
      </c>
      <c r="C1015" s="16" t="s">
        <v>854</v>
      </c>
      <c r="D1015" s="17"/>
      <c r="E1015" s="17" t="s">
        <v>608</v>
      </c>
      <c r="F1015" s="18" t="s">
        <v>855</v>
      </c>
      <c r="G1015" s="49" t="s">
        <v>1602</v>
      </c>
      <c r="H1015" s="17">
        <v>3</v>
      </c>
      <c r="I1015" s="30" t="s">
        <v>955</v>
      </c>
      <c r="J1015" s="80">
        <v>4.0999999999999996</v>
      </c>
      <c r="O1015" s="62" t="str">
        <f>IF(E1015="PA",IF(K1015&lt;&gt;"",ISERROR(VLOOKUP(K1015,ABBR!A:D,1,FALSE)),ISERROR(VLOOKUP(C1015,ABBR!A:D,1,FALSE))),"")</f>
        <v/>
      </c>
      <c r="P1015" t="str">
        <f>VLOOKUP(A1015,Groups!A:L,5,FALSE)</f>
        <v>SAMP</v>
      </c>
      <c r="Q1015" s="62" t="str">
        <f>IF(G1015="PA",IF(M1015&lt;&gt;"",ISERROR(VLOOKUP(M1015,ABBR!C:F,1,FALSE)),ISERROR(VLOOKUP(E1015,ABBR!C:F,1,FALSE))),"")</f>
        <v/>
      </c>
    </row>
    <row r="1016" spans="1:17" hidden="1" x14ac:dyDescent="0.25">
      <c r="A1016" s="16" t="s">
        <v>158</v>
      </c>
      <c r="B1016" s="17" t="s">
        <v>594</v>
      </c>
      <c r="C1016" s="16" t="s">
        <v>857</v>
      </c>
      <c r="D1016" s="17"/>
      <c r="E1016" s="17" t="s">
        <v>618</v>
      </c>
      <c r="F1016" s="18" t="s">
        <v>858</v>
      </c>
      <c r="G1016" s="49" t="s">
        <v>2428</v>
      </c>
      <c r="H1016" s="17">
        <v>4</v>
      </c>
      <c r="I1016" s="30" t="s">
        <v>955</v>
      </c>
      <c r="J1016" s="80">
        <v>4.0999999999999996</v>
      </c>
      <c r="O1016" s="62" t="b">
        <f>IF(E1016="PA",IF(K1016&lt;&gt;"",ISERROR(VLOOKUP(K1016,ABBR!A:D,1,FALSE)),ISERROR(VLOOKUP(C1016,ABBR!A:D,1,FALSE))),"")</f>
        <v>0</v>
      </c>
      <c r="P1016" t="str">
        <f>VLOOKUP(A1016,Groups!A:L,5,FALSE)</f>
        <v>SAMP</v>
      </c>
      <c r="Q1016" s="62" t="str">
        <f>IF(G1016="PA",IF(M1016&lt;&gt;"",ISERROR(VLOOKUP(M1016,ABBR!C:F,1,FALSE)),ISERROR(VLOOKUP(E1016,ABBR!C:F,1,FALSE))),"")</f>
        <v/>
      </c>
    </row>
    <row r="1017" spans="1:17" hidden="1" x14ac:dyDescent="0.25">
      <c r="A1017" s="16" t="s">
        <v>158</v>
      </c>
      <c r="B1017" s="17" t="s">
        <v>594</v>
      </c>
      <c r="C1017" s="16" t="s">
        <v>860</v>
      </c>
      <c r="D1017" s="17"/>
      <c r="E1017" s="17" t="s">
        <v>596</v>
      </c>
      <c r="F1017" s="18" t="s">
        <v>942</v>
      </c>
      <c r="G1017" s="49" t="s">
        <v>2429</v>
      </c>
      <c r="H1017" s="17">
        <v>5</v>
      </c>
      <c r="I1017" s="30" t="s">
        <v>955</v>
      </c>
      <c r="J1017" s="80">
        <v>4.0999999999999996</v>
      </c>
      <c r="O1017" s="62" t="str">
        <f>IF(E1017="PA",IF(K1017&lt;&gt;"",ISERROR(VLOOKUP(K1017,ABBR!A:D,1,FALSE)),ISERROR(VLOOKUP(C1017,ABBR!A:D,1,FALSE))),"")</f>
        <v/>
      </c>
      <c r="P1017" t="str">
        <f>VLOOKUP(A1017,Groups!A:L,5,FALSE)</f>
        <v>SAMP</v>
      </c>
      <c r="Q1017" s="62" t="str">
        <f>IF(G1017="PA",IF(M1017&lt;&gt;"",ISERROR(VLOOKUP(M1017,ABBR!C:F,1,FALSE)),ISERROR(VLOOKUP(E1017,ABBR!C:F,1,FALSE))),"")</f>
        <v/>
      </c>
    </row>
    <row r="1018" spans="1:17" hidden="1" x14ac:dyDescent="0.25">
      <c r="A1018" s="16" t="s">
        <v>158</v>
      </c>
      <c r="B1018" s="17" t="s">
        <v>960</v>
      </c>
      <c r="C1018" s="16" t="s">
        <v>2430</v>
      </c>
      <c r="D1018" s="17"/>
      <c r="E1018" s="17" t="s">
        <v>596</v>
      </c>
      <c r="F1018" s="18" t="s">
        <v>2431</v>
      </c>
      <c r="G1018" s="49" t="s">
        <v>2432</v>
      </c>
      <c r="H1018" s="17">
        <v>6</v>
      </c>
      <c r="I1018" s="30" t="s">
        <v>955</v>
      </c>
      <c r="J1018" s="80">
        <v>4.0999999999999996</v>
      </c>
      <c r="O1018" s="62" t="str">
        <f>IF(E1018="PA",IF(K1018&lt;&gt;"",ISERROR(VLOOKUP(K1018,ABBR!A:D,1,FALSE)),ISERROR(VLOOKUP(C1018,ABBR!A:D,1,FALSE))),"")</f>
        <v/>
      </c>
      <c r="P1018" t="str">
        <f>VLOOKUP(A1018,Groups!A:L,5,FALSE)</f>
        <v>SAMP</v>
      </c>
      <c r="Q1018" s="62" t="str">
        <f>IF(G1018="PA",IF(M1018&lt;&gt;"",ISERROR(VLOOKUP(M1018,ABBR!C:F,1,FALSE)),ISERROR(VLOOKUP(E1018,ABBR!C:F,1,FALSE))),"")</f>
        <v/>
      </c>
    </row>
    <row r="1019" spans="1:17" hidden="1" x14ac:dyDescent="0.25">
      <c r="A1019" s="16" t="s">
        <v>158</v>
      </c>
      <c r="B1019" s="17"/>
      <c r="C1019" s="16" t="s">
        <v>2433</v>
      </c>
      <c r="D1019" s="17"/>
      <c r="E1019" s="17" t="s">
        <v>608</v>
      </c>
      <c r="F1019" s="18" t="s">
        <v>2434</v>
      </c>
      <c r="G1019" s="49" t="s">
        <v>2435</v>
      </c>
      <c r="H1019" s="17">
        <v>7</v>
      </c>
      <c r="I1019" s="30" t="s">
        <v>955</v>
      </c>
      <c r="J1019" s="80">
        <v>4.0999999999999996</v>
      </c>
      <c r="O1019" s="62" t="str">
        <f>IF(E1019="PA",IF(K1019&lt;&gt;"",ISERROR(VLOOKUP(K1019,ABBR!A:D,1,FALSE)),ISERROR(VLOOKUP(C1019,ABBR!A:D,1,FALSE))),"")</f>
        <v/>
      </c>
      <c r="P1019" t="str">
        <f>VLOOKUP(A1019,Groups!A:L,5,FALSE)</f>
        <v>SAMP</v>
      </c>
      <c r="Q1019" s="62" t="str">
        <f>IF(G1019="PA",IF(M1019&lt;&gt;"",ISERROR(VLOOKUP(M1019,ABBR!C:F,1,FALSE)),ISERROR(VLOOKUP(E1019,ABBR!C:F,1,FALSE))),"")</f>
        <v/>
      </c>
    </row>
    <row r="1020" spans="1:17" hidden="1" x14ac:dyDescent="0.25">
      <c r="A1020" s="16" t="s">
        <v>158</v>
      </c>
      <c r="B1020" s="17"/>
      <c r="C1020" s="16" t="s">
        <v>2436</v>
      </c>
      <c r="D1020" s="17"/>
      <c r="E1020" s="17" t="s">
        <v>608</v>
      </c>
      <c r="F1020" s="18" t="s">
        <v>2437</v>
      </c>
      <c r="G1020" s="49" t="s">
        <v>16</v>
      </c>
      <c r="H1020" s="17">
        <v>8</v>
      </c>
      <c r="I1020" s="30" t="s">
        <v>955</v>
      </c>
      <c r="J1020" s="80">
        <v>4.0999999999999996</v>
      </c>
      <c r="M1020" s="101"/>
      <c r="O1020" s="62" t="str">
        <f>IF(E1020="PA",IF(K1020&lt;&gt;"",ISERROR(VLOOKUP(K1020,ABBR!A:D,1,FALSE)),ISERROR(VLOOKUP(C1020,ABBR!A:D,1,FALSE))),"")</f>
        <v/>
      </c>
      <c r="P1020" t="str">
        <f>VLOOKUP(A1020,Groups!A:L,5,FALSE)</f>
        <v>SAMP</v>
      </c>
      <c r="Q1020" s="62" t="str">
        <f>IF(G1020="PA",IF(M1020&lt;&gt;"",ISERROR(VLOOKUP(M1020,ABBR!C:F,1,FALSE)),ISERROR(VLOOKUP(E1020,ABBR!C:F,1,FALSE))),"")</f>
        <v/>
      </c>
    </row>
    <row r="1021" spans="1:17" hidden="1" x14ac:dyDescent="0.25">
      <c r="A1021" s="16" t="s">
        <v>158</v>
      </c>
      <c r="B1021" s="17"/>
      <c r="C1021" s="16" t="s">
        <v>643</v>
      </c>
      <c r="D1021" s="17"/>
      <c r="E1021" s="17" t="s">
        <v>608</v>
      </c>
      <c r="F1021" s="18" t="s">
        <v>2104</v>
      </c>
      <c r="G1021" s="49" t="s">
        <v>2105</v>
      </c>
      <c r="H1021" s="17">
        <v>9</v>
      </c>
      <c r="I1021" s="30" t="s">
        <v>955</v>
      </c>
      <c r="J1021" s="80">
        <v>4.0999999999999996</v>
      </c>
      <c r="O1021" s="62" t="str">
        <f>IF(E1021="PA",IF(K1021&lt;&gt;"",ISERROR(VLOOKUP(K1021,ABBR!A:D,1,FALSE)),ISERROR(VLOOKUP(C1021,ABBR!A:D,1,FALSE))),"")</f>
        <v/>
      </c>
      <c r="P1021" t="str">
        <f>VLOOKUP(A1021,Groups!A:L,5,FALSE)</f>
        <v>SAMP</v>
      </c>
      <c r="Q1021" s="62" t="str">
        <f>IF(G1021="PA",IF(M1021&lt;&gt;"",ISERROR(VLOOKUP(M1021,ABBR!C:F,1,FALSE)),ISERROR(VLOOKUP(E1021,ABBR!C:F,1,FALSE))),"")</f>
        <v/>
      </c>
    </row>
    <row r="1022" spans="1:17" hidden="1" x14ac:dyDescent="0.25">
      <c r="A1022" s="16" t="s">
        <v>163</v>
      </c>
      <c r="B1022" s="44" t="s">
        <v>594</v>
      </c>
      <c r="C1022" s="16" t="s">
        <v>595</v>
      </c>
      <c r="D1022" s="44"/>
      <c r="E1022" s="44" t="s">
        <v>596</v>
      </c>
      <c r="F1022" s="45" t="s">
        <v>597</v>
      </c>
      <c r="G1022" s="47" t="s">
        <v>598</v>
      </c>
      <c r="H1022" s="17">
        <v>1</v>
      </c>
      <c r="I1022" s="30" t="s">
        <v>955</v>
      </c>
      <c r="J1022" s="80">
        <v>4.0999999999999996</v>
      </c>
      <c r="K1022" s="62"/>
      <c r="M1022" s="62"/>
      <c r="N1022" s="62"/>
      <c r="O1022" s="62" t="str">
        <f>IF(E1022="PA",IF(K1022&lt;&gt;"",ISERROR(VLOOKUP(K1022,ABBR!A:D,1,FALSE)),ISERROR(VLOOKUP(C1022,ABBR!A:D,1,FALSE))),"")</f>
        <v/>
      </c>
      <c r="P1022" t="str">
        <f>VLOOKUP(A1022,Groups!A:L,5,FALSE)</f>
        <v>SAMP</v>
      </c>
      <c r="Q1022" s="62" t="str">
        <f>IF(G1022="PA",IF(M1022&lt;&gt;"",ISERROR(VLOOKUP(M1022,ABBR!C:F,1,FALSE)),ISERROR(VLOOKUP(E1022,ABBR!C:F,1,FALSE))),"")</f>
        <v/>
      </c>
    </row>
    <row r="1023" spans="1:17" hidden="1" x14ac:dyDescent="0.25">
      <c r="A1023" s="16" t="s">
        <v>163</v>
      </c>
      <c r="B1023" s="44" t="s">
        <v>594</v>
      </c>
      <c r="C1023" s="16" t="s">
        <v>851</v>
      </c>
      <c r="D1023" s="44" t="s">
        <v>600</v>
      </c>
      <c r="E1023" s="44" t="s">
        <v>601</v>
      </c>
      <c r="F1023" s="45" t="s">
        <v>852</v>
      </c>
      <c r="G1023" s="47">
        <v>24.55</v>
      </c>
      <c r="H1023" s="17">
        <v>2</v>
      </c>
      <c r="I1023" s="30" t="s">
        <v>955</v>
      </c>
      <c r="J1023" s="80">
        <v>4.0999999999999996</v>
      </c>
      <c r="K1023" s="62"/>
      <c r="M1023" s="62" t="s">
        <v>8791</v>
      </c>
      <c r="N1023" s="62"/>
      <c r="O1023" s="62" t="str">
        <f>IF(E1023="PA",IF(K1023&lt;&gt;"",ISERROR(VLOOKUP(K1023,ABBR!A:D,1,FALSE)),ISERROR(VLOOKUP(C1023,ABBR!A:D,1,FALSE))),"")</f>
        <v/>
      </c>
      <c r="P1023" t="str">
        <f>VLOOKUP(A1023,Groups!A:L,5,FALSE)</f>
        <v>SAMP</v>
      </c>
      <c r="Q1023" s="62" t="str">
        <f>IF(G1023="PA",IF(M1023&lt;&gt;"",ISERROR(VLOOKUP(M1023,ABBR!C:F,1,FALSE)),ISERROR(VLOOKUP(E1023,ABBR!C:F,1,FALSE))),"")</f>
        <v/>
      </c>
    </row>
    <row r="1024" spans="1:17" hidden="1" x14ac:dyDescent="0.25">
      <c r="A1024" s="16" t="s">
        <v>163</v>
      </c>
      <c r="B1024" s="44" t="s">
        <v>594</v>
      </c>
      <c r="C1024" s="16" t="s">
        <v>854</v>
      </c>
      <c r="D1024" s="44"/>
      <c r="E1024" s="44" t="s">
        <v>608</v>
      </c>
      <c r="F1024" s="45" t="s">
        <v>855</v>
      </c>
      <c r="G1024" s="47">
        <v>24</v>
      </c>
      <c r="H1024" s="17">
        <v>3</v>
      </c>
      <c r="I1024" s="30" t="s">
        <v>955</v>
      </c>
      <c r="J1024" s="80">
        <v>4.0999999999999996</v>
      </c>
      <c r="K1024" s="62"/>
      <c r="M1024" s="62"/>
      <c r="N1024" s="62"/>
      <c r="O1024" s="62" t="str">
        <f>IF(E1024="PA",IF(K1024&lt;&gt;"",ISERROR(VLOOKUP(K1024,ABBR!A:D,1,FALSE)),ISERROR(VLOOKUP(C1024,ABBR!A:D,1,FALSE))),"")</f>
        <v/>
      </c>
      <c r="P1024" t="str">
        <f>VLOOKUP(A1024,Groups!A:L,5,FALSE)</f>
        <v>SAMP</v>
      </c>
      <c r="Q1024" s="62" t="str">
        <f>IF(G1024="PA",IF(M1024&lt;&gt;"",ISERROR(VLOOKUP(M1024,ABBR!C:F,1,FALSE)),ISERROR(VLOOKUP(E1024,ABBR!C:F,1,FALSE))),"")</f>
        <v/>
      </c>
    </row>
    <row r="1025" spans="1:17" hidden="1" x14ac:dyDescent="0.25">
      <c r="A1025" s="16" t="s">
        <v>163</v>
      </c>
      <c r="B1025" s="44" t="s">
        <v>594</v>
      </c>
      <c r="C1025" s="16" t="s">
        <v>857</v>
      </c>
      <c r="D1025" s="44"/>
      <c r="E1025" s="44" t="s">
        <v>618</v>
      </c>
      <c r="F1025" s="45" t="s">
        <v>858</v>
      </c>
      <c r="G1025" s="47" t="s">
        <v>859</v>
      </c>
      <c r="H1025" s="17">
        <v>4</v>
      </c>
      <c r="I1025" s="30" t="s">
        <v>955</v>
      </c>
      <c r="J1025" s="80">
        <v>4.0999999999999996</v>
      </c>
      <c r="K1025" s="62"/>
      <c r="M1025" s="62"/>
      <c r="N1025" s="62"/>
      <c r="O1025" s="62" t="b">
        <f>IF(E1025="PA",IF(K1025&lt;&gt;"",ISERROR(VLOOKUP(K1025,ABBR!A:D,1,FALSE)),ISERROR(VLOOKUP(C1025,ABBR!A:D,1,FALSE))),"")</f>
        <v>0</v>
      </c>
      <c r="P1025" t="str">
        <f>VLOOKUP(A1025,Groups!A:L,5,FALSE)</f>
        <v>SAMP</v>
      </c>
      <c r="Q1025" s="62" t="str">
        <f>IF(G1025="PA",IF(M1025&lt;&gt;"",ISERROR(VLOOKUP(M1025,ABBR!C:F,1,FALSE)),ISERROR(VLOOKUP(E1025,ABBR!C:F,1,FALSE))),"")</f>
        <v/>
      </c>
    </row>
    <row r="1026" spans="1:17" hidden="1" x14ac:dyDescent="0.25">
      <c r="A1026" s="16" t="s">
        <v>163</v>
      </c>
      <c r="B1026" s="44" t="s">
        <v>594</v>
      </c>
      <c r="C1026" s="16" t="s">
        <v>860</v>
      </c>
      <c r="D1026" s="44"/>
      <c r="E1026" s="44" t="s">
        <v>596</v>
      </c>
      <c r="F1026" s="45" t="s">
        <v>942</v>
      </c>
      <c r="G1026" s="47" t="s">
        <v>862</v>
      </c>
      <c r="H1026" s="17">
        <v>5</v>
      </c>
      <c r="I1026" s="30" t="s">
        <v>955</v>
      </c>
      <c r="J1026" s="80">
        <v>4.0999999999999996</v>
      </c>
      <c r="K1026" s="62"/>
      <c r="M1026" s="62"/>
      <c r="N1026" s="62"/>
      <c r="O1026" s="62" t="str">
        <f>IF(E1026="PA",IF(K1026&lt;&gt;"",ISERROR(VLOOKUP(K1026,ABBR!A:D,1,FALSE)),ISERROR(VLOOKUP(C1026,ABBR!A:D,1,FALSE))),"")</f>
        <v/>
      </c>
      <c r="P1026" t="str">
        <f>VLOOKUP(A1026,Groups!A:L,5,FALSE)</f>
        <v>SAMP</v>
      </c>
      <c r="Q1026" s="62" t="str">
        <f>IF(G1026="PA",IF(M1026&lt;&gt;"",ISERROR(VLOOKUP(M1026,ABBR!C:F,1,FALSE)),ISERROR(VLOOKUP(E1026,ABBR!C:F,1,FALSE))),"")</f>
        <v/>
      </c>
    </row>
    <row r="1027" spans="1:17" hidden="1" x14ac:dyDescent="0.25">
      <c r="A1027" s="16" t="s">
        <v>163</v>
      </c>
      <c r="B1027" s="44" t="s">
        <v>594</v>
      </c>
      <c r="C1027" s="16" t="s">
        <v>863</v>
      </c>
      <c r="D1027" s="44"/>
      <c r="E1027" s="44" t="s">
        <v>608</v>
      </c>
      <c r="F1027" s="45" t="s">
        <v>864</v>
      </c>
      <c r="G1027" s="49" t="s">
        <v>865</v>
      </c>
      <c r="H1027" s="17">
        <v>6</v>
      </c>
      <c r="I1027" s="30" t="s">
        <v>955</v>
      </c>
      <c r="J1027" s="80">
        <v>4.0999999999999996</v>
      </c>
      <c r="K1027" s="62"/>
      <c r="M1027" s="62"/>
      <c r="N1027" s="62"/>
      <c r="O1027" s="62" t="str">
        <f>IF(E1027="PA",IF(K1027&lt;&gt;"",ISERROR(VLOOKUP(K1027,ABBR!A:D,1,FALSE)),ISERROR(VLOOKUP(C1027,ABBR!A:D,1,FALSE))),"")</f>
        <v/>
      </c>
      <c r="P1027" t="str">
        <f>VLOOKUP(A1027,Groups!A:L,5,FALSE)</f>
        <v>SAMP</v>
      </c>
      <c r="Q1027" s="62" t="str">
        <f>IF(G1027="PA",IF(M1027&lt;&gt;"",ISERROR(VLOOKUP(M1027,ABBR!C:F,1,FALSE)),ISERROR(VLOOKUP(E1027,ABBR!C:F,1,FALSE))),"")</f>
        <v/>
      </c>
    </row>
    <row r="1028" spans="1:17" hidden="1" x14ac:dyDescent="0.25">
      <c r="A1028" s="16" t="s">
        <v>163</v>
      </c>
      <c r="B1028" s="44" t="s">
        <v>594</v>
      </c>
      <c r="C1028" s="16" t="s">
        <v>866</v>
      </c>
      <c r="D1028" s="44" t="s">
        <v>600</v>
      </c>
      <c r="E1028" s="44" t="s">
        <v>601</v>
      </c>
      <c r="F1028" s="45" t="s">
        <v>867</v>
      </c>
      <c r="G1028" s="47">
        <v>24.55</v>
      </c>
      <c r="H1028" s="17">
        <v>7</v>
      </c>
      <c r="I1028" s="30" t="s">
        <v>955</v>
      </c>
      <c r="J1028" s="80">
        <v>4.0999999999999996</v>
      </c>
      <c r="K1028" s="62"/>
      <c r="M1028" s="62"/>
      <c r="N1028" s="62"/>
      <c r="O1028" s="62" t="str">
        <f>IF(E1028="PA",IF(K1028&lt;&gt;"",ISERROR(VLOOKUP(K1028,ABBR!A:D,1,FALSE)),ISERROR(VLOOKUP(C1028,ABBR!A:D,1,FALSE))),"")</f>
        <v/>
      </c>
      <c r="P1028" t="str">
        <f>VLOOKUP(A1028,Groups!A:L,5,FALSE)</f>
        <v>SAMP</v>
      </c>
      <c r="Q1028" s="62" t="str">
        <f>IF(G1028="PA",IF(M1028&lt;&gt;"",ISERROR(VLOOKUP(M1028,ABBR!C:F,1,FALSE)),ISERROR(VLOOKUP(E1028,ABBR!C:F,1,FALSE))),"")</f>
        <v/>
      </c>
    </row>
    <row r="1029" spans="1:17" hidden="1" x14ac:dyDescent="0.25">
      <c r="A1029" s="16" t="s">
        <v>163</v>
      </c>
      <c r="B1029" s="44" t="s">
        <v>960</v>
      </c>
      <c r="C1029" s="16" t="s">
        <v>2438</v>
      </c>
      <c r="D1029" s="44"/>
      <c r="E1029" s="44" t="s">
        <v>618</v>
      </c>
      <c r="F1029" s="45" t="s">
        <v>2439</v>
      </c>
      <c r="G1029" s="47" t="s">
        <v>2440</v>
      </c>
      <c r="H1029" s="17">
        <v>8</v>
      </c>
      <c r="I1029" s="30" t="s">
        <v>955</v>
      </c>
      <c r="J1029" s="80">
        <v>4.0999999999999996</v>
      </c>
      <c r="K1029" s="62"/>
      <c r="M1029" s="62" t="s">
        <v>2441</v>
      </c>
      <c r="N1029" s="62"/>
      <c r="O1029" s="62" t="b">
        <f>IF(E1029="PA",IF(K1029&lt;&gt;"",ISERROR(VLOOKUP(K1029,ABBR!A:D,1,FALSE)),ISERROR(VLOOKUP(C1029,ABBR!A:D,1,FALSE))),"")</f>
        <v>1</v>
      </c>
      <c r="P1029" t="str">
        <f>VLOOKUP(A1029,Groups!A:L,5,FALSE)</f>
        <v>SAMP</v>
      </c>
      <c r="Q1029" s="62" t="str">
        <f>IF(G1029="PA",IF(M1029&lt;&gt;"",ISERROR(VLOOKUP(M1029,ABBR!C:F,1,FALSE)),ISERROR(VLOOKUP(E1029,ABBR!C:F,1,FALSE))),"")</f>
        <v/>
      </c>
    </row>
    <row r="1030" spans="1:17" ht="25" hidden="1" x14ac:dyDescent="0.25">
      <c r="A1030" s="16" t="s">
        <v>163</v>
      </c>
      <c r="B1030" s="44" t="s">
        <v>594</v>
      </c>
      <c r="C1030" s="16" t="s">
        <v>2442</v>
      </c>
      <c r="D1030" s="44"/>
      <c r="E1030" s="44" t="s">
        <v>608</v>
      </c>
      <c r="F1030" s="45" t="s">
        <v>918</v>
      </c>
      <c r="G1030" s="47" t="s">
        <v>2443</v>
      </c>
      <c r="H1030" s="17">
        <v>9</v>
      </c>
      <c r="I1030" s="30" t="s">
        <v>955</v>
      </c>
      <c r="J1030" s="80">
        <v>4.0999999999999996</v>
      </c>
      <c r="K1030" s="62"/>
      <c r="M1030" s="62"/>
      <c r="N1030" s="62"/>
      <c r="O1030" s="62" t="str">
        <f>IF(E1030="PA",IF(K1030&lt;&gt;"",ISERROR(VLOOKUP(K1030,ABBR!A:D,1,FALSE)),ISERROR(VLOOKUP(C1030,ABBR!A:D,1,FALSE))),"")</f>
        <v/>
      </c>
      <c r="P1030" t="str">
        <f>VLOOKUP(A1030,Groups!A:L,5,FALSE)</f>
        <v>SAMP</v>
      </c>
      <c r="Q1030" s="62" t="str">
        <f>IF(G1030="PA",IF(M1030&lt;&gt;"",ISERROR(VLOOKUP(M1030,ABBR!C:F,1,FALSE)),ISERROR(VLOOKUP(E1030,ABBR!C:F,1,FALSE))),"")</f>
        <v/>
      </c>
    </row>
    <row r="1031" spans="1:17" hidden="1" x14ac:dyDescent="0.25">
      <c r="A1031" s="16" t="s">
        <v>163</v>
      </c>
      <c r="B1031" s="44" t="s">
        <v>594</v>
      </c>
      <c r="C1031" s="16" t="s">
        <v>2444</v>
      </c>
      <c r="D1031" s="44"/>
      <c r="E1031" s="44" t="s">
        <v>618</v>
      </c>
      <c r="F1031" s="45" t="s">
        <v>2445</v>
      </c>
      <c r="G1031" s="47" t="s">
        <v>2446</v>
      </c>
      <c r="H1031" s="17">
        <v>10</v>
      </c>
      <c r="I1031" s="30" t="s">
        <v>955</v>
      </c>
      <c r="J1031" s="80">
        <v>4.0999999999999996</v>
      </c>
      <c r="K1031" s="62"/>
      <c r="M1031" s="62"/>
      <c r="N1031" s="62"/>
      <c r="O1031" s="62" t="b">
        <f>IF(E1031="PA",IF(K1031&lt;&gt;"",ISERROR(VLOOKUP(K1031,ABBR!A:D,1,FALSE)),ISERROR(VLOOKUP(C1031,ABBR!A:D,1,FALSE))),"")</f>
        <v>0</v>
      </c>
      <c r="P1031" t="str">
        <f>VLOOKUP(A1031,Groups!A:L,5,FALSE)</f>
        <v>SAMP</v>
      </c>
      <c r="Q1031" s="62" t="str">
        <f>IF(G1031="PA",IF(M1031&lt;&gt;"",ISERROR(VLOOKUP(M1031,ABBR!C:F,1,FALSE)),ISERROR(VLOOKUP(E1031,ABBR!C:F,1,FALSE))),"")</f>
        <v/>
      </c>
    </row>
    <row r="1032" spans="1:17" hidden="1" x14ac:dyDescent="0.25">
      <c r="A1032" s="16" t="s">
        <v>163</v>
      </c>
      <c r="B1032" s="17" t="s">
        <v>594</v>
      </c>
      <c r="C1032" s="16" t="s">
        <v>2447</v>
      </c>
      <c r="D1032" s="17"/>
      <c r="E1032" s="17" t="s">
        <v>618</v>
      </c>
      <c r="F1032" s="18" t="s">
        <v>2448</v>
      </c>
      <c r="G1032" s="49" t="s">
        <v>2449</v>
      </c>
      <c r="H1032" s="17">
        <v>11</v>
      </c>
      <c r="I1032" s="30" t="s">
        <v>955</v>
      </c>
      <c r="J1032" s="80">
        <v>4.0999999999999996</v>
      </c>
      <c r="K1032" s="62"/>
      <c r="M1032" s="62"/>
      <c r="N1032" s="62"/>
      <c r="O1032" s="62" t="b">
        <f>IF(E1032="PA",IF(K1032&lt;&gt;"",ISERROR(VLOOKUP(K1032,ABBR!A:D,1,FALSE)),ISERROR(VLOOKUP(C1032,ABBR!A:D,1,FALSE))),"")</f>
        <v>0</v>
      </c>
      <c r="P1032" t="str">
        <f>VLOOKUP(A1032,Groups!A:L,5,FALSE)</f>
        <v>SAMP</v>
      </c>
      <c r="Q1032" s="62" t="str">
        <f>IF(G1032="PA",IF(M1032&lt;&gt;"",ISERROR(VLOOKUP(M1032,ABBR!C:F,1,FALSE)),ISERROR(VLOOKUP(E1032,ABBR!C:F,1,FALSE))),"")</f>
        <v/>
      </c>
    </row>
    <row r="1033" spans="1:17" hidden="1" x14ac:dyDescent="0.25">
      <c r="A1033" s="16" t="s">
        <v>163</v>
      </c>
      <c r="B1033" s="17" t="s">
        <v>594</v>
      </c>
      <c r="C1033" s="16" t="s">
        <v>2450</v>
      </c>
      <c r="D1033" s="17"/>
      <c r="E1033" s="17" t="s">
        <v>618</v>
      </c>
      <c r="F1033" s="18" t="s">
        <v>2451</v>
      </c>
      <c r="G1033" s="49" t="s">
        <v>2452</v>
      </c>
      <c r="H1033" s="17">
        <v>12</v>
      </c>
      <c r="I1033" s="30" t="s">
        <v>955</v>
      </c>
      <c r="J1033" s="80">
        <v>4.0999999999999996</v>
      </c>
      <c r="K1033" s="62"/>
      <c r="M1033" s="62"/>
      <c r="N1033" s="62"/>
      <c r="O1033" s="62" t="b">
        <f>IF(E1033="PA",IF(K1033&lt;&gt;"",ISERROR(VLOOKUP(K1033,ABBR!A:D,1,FALSE)),ISERROR(VLOOKUP(C1033,ABBR!A:D,1,FALSE))),"")</f>
        <v>0</v>
      </c>
      <c r="P1033" t="str">
        <f>VLOOKUP(A1033,Groups!A:L,5,FALSE)</f>
        <v>SAMP</v>
      </c>
      <c r="Q1033" s="62" t="str">
        <f>IF(G1033="PA",IF(M1033&lt;&gt;"",ISERROR(VLOOKUP(M1033,ABBR!C:F,1,FALSE)),ISERROR(VLOOKUP(E1033,ABBR!C:F,1,FALSE))),"")</f>
        <v/>
      </c>
    </row>
    <row r="1034" spans="1:17" hidden="1" x14ac:dyDescent="0.25">
      <c r="A1034" s="16" t="s">
        <v>163</v>
      </c>
      <c r="B1034" s="17" t="s">
        <v>594</v>
      </c>
      <c r="C1034" s="16" t="s">
        <v>2453</v>
      </c>
      <c r="D1034" s="17"/>
      <c r="E1034" s="17" t="s">
        <v>608</v>
      </c>
      <c r="F1034" s="18" t="s">
        <v>2454</v>
      </c>
      <c r="G1034" s="49" t="s">
        <v>2455</v>
      </c>
      <c r="H1034" s="17">
        <v>13</v>
      </c>
      <c r="I1034" s="30" t="s">
        <v>955</v>
      </c>
      <c r="J1034" s="80">
        <v>4.0999999999999996</v>
      </c>
      <c r="K1034" s="62"/>
      <c r="M1034" s="62"/>
      <c r="N1034" s="62"/>
      <c r="O1034" s="62" t="str">
        <f>IF(E1034="PA",IF(K1034&lt;&gt;"",ISERROR(VLOOKUP(K1034,ABBR!A:D,1,FALSE)),ISERROR(VLOOKUP(C1034,ABBR!A:D,1,FALSE))),"")</f>
        <v/>
      </c>
      <c r="P1034" t="str">
        <f>VLOOKUP(A1034,Groups!A:L,5,FALSE)</f>
        <v>SAMP</v>
      </c>
      <c r="Q1034" s="62" t="str">
        <f>IF(G1034="PA",IF(M1034&lt;&gt;"",ISERROR(VLOOKUP(M1034,ABBR!C:F,1,FALSE)),ISERROR(VLOOKUP(E1034,ABBR!C:F,1,FALSE))),"")</f>
        <v/>
      </c>
    </row>
    <row r="1035" spans="1:17" hidden="1" x14ac:dyDescent="0.25">
      <c r="A1035" s="16" t="s">
        <v>163</v>
      </c>
      <c r="B1035" s="17" t="s">
        <v>960</v>
      </c>
      <c r="C1035" s="16" t="s">
        <v>2456</v>
      </c>
      <c r="D1035" s="17"/>
      <c r="E1035" s="17" t="s">
        <v>2004</v>
      </c>
      <c r="F1035" s="18" t="s">
        <v>2457</v>
      </c>
      <c r="G1035" s="49" t="s">
        <v>2458</v>
      </c>
      <c r="H1035" s="17">
        <v>14</v>
      </c>
      <c r="I1035" s="30" t="s">
        <v>955</v>
      </c>
      <c r="J1035" s="80">
        <v>4.0999999999999996</v>
      </c>
      <c r="K1035" s="62"/>
      <c r="M1035" s="62"/>
      <c r="N1035" s="62"/>
      <c r="O1035" s="62" t="str">
        <f>IF(E1035="PA",IF(K1035&lt;&gt;"",ISERROR(VLOOKUP(K1035,ABBR!A:D,1,FALSE)),ISERROR(VLOOKUP(C1035,ABBR!A:D,1,FALSE))),"")</f>
        <v/>
      </c>
      <c r="P1035" t="str">
        <f>VLOOKUP(A1035,Groups!A:L,5,FALSE)</f>
        <v>SAMP</v>
      </c>
      <c r="Q1035" s="62" t="str">
        <f>IF(G1035="PA",IF(M1035&lt;&gt;"",ISERROR(VLOOKUP(M1035,ABBR!C:F,1,FALSE)),ISERROR(VLOOKUP(E1035,ABBR!C:F,1,FALSE))),"")</f>
        <v/>
      </c>
    </row>
    <row r="1036" spans="1:17" ht="25" hidden="1" x14ac:dyDescent="0.25">
      <c r="A1036" s="16" t="s">
        <v>163</v>
      </c>
      <c r="B1036" s="17"/>
      <c r="C1036" s="16" t="s">
        <v>868</v>
      </c>
      <c r="D1036" s="17"/>
      <c r="E1036" s="17" t="s">
        <v>608</v>
      </c>
      <c r="F1036" s="18" t="s">
        <v>869</v>
      </c>
      <c r="G1036" s="49" t="s">
        <v>870</v>
      </c>
      <c r="H1036" s="17">
        <v>15</v>
      </c>
      <c r="I1036" s="30" t="s">
        <v>955</v>
      </c>
      <c r="J1036" s="80">
        <v>4.0999999999999996</v>
      </c>
      <c r="K1036" s="62"/>
      <c r="M1036" s="62"/>
      <c r="N1036" s="62"/>
      <c r="O1036" s="62" t="str">
        <f>IF(E1036="PA",IF(K1036&lt;&gt;"",ISERROR(VLOOKUP(K1036,ABBR!A:D,1,FALSE)),ISERROR(VLOOKUP(C1036,ABBR!A:D,1,FALSE))),"")</f>
        <v/>
      </c>
      <c r="P1036" t="str">
        <f>VLOOKUP(A1036,Groups!A:L,5,FALSE)</f>
        <v>SAMP</v>
      </c>
      <c r="Q1036" s="62" t="str">
        <f>IF(G1036="PA",IF(M1036&lt;&gt;"",ISERROR(VLOOKUP(M1036,ABBR!C:F,1,FALSE)),ISERROR(VLOOKUP(E1036,ABBR!C:F,1,FALSE))),"")</f>
        <v/>
      </c>
    </row>
    <row r="1037" spans="1:17" ht="25" hidden="1" x14ac:dyDescent="0.25">
      <c r="A1037" s="16" t="s">
        <v>163</v>
      </c>
      <c r="B1037" s="17"/>
      <c r="C1037" s="16" t="s">
        <v>871</v>
      </c>
      <c r="D1037" s="17"/>
      <c r="E1037" s="17" t="s">
        <v>608</v>
      </c>
      <c r="F1037" s="18" t="s">
        <v>872</v>
      </c>
      <c r="G1037" s="49" t="s">
        <v>873</v>
      </c>
      <c r="H1037" s="17">
        <v>16</v>
      </c>
      <c r="I1037" s="30" t="s">
        <v>955</v>
      </c>
      <c r="J1037" s="80">
        <v>4.0999999999999996</v>
      </c>
      <c r="K1037" s="62"/>
      <c r="M1037" s="62"/>
      <c r="N1037" s="62"/>
      <c r="O1037" s="62" t="str">
        <f>IF(E1037="PA",IF(K1037&lt;&gt;"",ISERROR(VLOOKUP(K1037,ABBR!A:D,1,FALSE)),ISERROR(VLOOKUP(C1037,ABBR!A:D,1,FALSE))),"")</f>
        <v/>
      </c>
      <c r="P1037" t="str">
        <f>VLOOKUP(A1037,Groups!A:L,5,FALSE)</f>
        <v>SAMP</v>
      </c>
      <c r="Q1037" s="62" t="str">
        <f>IF(G1037="PA",IF(M1037&lt;&gt;"",ISERROR(VLOOKUP(M1037,ABBR!C:F,1,FALSE)),ISERROR(VLOOKUP(E1037,ABBR!C:F,1,FALSE))),"")</f>
        <v/>
      </c>
    </row>
    <row r="1038" spans="1:17" hidden="1" x14ac:dyDescent="0.25">
      <c r="A1038" s="16" t="s">
        <v>163</v>
      </c>
      <c r="B1038" s="17"/>
      <c r="C1038" s="16" t="s">
        <v>877</v>
      </c>
      <c r="D1038" s="17" t="s">
        <v>600</v>
      </c>
      <c r="E1038" s="17" t="s">
        <v>601</v>
      </c>
      <c r="F1038" s="18" t="s">
        <v>878</v>
      </c>
      <c r="G1038" s="49" t="s">
        <v>879</v>
      </c>
      <c r="H1038" s="17">
        <v>17</v>
      </c>
      <c r="I1038" s="30" t="s">
        <v>955</v>
      </c>
      <c r="J1038" s="80">
        <v>4.0999999999999996</v>
      </c>
      <c r="K1038" s="62"/>
      <c r="M1038" s="62"/>
      <c r="N1038" s="62"/>
      <c r="O1038" s="62" t="str">
        <f>IF(E1038="PA",IF(K1038&lt;&gt;"",ISERROR(VLOOKUP(K1038,ABBR!A:D,1,FALSE)),ISERROR(VLOOKUP(C1038,ABBR!A:D,1,FALSE))),"")</f>
        <v/>
      </c>
      <c r="P1038" t="str">
        <f>VLOOKUP(A1038,Groups!A:L,5,FALSE)</f>
        <v>SAMP</v>
      </c>
      <c r="Q1038" s="62" t="str">
        <f>IF(G1038="PA",IF(M1038&lt;&gt;"",ISERROR(VLOOKUP(M1038,ABBR!C:F,1,FALSE)),ISERROR(VLOOKUP(E1038,ABBR!C:F,1,FALSE))),"")</f>
        <v/>
      </c>
    </row>
    <row r="1039" spans="1:17" hidden="1" x14ac:dyDescent="0.25">
      <c r="A1039" s="16" t="s">
        <v>163</v>
      </c>
      <c r="B1039" s="17"/>
      <c r="C1039" s="16" t="s">
        <v>2459</v>
      </c>
      <c r="D1039" s="17"/>
      <c r="E1039" s="17" t="s">
        <v>608</v>
      </c>
      <c r="F1039" s="18" t="s">
        <v>2460</v>
      </c>
      <c r="G1039" s="49" t="s">
        <v>2461</v>
      </c>
      <c r="H1039" s="17">
        <v>18</v>
      </c>
      <c r="I1039" s="30" t="s">
        <v>955</v>
      </c>
      <c r="J1039" s="80">
        <v>4.0999999999999996</v>
      </c>
      <c r="K1039" s="62"/>
      <c r="M1039" s="62"/>
      <c r="N1039" s="62"/>
      <c r="O1039" s="62" t="str">
        <f>IF(E1039="PA",IF(K1039&lt;&gt;"",ISERROR(VLOOKUP(K1039,ABBR!A:D,1,FALSE)),ISERROR(VLOOKUP(C1039,ABBR!A:D,1,FALSE))),"")</f>
        <v/>
      </c>
      <c r="P1039" t="str">
        <f>VLOOKUP(A1039,Groups!A:L,5,FALSE)</f>
        <v>SAMP</v>
      </c>
      <c r="Q1039" s="62" t="str">
        <f>IF(G1039="PA",IF(M1039&lt;&gt;"",ISERROR(VLOOKUP(M1039,ABBR!C:F,1,FALSE)),ISERROR(VLOOKUP(E1039,ABBR!C:F,1,FALSE))),"")</f>
        <v/>
      </c>
    </row>
    <row r="1040" spans="1:17" hidden="1" x14ac:dyDescent="0.25">
      <c r="A1040" s="16" t="s">
        <v>163</v>
      </c>
      <c r="B1040" s="17"/>
      <c r="C1040" s="16" t="s">
        <v>2462</v>
      </c>
      <c r="D1040" s="17"/>
      <c r="E1040" s="17" t="s">
        <v>618</v>
      </c>
      <c r="F1040" s="18" t="s">
        <v>2463</v>
      </c>
      <c r="G1040" s="49" t="s">
        <v>2464</v>
      </c>
      <c r="H1040" s="17">
        <v>19</v>
      </c>
      <c r="I1040" s="30" t="s">
        <v>955</v>
      </c>
      <c r="J1040" s="80">
        <v>4.0999999999999996</v>
      </c>
      <c r="K1040" s="62"/>
      <c r="M1040" s="62"/>
      <c r="N1040" s="62"/>
      <c r="O1040" s="62" t="b">
        <f>IF(E1040="PA",IF(K1040&lt;&gt;"",ISERROR(VLOOKUP(K1040,ABBR!A:D,1,FALSE)),ISERROR(VLOOKUP(C1040,ABBR!A:D,1,FALSE))),"")</f>
        <v>0</v>
      </c>
      <c r="P1040" t="str">
        <f>VLOOKUP(A1040,Groups!A:L,5,FALSE)</f>
        <v>SAMP</v>
      </c>
      <c r="Q1040" s="62" t="str">
        <f>IF(G1040="PA",IF(M1040&lt;&gt;"",ISERROR(VLOOKUP(M1040,ABBR!C:F,1,FALSE)),ISERROR(VLOOKUP(E1040,ABBR!C:F,1,FALSE))),"")</f>
        <v/>
      </c>
    </row>
    <row r="1041" spans="1:17" hidden="1" x14ac:dyDescent="0.25">
      <c r="A1041" s="16" t="s">
        <v>163</v>
      </c>
      <c r="B1041" s="17"/>
      <c r="C1041" s="16" t="s">
        <v>2465</v>
      </c>
      <c r="D1041" s="17"/>
      <c r="E1041" s="17" t="s">
        <v>608</v>
      </c>
      <c r="F1041" s="18" t="s">
        <v>2466</v>
      </c>
      <c r="G1041" s="49"/>
      <c r="H1041" s="17">
        <v>20</v>
      </c>
      <c r="I1041" s="30" t="s">
        <v>955</v>
      </c>
      <c r="J1041" s="80">
        <v>4.0999999999999996</v>
      </c>
      <c r="K1041" s="62"/>
      <c r="M1041" s="101" t="s">
        <v>1044</v>
      </c>
      <c r="N1041" s="62"/>
      <c r="O1041" s="62" t="str">
        <f>IF(E1041="PA",IF(K1041&lt;&gt;"",ISERROR(VLOOKUP(K1041,ABBR!A:D,1,FALSE)),ISERROR(VLOOKUP(C1041,ABBR!A:D,1,FALSE))),"")</f>
        <v/>
      </c>
      <c r="P1041" t="str">
        <f>VLOOKUP(A1041,Groups!A:L,5,FALSE)</f>
        <v>SAMP</v>
      </c>
      <c r="Q1041" s="62" t="str">
        <f>IF(G1041="PA",IF(M1041&lt;&gt;"",ISERROR(VLOOKUP(M1041,ABBR!C:F,1,FALSE)),ISERROR(VLOOKUP(E1041,ABBR!C:F,1,FALSE))),"")</f>
        <v/>
      </c>
    </row>
    <row r="1042" spans="1:17" hidden="1" x14ac:dyDescent="0.25">
      <c r="A1042" s="16" t="s">
        <v>163</v>
      </c>
      <c r="B1042" s="17"/>
      <c r="C1042" s="16" t="s">
        <v>2467</v>
      </c>
      <c r="D1042" s="17"/>
      <c r="E1042" s="17" t="s">
        <v>608</v>
      </c>
      <c r="F1042" s="18" t="s">
        <v>2468</v>
      </c>
      <c r="G1042" s="49" t="s">
        <v>2469</v>
      </c>
      <c r="H1042" s="17">
        <v>21</v>
      </c>
      <c r="I1042" s="30" t="s">
        <v>955</v>
      </c>
      <c r="J1042" s="80">
        <v>4.0999999999999996</v>
      </c>
      <c r="K1042" s="62"/>
      <c r="M1042" s="62"/>
      <c r="N1042" s="62"/>
      <c r="O1042" s="62" t="str">
        <f>IF(E1042="PA",IF(K1042&lt;&gt;"",ISERROR(VLOOKUP(K1042,ABBR!A:D,1,FALSE)),ISERROR(VLOOKUP(C1042,ABBR!A:D,1,FALSE))),"")</f>
        <v/>
      </c>
      <c r="P1042" t="str">
        <f>VLOOKUP(A1042,Groups!A:L,5,FALSE)</f>
        <v>SAMP</v>
      </c>
      <c r="Q1042" s="62" t="str">
        <f>IF(G1042="PA",IF(M1042&lt;&gt;"",ISERROR(VLOOKUP(M1042,ABBR!C:F,1,FALSE)),ISERROR(VLOOKUP(E1042,ABBR!C:F,1,FALSE))),"")</f>
        <v/>
      </c>
    </row>
    <row r="1043" spans="1:17" hidden="1" x14ac:dyDescent="0.25">
      <c r="A1043" s="16" t="s">
        <v>163</v>
      </c>
      <c r="B1043" s="17"/>
      <c r="C1043" s="16" t="s">
        <v>2470</v>
      </c>
      <c r="D1043" s="17"/>
      <c r="E1043" s="17" t="s">
        <v>859</v>
      </c>
      <c r="F1043" s="18" t="s">
        <v>2471</v>
      </c>
      <c r="G1043" s="49" t="s">
        <v>2167</v>
      </c>
      <c r="H1043" s="17">
        <v>22</v>
      </c>
      <c r="I1043" s="30" t="s">
        <v>955</v>
      </c>
      <c r="J1043" s="80">
        <v>4.0999999999999996</v>
      </c>
      <c r="K1043" s="62"/>
      <c r="M1043" s="62"/>
      <c r="N1043" s="62"/>
      <c r="O1043" s="62" t="str">
        <f>IF(E1043="PA",IF(K1043&lt;&gt;"",ISERROR(VLOOKUP(K1043,ABBR!A:D,1,FALSE)),ISERROR(VLOOKUP(C1043,ABBR!A:D,1,FALSE))),"")</f>
        <v/>
      </c>
      <c r="P1043" t="str">
        <f>VLOOKUP(A1043,Groups!A:L,5,FALSE)</f>
        <v>SAMP</v>
      </c>
      <c r="Q1043" s="62" t="str">
        <f>IF(G1043="PA",IF(M1043&lt;&gt;"",ISERROR(VLOOKUP(M1043,ABBR!C:F,1,FALSE)),ISERROR(VLOOKUP(E1043,ABBR!C:F,1,FALSE))),"")</f>
        <v/>
      </c>
    </row>
    <row r="1044" spans="1:17" hidden="1" x14ac:dyDescent="0.25">
      <c r="A1044" s="16" t="s">
        <v>163</v>
      </c>
      <c r="B1044" s="17"/>
      <c r="C1044" s="16" t="s">
        <v>2472</v>
      </c>
      <c r="D1044" s="17"/>
      <c r="E1044" s="17" t="s">
        <v>608</v>
      </c>
      <c r="F1044" s="18" t="s">
        <v>2473</v>
      </c>
      <c r="G1044" s="49" t="s">
        <v>2474</v>
      </c>
      <c r="H1044" s="17">
        <v>23</v>
      </c>
      <c r="I1044" s="30" t="s">
        <v>955</v>
      </c>
      <c r="J1044" s="80">
        <v>4.0999999999999996</v>
      </c>
      <c r="K1044" s="62"/>
      <c r="M1044" s="62"/>
      <c r="N1044" s="62"/>
      <c r="O1044" s="62" t="str">
        <f>IF(E1044="PA",IF(K1044&lt;&gt;"",ISERROR(VLOOKUP(K1044,ABBR!A:D,1,FALSE)),ISERROR(VLOOKUP(C1044,ABBR!A:D,1,FALSE))),"")</f>
        <v/>
      </c>
      <c r="P1044" t="str">
        <f>VLOOKUP(A1044,Groups!A:L,5,FALSE)</f>
        <v>SAMP</v>
      </c>
      <c r="Q1044" s="62" t="str">
        <f>IF(G1044="PA",IF(M1044&lt;&gt;"",ISERROR(VLOOKUP(M1044,ABBR!C:F,1,FALSE)),ISERROR(VLOOKUP(E1044,ABBR!C:F,1,FALSE))),"")</f>
        <v/>
      </c>
    </row>
    <row r="1045" spans="1:17" hidden="1" x14ac:dyDescent="0.25">
      <c r="A1045" s="16" t="s">
        <v>163</v>
      </c>
      <c r="B1045" s="17"/>
      <c r="C1045" s="16" t="s">
        <v>2475</v>
      </c>
      <c r="D1045" s="17"/>
      <c r="E1045" s="17" t="s">
        <v>608</v>
      </c>
      <c r="F1045" s="18" t="s">
        <v>2476</v>
      </c>
      <c r="G1045" s="49" t="s">
        <v>2477</v>
      </c>
      <c r="H1045" s="17">
        <v>24</v>
      </c>
      <c r="I1045" s="30" t="s">
        <v>955</v>
      </c>
      <c r="J1045" s="80">
        <v>4.0999999999999996</v>
      </c>
      <c r="K1045" s="62"/>
      <c r="M1045" s="62"/>
      <c r="N1045" s="62"/>
      <c r="O1045" s="62" t="str">
        <f>IF(E1045="PA",IF(K1045&lt;&gt;"",ISERROR(VLOOKUP(K1045,ABBR!A:D,1,FALSE)),ISERROR(VLOOKUP(C1045,ABBR!A:D,1,FALSE))),"")</f>
        <v/>
      </c>
      <c r="P1045" t="str">
        <f>VLOOKUP(A1045,Groups!A:L,5,FALSE)</f>
        <v>SAMP</v>
      </c>
      <c r="Q1045" s="62" t="str">
        <f>IF(G1045="PA",IF(M1045&lt;&gt;"",ISERROR(VLOOKUP(M1045,ABBR!C:F,1,FALSE)),ISERROR(VLOOKUP(E1045,ABBR!C:F,1,FALSE))),"")</f>
        <v/>
      </c>
    </row>
    <row r="1046" spans="1:17" hidden="1" x14ac:dyDescent="0.25">
      <c r="A1046" s="16" t="s">
        <v>163</v>
      </c>
      <c r="B1046" s="17"/>
      <c r="C1046" s="16" t="s">
        <v>2478</v>
      </c>
      <c r="D1046" s="17"/>
      <c r="E1046" s="17" t="s">
        <v>608</v>
      </c>
      <c r="F1046" s="18" t="s">
        <v>2479</v>
      </c>
      <c r="G1046" s="49" t="s">
        <v>2477</v>
      </c>
      <c r="H1046" s="17">
        <v>25</v>
      </c>
      <c r="I1046" s="30" t="s">
        <v>955</v>
      </c>
      <c r="J1046" s="80">
        <v>4.0999999999999996</v>
      </c>
      <c r="K1046" s="62"/>
      <c r="M1046" s="62"/>
      <c r="N1046" s="62"/>
      <c r="O1046" s="62" t="str">
        <f>IF(E1046="PA",IF(K1046&lt;&gt;"",ISERROR(VLOOKUP(K1046,ABBR!A:D,1,FALSE)),ISERROR(VLOOKUP(C1046,ABBR!A:D,1,FALSE))),"")</f>
        <v/>
      </c>
      <c r="P1046" t="str">
        <f>VLOOKUP(A1046,Groups!A:L,5,FALSE)</f>
        <v>SAMP</v>
      </c>
      <c r="Q1046" s="62" t="str">
        <f>IF(G1046="PA",IF(M1046&lt;&gt;"",ISERROR(VLOOKUP(M1046,ABBR!C:F,1,FALSE)),ISERROR(VLOOKUP(E1046,ABBR!C:F,1,FALSE))),"")</f>
        <v/>
      </c>
    </row>
    <row r="1047" spans="1:17" ht="25" hidden="1" x14ac:dyDescent="0.25">
      <c r="A1047" s="16" t="s">
        <v>163</v>
      </c>
      <c r="B1047" s="17"/>
      <c r="C1047" s="16" t="s">
        <v>2480</v>
      </c>
      <c r="D1047" s="17"/>
      <c r="E1047" s="17" t="s">
        <v>608</v>
      </c>
      <c r="F1047" s="18" t="s">
        <v>2481</v>
      </c>
      <c r="G1047" s="49" t="s">
        <v>2482</v>
      </c>
      <c r="H1047" s="17">
        <v>26</v>
      </c>
      <c r="I1047" s="30" t="s">
        <v>955</v>
      </c>
      <c r="J1047" s="80">
        <v>4.0999999999999996</v>
      </c>
      <c r="K1047" s="62"/>
      <c r="M1047" s="62"/>
      <c r="N1047" s="62"/>
      <c r="O1047" s="62" t="str">
        <f>IF(E1047="PA",IF(K1047&lt;&gt;"",ISERROR(VLOOKUP(K1047,ABBR!A:D,1,FALSE)),ISERROR(VLOOKUP(C1047,ABBR!A:D,1,FALSE))),"")</f>
        <v/>
      </c>
      <c r="P1047" t="str">
        <f>VLOOKUP(A1047,Groups!A:L,5,FALSE)</f>
        <v>SAMP</v>
      </c>
      <c r="Q1047" s="62" t="str">
        <f>IF(G1047="PA",IF(M1047&lt;&gt;"",ISERROR(VLOOKUP(M1047,ABBR!C:F,1,FALSE)),ISERROR(VLOOKUP(E1047,ABBR!C:F,1,FALSE))),"")</f>
        <v/>
      </c>
    </row>
    <row r="1048" spans="1:17" hidden="1" x14ac:dyDescent="0.25">
      <c r="A1048" s="16" t="s">
        <v>163</v>
      </c>
      <c r="B1048" s="17"/>
      <c r="C1048" s="16" t="s">
        <v>2483</v>
      </c>
      <c r="D1048" s="17"/>
      <c r="E1048" s="17" t="s">
        <v>608</v>
      </c>
      <c r="F1048" s="18" t="s">
        <v>1323</v>
      </c>
      <c r="G1048" s="49"/>
      <c r="H1048" s="17">
        <v>27</v>
      </c>
      <c r="I1048" s="30" t="s">
        <v>955</v>
      </c>
      <c r="J1048" s="80">
        <v>4.0999999999999996</v>
      </c>
      <c r="K1048" s="62"/>
      <c r="M1048" s="101" t="s">
        <v>1044</v>
      </c>
      <c r="N1048" s="62"/>
      <c r="O1048" s="62" t="str">
        <f>IF(E1048="PA",IF(K1048&lt;&gt;"",ISERROR(VLOOKUP(K1048,ABBR!A:D,1,FALSE)),ISERROR(VLOOKUP(C1048,ABBR!A:D,1,FALSE))),"")</f>
        <v/>
      </c>
      <c r="P1048" t="str">
        <f>VLOOKUP(A1048,Groups!A:L,5,FALSE)</f>
        <v>SAMP</v>
      </c>
      <c r="Q1048" s="62" t="str">
        <f>IF(G1048="PA",IF(M1048&lt;&gt;"",ISERROR(VLOOKUP(M1048,ABBR!C:F,1,FALSE)),ISERROR(VLOOKUP(E1048,ABBR!C:F,1,FALSE))),"")</f>
        <v/>
      </c>
    </row>
    <row r="1049" spans="1:17" hidden="1" x14ac:dyDescent="0.25">
      <c r="A1049" s="16" t="s">
        <v>163</v>
      </c>
      <c r="B1049" s="17"/>
      <c r="C1049" s="16" t="s">
        <v>2484</v>
      </c>
      <c r="D1049" s="17"/>
      <c r="E1049" s="17" t="s">
        <v>674</v>
      </c>
      <c r="F1049" s="18" t="s">
        <v>2485</v>
      </c>
      <c r="G1049" s="49"/>
      <c r="H1049" s="17">
        <v>28</v>
      </c>
      <c r="I1049" s="30" t="s">
        <v>955</v>
      </c>
      <c r="J1049" s="80">
        <v>4.0999999999999996</v>
      </c>
      <c r="K1049" s="62"/>
      <c r="M1049" s="101" t="s">
        <v>1044</v>
      </c>
      <c r="N1049" s="62"/>
      <c r="O1049" s="62" t="str">
        <f>IF(E1049="PA",IF(K1049&lt;&gt;"",ISERROR(VLOOKUP(K1049,ABBR!A:D,1,FALSE)),ISERROR(VLOOKUP(C1049,ABBR!A:D,1,FALSE))),"")</f>
        <v/>
      </c>
      <c r="P1049" t="str">
        <f>VLOOKUP(A1049,Groups!A:L,5,FALSE)</f>
        <v>SAMP</v>
      </c>
      <c r="Q1049" s="62" t="str">
        <f>IF(G1049="PA",IF(M1049&lt;&gt;"",ISERROR(VLOOKUP(M1049,ABBR!C:F,1,FALSE)),ISERROR(VLOOKUP(E1049,ABBR!C:F,1,FALSE))),"")</f>
        <v/>
      </c>
    </row>
    <row r="1050" spans="1:17" ht="25" hidden="1" x14ac:dyDescent="0.25">
      <c r="A1050" s="16" t="s">
        <v>163</v>
      </c>
      <c r="B1050" s="17"/>
      <c r="C1050" s="16" t="s">
        <v>2486</v>
      </c>
      <c r="D1050" s="17"/>
      <c r="E1050" s="17" t="s">
        <v>608</v>
      </c>
      <c r="F1050" s="18" t="s">
        <v>2487</v>
      </c>
      <c r="G1050" s="49" t="s">
        <v>2488</v>
      </c>
      <c r="H1050" s="17">
        <v>29</v>
      </c>
      <c r="I1050" s="30" t="s">
        <v>955</v>
      </c>
      <c r="J1050" s="80">
        <v>4.0999999999999996</v>
      </c>
      <c r="K1050" s="62"/>
      <c r="M1050" s="62"/>
      <c r="N1050" s="62"/>
      <c r="O1050" s="62" t="str">
        <f>IF(E1050="PA",IF(K1050&lt;&gt;"",ISERROR(VLOOKUP(K1050,ABBR!A:D,1,FALSE)),ISERROR(VLOOKUP(C1050,ABBR!A:D,1,FALSE))),"")</f>
        <v/>
      </c>
      <c r="P1050" t="str">
        <f>VLOOKUP(A1050,Groups!A:L,5,FALSE)</f>
        <v>SAMP</v>
      </c>
      <c r="Q1050" s="62" t="str">
        <f>IF(G1050="PA",IF(M1050&lt;&gt;"",ISERROR(VLOOKUP(M1050,ABBR!C:F,1,FALSE)),ISERROR(VLOOKUP(E1050,ABBR!C:F,1,FALSE))),"")</f>
        <v/>
      </c>
    </row>
    <row r="1051" spans="1:17" hidden="1" x14ac:dyDescent="0.25">
      <c r="A1051" s="16" t="s">
        <v>163</v>
      </c>
      <c r="B1051" s="17"/>
      <c r="C1051" s="16" t="s">
        <v>2489</v>
      </c>
      <c r="D1051" s="17"/>
      <c r="E1051" s="17" t="s">
        <v>674</v>
      </c>
      <c r="F1051" s="18" t="s">
        <v>2490</v>
      </c>
      <c r="G1051" s="49" t="s">
        <v>677</v>
      </c>
      <c r="H1051" s="17">
        <v>30</v>
      </c>
      <c r="I1051" s="30" t="s">
        <v>955</v>
      </c>
      <c r="J1051" s="80">
        <v>4.0999999999999996</v>
      </c>
      <c r="K1051" s="62"/>
      <c r="M1051" s="62"/>
      <c r="N1051" s="62"/>
      <c r="O1051" s="62" t="str">
        <f>IF(E1051="PA",IF(K1051&lt;&gt;"",ISERROR(VLOOKUP(K1051,ABBR!A:D,1,FALSE)),ISERROR(VLOOKUP(C1051,ABBR!A:D,1,FALSE))),"")</f>
        <v/>
      </c>
      <c r="P1051" t="str">
        <f>VLOOKUP(A1051,Groups!A:L,5,FALSE)</f>
        <v>SAMP</v>
      </c>
      <c r="Q1051" s="62" t="str">
        <f>IF(G1051="PA",IF(M1051&lt;&gt;"",ISERROR(VLOOKUP(M1051,ABBR!C:F,1,FALSE)),ISERROR(VLOOKUP(E1051,ABBR!C:F,1,FALSE))),"")</f>
        <v/>
      </c>
    </row>
    <row r="1052" spans="1:17" hidden="1" x14ac:dyDescent="0.25">
      <c r="A1052" s="16" t="s">
        <v>163</v>
      </c>
      <c r="B1052" s="17"/>
      <c r="C1052" s="16" t="s">
        <v>2491</v>
      </c>
      <c r="D1052" s="17"/>
      <c r="E1052" s="17" t="s">
        <v>674</v>
      </c>
      <c r="F1052" s="18" t="s">
        <v>2492</v>
      </c>
      <c r="G1052" s="49" t="s">
        <v>676</v>
      </c>
      <c r="H1052" s="17">
        <v>31</v>
      </c>
      <c r="I1052" s="30" t="s">
        <v>955</v>
      </c>
      <c r="J1052" s="80">
        <v>4.0999999999999996</v>
      </c>
      <c r="K1052" s="62"/>
      <c r="M1052" s="62"/>
      <c r="N1052" s="62"/>
      <c r="O1052" s="62" t="str">
        <f>IF(E1052="PA",IF(K1052&lt;&gt;"",ISERROR(VLOOKUP(K1052,ABBR!A:D,1,FALSE)),ISERROR(VLOOKUP(C1052,ABBR!A:D,1,FALSE))),"")</f>
        <v/>
      </c>
      <c r="P1052" t="str">
        <f>VLOOKUP(A1052,Groups!A:L,5,FALSE)</f>
        <v>SAMP</v>
      </c>
      <c r="Q1052" s="62" t="str">
        <f>IF(G1052="PA",IF(M1052&lt;&gt;"",ISERROR(VLOOKUP(M1052,ABBR!C:F,1,FALSE)),ISERROR(VLOOKUP(E1052,ABBR!C:F,1,FALSE))),"")</f>
        <v/>
      </c>
    </row>
    <row r="1053" spans="1:17" hidden="1" x14ac:dyDescent="0.25">
      <c r="A1053" s="16" t="s">
        <v>163</v>
      </c>
      <c r="B1053" s="17"/>
      <c r="C1053" s="16" t="s">
        <v>2493</v>
      </c>
      <c r="D1053" s="17"/>
      <c r="E1053" s="17" t="s">
        <v>674</v>
      </c>
      <c r="F1053" s="18" t="s">
        <v>2494</v>
      </c>
      <c r="G1053" s="49" t="s">
        <v>677</v>
      </c>
      <c r="H1053" s="17">
        <v>32</v>
      </c>
      <c r="I1053" s="30" t="s">
        <v>955</v>
      </c>
      <c r="J1053" s="80">
        <v>4.0999999999999996</v>
      </c>
      <c r="K1053" s="62"/>
      <c r="M1053" s="62"/>
      <c r="N1053" s="62"/>
      <c r="O1053" s="62" t="str">
        <f>IF(E1053="PA",IF(K1053&lt;&gt;"",ISERROR(VLOOKUP(K1053,ABBR!A:D,1,FALSE)),ISERROR(VLOOKUP(C1053,ABBR!A:D,1,FALSE))),"")</f>
        <v/>
      </c>
      <c r="P1053" t="str">
        <f>VLOOKUP(A1053,Groups!A:L,5,FALSE)</f>
        <v>SAMP</v>
      </c>
      <c r="Q1053" s="62" t="str">
        <f>IF(G1053="PA",IF(M1053&lt;&gt;"",ISERROR(VLOOKUP(M1053,ABBR!C:F,1,FALSE)),ISERROR(VLOOKUP(E1053,ABBR!C:F,1,FALSE))),"")</f>
        <v/>
      </c>
    </row>
    <row r="1054" spans="1:17" hidden="1" x14ac:dyDescent="0.25">
      <c r="A1054" s="16" t="s">
        <v>163</v>
      </c>
      <c r="B1054" s="17"/>
      <c r="C1054" s="16" t="s">
        <v>2495</v>
      </c>
      <c r="D1054" s="17"/>
      <c r="E1054" s="17" t="s">
        <v>859</v>
      </c>
      <c r="F1054" s="18" t="s">
        <v>2496</v>
      </c>
      <c r="G1054" s="49" t="s">
        <v>910</v>
      </c>
      <c r="H1054" s="17">
        <v>33</v>
      </c>
      <c r="I1054" s="30" t="s">
        <v>955</v>
      </c>
      <c r="J1054" s="80">
        <v>4.0999999999999996</v>
      </c>
      <c r="K1054" s="62"/>
      <c r="M1054" s="62"/>
      <c r="N1054" s="62"/>
      <c r="O1054" s="62" t="str">
        <f>IF(E1054="PA",IF(K1054&lt;&gt;"",ISERROR(VLOOKUP(K1054,ABBR!A:D,1,FALSE)),ISERROR(VLOOKUP(C1054,ABBR!A:D,1,FALSE))),"")</f>
        <v/>
      </c>
      <c r="P1054" t="str">
        <f>VLOOKUP(A1054,Groups!A:L,5,FALSE)</f>
        <v>SAMP</v>
      </c>
      <c r="Q1054" s="62" t="str">
        <f>IF(G1054="PA",IF(M1054&lt;&gt;"",ISERROR(VLOOKUP(M1054,ABBR!C:F,1,FALSE)),ISERROR(VLOOKUP(E1054,ABBR!C:F,1,FALSE))),"")</f>
        <v/>
      </c>
    </row>
    <row r="1055" spans="1:17" hidden="1" x14ac:dyDescent="0.25">
      <c r="A1055" s="16" t="s">
        <v>163</v>
      </c>
      <c r="B1055" s="17"/>
      <c r="C1055" s="16" t="s">
        <v>2497</v>
      </c>
      <c r="D1055" s="17"/>
      <c r="E1055" s="17" t="s">
        <v>859</v>
      </c>
      <c r="F1055" s="18" t="s">
        <v>2498</v>
      </c>
      <c r="G1055" s="49" t="s">
        <v>631</v>
      </c>
      <c r="H1055" s="17">
        <v>34</v>
      </c>
      <c r="I1055" s="30" t="s">
        <v>955</v>
      </c>
      <c r="J1055" s="80">
        <v>4.0999999999999996</v>
      </c>
      <c r="K1055" s="62"/>
      <c r="M1055" s="62"/>
      <c r="N1055" s="62"/>
      <c r="O1055" s="62" t="str">
        <f>IF(E1055="PA",IF(K1055&lt;&gt;"",ISERROR(VLOOKUP(K1055,ABBR!A:D,1,FALSE)),ISERROR(VLOOKUP(C1055,ABBR!A:D,1,FALSE))),"")</f>
        <v/>
      </c>
      <c r="P1055" t="str">
        <f>VLOOKUP(A1055,Groups!A:L,5,FALSE)</f>
        <v>SAMP</v>
      </c>
      <c r="Q1055" s="62" t="str">
        <f>IF(G1055="PA",IF(M1055&lt;&gt;"",ISERROR(VLOOKUP(M1055,ABBR!C:F,1,FALSE)),ISERROR(VLOOKUP(E1055,ABBR!C:F,1,FALSE))),"")</f>
        <v/>
      </c>
    </row>
    <row r="1056" spans="1:17" hidden="1" x14ac:dyDescent="0.25">
      <c r="A1056" s="16" t="s">
        <v>163</v>
      </c>
      <c r="B1056" s="17"/>
      <c r="C1056" s="16" t="s">
        <v>2499</v>
      </c>
      <c r="D1056" s="17"/>
      <c r="E1056" s="17" t="s">
        <v>859</v>
      </c>
      <c r="F1056" s="18" t="s">
        <v>2500</v>
      </c>
      <c r="G1056" s="49" t="s">
        <v>910</v>
      </c>
      <c r="H1056" s="17">
        <v>35</v>
      </c>
      <c r="I1056" s="30" t="s">
        <v>955</v>
      </c>
      <c r="J1056" s="80">
        <v>4.0999999999999996</v>
      </c>
      <c r="K1056" s="62"/>
      <c r="M1056" s="62"/>
      <c r="N1056" s="62"/>
      <c r="O1056" s="62" t="str">
        <f>IF(E1056="PA",IF(K1056&lt;&gt;"",ISERROR(VLOOKUP(K1056,ABBR!A:D,1,FALSE)),ISERROR(VLOOKUP(C1056,ABBR!A:D,1,FALSE))),"")</f>
        <v/>
      </c>
      <c r="P1056" t="str">
        <f>VLOOKUP(A1056,Groups!A:L,5,FALSE)</f>
        <v>SAMP</v>
      </c>
      <c r="Q1056" s="62" t="str">
        <f>IF(G1056="PA",IF(M1056&lt;&gt;"",ISERROR(VLOOKUP(M1056,ABBR!C:F,1,FALSE)),ISERROR(VLOOKUP(E1056,ABBR!C:F,1,FALSE))),"")</f>
        <v/>
      </c>
    </row>
    <row r="1057" spans="1:17" hidden="1" x14ac:dyDescent="0.25">
      <c r="A1057" s="16" t="s">
        <v>163</v>
      </c>
      <c r="B1057" s="17"/>
      <c r="C1057" s="16" t="s">
        <v>2501</v>
      </c>
      <c r="D1057" s="17"/>
      <c r="E1057" s="17" t="s">
        <v>2004</v>
      </c>
      <c r="F1057" s="18" t="s">
        <v>2502</v>
      </c>
      <c r="G1057" s="49" t="s">
        <v>2458</v>
      </c>
      <c r="H1057" s="17">
        <v>36</v>
      </c>
      <c r="I1057" s="30" t="s">
        <v>955</v>
      </c>
      <c r="J1057" s="80">
        <v>4.0999999999999996</v>
      </c>
      <c r="K1057" s="62"/>
      <c r="M1057" s="62"/>
      <c r="N1057" s="62"/>
      <c r="O1057" s="62" t="str">
        <f>IF(E1057="PA",IF(K1057&lt;&gt;"",ISERROR(VLOOKUP(K1057,ABBR!A:D,1,FALSE)),ISERROR(VLOOKUP(C1057,ABBR!A:D,1,FALSE))),"")</f>
        <v/>
      </c>
      <c r="P1057" t="str">
        <f>VLOOKUP(A1057,Groups!A:L,5,FALSE)</f>
        <v>SAMP</v>
      </c>
      <c r="Q1057" s="62" t="str">
        <f>IF(G1057="PA",IF(M1057&lt;&gt;"",ISERROR(VLOOKUP(M1057,ABBR!C:F,1,FALSE)),ISERROR(VLOOKUP(E1057,ABBR!C:F,1,FALSE))),"")</f>
        <v/>
      </c>
    </row>
    <row r="1058" spans="1:17" hidden="1" x14ac:dyDescent="0.25">
      <c r="A1058" s="16" t="s">
        <v>163</v>
      </c>
      <c r="B1058" s="17"/>
      <c r="C1058" s="16" t="s">
        <v>2503</v>
      </c>
      <c r="D1058" s="17"/>
      <c r="E1058" s="17" t="s">
        <v>608</v>
      </c>
      <c r="F1058" s="18" t="s">
        <v>2504</v>
      </c>
      <c r="G1058" s="49" t="s">
        <v>8792</v>
      </c>
      <c r="H1058" s="17">
        <v>37</v>
      </c>
      <c r="I1058" s="30" t="s">
        <v>955</v>
      </c>
      <c r="J1058" s="80">
        <v>4.0999999999999996</v>
      </c>
      <c r="K1058" s="62"/>
      <c r="M1058" s="62" t="s">
        <v>8793</v>
      </c>
      <c r="N1058" s="62"/>
      <c r="O1058" s="62" t="str">
        <f>IF(E1058="PA",IF(K1058&lt;&gt;"",ISERROR(VLOOKUP(K1058,ABBR!A:D,1,FALSE)),ISERROR(VLOOKUP(C1058,ABBR!A:D,1,FALSE))),"")</f>
        <v/>
      </c>
      <c r="P1058" t="str">
        <f>VLOOKUP(A1058,Groups!A:L,5,FALSE)</f>
        <v>SAMP</v>
      </c>
      <c r="Q1058" s="62" t="str">
        <f>IF(G1058="PA",IF(M1058&lt;&gt;"",ISERROR(VLOOKUP(M1058,ABBR!C:F,1,FALSE)),ISERROR(VLOOKUP(E1058,ABBR!C:F,1,FALSE))),"")</f>
        <v/>
      </c>
    </row>
    <row r="1059" spans="1:17" hidden="1" x14ac:dyDescent="0.25">
      <c r="A1059" s="16" t="s">
        <v>163</v>
      </c>
      <c r="B1059" s="17"/>
      <c r="C1059" s="16" t="s">
        <v>2505</v>
      </c>
      <c r="D1059" s="17" t="s">
        <v>766</v>
      </c>
      <c r="E1059" s="17" t="s">
        <v>767</v>
      </c>
      <c r="F1059" s="18" t="s">
        <v>2506</v>
      </c>
      <c r="G1059" s="49" t="s">
        <v>910</v>
      </c>
      <c r="H1059" s="17">
        <v>38</v>
      </c>
      <c r="I1059" s="30" t="s">
        <v>955</v>
      </c>
      <c r="J1059" s="80">
        <v>4.0999999999999996</v>
      </c>
      <c r="K1059" s="62"/>
      <c r="M1059" s="62"/>
      <c r="N1059" s="62"/>
      <c r="O1059" s="62" t="str">
        <f>IF(E1059="PA",IF(K1059&lt;&gt;"",ISERROR(VLOOKUP(K1059,ABBR!A:D,1,FALSE)),ISERROR(VLOOKUP(C1059,ABBR!A:D,1,FALSE))),"")</f>
        <v/>
      </c>
      <c r="P1059" t="str">
        <f>VLOOKUP(A1059,Groups!A:L,5,FALSE)</f>
        <v>SAMP</v>
      </c>
      <c r="Q1059" s="62" t="str">
        <f>IF(G1059="PA",IF(M1059&lt;&gt;"",ISERROR(VLOOKUP(M1059,ABBR!C:F,1,FALSE)),ISERROR(VLOOKUP(E1059,ABBR!C:F,1,FALSE))),"")</f>
        <v/>
      </c>
    </row>
    <row r="1060" spans="1:17" hidden="1" x14ac:dyDescent="0.25">
      <c r="A1060" s="16" t="s">
        <v>163</v>
      </c>
      <c r="B1060" s="17"/>
      <c r="C1060" s="16" t="s">
        <v>2507</v>
      </c>
      <c r="D1060" s="17" t="s">
        <v>1698</v>
      </c>
      <c r="E1060" s="17" t="s">
        <v>767</v>
      </c>
      <c r="F1060" s="18" t="s">
        <v>2508</v>
      </c>
      <c r="G1060" s="49" t="s">
        <v>1229</v>
      </c>
      <c r="H1060" s="17">
        <v>39</v>
      </c>
      <c r="I1060" s="30" t="s">
        <v>955</v>
      </c>
      <c r="J1060" s="80">
        <v>4.0999999999999996</v>
      </c>
      <c r="K1060" s="62"/>
      <c r="M1060" s="62"/>
      <c r="N1060" s="62"/>
      <c r="O1060" s="62" t="str">
        <f>IF(E1060="PA",IF(K1060&lt;&gt;"",ISERROR(VLOOKUP(K1060,ABBR!A:D,1,FALSE)),ISERROR(VLOOKUP(C1060,ABBR!A:D,1,FALSE))),"")</f>
        <v/>
      </c>
      <c r="P1060" t="str">
        <f>VLOOKUP(A1060,Groups!A:L,5,FALSE)</f>
        <v>SAMP</v>
      </c>
      <c r="Q1060" s="62" t="str">
        <f>IF(G1060="PA",IF(M1060&lt;&gt;"",ISERROR(VLOOKUP(M1060,ABBR!C:F,1,FALSE)),ISERROR(VLOOKUP(E1060,ABBR!C:F,1,FALSE))),"")</f>
        <v/>
      </c>
    </row>
    <row r="1061" spans="1:17" ht="25" hidden="1" x14ac:dyDescent="0.25">
      <c r="A1061" s="16" t="s">
        <v>163</v>
      </c>
      <c r="B1061" s="17"/>
      <c r="C1061" s="16" t="s">
        <v>2509</v>
      </c>
      <c r="D1061" s="17" t="s">
        <v>1421</v>
      </c>
      <c r="E1061" s="17" t="s">
        <v>925</v>
      </c>
      <c r="F1061" s="18" t="s">
        <v>2510</v>
      </c>
      <c r="G1061" s="49" t="s">
        <v>2511</v>
      </c>
      <c r="H1061" s="17">
        <v>40</v>
      </c>
      <c r="I1061" s="30" t="s">
        <v>955</v>
      </c>
      <c r="J1061" s="80">
        <v>4.0999999999999996</v>
      </c>
      <c r="K1061" s="62"/>
      <c r="M1061" s="62"/>
      <c r="N1061" s="62"/>
      <c r="O1061" s="62" t="str">
        <f>IF(E1061="PA",IF(K1061&lt;&gt;"",ISERROR(VLOOKUP(K1061,ABBR!A:D,1,FALSE)),ISERROR(VLOOKUP(C1061,ABBR!A:D,1,FALSE))),"")</f>
        <v/>
      </c>
      <c r="P1061" t="str">
        <f>VLOOKUP(A1061,Groups!A:L,5,FALSE)</f>
        <v>SAMP</v>
      </c>
      <c r="Q1061" s="62" t="str">
        <f>IF(G1061="PA",IF(M1061&lt;&gt;"",ISERROR(VLOOKUP(M1061,ABBR!C:F,1,FALSE)),ISERROR(VLOOKUP(E1061,ABBR!C:F,1,FALSE))),"")</f>
        <v/>
      </c>
    </row>
    <row r="1062" spans="1:17" hidden="1" x14ac:dyDescent="0.25">
      <c r="A1062" s="16" t="s">
        <v>163</v>
      </c>
      <c r="B1062" s="17"/>
      <c r="C1062" s="16" t="s">
        <v>2512</v>
      </c>
      <c r="D1062" s="17"/>
      <c r="E1062" s="17" t="s">
        <v>608</v>
      </c>
      <c r="F1062" s="18" t="s">
        <v>2513</v>
      </c>
      <c r="G1062" s="49" t="s">
        <v>2144</v>
      </c>
      <c r="H1062" s="17">
        <v>41</v>
      </c>
      <c r="I1062" s="30" t="s">
        <v>955</v>
      </c>
      <c r="J1062" s="80">
        <v>4.0999999999999996</v>
      </c>
      <c r="K1062" s="62"/>
      <c r="M1062" s="62"/>
      <c r="N1062" s="62"/>
      <c r="O1062" s="62" t="str">
        <f>IF(E1062="PA",IF(K1062&lt;&gt;"",ISERROR(VLOOKUP(K1062,ABBR!A:D,1,FALSE)),ISERROR(VLOOKUP(C1062,ABBR!A:D,1,FALSE))),"")</f>
        <v/>
      </c>
      <c r="P1062" t="str">
        <f>VLOOKUP(A1062,Groups!A:L,5,FALSE)</f>
        <v>SAMP</v>
      </c>
      <c r="Q1062" s="62" t="str">
        <f>IF(G1062="PA",IF(M1062&lt;&gt;"",ISERROR(VLOOKUP(M1062,ABBR!C:F,1,FALSE)),ISERROR(VLOOKUP(E1062,ABBR!C:F,1,FALSE))),"")</f>
        <v/>
      </c>
    </row>
    <row r="1063" spans="1:17" ht="25" hidden="1" x14ac:dyDescent="0.25">
      <c r="A1063" s="16" t="s">
        <v>163</v>
      </c>
      <c r="B1063" s="17"/>
      <c r="C1063" s="16" t="s">
        <v>2514</v>
      </c>
      <c r="D1063" s="17" t="s">
        <v>1421</v>
      </c>
      <c r="E1063" s="17" t="s">
        <v>925</v>
      </c>
      <c r="F1063" s="18" t="s">
        <v>2515</v>
      </c>
      <c r="G1063" s="49" t="s">
        <v>2516</v>
      </c>
      <c r="H1063" s="17">
        <v>42</v>
      </c>
      <c r="I1063" s="30" t="s">
        <v>955</v>
      </c>
      <c r="J1063" s="80">
        <v>4.0999999999999996</v>
      </c>
      <c r="K1063" s="62"/>
      <c r="M1063" s="62"/>
      <c r="N1063" s="62"/>
      <c r="O1063" s="62" t="str">
        <f>IF(E1063="PA",IF(K1063&lt;&gt;"",ISERROR(VLOOKUP(K1063,ABBR!A:D,1,FALSE)),ISERROR(VLOOKUP(C1063,ABBR!A:D,1,FALSE))),"")</f>
        <v/>
      </c>
      <c r="P1063" t="str">
        <f>VLOOKUP(A1063,Groups!A:L,5,FALSE)</f>
        <v>SAMP</v>
      </c>
      <c r="Q1063" s="62" t="str">
        <f>IF(G1063="PA",IF(M1063&lt;&gt;"",ISERROR(VLOOKUP(M1063,ABBR!C:F,1,FALSE)),ISERROR(VLOOKUP(E1063,ABBR!C:F,1,FALSE))),"")</f>
        <v/>
      </c>
    </row>
    <row r="1064" spans="1:17" hidden="1" x14ac:dyDescent="0.25">
      <c r="A1064" s="16" t="s">
        <v>163</v>
      </c>
      <c r="B1064" s="17"/>
      <c r="C1064" s="16" t="s">
        <v>2517</v>
      </c>
      <c r="D1064" s="17"/>
      <c r="E1064" s="17" t="s">
        <v>608</v>
      </c>
      <c r="F1064" s="18" t="s">
        <v>8794</v>
      </c>
      <c r="G1064" s="49" t="s">
        <v>2518</v>
      </c>
      <c r="H1064" s="17">
        <v>43</v>
      </c>
      <c r="I1064" s="30" t="s">
        <v>955</v>
      </c>
      <c r="J1064" s="80">
        <v>4.0999999999999996</v>
      </c>
      <c r="K1064" s="62"/>
      <c r="M1064" s="62" t="s">
        <v>8795</v>
      </c>
      <c r="N1064" s="62"/>
      <c r="O1064" s="62" t="str">
        <f>IF(E1064="PA",IF(K1064&lt;&gt;"",ISERROR(VLOOKUP(K1064,ABBR!A:D,1,FALSE)),ISERROR(VLOOKUP(C1064,ABBR!A:D,1,FALSE))),"")</f>
        <v/>
      </c>
      <c r="P1064" t="str">
        <f>VLOOKUP(A1064,Groups!A:L,5,FALSE)</f>
        <v>SAMP</v>
      </c>
      <c r="Q1064" s="62" t="str">
        <f>IF(G1064="PA",IF(M1064&lt;&gt;"",ISERROR(VLOOKUP(M1064,ABBR!C:F,1,FALSE)),ISERROR(VLOOKUP(E1064,ABBR!C:F,1,FALSE))),"")</f>
        <v/>
      </c>
    </row>
    <row r="1065" spans="1:17" hidden="1" x14ac:dyDescent="0.25">
      <c r="A1065" s="16" t="s">
        <v>163</v>
      </c>
      <c r="B1065" s="17"/>
      <c r="C1065" s="16" t="s">
        <v>2519</v>
      </c>
      <c r="D1065" s="17"/>
      <c r="E1065" s="17" t="s">
        <v>608</v>
      </c>
      <c r="F1065" s="18" t="s">
        <v>2520</v>
      </c>
      <c r="G1065" s="49" t="s">
        <v>2521</v>
      </c>
      <c r="H1065" s="17">
        <v>44</v>
      </c>
      <c r="I1065" s="30" t="s">
        <v>955</v>
      </c>
      <c r="J1065" s="80">
        <v>4.0999999999999996</v>
      </c>
      <c r="K1065" s="62"/>
      <c r="M1065" s="62"/>
      <c r="N1065" s="62"/>
      <c r="O1065" s="62" t="str">
        <f>IF(E1065="PA",IF(K1065&lt;&gt;"",ISERROR(VLOOKUP(K1065,ABBR!A:D,1,FALSE)),ISERROR(VLOOKUP(C1065,ABBR!A:D,1,FALSE))),"")</f>
        <v/>
      </c>
      <c r="P1065" t="str">
        <f>VLOOKUP(A1065,Groups!A:L,5,FALSE)</f>
        <v>SAMP</v>
      </c>
      <c r="Q1065" s="62" t="str">
        <f>IF(G1065="PA",IF(M1065&lt;&gt;"",ISERROR(VLOOKUP(M1065,ABBR!C:F,1,FALSE)),ISERROR(VLOOKUP(E1065,ABBR!C:F,1,FALSE))),"")</f>
        <v/>
      </c>
    </row>
    <row r="1066" spans="1:17" hidden="1" x14ac:dyDescent="0.25">
      <c r="A1066" s="16" t="s">
        <v>163</v>
      </c>
      <c r="B1066" s="17"/>
      <c r="C1066" s="16" t="s">
        <v>2522</v>
      </c>
      <c r="D1066" s="17"/>
      <c r="E1066" s="17" t="s">
        <v>618</v>
      </c>
      <c r="F1066" s="18" t="s">
        <v>2523</v>
      </c>
      <c r="G1066" s="49" t="s">
        <v>2524</v>
      </c>
      <c r="H1066" s="17">
        <v>45</v>
      </c>
      <c r="I1066" s="30" t="s">
        <v>955</v>
      </c>
      <c r="J1066" s="80">
        <v>4.0999999999999996</v>
      </c>
      <c r="K1066" s="62"/>
      <c r="M1066" s="62" t="s">
        <v>2441</v>
      </c>
      <c r="N1066" s="62"/>
      <c r="O1066" s="62" t="b">
        <f>IF(E1066="PA",IF(K1066&lt;&gt;"",ISERROR(VLOOKUP(K1066,ABBR!A:D,1,FALSE)),ISERROR(VLOOKUP(C1066,ABBR!A:D,1,FALSE))),"")</f>
        <v>0</v>
      </c>
      <c r="P1066" t="str">
        <f>VLOOKUP(A1066,Groups!A:L,5,FALSE)</f>
        <v>SAMP</v>
      </c>
      <c r="Q1066" s="62" t="str">
        <f>IF(G1066="PA",IF(M1066&lt;&gt;"",ISERROR(VLOOKUP(M1066,ABBR!C:F,1,FALSE)),ISERROR(VLOOKUP(E1066,ABBR!C:F,1,FALSE))),"")</f>
        <v/>
      </c>
    </row>
    <row r="1067" spans="1:17" hidden="1" x14ac:dyDescent="0.25">
      <c r="A1067" s="16" t="s">
        <v>163</v>
      </c>
      <c r="B1067" s="17"/>
      <c r="C1067" s="16" t="s">
        <v>2525</v>
      </c>
      <c r="D1067" s="17"/>
      <c r="E1067" s="17" t="s">
        <v>618</v>
      </c>
      <c r="F1067" s="18" t="s">
        <v>2526</v>
      </c>
      <c r="G1067" s="49" t="s">
        <v>2527</v>
      </c>
      <c r="H1067" s="17">
        <v>46</v>
      </c>
      <c r="I1067" s="30" t="s">
        <v>955</v>
      </c>
      <c r="J1067" s="80">
        <v>4.0999999999999996</v>
      </c>
      <c r="K1067" s="62"/>
      <c r="M1067" s="62"/>
      <c r="N1067" s="62"/>
      <c r="O1067" s="62" t="b">
        <f>IF(E1067="PA",IF(K1067&lt;&gt;"",ISERROR(VLOOKUP(K1067,ABBR!A:D,1,FALSE)),ISERROR(VLOOKUP(C1067,ABBR!A:D,1,FALSE))),"")</f>
        <v>0</v>
      </c>
      <c r="P1067" t="str">
        <f>VLOOKUP(A1067,Groups!A:L,5,FALSE)</f>
        <v>SAMP</v>
      </c>
      <c r="Q1067" s="62" t="str">
        <f>IF(G1067="PA",IF(M1067&lt;&gt;"",ISERROR(VLOOKUP(M1067,ABBR!C:F,1,FALSE)),ISERROR(VLOOKUP(E1067,ABBR!C:F,1,FALSE))),"")</f>
        <v/>
      </c>
    </row>
    <row r="1068" spans="1:17" hidden="1" x14ac:dyDescent="0.25">
      <c r="A1068" s="16" t="s">
        <v>163</v>
      </c>
      <c r="B1068" s="17"/>
      <c r="C1068" s="16" t="s">
        <v>2528</v>
      </c>
      <c r="D1068" s="17"/>
      <c r="E1068" s="17" t="s">
        <v>767</v>
      </c>
      <c r="F1068" s="18" t="s">
        <v>2529</v>
      </c>
      <c r="G1068" s="49" t="s">
        <v>1114</v>
      </c>
      <c r="H1068" s="17">
        <v>47</v>
      </c>
      <c r="I1068" s="30" t="s">
        <v>955</v>
      </c>
      <c r="J1068" s="80">
        <v>4.0999999999999996</v>
      </c>
      <c r="K1068" s="62"/>
      <c r="M1068" s="62"/>
      <c r="N1068" s="62"/>
      <c r="O1068" s="62" t="str">
        <f>IF(E1068="PA",IF(K1068&lt;&gt;"",ISERROR(VLOOKUP(K1068,ABBR!A:D,1,FALSE)),ISERROR(VLOOKUP(C1068,ABBR!A:D,1,FALSE))),"")</f>
        <v/>
      </c>
      <c r="P1068" t="str">
        <f>VLOOKUP(A1068,Groups!A:L,5,FALSE)</f>
        <v>SAMP</v>
      </c>
      <c r="Q1068" s="62" t="str">
        <f>IF(G1068="PA",IF(M1068&lt;&gt;"",ISERROR(VLOOKUP(M1068,ABBR!C:F,1,FALSE)),ISERROR(VLOOKUP(E1068,ABBR!C:F,1,FALSE))),"")</f>
        <v/>
      </c>
    </row>
    <row r="1069" spans="1:17" hidden="1" x14ac:dyDescent="0.25">
      <c r="A1069" s="16" t="s">
        <v>163</v>
      </c>
      <c r="B1069" s="17"/>
      <c r="C1069" s="16" t="s">
        <v>2530</v>
      </c>
      <c r="D1069" s="17"/>
      <c r="E1069" s="17" t="s">
        <v>608</v>
      </c>
      <c r="F1069" s="18" t="s">
        <v>2531</v>
      </c>
      <c r="G1069" s="49"/>
      <c r="H1069" s="17">
        <v>48</v>
      </c>
      <c r="I1069" s="30" t="s">
        <v>955</v>
      </c>
      <c r="J1069" s="80">
        <v>4.0999999999999996</v>
      </c>
      <c r="K1069" s="62"/>
      <c r="M1069" s="101" t="s">
        <v>1044</v>
      </c>
      <c r="N1069" s="62"/>
      <c r="O1069" s="62" t="str">
        <f>IF(E1069="PA",IF(K1069&lt;&gt;"",ISERROR(VLOOKUP(K1069,ABBR!A:D,1,FALSE)),ISERROR(VLOOKUP(C1069,ABBR!A:D,1,FALSE))),"")</f>
        <v/>
      </c>
      <c r="P1069" t="str">
        <f>VLOOKUP(A1069,Groups!A:L,5,FALSE)</f>
        <v>SAMP</v>
      </c>
      <c r="Q1069" s="62" t="str">
        <f>IF(G1069="PA",IF(M1069&lt;&gt;"",ISERROR(VLOOKUP(M1069,ABBR!C:F,1,FALSE)),ISERROR(VLOOKUP(E1069,ABBR!C:F,1,FALSE))),"")</f>
        <v/>
      </c>
    </row>
    <row r="1070" spans="1:17" ht="25" hidden="1" x14ac:dyDescent="0.25">
      <c r="A1070" s="16" t="s">
        <v>163</v>
      </c>
      <c r="B1070" s="17"/>
      <c r="C1070" s="16" t="s">
        <v>2532</v>
      </c>
      <c r="D1070" s="17" t="s">
        <v>1421</v>
      </c>
      <c r="E1070" s="17" t="s">
        <v>925</v>
      </c>
      <c r="F1070" s="18" t="s">
        <v>2533</v>
      </c>
      <c r="G1070" s="49" t="s">
        <v>2534</v>
      </c>
      <c r="H1070" s="17">
        <v>49</v>
      </c>
      <c r="I1070" s="30" t="s">
        <v>955</v>
      </c>
      <c r="J1070" s="80">
        <v>4.0999999999999996</v>
      </c>
      <c r="K1070" s="62"/>
      <c r="M1070" s="62"/>
      <c r="N1070" s="62"/>
      <c r="O1070" s="62" t="str">
        <f>IF(E1070="PA",IF(K1070&lt;&gt;"",ISERROR(VLOOKUP(K1070,ABBR!A:D,1,FALSE)),ISERROR(VLOOKUP(C1070,ABBR!A:D,1,FALSE))),"")</f>
        <v/>
      </c>
      <c r="P1070" t="str">
        <f>VLOOKUP(A1070,Groups!A:L,5,FALSE)</f>
        <v>SAMP</v>
      </c>
      <c r="Q1070" s="62" t="str">
        <f>IF(G1070="PA",IF(M1070&lt;&gt;"",ISERROR(VLOOKUP(M1070,ABBR!C:F,1,FALSE)),ISERROR(VLOOKUP(E1070,ABBR!C:F,1,FALSE))),"")</f>
        <v/>
      </c>
    </row>
    <row r="1071" spans="1:17" hidden="1" x14ac:dyDescent="0.25">
      <c r="A1071" s="16" t="s">
        <v>163</v>
      </c>
      <c r="B1071" s="17"/>
      <c r="C1071" s="16" t="s">
        <v>2535</v>
      </c>
      <c r="D1071" s="17"/>
      <c r="E1071" s="17" t="s">
        <v>608</v>
      </c>
      <c r="F1071" s="18" t="s">
        <v>8796</v>
      </c>
      <c r="G1071" s="49" t="s">
        <v>2144</v>
      </c>
      <c r="H1071" s="17">
        <v>50</v>
      </c>
      <c r="I1071" s="30" t="s">
        <v>955</v>
      </c>
      <c r="J1071" s="80">
        <v>4.0999999999999996</v>
      </c>
      <c r="K1071" s="62"/>
      <c r="M1071" s="62" t="s">
        <v>8795</v>
      </c>
      <c r="N1071" s="62"/>
      <c r="O1071" s="62" t="str">
        <f>IF(E1071="PA",IF(K1071&lt;&gt;"",ISERROR(VLOOKUP(K1071,ABBR!A:D,1,FALSE)),ISERROR(VLOOKUP(C1071,ABBR!A:D,1,FALSE))),"")</f>
        <v/>
      </c>
      <c r="P1071" t="str">
        <f>VLOOKUP(A1071,Groups!A:L,5,FALSE)</f>
        <v>SAMP</v>
      </c>
      <c r="Q1071" s="62" t="str">
        <f>IF(G1071="PA",IF(M1071&lt;&gt;"",ISERROR(VLOOKUP(M1071,ABBR!C:F,1,FALSE)),ISERROR(VLOOKUP(E1071,ABBR!C:F,1,FALSE))),"")</f>
        <v/>
      </c>
    </row>
    <row r="1072" spans="1:17" hidden="1" x14ac:dyDescent="0.25">
      <c r="A1072" s="16" t="s">
        <v>163</v>
      </c>
      <c r="B1072" s="17"/>
      <c r="C1072" s="16" t="s">
        <v>2536</v>
      </c>
      <c r="D1072" s="17"/>
      <c r="E1072" s="17" t="s">
        <v>608</v>
      </c>
      <c r="F1072" s="18" t="s">
        <v>2537</v>
      </c>
      <c r="G1072" s="49" t="s">
        <v>2538</v>
      </c>
      <c r="H1072" s="17">
        <v>51</v>
      </c>
      <c r="I1072" s="30" t="s">
        <v>955</v>
      </c>
      <c r="J1072" s="80">
        <v>4.0999999999999996</v>
      </c>
      <c r="K1072" s="62"/>
      <c r="M1072" s="62"/>
      <c r="N1072" s="62"/>
      <c r="O1072" s="62" t="str">
        <f>IF(E1072="PA",IF(K1072&lt;&gt;"",ISERROR(VLOOKUP(K1072,ABBR!A:D,1,FALSE)),ISERROR(VLOOKUP(C1072,ABBR!A:D,1,FALSE))),"")</f>
        <v/>
      </c>
      <c r="P1072" t="str">
        <f>VLOOKUP(A1072,Groups!A:L,5,FALSE)</f>
        <v>SAMP</v>
      </c>
      <c r="Q1072" s="62" t="str">
        <f>IF(G1072="PA",IF(M1072&lt;&gt;"",ISERROR(VLOOKUP(M1072,ABBR!C:F,1,FALSE)),ISERROR(VLOOKUP(E1072,ABBR!C:F,1,FALSE))),"")</f>
        <v/>
      </c>
    </row>
    <row r="1073" spans="1:17" ht="25" hidden="1" x14ac:dyDescent="0.25">
      <c r="A1073" s="16" t="s">
        <v>163</v>
      </c>
      <c r="B1073" s="17"/>
      <c r="C1073" s="16" t="s">
        <v>2539</v>
      </c>
      <c r="D1073" s="17" t="s">
        <v>722</v>
      </c>
      <c r="E1073" s="17" t="s">
        <v>767</v>
      </c>
      <c r="F1073" s="18" t="s">
        <v>8797</v>
      </c>
      <c r="G1073" s="49" t="s">
        <v>1229</v>
      </c>
      <c r="H1073" s="17">
        <v>52</v>
      </c>
      <c r="I1073" s="30" t="s">
        <v>955</v>
      </c>
      <c r="J1073" s="80">
        <v>4.0999999999999996</v>
      </c>
      <c r="K1073" s="62"/>
      <c r="M1073" s="62"/>
      <c r="N1073" s="62"/>
      <c r="O1073" s="62" t="str">
        <f>IF(E1073="PA",IF(K1073&lt;&gt;"",ISERROR(VLOOKUP(K1073,ABBR!A:D,1,FALSE)),ISERROR(VLOOKUP(C1073,ABBR!A:D,1,FALSE))),"")</f>
        <v/>
      </c>
      <c r="P1073" t="str">
        <f>VLOOKUP(A1073,Groups!A:L,5,FALSE)</f>
        <v>SAMP</v>
      </c>
      <c r="Q1073" s="62" t="str">
        <f>IF(G1073="PA",IF(M1073&lt;&gt;"",ISERROR(VLOOKUP(M1073,ABBR!C:F,1,FALSE)),ISERROR(VLOOKUP(E1073,ABBR!C:F,1,FALSE))),"")</f>
        <v/>
      </c>
    </row>
    <row r="1074" spans="1:17" hidden="1" x14ac:dyDescent="0.25">
      <c r="A1074" s="16" t="s">
        <v>163</v>
      </c>
      <c r="B1074" s="17"/>
      <c r="C1074" s="16" t="s">
        <v>2540</v>
      </c>
      <c r="D1074" s="17" t="s">
        <v>766</v>
      </c>
      <c r="E1074" s="17" t="s">
        <v>723</v>
      </c>
      <c r="F1074" s="18" t="s">
        <v>2541</v>
      </c>
      <c r="G1074" s="49" t="s">
        <v>2542</v>
      </c>
      <c r="H1074" s="17">
        <v>53</v>
      </c>
      <c r="I1074" s="30" t="s">
        <v>955</v>
      </c>
      <c r="J1074" s="80">
        <v>4.0999999999999996</v>
      </c>
      <c r="K1074" s="62"/>
      <c r="M1074" s="62"/>
      <c r="N1074" s="62"/>
      <c r="O1074" s="62" t="str">
        <f>IF(E1074="PA",IF(K1074&lt;&gt;"",ISERROR(VLOOKUP(K1074,ABBR!A:D,1,FALSE)),ISERROR(VLOOKUP(C1074,ABBR!A:D,1,FALSE))),"")</f>
        <v/>
      </c>
      <c r="P1074" t="str">
        <f>VLOOKUP(A1074,Groups!A:L,5,FALSE)</f>
        <v>SAMP</v>
      </c>
      <c r="Q1074" s="62" t="str">
        <f>IF(G1074="PA",IF(M1074&lt;&gt;"",ISERROR(VLOOKUP(M1074,ABBR!C:F,1,FALSE)),ISERROR(VLOOKUP(E1074,ABBR!C:F,1,FALSE))),"")</f>
        <v/>
      </c>
    </row>
    <row r="1075" spans="1:17" hidden="1" x14ac:dyDescent="0.25">
      <c r="A1075" s="16" t="s">
        <v>163</v>
      </c>
      <c r="B1075" s="17"/>
      <c r="C1075" s="16" t="s">
        <v>2543</v>
      </c>
      <c r="D1075" s="17"/>
      <c r="E1075" s="17" t="s">
        <v>608</v>
      </c>
      <c r="F1075" s="18" t="s">
        <v>642</v>
      </c>
      <c r="G1075" s="49" t="s">
        <v>16</v>
      </c>
      <c r="H1075" s="17">
        <v>54</v>
      </c>
      <c r="I1075" s="30" t="s">
        <v>955</v>
      </c>
      <c r="J1075" s="80">
        <v>4.0999999999999996</v>
      </c>
      <c r="K1075" s="62"/>
      <c r="M1075" s="101"/>
      <c r="N1075" s="62"/>
      <c r="O1075" s="62" t="str">
        <f>IF(E1075="PA",IF(K1075&lt;&gt;"",ISERROR(VLOOKUP(K1075,ABBR!A:D,1,FALSE)),ISERROR(VLOOKUP(C1075,ABBR!A:D,1,FALSE))),"")</f>
        <v/>
      </c>
      <c r="P1075" t="str">
        <f>VLOOKUP(A1075,Groups!A:L,5,FALSE)</f>
        <v>SAMP</v>
      </c>
      <c r="Q1075" s="62" t="str">
        <f>IF(G1075="PA",IF(M1075&lt;&gt;"",ISERROR(VLOOKUP(M1075,ABBR!C:F,1,FALSE)),ISERROR(VLOOKUP(E1075,ABBR!C:F,1,FALSE))),"")</f>
        <v/>
      </c>
    </row>
    <row r="1076" spans="1:17" ht="25" hidden="1" x14ac:dyDescent="0.25">
      <c r="A1076" s="16" t="s">
        <v>163</v>
      </c>
      <c r="B1076" s="17"/>
      <c r="C1076" s="16" t="s">
        <v>2544</v>
      </c>
      <c r="D1076" s="17"/>
      <c r="E1076" s="17" t="s">
        <v>608</v>
      </c>
      <c r="F1076" s="18" t="s">
        <v>950</v>
      </c>
      <c r="G1076" s="49" t="s">
        <v>951</v>
      </c>
      <c r="H1076" s="17">
        <v>55</v>
      </c>
      <c r="I1076" s="30" t="s">
        <v>955</v>
      </c>
      <c r="J1076" s="80">
        <v>4.0999999999999996</v>
      </c>
      <c r="K1076" s="62"/>
      <c r="M1076" s="62"/>
      <c r="N1076" s="62"/>
      <c r="O1076" s="62" t="str">
        <f>IF(E1076="PA",IF(K1076&lt;&gt;"",ISERROR(VLOOKUP(K1076,ABBR!A:D,1,FALSE)),ISERROR(VLOOKUP(C1076,ABBR!A:D,1,FALSE))),"")</f>
        <v/>
      </c>
      <c r="P1076" t="str">
        <f>VLOOKUP(A1076,Groups!A:L,5,FALSE)</f>
        <v>SAMP</v>
      </c>
      <c r="Q1076" s="62" t="str">
        <f>IF(G1076="PA",IF(M1076&lt;&gt;"",ISERROR(VLOOKUP(M1076,ABBR!C:F,1,FALSE)),ISERROR(VLOOKUP(E1076,ABBR!C:F,1,FALSE))),"")</f>
        <v/>
      </c>
    </row>
    <row r="1077" spans="1:17" ht="25" hidden="1" x14ac:dyDescent="0.25">
      <c r="A1077" s="16" t="s">
        <v>163</v>
      </c>
      <c r="B1077" s="17"/>
      <c r="C1077" s="16" t="s">
        <v>2545</v>
      </c>
      <c r="D1077" s="17"/>
      <c r="E1077" s="17" t="s">
        <v>608</v>
      </c>
      <c r="F1077" s="18" t="s">
        <v>934</v>
      </c>
      <c r="G1077" s="49" t="s">
        <v>953</v>
      </c>
      <c r="H1077" s="17">
        <v>56</v>
      </c>
      <c r="I1077" s="30" t="s">
        <v>955</v>
      </c>
      <c r="J1077" s="80">
        <v>4.0999999999999996</v>
      </c>
      <c r="K1077" s="62"/>
      <c r="M1077" s="62"/>
      <c r="N1077" s="62"/>
      <c r="O1077" s="62" t="str">
        <f>IF(E1077="PA",IF(K1077&lt;&gt;"",ISERROR(VLOOKUP(K1077,ABBR!A:D,1,FALSE)),ISERROR(VLOOKUP(C1077,ABBR!A:D,1,FALSE))),"")</f>
        <v/>
      </c>
      <c r="P1077" t="str">
        <f>VLOOKUP(A1077,Groups!A:L,5,FALSE)</f>
        <v>SAMP</v>
      </c>
      <c r="Q1077" s="62" t="str">
        <f>IF(G1077="PA",IF(M1077&lt;&gt;"",ISERROR(VLOOKUP(M1077,ABBR!C:F,1,FALSE)),ISERROR(VLOOKUP(E1077,ABBR!C:F,1,FALSE))),"")</f>
        <v/>
      </c>
    </row>
    <row r="1078" spans="1:17" hidden="1" x14ac:dyDescent="0.25">
      <c r="A1078" s="16" t="s">
        <v>163</v>
      </c>
      <c r="B1078" s="17"/>
      <c r="C1078" s="16" t="s">
        <v>936</v>
      </c>
      <c r="D1078" s="17"/>
      <c r="E1078" s="17" t="s">
        <v>608</v>
      </c>
      <c r="F1078" s="18" t="s">
        <v>937</v>
      </c>
      <c r="G1078" s="94" t="s">
        <v>938</v>
      </c>
      <c r="H1078" s="17">
        <v>57</v>
      </c>
      <c r="I1078" s="30" t="s">
        <v>955</v>
      </c>
      <c r="J1078" s="80">
        <v>4.0999999999999996</v>
      </c>
      <c r="K1078" s="62"/>
      <c r="M1078" s="62" t="s">
        <v>8798</v>
      </c>
      <c r="N1078" s="62"/>
      <c r="O1078" s="62" t="str">
        <f>IF(E1078="PA",IF(K1078&lt;&gt;"",ISERROR(VLOOKUP(K1078,ABBR!A:D,1,FALSE)),ISERROR(VLOOKUP(C1078,ABBR!A:D,1,FALSE))),"")</f>
        <v/>
      </c>
      <c r="P1078" t="str">
        <f>VLOOKUP(A1078,Groups!A:L,5,FALSE)</f>
        <v>SAMP</v>
      </c>
      <c r="Q1078" s="62" t="str">
        <f>IF(G1078="PA",IF(M1078&lt;&gt;"",ISERROR(VLOOKUP(M1078,ABBR!C:F,1,FALSE)),ISERROR(VLOOKUP(E1078,ABBR!C:F,1,FALSE))),"")</f>
        <v/>
      </c>
    </row>
    <row r="1079" spans="1:17" hidden="1" x14ac:dyDescent="0.25">
      <c r="A1079" s="16" t="s">
        <v>163</v>
      </c>
      <c r="B1079" s="17"/>
      <c r="C1079" s="16" t="s">
        <v>643</v>
      </c>
      <c r="D1079" s="17"/>
      <c r="E1079" s="17" t="s">
        <v>608</v>
      </c>
      <c r="F1079" s="18" t="s">
        <v>954</v>
      </c>
      <c r="G1079" s="49" t="s">
        <v>940</v>
      </c>
      <c r="H1079" s="17">
        <v>58</v>
      </c>
      <c r="I1079" s="30" t="s">
        <v>955</v>
      </c>
      <c r="J1079" s="80">
        <v>4.0999999999999996</v>
      </c>
      <c r="K1079" s="62"/>
      <c r="M1079" s="62" t="s">
        <v>8795</v>
      </c>
      <c r="N1079" s="62"/>
      <c r="O1079" s="62" t="str">
        <f>IF(E1079="PA",IF(K1079&lt;&gt;"",ISERROR(VLOOKUP(K1079,ABBR!A:D,1,FALSE)),ISERROR(VLOOKUP(C1079,ABBR!A:D,1,FALSE))),"")</f>
        <v/>
      </c>
      <c r="P1079" t="str">
        <f>VLOOKUP(A1079,Groups!A:L,5,FALSE)</f>
        <v>SAMP</v>
      </c>
      <c r="Q1079" s="62" t="str">
        <f>IF(G1079="PA",IF(M1079&lt;&gt;"",ISERROR(VLOOKUP(M1079,ABBR!C:F,1,FALSE)),ISERROR(VLOOKUP(E1079,ABBR!C:F,1,FALSE))),"")</f>
        <v/>
      </c>
    </row>
    <row r="1080" spans="1:17" hidden="1" x14ac:dyDescent="0.25">
      <c r="A1080" s="16" t="s">
        <v>167</v>
      </c>
      <c r="B1080" s="17" t="s">
        <v>594</v>
      </c>
      <c r="C1080" s="16" t="s">
        <v>595</v>
      </c>
      <c r="D1080" s="17"/>
      <c r="E1080" s="17" t="s">
        <v>596</v>
      </c>
      <c r="F1080" s="18" t="s">
        <v>597</v>
      </c>
      <c r="G1080" s="49" t="s">
        <v>598</v>
      </c>
      <c r="H1080" s="17">
        <v>1</v>
      </c>
      <c r="O1080" s="62" t="str">
        <f>IF(E1080="PA",IF(K1080&lt;&gt;"",ISERROR(VLOOKUP(K1080,ABBR!A:D,1,FALSE)),ISERROR(VLOOKUP(C1080,ABBR!A:D,1,FALSE))),"")</f>
        <v/>
      </c>
      <c r="P1080" t="str">
        <f>VLOOKUP(A1080,Groups!A:L,5,FALSE)</f>
        <v>SAMP</v>
      </c>
      <c r="Q1080" s="62" t="str">
        <f>IF(G1080="PA",IF(M1080&lt;&gt;"",ISERROR(VLOOKUP(M1080,ABBR!C:F,1,FALSE)),ISERROR(VLOOKUP(E1080,ABBR!C:F,1,FALSE))),"")</f>
        <v/>
      </c>
    </row>
    <row r="1081" spans="1:17" hidden="1" x14ac:dyDescent="0.25">
      <c r="A1081" s="16" t="s">
        <v>167</v>
      </c>
      <c r="B1081" s="17" t="s">
        <v>594</v>
      </c>
      <c r="C1081" s="16" t="s">
        <v>851</v>
      </c>
      <c r="D1081" s="17" t="s">
        <v>600</v>
      </c>
      <c r="E1081" s="17" t="s">
        <v>601</v>
      </c>
      <c r="F1081" s="18" t="s">
        <v>852</v>
      </c>
      <c r="G1081" s="49" t="s">
        <v>853</v>
      </c>
      <c r="H1081" s="17">
        <v>2</v>
      </c>
      <c r="O1081" s="62" t="str">
        <f>IF(E1081="PA",IF(K1081&lt;&gt;"",ISERROR(VLOOKUP(K1081,ABBR!A:D,1,FALSE)),ISERROR(VLOOKUP(C1081,ABBR!A:D,1,FALSE))),"")</f>
        <v/>
      </c>
      <c r="P1081" t="str">
        <f>VLOOKUP(A1081,Groups!A:L,5,FALSE)</f>
        <v>SAMP</v>
      </c>
      <c r="Q1081" s="62" t="str">
        <f>IF(G1081="PA",IF(M1081&lt;&gt;"",ISERROR(VLOOKUP(M1081,ABBR!C:F,1,FALSE)),ISERROR(VLOOKUP(E1081,ABBR!C:F,1,FALSE))),"")</f>
        <v/>
      </c>
    </row>
    <row r="1082" spans="1:17" hidden="1" x14ac:dyDescent="0.25">
      <c r="A1082" s="16" t="s">
        <v>167</v>
      </c>
      <c r="B1082" s="17" t="s">
        <v>594</v>
      </c>
      <c r="C1082" s="16" t="s">
        <v>854</v>
      </c>
      <c r="D1082" s="17"/>
      <c r="E1082" s="17" t="s">
        <v>608</v>
      </c>
      <c r="F1082" s="18" t="s">
        <v>855</v>
      </c>
      <c r="G1082" s="49" t="s">
        <v>941</v>
      </c>
      <c r="H1082" s="17">
        <v>3</v>
      </c>
      <c r="O1082" s="62" t="str">
        <f>IF(E1082="PA",IF(K1082&lt;&gt;"",ISERROR(VLOOKUP(K1082,ABBR!A:D,1,FALSE)),ISERROR(VLOOKUP(C1082,ABBR!A:D,1,FALSE))),"")</f>
        <v/>
      </c>
      <c r="P1082" t="str">
        <f>VLOOKUP(A1082,Groups!A:L,5,FALSE)</f>
        <v>SAMP</v>
      </c>
      <c r="Q1082" s="62" t="str">
        <f>IF(G1082="PA",IF(M1082&lt;&gt;"",ISERROR(VLOOKUP(M1082,ABBR!C:F,1,FALSE)),ISERROR(VLOOKUP(E1082,ABBR!C:F,1,FALSE))),"")</f>
        <v/>
      </c>
    </row>
    <row r="1083" spans="1:17" hidden="1" x14ac:dyDescent="0.25">
      <c r="A1083" s="16" t="s">
        <v>167</v>
      </c>
      <c r="B1083" s="17" t="s">
        <v>594</v>
      </c>
      <c r="C1083" s="16" t="s">
        <v>857</v>
      </c>
      <c r="D1083" s="17"/>
      <c r="E1083" s="17" t="s">
        <v>618</v>
      </c>
      <c r="F1083" s="18" t="s">
        <v>858</v>
      </c>
      <c r="G1083" s="49" t="s">
        <v>859</v>
      </c>
      <c r="H1083" s="17">
        <v>4</v>
      </c>
      <c r="O1083" s="62" t="b">
        <f>IF(E1083="PA",IF(K1083&lt;&gt;"",ISERROR(VLOOKUP(K1083,ABBR!A:D,1,FALSE)),ISERROR(VLOOKUP(C1083,ABBR!A:D,1,FALSE))),"")</f>
        <v>0</v>
      </c>
      <c r="P1083" t="str">
        <f>VLOOKUP(A1083,Groups!A:L,5,FALSE)</f>
        <v>SAMP</v>
      </c>
      <c r="Q1083" s="62" t="str">
        <f>IF(G1083="PA",IF(M1083&lt;&gt;"",ISERROR(VLOOKUP(M1083,ABBR!C:F,1,FALSE)),ISERROR(VLOOKUP(E1083,ABBR!C:F,1,FALSE))),"")</f>
        <v/>
      </c>
    </row>
    <row r="1084" spans="1:17" hidden="1" x14ac:dyDescent="0.25">
      <c r="A1084" s="16" t="s">
        <v>167</v>
      </c>
      <c r="B1084" s="17" t="s">
        <v>594</v>
      </c>
      <c r="C1084" s="16" t="s">
        <v>860</v>
      </c>
      <c r="D1084" s="17"/>
      <c r="E1084" s="17" t="s">
        <v>596</v>
      </c>
      <c r="F1084" s="18" t="s">
        <v>942</v>
      </c>
      <c r="G1084" s="49" t="s">
        <v>862</v>
      </c>
      <c r="H1084" s="17">
        <v>5</v>
      </c>
      <c r="O1084" s="62" t="str">
        <f>IF(E1084="PA",IF(K1084&lt;&gt;"",ISERROR(VLOOKUP(K1084,ABBR!A:D,1,FALSE)),ISERROR(VLOOKUP(C1084,ABBR!A:D,1,FALSE))),"")</f>
        <v/>
      </c>
      <c r="P1084" t="str">
        <f>VLOOKUP(A1084,Groups!A:L,5,FALSE)</f>
        <v>SAMP</v>
      </c>
      <c r="Q1084" s="62" t="str">
        <f>IF(G1084="PA",IF(M1084&lt;&gt;"",ISERROR(VLOOKUP(M1084,ABBR!C:F,1,FALSE)),ISERROR(VLOOKUP(E1084,ABBR!C:F,1,FALSE))),"")</f>
        <v/>
      </c>
    </row>
    <row r="1085" spans="1:17" hidden="1" x14ac:dyDescent="0.25">
      <c r="A1085" s="16" t="s">
        <v>167</v>
      </c>
      <c r="B1085" s="17" t="s">
        <v>594</v>
      </c>
      <c r="C1085" s="16" t="s">
        <v>863</v>
      </c>
      <c r="D1085" s="17"/>
      <c r="E1085" s="17" t="s">
        <v>608</v>
      </c>
      <c r="F1085" s="18" t="s">
        <v>864</v>
      </c>
      <c r="G1085" s="49" t="s">
        <v>865</v>
      </c>
      <c r="H1085" s="17">
        <v>6</v>
      </c>
      <c r="O1085" s="62" t="str">
        <f>IF(E1085="PA",IF(K1085&lt;&gt;"",ISERROR(VLOOKUP(K1085,ABBR!A:D,1,FALSE)),ISERROR(VLOOKUP(C1085,ABBR!A:D,1,FALSE))),"")</f>
        <v/>
      </c>
      <c r="P1085" t="str">
        <f>VLOOKUP(A1085,Groups!A:L,5,FALSE)</f>
        <v>SAMP</v>
      </c>
      <c r="Q1085" s="62" t="str">
        <f>IF(G1085="PA",IF(M1085&lt;&gt;"",ISERROR(VLOOKUP(M1085,ABBR!C:F,1,FALSE)),ISERROR(VLOOKUP(E1085,ABBR!C:F,1,FALSE))),"")</f>
        <v/>
      </c>
    </row>
    <row r="1086" spans="1:17" hidden="1" x14ac:dyDescent="0.25">
      <c r="A1086" s="16" t="s">
        <v>167</v>
      </c>
      <c r="B1086" s="17" t="s">
        <v>594</v>
      </c>
      <c r="C1086" s="16" t="s">
        <v>866</v>
      </c>
      <c r="D1086" s="17" t="s">
        <v>600</v>
      </c>
      <c r="E1086" s="17" t="s">
        <v>601</v>
      </c>
      <c r="F1086" s="18" t="s">
        <v>867</v>
      </c>
      <c r="G1086" s="49" t="s">
        <v>853</v>
      </c>
      <c r="H1086" s="17">
        <v>7</v>
      </c>
      <c r="O1086" s="62" t="str">
        <f>IF(E1086="PA",IF(K1086&lt;&gt;"",ISERROR(VLOOKUP(K1086,ABBR!A:D,1,FALSE)),ISERROR(VLOOKUP(C1086,ABBR!A:D,1,FALSE))),"")</f>
        <v/>
      </c>
      <c r="P1086" t="str">
        <f>VLOOKUP(A1086,Groups!A:L,5,FALSE)</f>
        <v>SAMP</v>
      </c>
      <c r="Q1086" s="62" t="str">
        <f>IF(G1086="PA",IF(M1086&lt;&gt;"",ISERROR(VLOOKUP(M1086,ABBR!C:F,1,FALSE)),ISERROR(VLOOKUP(E1086,ABBR!C:F,1,FALSE))),"")</f>
        <v/>
      </c>
    </row>
    <row r="1087" spans="1:17" hidden="1" x14ac:dyDescent="0.25">
      <c r="A1087" s="16" t="s">
        <v>167</v>
      </c>
      <c r="B1087" s="17"/>
      <c r="C1087" s="16" t="s">
        <v>868</v>
      </c>
      <c r="D1087" s="17"/>
      <c r="E1087" s="17" t="s">
        <v>608</v>
      </c>
      <c r="F1087" s="18" t="s">
        <v>869</v>
      </c>
      <c r="G1087" s="51" t="s">
        <v>1269</v>
      </c>
      <c r="H1087" s="17">
        <v>8</v>
      </c>
      <c r="O1087" s="62" t="str">
        <f>IF(E1087="PA",IF(K1087&lt;&gt;"",ISERROR(VLOOKUP(K1087,ABBR!A:D,1,FALSE)),ISERROR(VLOOKUP(C1087,ABBR!A:D,1,FALSE))),"")</f>
        <v/>
      </c>
      <c r="P1087" t="str">
        <f>VLOOKUP(A1087,Groups!A:L,5,FALSE)</f>
        <v>SAMP</v>
      </c>
      <c r="Q1087" s="62" t="str">
        <f>IF(G1087="PA",IF(M1087&lt;&gt;"",ISERROR(VLOOKUP(M1087,ABBR!C:F,1,FALSE)),ISERROR(VLOOKUP(E1087,ABBR!C:F,1,FALSE))),"")</f>
        <v/>
      </c>
    </row>
    <row r="1088" spans="1:17" ht="25" hidden="1" x14ac:dyDescent="0.25">
      <c r="A1088" s="16" t="s">
        <v>167</v>
      </c>
      <c r="B1088" s="17"/>
      <c r="C1088" s="16" t="s">
        <v>871</v>
      </c>
      <c r="D1088" s="17"/>
      <c r="E1088" s="17" t="s">
        <v>608</v>
      </c>
      <c r="F1088" s="18" t="s">
        <v>872</v>
      </c>
      <c r="G1088" s="49" t="s">
        <v>873</v>
      </c>
      <c r="H1088" s="17">
        <v>9</v>
      </c>
      <c r="O1088" s="62" t="str">
        <f>IF(E1088="PA",IF(K1088&lt;&gt;"",ISERROR(VLOOKUP(K1088,ABBR!A:D,1,FALSE)),ISERROR(VLOOKUP(C1088,ABBR!A:D,1,FALSE))),"")</f>
        <v/>
      </c>
      <c r="P1088" t="str">
        <f>VLOOKUP(A1088,Groups!A:L,5,FALSE)</f>
        <v>SAMP</v>
      </c>
      <c r="Q1088" s="62" t="str">
        <f>IF(G1088="PA",IF(M1088&lt;&gt;"",ISERROR(VLOOKUP(M1088,ABBR!C:F,1,FALSE)),ISERROR(VLOOKUP(E1088,ABBR!C:F,1,FALSE))),"")</f>
        <v/>
      </c>
    </row>
    <row r="1089" spans="1:17" hidden="1" x14ac:dyDescent="0.25">
      <c r="A1089" s="16" t="s">
        <v>167</v>
      </c>
      <c r="B1089" s="17"/>
      <c r="C1089" s="16" t="s">
        <v>2546</v>
      </c>
      <c r="D1089" s="17"/>
      <c r="E1089" s="17" t="s">
        <v>618</v>
      </c>
      <c r="F1089" s="18" t="s">
        <v>2547</v>
      </c>
      <c r="G1089" s="49" t="s">
        <v>2548</v>
      </c>
      <c r="H1089" s="17">
        <v>10</v>
      </c>
      <c r="O1089" s="62" t="b">
        <f>IF(E1089="PA",IF(K1089&lt;&gt;"",ISERROR(VLOOKUP(K1089,ABBR!A:D,1,FALSE)),ISERROR(VLOOKUP(C1089,ABBR!A:D,1,FALSE))),"")</f>
        <v>0</v>
      </c>
      <c r="P1089" t="str">
        <f>VLOOKUP(A1089,Groups!A:L,5,FALSE)</f>
        <v>SAMP</v>
      </c>
      <c r="Q1089" s="62" t="str">
        <f>IF(G1089="PA",IF(M1089&lt;&gt;"",ISERROR(VLOOKUP(M1089,ABBR!C:F,1,FALSE)),ISERROR(VLOOKUP(E1089,ABBR!C:F,1,FALSE))),"")</f>
        <v/>
      </c>
    </row>
    <row r="1090" spans="1:17" ht="25" hidden="1" x14ac:dyDescent="0.25">
      <c r="A1090" s="16" t="s">
        <v>167</v>
      </c>
      <c r="B1090" s="17"/>
      <c r="C1090" s="16" t="s">
        <v>2549</v>
      </c>
      <c r="D1090" s="17"/>
      <c r="E1090" s="17" t="s">
        <v>608</v>
      </c>
      <c r="F1090" s="18" t="s">
        <v>2550</v>
      </c>
      <c r="G1090" s="49" t="s">
        <v>2551</v>
      </c>
      <c r="H1090" s="17">
        <v>11</v>
      </c>
      <c r="O1090" s="62" t="str">
        <f>IF(E1090="PA",IF(K1090&lt;&gt;"",ISERROR(VLOOKUP(K1090,ABBR!A:D,1,FALSE)),ISERROR(VLOOKUP(C1090,ABBR!A:D,1,FALSE))),"")</f>
        <v/>
      </c>
      <c r="P1090" t="str">
        <f>VLOOKUP(A1090,Groups!A:L,5,FALSE)</f>
        <v>SAMP</v>
      </c>
      <c r="Q1090" s="62" t="str">
        <f>IF(G1090="PA",IF(M1090&lt;&gt;"",ISERROR(VLOOKUP(M1090,ABBR!C:F,1,FALSE)),ISERROR(VLOOKUP(E1090,ABBR!C:F,1,FALSE))),"")</f>
        <v/>
      </c>
    </row>
    <row r="1091" spans="1:17" hidden="1" x14ac:dyDescent="0.25">
      <c r="A1091" s="16" t="s">
        <v>167</v>
      </c>
      <c r="B1091" s="17"/>
      <c r="C1091" s="16" t="s">
        <v>2552</v>
      </c>
      <c r="D1091" s="17"/>
      <c r="E1091" s="17" t="s">
        <v>618</v>
      </c>
      <c r="F1091" s="18" t="s">
        <v>1272</v>
      </c>
      <c r="G1091" s="8" t="s">
        <v>2553</v>
      </c>
      <c r="H1091" s="17">
        <v>12</v>
      </c>
      <c r="O1091" s="62" t="b">
        <f>IF(E1091="PA",IF(K1091&lt;&gt;"",ISERROR(VLOOKUP(K1091,ABBR!A:D,1,FALSE)),ISERROR(VLOOKUP(C1091,ABBR!A:D,1,FALSE))),"")</f>
        <v>0</v>
      </c>
      <c r="P1091" t="str">
        <f>VLOOKUP(A1091,Groups!A:L,5,FALSE)</f>
        <v>SAMP</v>
      </c>
      <c r="Q1091" s="62" t="str">
        <f>IF(G1091="PA",IF(M1091&lt;&gt;"",ISERROR(VLOOKUP(M1091,ABBR!C:F,1,FALSE)),ISERROR(VLOOKUP(E1091,ABBR!C:F,1,FALSE))),"")</f>
        <v/>
      </c>
    </row>
    <row r="1092" spans="1:17" hidden="1" x14ac:dyDescent="0.25">
      <c r="A1092" s="16" t="s">
        <v>167</v>
      </c>
      <c r="B1092" s="17"/>
      <c r="C1092" s="16" t="s">
        <v>2554</v>
      </c>
      <c r="D1092" s="17" t="s">
        <v>722</v>
      </c>
      <c r="E1092" s="17" t="s">
        <v>601</v>
      </c>
      <c r="F1092" s="18" t="s">
        <v>1520</v>
      </c>
      <c r="G1092" s="49" t="s">
        <v>2555</v>
      </c>
      <c r="H1092" s="17">
        <v>13</v>
      </c>
      <c r="O1092" s="62" t="str">
        <f>IF(E1092="PA",IF(K1092&lt;&gt;"",ISERROR(VLOOKUP(K1092,ABBR!A:D,1,FALSE)),ISERROR(VLOOKUP(C1092,ABBR!A:D,1,FALSE))),"")</f>
        <v/>
      </c>
      <c r="P1092" t="str">
        <f>VLOOKUP(A1092,Groups!A:L,5,FALSE)</f>
        <v>SAMP</v>
      </c>
      <c r="Q1092" s="62" t="str">
        <f>IF(G1092="PA",IF(M1092&lt;&gt;"",ISERROR(VLOOKUP(M1092,ABBR!C:F,1,FALSE)),ISERROR(VLOOKUP(E1092,ABBR!C:F,1,FALSE))),"")</f>
        <v/>
      </c>
    </row>
    <row r="1093" spans="1:17" hidden="1" x14ac:dyDescent="0.25">
      <c r="A1093" s="16" t="s">
        <v>167</v>
      </c>
      <c r="B1093" s="17"/>
      <c r="C1093" s="16" t="s">
        <v>2556</v>
      </c>
      <c r="D1093" s="17" t="s">
        <v>722</v>
      </c>
      <c r="E1093" s="17" t="s">
        <v>601</v>
      </c>
      <c r="F1093" s="18" t="s">
        <v>1523</v>
      </c>
      <c r="G1093" s="49" t="s">
        <v>2557</v>
      </c>
      <c r="H1093" s="17">
        <v>14</v>
      </c>
      <c r="O1093" s="62" t="str">
        <f>IF(E1093="PA",IF(K1093&lt;&gt;"",ISERROR(VLOOKUP(K1093,ABBR!A:D,1,FALSE)),ISERROR(VLOOKUP(C1093,ABBR!A:D,1,FALSE))),"")</f>
        <v/>
      </c>
      <c r="P1093" t="str">
        <f>VLOOKUP(A1093,Groups!A:L,5,FALSE)</f>
        <v>SAMP</v>
      </c>
      <c r="Q1093" s="62" t="str">
        <f>IF(G1093="PA",IF(M1093&lt;&gt;"",ISERROR(VLOOKUP(M1093,ABBR!C:F,1,FALSE)),ISERROR(VLOOKUP(E1093,ABBR!C:F,1,FALSE))),"")</f>
        <v/>
      </c>
    </row>
    <row r="1094" spans="1:17" hidden="1" x14ac:dyDescent="0.25">
      <c r="A1094" s="16" t="s">
        <v>167</v>
      </c>
      <c r="B1094" s="17"/>
      <c r="C1094" s="16" t="s">
        <v>2558</v>
      </c>
      <c r="D1094" s="17" t="s">
        <v>766</v>
      </c>
      <c r="E1094" s="17" t="s">
        <v>608</v>
      </c>
      <c r="F1094" s="18" t="s">
        <v>1336</v>
      </c>
      <c r="G1094" s="49" t="s">
        <v>2559</v>
      </c>
      <c r="H1094" s="17">
        <v>15</v>
      </c>
      <c r="O1094" s="62" t="str">
        <f>IF(E1094="PA",IF(K1094&lt;&gt;"",ISERROR(VLOOKUP(K1094,ABBR!A:D,1,FALSE)),ISERROR(VLOOKUP(C1094,ABBR!A:D,1,FALSE))),"")</f>
        <v/>
      </c>
      <c r="P1094" t="str">
        <f>VLOOKUP(A1094,Groups!A:L,5,FALSE)</f>
        <v>SAMP</v>
      </c>
      <c r="Q1094" s="62" t="str">
        <f>IF(G1094="PA",IF(M1094&lt;&gt;"",ISERROR(VLOOKUP(M1094,ABBR!C:F,1,FALSE)),ISERROR(VLOOKUP(E1094,ABBR!C:F,1,FALSE))),"")</f>
        <v/>
      </c>
    </row>
    <row r="1095" spans="1:17" hidden="1" x14ac:dyDescent="0.25">
      <c r="A1095" s="16" t="s">
        <v>167</v>
      </c>
      <c r="B1095" s="17"/>
      <c r="C1095" s="16" t="s">
        <v>2560</v>
      </c>
      <c r="D1095" s="17" t="s">
        <v>766</v>
      </c>
      <c r="E1095" s="17" t="s">
        <v>608</v>
      </c>
      <c r="F1095" s="18" t="s">
        <v>1527</v>
      </c>
      <c r="G1095" s="49" t="s">
        <v>2561</v>
      </c>
      <c r="H1095" s="17">
        <v>16</v>
      </c>
      <c r="O1095" s="62" t="str">
        <f>IF(E1095="PA",IF(K1095&lt;&gt;"",ISERROR(VLOOKUP(K1095,ABBR!A:D,1,FALSE)),ISERROR(VLOOKUP(C1095,ABBR!A:D,1,FALSE))),"")</f>
        <v/>
      </c>
      <c r="P1095" t="str">
        <f>VLOOKUP(A1095,Groups!A:L,5,FALSE)</f>
        <v>SAMP</v>
      </c>
      <c r="Q1095" s="62" t="str">
        <f>IF(G1095="PA",IF(M1095&lt;&gt;"",ISERROR(VLOOKUP(M1095,ABBR!C:F,1,FALSE)),ISERROR(VLOOKUP(E1095,ABBR!C:F,1,FALSE))),"")</f>
        <v/>
      </c>
    </row>
    <row r="1096" spans="1:17" hidden="1" x14ac:dyDescent="0.25">
      <c r="A1096" s="16" t="s">
        <v>167</v>
      </c>
      <c r="B1096" s="17"/>
      <c r="C1096" s="16" t="s">
        <v>2562</v>
      </c>
      <c r="D1096" s="17" t="s">
        <v>1077</v>
      </c>
      <c r="E1096" s="17" t="s">
        <v>601</v>
      </c>
      <c r="F1096" s="18" t="s">
        <v>1339</v>
      </c>
      <c r="G1096" s="49" t="s">
        <v>1530</v>
      </c>
      <c r="H1096" s="17">
        <v>17</v>
      </c>
      <c r="O1096" s="62" t="str">
        <f>IF(E1096="PA",IF(K1096&lt;&gt;"",ISERROR(VLOOKUP(K1096,ABBR!A:D,1,FALSE)),ISERROR(VLOOKUP(C1096,ABBR!A:D,1,FALSE))),"")</f>
        <v/>
      </c>
      <c r="P1096" t="str">
        <f>VLOOKUP(A1096,Groups!A:L,5,FALSE)</f>
        <v>SAMP</v>
      </c>
      <c r="Q1096" s="62" t="str">
        <f>IF(G1096="PA",IF(M1096&lt;&gt;"",ISERROR(VLOOKUP(M1096,ABBR!C:F,1,FALSE)),ISERROR(VLOOKUP(E1096,ABBR!C:F,1,FALSE))),"")</f>
        <v/>
      </c>
    </row>
    <row r="1097" spans="1:17" hidden="1" x14ac:dyDescent="0.25">
      <c r="A1097" s="16" t="s">
        <v>167</v>
      </c>
      <c r="B1097" s="17"/>
      <c r="C1097" s="16" t="s">
        <v>2563</v>
      </c>
      <c r="D1097" s="17" t="s">
        <v>1077</v>
      </c>
      <c r="E1097" s="17" t="s">
        <v>601</v>
      </c>
      <c r="F1097" s="18" t="s">
        <v>2564</v>
      </c>
      <c r="G1097" s="49" t="s">
        <v>2565</v>
      </c>
      <c r="H1097" s="17">
        <v>18</v>
      </c>
      <c r="O1097" s="62" t="str">
        <f>IF(E1097="PA",IF(K1097&lt;&gt;"",ISERROR(VLOOKUP(K1097,ABBR!A:D,1,FALSE)),ISERROR(VLOOKUP(C1097,ABBR!A:D,1,FALSE))),"")</f>
        <v/>
      </c>
      <c r="P1097" t="str">
        <f>VLOOKUP(A1097,Groups!A:L,5,FALSE)</f>
        <v>SAMP</v>
      </c>
      <c r="Q1097" s="62" t="str">
        <f>IF(G1097="PA",IF(M1097&lt;&gt;"",ISERROR(VLOOKUP(M1097,ABBR!C:F,1,FALSE)),ISERROR(VLOOKUP(E1097,ABBR!C:F,1,FALSE))),"")</f>
        <v/>
      </c>
    </row>
    <row r="1098" spans="1:17" hidden="1" x14ac:dyDescent="0.25">
      <c r="A1098" s="16" t="s">
        <v>167</v>
      </c>
      <c r="B1098" s="17"/>
      <c r="C1098" s="16" t="s">
        <v>2566</v>
      </c>
      <c r="D1098" s="17" t="s">
        <v>1077</v>
      </c>
      <c r="E1098" s="17" t="s">
        <v>601</v>
      </c>
      <c r="F1098" s="18" t="s">
        <v>1532</v>
      </c>
      <c r="G1098" s="49" t="s">
        <v>1533</v>
      </c>
      <c r="H1098" s="17">
        <v>19</v>
      </c>
      <c r="O1098" s="62" t="str">
        <f>IF(E1098="PA",IF(K1098&lt;&gt;"",ISERROR(VLOOKUP(K1098,ABBR!A:D,1,FALSE)),ISERROR(VLOOKUP(C1098,ABBR!A:D,1,FALSE))),"")</f>
        <v/>
      </c>
      <c r="P1098" t="str">
        <f>VLOOKUP(A1098,Groups!A:L,5,FALSE)</f>
        <v>SAMP</v>
      </c>
      <c r="Q1098" s="62" t="str">
        <f>IF(G1098="PA",IF(M1098&lt;&gt;"",ISERROR(VLOOKUP(M1098,ABBR!C:F,1,FALSE)),ISERROR(VLOOKUP(E1098,ABBR!C:F,1,FALSE))),"")</f>
        <v/>
      </c>
    </row>
    <row r="1099" spans="1:17" hidden="1" x14ac:dyDescent="0.25">
      <c r="A1099" s="16" t="s">
        <v>167</v>
      </c>
      <c r="B1099" s="17"/>
      <c r="C1099" s="16" t="s">
        <v>2567</v>
      </c>
      <c r="D1099" s="17" t="s">
        <v>1077</v>
      </c>
      <c r="E1099" s="17" t="s">
        <v>1391</v>
      </c>
      <c r="F1099" s="18" t="s">
        <v>1462</v>
      </c>
      <c r="G1099" s="49" t="s">
        <v>1463</v>
      </c>
      <c r="H1099" s="17">
        <v>20</v>
      </c>
      <c r="O1099" s="62" t="str">
        <f>IF(E1099="PA",IF(K1099&lt;&gt;"",ISERROR(VLOOKUP(K1099,ABBR!A:D,1,FALSE)),ISERROR(VLOOKUP(C1099,ABBR!A:D,1,FALSE))),"")</f>
        <v/>
      </c>
      <c r="P1099" t="str">
        <f>VLOOKUP(A1099,Groups!A:L,5,FALSE)</f>
        <v>SAMP</v>
      </c>
      <c r="Q1099" s="62" t="str">
        <f>IF(G1099="PA",IF(M1099&lt;&gt;"",ISERROR(VLOOKUP(M1099,ABBR!C:F,1,FALSE)),ISERROR(VLOOKUP(E1099,ABBR!C:F,1,FALSE))),"")</f>
        <v/>
      </c>
    </row>
    <row r="1100" spans="1:17" hidden="1" x14ac:dyDescent="0.25">
      <c r="A1100" s="16" t="s">
        <v>167</v>
      </c>
      <c r="B1100" s="17"/>
      <c r="C1100" s="16" t="s">
        <v>2568</v>
      </c>
      <c r="D1100" s="17"/>
      <c r="E1100" s="17" t="s">
        <v>1321</v>
      </c>
      <c r="F1100" s="18" t="s">
        <v>1544</v>
      </c>
      <c r="G1100" s="49" t="s">
        <v>2569</v>
      </c>
      <c r="H1100" s="17">
        <v>21</v>
      </c>
      <c r="O1100" s="62" t="str">
        <f>IF(E1100="PA",IF(K1100&lt;&gt;"",ISERROR(VLOOKUP(K1100,ABBR!A:D,1,FALSE)),ISERROR(VLOOKUP(C1100,ABBR!A:D,1,FALSE))),"")</f>
        <v/>
      </c>
      <c r="P1100" t="str">
        <f>VLOOKUP(A1100,Groups!A:L,5,FALSE)</f>
        <v>SAMP</v>
      </c>
      <c r="Q1100" s="62" t="str">
        <f>IF(G1100="PA",IF(M1100&lt;&gt;"",ISERROR(VLOOKUP(M1100,ABBR!C:F,1,FALSE)),ISERROR(VLOOKUP(E1100,ABBR!C:F,1,FALSE))),"")</f>
        <v/>
      </c>
    </row>
    <row r="1101" spans="1:17" hidden="1" x14ac:dyDescent="0.25">
      <c r="A1101" s="16" t="s">
        <v>167</v>
      </c>
      <c r="B1101" s="17"/>
      <c r="C1101" s="16" t="s">
        <v>2570</v>
      </c>
      <c r="D1101" s="17" t="s">
        <v>766</v>
      </c>
      <c r="E1101" s="17" t="s">
        <v>767</v>
      </c>
      <c r="F1101" s="18" t="s">
        <v>1536</v>
      </c>
      <c r="G1101" s="49" t="s">
        <v>1537</v>
      </c>
      <c r="H1101" s="17">
        <v>22</v>
      </c>
      <c r="O1101" s="62" t="str">
        <f>IF(E1101="PA",IF(K1101&lt;&gt;"",ISERROR(VLOOKUP(K1101,ABBR!A:D,1,FALSE)),ISERROR(VLOOKUP(C1101,ABBR!A:D,1,FALSE))),"")</f>
        <v/>
      </c>
      <c r="P1101" t="str">
        <f>VLOOKUP(A1101,Groups!A:L,5,FALSE)</f>
        <v>SAMP</v>
      </c>
      <c r="Q1101" s="62" t="str">
        <f>IF(G1101="PA",IF(M1101&lt;&gt;"",ISERROR(VLOOKUP(M1101,ABBR!C:F,1,FALSE)),ISERROR(VLOOKUP(E1101,ABBR!C:F,1,FALSE))),"")</f>
        <v/>
      </c>
    </row>
    <row r="1102" spans="1:17" hidden="1" x14ac:dyDescent="0.25">
      <c r="A1102" s="16" t="s">
        <v>167</v>
      </c>
      <c r="B1102" s="17"/>
      <c r="C1102" s="16" t="s">
        <v>2571</v>
      </c>
      <c r="D1102" s="17"/>
      <c r="E1102" s="17" t="s">
        <v>608</v>
      </c>
      <c r="F1102" s="18" t="s">
        <v>2572</v>
      </c>
      <c r="G1102" s="49" t="s">
        <v>2573</v>
      </c>
      <c r="H1102" s="17">
        <v>23</v>
      </c>
      <c r="O1102" s="62" t="str">
        <f>IF(E1102="PA",IF(K1102&lt;&gt;"",ISERROR(VLOOKUP(K1102,ABBR!A:D,1,FALSE)),ISERROR(VLOOKUP(C1102,ABBR!A:D,1,FALSE))),"")</f>
        <v/>
      </c>
      <c r="P1102" t="str">
        <f>VLOOKUP(A1102,Groups!A:L,5,FALSE)</f>
        <v>SAMP</v>
      </c>
      <c r="Q1102" s="62" t="str">
        <f>IF(G1102="PA",IF(M1102&lt;&gt;"",ISERROR(VLOOKUP(M1102,ABBR!C:F,1,FALSE)),ISERROR(VLOOKUP(E1102,ABBR!C:F,1,FALSE))),"")</f>
        <v/>
      </c>
    </row>
    <row r="1103" spans="1:17" ht="37.5" hidden="1" x14ac:dyDescent="0.25">
      <c r="A1103" s="16" t="s">
        <v>167</v>
      </c>
      <c r="B1103" s="17"/>
      <c r="C1103" s="16" t="s">
        <v>2574</v>
      </c>
      <c r="D1103" s="17"/>
      <c r="E1103" s="17" t="s">
        <v>608</v>
      </c>
      <c r="F1103" s="18" t="s">
        <v>2575</v>
      </c>
      <c r="G1103" s="49" t="s">
        <v>2576</v>
      </c>
      <c r="H1103" s="17">
        <v>24</v>
      </c>
      <c r="O1103" s="62" t="str">
        <f>IF(E1103="PA",IF(K1103&lt;&gt;"",ISERROR(VLOOKUP(K1103,ABBR!A:D,1,FALSE)),ISERROR(VLOOKUP(C1103,ABBR!A:D,1,FALSE))),"")</f>
        <v/>
      </c>
      <c r="P1103" t="str">
        <f>VLOOKUP(A1103,Groups!A:L,5,FALSE)</f>
        <v>SAMP</v>
      </c>
      <c r="Q1103" s="62" t="str">
        <f>IF(G1103="PA",IF(M1103&lt;&gt;"",ISERROR(VLOOKUP(M1103,ABBR!C:F,1,FALSE)),ISERROR(VLOOKUP(E1103,ABBR!C:F,1,FALSE))),"")</f>
        <v/>
      </c>
    </row>
    <row r="1104" spans="1:17" hidden="1" x14ac:dyDescent="0.25">
      <c r="A1104" s="16" t="s">
        <v>167</v>
      </c>
      <c r="B1104" s="17"/>
      <c r="C1104" s="16" t="s">
        <v>2577</v>
      </c>
      <c r="D1104" s="17"/>
      <c r="E1104" s="17" t="s">
        <v>608</v>
      </c>
      <c r="F1104" s="18" t="s">
        <v>2578</v>
      </c>
      <c r="G1104" s="49" t="s">
        <v>2579</v>
      </c>
      <c r="H1104" s="17">
        <v>25</v>
      </c>
      <c r="O1104" s="62" t="str">
        <f>IF(E1104="PA",IF(K1104&lt;&gt;"",ISERROR(VLOOKUP(K1104,ABBR!A:D,1,FALSE)),ISERROR(VLOOKUP(C1104,ABBR!A:D,1,FALSE))),"")</f>
        <v/>
      </c>
      <c r="P1104" t="str">
        <f>VLOOKUP(A1104,Groups!A:L,5,FALSE)</f>
        <v>SAMP</v>
      </c>
      <c r="Q1104" s="62" t="str">
        <f>IF(G1104="PA",IF(M1104&lt;&gt;"",ISERROR(VLOOKUP(M1104,ABBR!C:F,1,FALSE)),ISERROR(VLOOKUP(E1104,ABBR!C:F,1,FALSE))),"")</f>
        <v/>
      </c>
    </row>
    <row r="1105" spans="1:17" hidden="1" x14ac:dyDescent="0.25">
      <c r="A1105" s="16" t="s">
        <v>167</v>
      </c>
      <c r="B1105" s="17"/>
      <c r="C1105" s="16" t="s">
        <v>2580</v>
      </c>
      <c r="D1105" s="17" t="s">
        <v>1345</v>
      </c>
      <c r="E1105" s="17" t="s">
        <v>882</v>
      </c>
      <c r="F1105" s="18" t="s">
        <v>2581</v>
      </c>
      <c r="G1105" s="49" t="s">
        <v>1116</v>
      </c>
      <c r="H1105" s="17">
        <v>26</v>
      </c>
      <c r="O1105" s="62" t="str">
        <f>IF(E1105="PA",IF(K1105&lt;&gt;"",ISERROR(VLOOKUP(K1105,ABBR!A:D,1,FALSE)),ISERROR(VLOOKUP(C1105,ABBR!A:D,1,FALSE))),"")</f>
        <v/>
      </c>
      <c r="P1105" t="str">
        <f>VLOOKUP(A1105,Groups!A:L,5,FALSE)</f>
        <v>SAMP</v>
      </c>
      <c r="Q1105" s="62" t="str">
        <f>IF(G1105="PA",IF(M1105&lt;&gt;"",ISERROR(VLOOKUP(M1105,ABBR!C:F,1,FALSE)),ISERROR(VLOOKUP(E1105,ABBR!C:F,1,FALSE))),"")</f>
        <v/>
      </c>
    </row>
    <row r="1106" spans="1:17" ht="25" hidden="1" x14ac:dyDescent="0.25">
      <c r="A1106" s="16" t="s">
        <v>167</v>
      </c>
      <c r="B1106" s="17"/>
      <c r="C1106" s="16" t="s">
        <v>2582</v>
      </c>
      <c r="D1106" s="17"/>
      <c r="E1106" s="17" t="s">
        <v>608</v>
      </c>
      <c r="F1106" s="18" t="s">
        <v>1822</v>
      </c>
      <c r="G1106" s="49" t="s">
        <v>2583</v>
      </c>
      <c r="H1106" s="17">
        <v>27</v>
      </c>
      <c r="O1106" s="62" t="str">
        <f>IF(E1106="PA",IF(K1106&lt;&gt;"",ISERROR(VLOOKUP(K1106,ABBR!A:D,1,FALSE)),ISERROR(VLOOKUP(C1106,ABBR!A:D,1,FALSE))),"")</f>
        <v/>
      </c>
      <c r="P1106" t="str">
        <f>VLOOKUP(A1106,Groups!A:L,5,FALSE)</f>
        <v>SAMP</v>
      </c>
      <c r="Q1106" s="62" t="str">
        <f>IF(G1106="PA",IF(M1106&lt;&gt;"",ISERROR(VLOOKUP(M1106,ABBR!C:F,1,FALSE)),ISERROR(VLOOKUP(E1106,ABBR!C:F,1,FALSE))),"")</f>
        <v/>
      </c>
    </row>
    <row r="1107" spans="1:17" hidden="1" x14ac:dyDescent="0.25">
      <c r="A1107" s="16" t="s">
        <v>167</v>
      </c>
      <c r="B1107" s="17"/>
      <c r="C1107" s="16" t="s">
        <v>2584</v>
      </c>
      <c r="D1107" s="17" t="s">
        <v>1345</v>
      </c>
      <c r="E1107" s="17" t="s">
        <v>767</v>
      </c>
      <c r="F1107" s="18" t="s">
        <v>2585</v>
      </c>
      <c r="G1107" s="49" t="s">
        <v>2067</v>
      </c>
      <c r="H1107" s="17">
        <v>28</v>
      </c>
      <c r="O1107" s="62" t="str">
        <f>IF(E1107="PA",IF(K1107&lt;&gt;"",ISERROR(VLOOKUP(K1107,ABBR!A:D,1,FALSE)),ISERROR(VLOOKUP(C1107,ABBR!A:D,1,FALSE))),"")</f>
        <v/>
      </c>
      <c r="P1107" t="str">
        <f>VLOOKUP(A1107,Groups!A:L,5,FALSE)</f>
        <v>SAMP</v>
      </c>
      <c r="Q1107" s="62" t="str">
        <f>IF(G1107="PA",IF(M1107&lt;&gt;"",ISERROR(VLOOKUP(M1107,ABBR!C:F,1,FALSE)),ISERROR(VLOOKUP(E1107,ABBR!C:F,1,FALSE))),"")</f>
        <v/>
      </c>
    </row>
    <row r="1108" spans="1:17" hidden="1" x14ac:dyDescent="0.25">
      <c r="A1108" s="16" t="s">
        <v>167</v>
      </c>
      <c r="B1108" s="17"/>
      <c r="C1108" s="16" t="s">
        <v>2586</v>
      </c>
      <c r="D1108" s="17" t="s">
        <v>1345</v>
      </c>
      <c r="E1108" s="17" t="s">
        <v>767</v>
      </c>
      <c r="F1108" s="18" t="s">
        <v>2587</v>
      </c>
      <c r="G1108" s="49" t="s">
        <v>910</v>
      </c>
      <c r="H1108" s="17">
        <v>29</v>
      </c>
      <c r="O1108" s="62" t="str">
        <f>IF(E1108="PA",IF(K1108&lt;&gt;"",ISERROR(VLOOKUP(K1108,ABBR!A:D,1,FALSE)),ISERROR(VLOOKUP(C1108,ABBR!A:D,1,FALSE))),"")</f>
        <v/>
      </c>
      <c r="P1108" t="str">
        <f>VLOOKUP(A1108,Groups!A:L,5,FALSE)</f>
        <v>SAMP</v>
      </c>
      <c r="Q1108" s="62" t="str">
        <f>IF(G1108="PA",IF(M1108&lt;&gt;"",ISERROR(VLOOKUP(M1108,ABBR!C:F,1,FALSE)),ISERROR(VLOOKUP(E1108,ABBR!C:F,1,FALSE))),"")</f>
        <v/>
      </c>
    </row>
    <row r="1109" spans="1:17" hidden="1" x14ac:dyDescent="0.25">
      <c r="A1109" s="16" t="s">
        <v>167</v>
      </c>
      <c r="B1109" s="17"/>
      <c r="C1109" s="16" t="s">
        <v>2588</v>
      </c>
      <c r="D1109" s="17" t="s">
        <v>1345</v>
      </c>
      <c r="E1109" s="17" t="s">
        <v>767</v>
      </c>
      <c r="F1109" s="18" t="s">
        <v>2589</v>
      </c>
      <c r="G1109" s="49" t="s">
        <v>2590</v>
      </c>
      <c r="H1109" s="17">
        <v>30</v>
      </c>
      <c r="O1109" s="62" t="str">
        <f>IF(E1109="PA",IF(K1109&lt;&gt;"",ISERROR(VLOOKUP(K1109,ABBR!A:D,1,FALSE)),ISERROR(VLOOKUP(C1109,ABBR!A:D,1,FALSE))),"")</f>
        <v/>
      </c>
      <c r="P1109" t="str">
        <f>VLOOKUP(A1109,Groups!A:L,5,FALSE)</f>
        <v>SAMP</v>
      </c>
      <c r="Q1109" s="62" t="str">
        <f>IF(G1109="PA",IF(M1109&lt;&gt;"",ISERROR(VLOOKUP(M1109,ABBR!C:F,1,FALSE)),ISERROR(VLOOKUP(E1109,ABBR!C:F,1,FALSE))),"")</f>
        <v/>
      </c>
    </row>
    <row r="1110" spans="1:17" hidden="1" x14ac:dyDescent="0.25">
      <c r="A1110" s="16" t="s">
        <v>167</v>
      </c>
      <c r="B1110" s="17"/>
      <c r="C1110" s="16" t="s">
        <v>2591</v>
      </c>
      <c r="D1110" s="17" t="s">
        <v>1345</v>
      </c>
      <c r="E1110" s="17" t="s">
        <v>767</v>
      </c>
      <c r="F1110" s="18" t="s">
        <v>2592</v>
      </c>
      <c r="G1110" s="49" t="s">
        <v>2593</v>
      </c>
      <c r="H1110" s="17">
        <v>31</v>
      </c>
      <c r="O1110" s="62" t="str">
        <f>IF(E1110="PA",IF(K1110&lt;&gt;"",ISERROR(VLOOKUP(K1110,ABBR!A:D,1,FALSE)),ISERROR(VLOOKUP(C1110,ABBR!A:D,1,FALSE))),"")</f>
        <v/>
      </c>
      <c r="P1110" t="str">
        <f>VLOOKUP(A1110,Groups!A:L,5,FALSE)</f>
        <v>SAMP</v>
      </c>
      <c r="Q1110" s="62" t="str">
        <f>IF(G1110="PA",IF(M1110&lt;&gt;"",ISERROR(VLOOKUP(M1110,ABBR!C:F,1,FALSE)),ISERROR(VLOOKUP(E1110,ABBR!C:F,1,FALSE))),"")</f>
        <v/>
      </c>
    </row>
    <row r="1111" spans="1:17" hidden="1" x14ac:dyDescent="0.25">
      <c r="A1111" s="16" t="s">
        <v>167</v>
      </c>
      <c r="B1111" s="17"/>
      <c r="C1111" s="16" t="s">
        <v>2594</v>
      </c>
      <c r="D1111" s="17"/>
      <c r="E1111" s="17" t="s">
        <v>601</v>
      </c>
      <c r="F1111" s="18" t="s">
        <v>2595</v>
      </c>
      <c r="G1111" s="49" t="s">
        <v>2596</v>
      </c>
      <c r="H1111" s="17">
        <v>32</v>
      </c>
      <c r="O1111" s="62" t="str">
        <f>IF(E1111="PA",IF(K1111&lt;&gt;"",ISERROR(VLOOKUP(K1111,ABBR!A:D,1,FALSE)),ISERROR(VLOOKUP(C1111,ABBR!A:D,1,FALSE))),"")</f>
        <v/>
      </c>
      <c r="P1111" t="str">
        <f>VLOOKUP(A1111,Groups!A:L,5,FALSE)</f>
        <v>SAMP</v>
      </c>
      <c r="Q1111" s="62" t="str">
        <f>IF(G1111="PA",IF(M1111&lt;&gt;"",ISERROR(VLOOKUP(M1111,ABBR!C:F,1,FALSE)),ISERROR(VLOOKUP(E1111,ABBR!C:F,1,FALSE))),"")</f>
        <v/>
      </c>
    </row>
    <row r="1112" spans="1:17" hidden="1" x14ac:dyDescent="0.25">
      <c r="A1112" s="16" t="s">
        <v>167</v>
      </c>
      <c r="B1112" s="17"/>
      <c r="C1112" s="16" t="s">
        <v>2597</v>
      </c>
      <c r="D1112" s="17" t="s">
        <v>2598</v>
      </c>
      <c r="E1112" s="17" t="s">
        <v>723</v>
      </c>
      <c r="F1112" s="18" t="s">
        <v>2599</v>
      </c>
      <c r="G1112" s="49" t="s">
        <v>1300</v>
      </c>
      <c r="H1112" s="17">
        <v>33</v>
      </c>
      <c r="O1112" s="62" t="str">
        <f>IF(E1112="PA",IF(K1112&lt;&gt;"",ISERROR(VLOOKUP(K1112,ABBR!A:D,1,FALSE)),ISERROR(VLOOKUP(C1112,ABBR!A:D,1,FALSE))),"")</f>
        <v/>
      </c>
      <c r="P1112" t="str">
        <f>VLOOKUP(A1112,Groups!A:L,5,FALSE)</f>
        <v>SAMP</v>
      </c>
      <c r="Q1112" s="62" t="str">
        <f>IF(G1112="PA",IF(M1112&lt;&gt;"",ISERROR(VLOOKUP(M1112,ABBR!C:F,1,FALSE)),ISERROR(VLOOKUP(E1112,ABBR!C:F,1,FALSE))),"")</f>
        <v/>
      </c>
    </row>
    <row r="1113" spans="1:17" ht="37.5" hidden="1" x14ac:dyDescent="0.25">
      <c r="A1113" s="16" t="s">
        <v>167</v>
      </c>
      <c r="B1113" s="17"/>
      <c r="C1113" s="16" t="s">
        <v>2600</v>
      </c>
      <c r="D1113" s="17"/>
      <c r="E1113" s="17" t="s">
        <v>608</v>
      </c>
      <c r="F1113" s="18" t="s">
        <v>1287</v>
      </c>
      <c r="G1113" s="49" t="s">
        <v>1514</v>
      </c>
      <c r="H1113" s="17">
        <v>34</v>
      </c>
      <c r="O1113" s="62" t="str">
        <f>IF(E1113="PA",IF(K1113&lt;&gt;"",ISERROR(VLOOKUP(K1113,ABBR!A:D,1,FALSE)),ISERROR(VLOOKUP(C1113,ABBR!A:D,1,FALSE))),"")</f>
        <v/>
      </c>
      <c r="P1113" t="str">
        <f>VLOOKUP(A1113,Groups!A:L,5,FALSE)</f>
        <v>SAMP</v>
      </c>
      <c r="Q1113" s="62" t="str">
        <f>IF(G1113="PA",IF(M1113&lt;&gt;"",ISERROR(VLOOKUP(M1113,ABBR!C:F,1,FALSE)),ISERROR(VLOOKUP(E1113,ABBR!C:F,1,FALSE))),"")</f>
        <v/>
      </c>
    </row>
    <row r="1114" spans="1:17" hidden="1" x14ac:dyDescent="0.25">
      <c r="A1114" s="16" t="s">
        <v>167</v>
      </c>
      <c r="B1114" s="17"/>
      <c r="C1114" s="16" t="s">
        <v>2601</v>
      </c>
      <c r="D1114" s="17"/>
      <c r="E1114" s="17" t="s">
        <v>608</v>
      </c>
      <c r="F1114" s="18" t="s">
        <v>918</v>
      </c>
      <c r="G1114" s="49" t="s">
        <v>2602</v>
      </c>
      <c r="H1114" s="17">
        <v>35</v>
      </c>
      <c r="O1114" s="62" t="str">
        <f>IF(E1114="PA",IF(K1114&lt;&gt;"",ISERROR(VLOOKUP(K1114,ABBR!A:D,1,FALSE)),ISERROR(VLOOKUP(C1114,ABBR!A:D,1,FALSE))),"")</f>
        <v/>
      </c>
      <c r="P1114" t="str">
        <f>VLOOKUP(A1114,Groups!A:L,5,FALSE)</f>
        <v>SAMP</v>
      </c>
      <c r="Q1114" s="62" t="str">
        <f>IF(G1114="PA",IF(M1114&lt;&gt;"",ISERROR(VLOOKUP(M1114,ABBR!C:F,1,FALSE)),ISERROR(VLOOKUP(E1114,ABBR!C:F,1,FALSE))),"")</f>
        <v/>
      </c>
    </row>
    <row r="1115" spans="1:17" hidden="1" x14ac:dyDescent="0.25">
      <c r="A1115" s="16" t="s">
        <v>167</v>
      </c>
      <c r="B1115" s="17"/>
      <c r="C1115" s="16" t="s">
        <v>2603</v>
      </c>
      <c r="D1115" s="17"/>
      <c r="E1115" s="17" t="s">
        <v>608</v>
      </c>
      <c r="F1115" s="18" t="s">
        <v>950</v>
      </c>
      <c r="G1115" s="27" t="s">
        <v>951</v>
      </c>
      <c r="H1115" s="17">
        <v>36</v>
      </c>
      <c r="O1115" s="62" t="str">
        <f>IF(E1115="PA",IF(K1115&lt;&gt;"",ISERROR(VLOOKUP(K1115,ABBR!A:D,1,FALSE)),ISERROR(VLOOKUP(C1115,ABBR!A:D,1,FALSE))),"")</f>
        <v/>
      </c>
      <c r="P1115" t="str">
        <f>VLOOKUP(A1115,Groups!A:L,5,FALSE)</f>
        <v>SAMP</v>
      </c>
      <c r="Q1115" s="62" t="str">
        <f>IF(G1115="PA",IF(M1115&lt;&gt;"",ISERROR(VLOOKUP(M1115,ABBR!C:F,1,FALSE)),ISERROR(VLOOKUP(E1115,ABBR!C:F,1,FALSE))),"")</f>
        <v/>
      </c>
    </row>
    <row r="1116" spans="1:17" ht="25" hidden="1" x14ac:dyDescent="0.25">
      <c r="A1116" s="16" t="s">
        <v>167</v>
      </c>
      <c r="B1116" s="17"/>
      <c r="C1116" s="16" t="s">
        <v>2604</v>
      </c>
      <c r="D1116" s="17"/>
      <c r="E1116" s="17" t="s">
        <v>608</v>
      </c>
      <c r="F1116" s="18" t="s">
        <v>934</v>
      </c>
      <c r="G1116" s="49" t="s">
        <v>953</v>
      </c>
      <c r="H1116" s="17">
        <v>37</v>
      </c>
      <c r="O1116" s="62" t="str">
        <f>IF(E1116="PA",IF(K1116&lt;&gt;"",ISERROR(VLOOKUP(K1116,ABBR!A:D,1,FALSE)),ISERROR(VLOOKUP(C1116,ABBR!A:D,1,FALSE))),"")</f>
        <v/>
      </c>
      <c r="P1116" t="str">
        <f>VLOOKUP(A1116,Groups!A:L,5,FALSE)</f>
        <v>SAMP</v>
      </c>
      <c r="Q1116" s="62" t="str">
        <f>IF(G1116="PA",IF(M1116&lt;&gt;"",ISERROR(VLOOKUP(M1116,ABBR!C:F,1,FALSE)),ISERROR(VLOOKUP(E1116,ABBR!C:F,1,FALSE))),"")</f>
        <v/>
      </c>
    </row>
    <row r="1117" spans="1:17" hidden="1" x14ac:dyDescent="0.25">
      <c r="A1117" s="16" t="s">
        <v>167</v>
      </c>
      <c r="B1117" s="17"/>
      <c r="C1117" s="16" t="s">
        <v>2605</v>
      </c>
      <c r="D1117" s="17"/>
      <c r="E1117" s="17" t="s">
        <v>1321</v>
      </c>
      <c r="F1117" s="18" t="s">
        <v>2606</v>
      </c>
      <c r="G1117" s="8">
        <v>0.69899999999999995</v>
      </c>
      <c r="H1117" s="17">
        <v>38</v>
      </c>
      <c r="O1117" s="62" t="str">
        <f>IF(E1117="PA",IF(K1117&lt;&gt;"",ISERROR(VLOOKUP(K1117,ABBR!A:D,1,FALSE)),ISERROR(VLOOKUP(C1117,ABBR!A:D,1,FALSE))),"")</f>
        <v/>
      </c>
      <c r="P1117" t="str">
        <f>VLOOKUP(A1117,Groups!A:L,5,FALSE)</f>
        <v>SAMP</v>
      </c>
      <c r="Q1117" s="62" t="str">
        <f>IF(G1117="PA",IF(M1117&lt;&gt;"",ISERROR(VLOOKUP(M1117,ABBR!C:F,1,FALSE)),ISERROR(VLOOKUP(E1117,ABBR!C:F,1,FALSE))),"")</f>
        <v/>
      </c>
    </row>
    <row r="1118" spans="1:17" hidden="1" x14ac:dyDescent="0.25">
      <c r="A1118" s="16" t="s">
        <v>167</v>
      </c>
      <c r="B1118" s="17"/>
      <c r="C1118" s="16" t="s">
        <v>2607</v>
      </c>
      <c r="D1118" s="17" t="s">
        <v>1345</v>
      </c>
      <c r="E1118" s="17" t="s">
        <v>767</v>
      </c>
      <c r="F1118" s="18" t="s">
        <v>2608</v>
      </c>
      <c r="G1118" s="8">
        <v>200</v>
      </c>
      <c r="H1118" s="17">
        <v>39</v>
      </c>
      <c r="O1118" s="62" t="str">
        <f>IF(E1118="PA",IF(K1118&lt;&gt;"",ISERROR(VLOOKUP(K1118,ABBR!A:D,1,FALSE)),ISERROR(VLOOKUP(C1118,ABBR!A:D,1,FALSE))),"")</f>
        <v/>
      </c>
      <c r="P1118" t="str">
        <f>VLOOKUP(A1118,Groups!A:L,5,FALSE)</f>
        <v>SAMP</v>
      </c>
      <c r="Q1118" s="62" t="str">
        <f>IF(G1118="PA",IF(M1118&lt;&gt;"",ISERROR(VLOOKUP(M1118,ABBR!C:F,1,FALSE)),ISERROR(VLOOKUP(E1118,ABBR!C:F,1,FALSE))),"")</f>
        <v/>
      </c>
    </row>
    <row r="1119" spans="1:17" hidden="1" x14ac:dyDescent="0.25">
      <c r="A1119" s="16" t="s">
        <v>167</v>
      </c>
      <c r="B1119" s="17"/>
      <c r="C1119" s="16" t="s">
        <v>2609</v>
      </c>
      <c r="D1119" s="17" t="s">
        <v>766</v>
      </c>
      <c r="E1119" s="17" t="s">
        <v>601</v>
      </c>
      <c r="F1119" s="18" t="s">
        <v>2610</v>
      </c>
      <c r="G1119" s="8">
        <v>0.85</v>
      </c>
      <c r="H1119" s="17">
        <v>40</v>
      </c>
      <c r="O1119" s="62" t="str">
        <f>IF(E1119="PA",IF(K1119&lt;&gt;"",ISERROR(VLOOKUP(K1119,ABBR!A:D,1,FALSE)),ISERROR(VLOOKUP(C1119,ABBR!A:D,1,FALSE))),"")</f>
        <v/>
      </c>
      <c r="P1119" t="str">
        <f>VLOOKUP(A1119,Groups!A:L,5,FALSE)</f>
        <v>SAMP</v>
      </c>
      <c r="Q1119" s="62" t="str">
        <f>IF(G1119="PA",IF(M1119&lt;&gt;"",ISERROR(VLOOKUP(M1119,ABBR!C:F,1,FALSE)),ISERROR(VLOOKUP(E1119,ABBR!C:F,1,FALSE))),"")</f>
        <v/>
      </c>
    </row>
    <row r="1120" spans="1:17" hidden="1" x14ac:dyDescent="0.25">
      <c r="A1120" s="16" t="s">
        <v>167</v>
      </c>
      <c r="B1120" s="17"/>
      <c r="C1120" s="16" t="s">
        <v>2611</v>
      </c>
      <c r="D1120" s="17" t="s">
        <v>1345</v>
      </c>
      <c r="E1120" s="17" t="s">
        <v>767</v>
      </c>
      <c r="F1120" s="18" t="s">
        <v>2612</v>
      </c>
      <c r="G1120" s="8">
        <v>500</v>
      </c>
      <c r="H1120" s="17">
        <v>41</v>
      </c>
      <c r="O1120" s="62" t="str">
        <f>IF(E1120="PA",IF(K1120&lt;&gt;"",ISERROR(VLOOKUP(K1120,ABBR!A:D,1,FALSE)),ISERROR(VLOOKUP(C1120,ABBR!A:D,1,FALSE))),"")</f>
        <v/>
      </c>
      <c r="P1120" t="str">
        <f>VLOOKUP(A1120,Groups!A:L,5,FALSE)</f>
        <v>SAMP</v>
      </c>
      <c r="Q1120" s="62" t="str">
        <f>IF(G1120="PA",IF(M1120&lt;&gt;"",ISERROR(VLOOKUP(M1120,ABBR!C:F,1,FALSE)),ISERROR(VLOOKUP(E1120,ABBR!C:F,1,FALSE))),"")</f>
        <v/>
      </c>
    </row>
    <row r="1121" spans="1:17" hidden="1" x14ac:dyDescent="0.25">
      <c r="A1121" s="16" t="s">
        <v>167</v>
      </c>
      <c r="B1121" s="17"/>
      <c r="C1121" s="16" t="s">
        <v>2613</v>
      </c>
      <c r="D1121" s="17"/>
      <c r="E1121" s="17" t="s">
        <v>723</v>
      </c>
      <c r="F1121" s="18" t="s">
        <v>2614</v>
      </c>
      <c r="G1121" s="8">
        <v>2.5</v>
      </c>
      <c r="H1121" s="17">
        <v>42</v>
      </c>
      <c r="O1121" s="62" t="str">
        <f>IF(E1121="PA",IF(K1121&lt;&gt;"",ISERROR(VLOOKUP(K1121,ABBR!A:D,1,FALSE)),ISERROR(VLOOKUP(C1121,ABBR!A:D,1,FALSE))),"")</f>
        <v/>
      </c>
      <c r="P1121" t="str">
        <f>VLOOKUP(A1121,Groups!A:L,5,FALSE)</f>
        <v>SAMP</v>
      </c>
      <c r="Q1121" s="62" t="str">
        <f>IF(G1121="PA",IF(M1121&lt;&gt;"",ISERROR(VLOOKUP(M1121,ABBR!C:F,1,FALSE)),ISERROR(VLOOKUP(E1121,ABBR!C:F,1,FALSE))),"")</f>
        <v/>
      </c>
    </row>
    <row r="1122" spans="1:17" hidden="1" x14ac:dyDescent="0.25">
      <c r="A1122" s="16" t="s">
        <v>167</v>
      </c>
      <c r="B1122" s="17"/>
      <c r="C1122" s="16" t="s">
        <v>2615</v>
      </c>
      <c r="D1122" s="17"/>
      <c r="E1122" s="17" t="s">
        <v>1321</v>
      </c>
      <c r="F1122" s="18" t="s">
        <v>2616</v>
      </c>
      <c r="G1122" s="8">
        <v>8.5000000000000006E-2</v>
      </c>
      <c r="H1122" s="17">
        <v>43</v>
      </c>
      <c r="O1122" s="62" t="str">
        <f>IF(E1122="PA",IF(K1122&lt;&gt;"",ISERROR(VLOOKUP(K1122,ABBR!A:D,1,FALSE)),ISERROR(VLOOKUP(C1122,ABBR!A:D,1,FALSE))),"")</f>
        <v/>
      </c>
      <c r="P1122" t="str">
        <f>VLOOKUP(A1122,Groups!A:L,5,FALSE)</f>
        <v>SAMP</v>
      </c>
      <c r="Q1122" s="62" t="str">
        <f>IF(G1122="PA",IF(M1122&lt;&gt;"",ISERROR(VLOOKUP(M1122,ABBR!C:F,1,FALSE)),ISERROR(VLOOKUP(E1122,ABBR!C:F,1,FALSE))),"")</f>
        <v/>
      </c>
    </row>
    <row r="1123" spans="1:17" hidden="1" x14ac:dyDescent="0.25">
      <c r="A1123" s="16" t="s">
        <v>167</v>
      </c>
      <c r="B1123" s="17"/>
      <c r="C1123" s="16" t="s">
        <v>2617</v>
      </c>
      <c r="D1123" s="17"/>
      <c r="E1123" s="17" t="s">
        <v>1321</v>
      </c>
      <c r="F1123" s="18" t="s">
        <v>2618</v>
      </c>
      <c r="G1123" s="8">
        <v>8.9999999999999993E-3</v>
      </c>
      <c r="H1123" s="17">
        <v>44</v>
      </c>
      <c r="O1123" s="62" t="str">
        <f>IF(E1123="PA",IF(K1123&lt;&gt;"",ISERROR(VLOOKUP(K1123,ABBR!A:D,1,FALSE)),ISERROR(VLOOKUP(C1123,ABBR!A:D,1,FALSE))),"")</f>
        <v/>
      </c>
      <c r="P1123" t="str">
        <f>VLOOKUP(A1123,Groups!A:L,5,FALSE)</f>
        <v>SAMP</v>
      </c>
      <c r="Q1123" s="62" t="str">
        <f>IF(G1123="PA",IF(M1123&lt;&gt;"",ISERROR(VLOOKUP(M1123,ABBR!C:F,1,FALSE)),ISERROR(VLOOKUP(E1123,ABBR!C:F,1,FALSE))),"")</f>
        <v/>
      </c>
    </row>
    <row r="1124" spans="1:17" hidden="1" x14ac:dyDescent="0.25">
      <c r="A1124" s="16" t="s">
        <v>167</v>
      </c>
      <c r="B1124" s="17"/>
      <c r="C1124" s="16" t="s">
        <v>936</v>
      </c>
      <c r="D1124" s="17"/>
      <c r="E1124" s="22" t="s">
        <v>608</v>
      </c>
      <c r="F1124" s="18" t="s">
        <v>937</v>
      </c>
      <c r="G1124" s="49" t="s">
        <v>938</v>
      </c>
      <c r="H1124" s="17">
        <v>45</v>
      </c>
      <c r="O1124" s="62" t="str">
        <f>IF(E1124="PA",IF(K1124&lt;&gt;"",ISERROR(VLOOKUP(K1124,ABBR!A:D,1,FALSE)),ISERROR(VLOOKUP(C1124,ABBR!A:D,1,FALSE))),"")</f>
        <v/>
      </c>
      <c r="P1124" t="str">
        <f>VLOOKUP(A1124,Groups!A:L,5,FALSE)</f>
        <v>SAMP</v>
      </c>
      <c r="Q1124" s="62" t="str">
        <f>IF(G1124="PA",IF(M1124&lt;&gt;"",ISERROR(VLOOKUP(M1124,ABBR!C:F,1,FALSE)),ISERROR(VLOOKUP(E1124,ABBR!C:F,1,FALSE))),"")</f>
        <v/>
      </c>
    </row>
    <row r="1125" spans="1:17" hidden="1" x14ac:dyDescent="0.25">
      <c r="A1125" s="16" t="s">
        <v>167</v>
      </c>
      <c r="B1125" s="17"/>
      <c r="C1125" s="16" t="s">
        <v>643</v>
      </c>
      <c r="D1125" s="17"/>
      <c r="E1125" s="17" t="s">
        <v>608</v>
      </c>
      <c r="F1125" s="18" t="s">
        <v>1294</v>
      </c>
      <c r="G1125" s="49" t="s">
        <v>1552</v>
      </c>
      <c r="H1125" s="17">
        <v>46</v>
      </c>
      <c r="O1125" s="62" t="str">
        <f>IF(E1125="PA",IF(K1125&lt;&gt;"",ISERROR(VLOOKUP(K1125,ABBR!A:D,1,FALSE)),ISERROR(VLOOKUP(C1125,ABBR!A:D,1,FALSE))),"")</f>
        <v/>
      </c>
      <c r="P1125" t="str">
        <f>VLOOKUP(A1125,Groups!A:L,5,FALSE)</f>
        <v>SAMP</v>
      </c>
      <c r="Q1125" s="62" t="str">
        <f>IF(G1125="PA",IF(M1125&lt;&gt;"",ISERROR(VLOOKUP(M1125,ABBR!C:F,1,FALSE)),ISERROR(VLOOKUP(E1125,ABBR!C:F,1,FALSE))),"")</f>
        <v/>
      </c>
    </row>
    <row r="1126" spans="1:17" hidden="1" x14ac:dyDescent="0.25">
      <c r="A1126" s="16" t="s">
        <v>167</v>
      </c>
      <c r="B1126" s="17"/>
      <c r="C1126" s="16" t="s">
        <v>877</v>
      </c>
      <c r="D1126" s="17" t="s">
        <v>600</v>
      </c>
      <c r="E1126" s="17" t="s">
        <v>601</v>
      </c>
      <c r="F1126" s="18" t="s">
        <v>878</v>
      </c>
      <c r="G1126" s="49" t="s">
        <v>879</v>
      </c>
      <c r="H1126" s="17">
        <v>47</v>
      </c>
      <c r="I1126" s="30" t="s">
        <v>955</v>
      </c>
      <c r="J1126" s="80">
        <v>4.0999999999999996</v>
      </c>
      <c r="O1126" s="62" t="str">
        <f>IF(E1126="PA",IF(K1126&lt;&gt;"",ISERROR(VLOOKUP(K1126,ABBR!A:D,1,FALSE)),ISERROR(VLOOKUP(C1126,ABBR!A:D,1,FALSE))),"")</f>
        <v/>
      </c>
      <c r="P1126" t="str">
        <f>VLOOKUP(A1126,Groups!A:L,5,FALSE)</f>
        <v>SAMP</v>
      </c>
      <c r="Q1126" s="62" t="str">
        <f>IF(G1126="PA",IF(M1126&lt;&gt;"",ISERROR(VLOOKUP(M1126,ABBR!C:F,1,FALSE)),ISERROR(VLOOKUP(E1126,ABBR!C:F,1,FALSE))),"")</f>
        <v/>
      </c>
    </row>
    <row r="1127" spans="1:17" hidden="1" x14ac:dyDescent="0.25">
      <c r="A1127" s="16" t="s">
        <v>167</v>
      </c>
      <c r="B1127" s="17"/>
      <c r="C1127" s="16" t="s">
        <v>2619</v>
      </c>
      <c r="D1127" s="17"/>
      <c r="E1127" s="17" t="s">
        <v>608</v>
      </c>
      <c r="F1127" s="18" t="s">
        <v>1554</v>
      </c>
      <c r="G1127" s="94" t="s">
        <v>922</v>
      </c>
      <c r="H1127" s="17">
        <v>48</v>
      </c>
      <c r="I1127" s="30" t="s">
        <v>955</v>
      </c>
      <c r="J1127" s="80">
        <v>4.0999999999999996</v>
      </c>
      <c r="M1127" s="193" t="s">
        <v>8795</v>
      </c>
      <c r="O1127" s="62" t="str">
        <f>IF(E1127="PA",IF(K1127&lt;&gt;"",ISERROR(VLOOKUP(K1127,ABBR!A:D,1,FALSE)),ISERROR(VLOOKUP(C1127,ABBR!A:D,1,FALSE))),"")</f>
        <v/>
      </c>
      <c r="P1127" t="str">
        <f>VLOOKUP(A1127,Groups!A:L,5,FALSE)</f>
        <v>SAMP</v>
      </c>
      <c r="Q1127" s="62" t="str">
        <f>IF(G1127="PA",IF(M1127&lt;&gt;"",ISERROR(VLOOKUP(M1127,ABBR!C:F,1,FALSE)),ISERROR(VLOOKUP(E1127,ABBR!C:F,1,FALSE))),"")</f>
        <v/>
      </c>
    </row>
    <row r="1128" spans="1:17" hidden="1" x14ac:dyDescent="0.25">
      <c r="A1128" s="16" t="s">
        <v>167</v>
      </c>
      <c r="B1128" s="17"/>
      <c r="C1128" s="16" t="s">
        <v>2620</v>
      </c>
      <c r="D1128" s="17" t="s">
        <v>924</v>
      </c>
      <c r="E1128" s="17" t="s">
        <v>925</v>
      </c>
      <c r="F1128" s="18" t="s">
        <v>926</v>
      </c>
      <c r="G1128" s="49" t="s">
        <v>927</v>
      </c>
      <c r="H1128" s="17">
        <v>49</v>
      </c>
      <c r="J1128" s="62" t="s">
        <v>473</v>
      </c>
      <c r="K1128" s="62"/>
      <c r="M1128" s="62"/>
      <c r="N1128" s="62"/>
      <c r="O1128" s="62" t="str">
        <f>IF(E1128="PA",IF(K1128&lt;&gt;"",ISERROR(VLOOKUP(K1128,ABBR!A:D,1,FALSE)),ISERROR(VLOOKUP(C1128,ABBR!A:D,1,FALSE))),"")</f>
        <v/>
      </c>
      <c r="P1128" t="str">
        <f>VLOOKUP(A1128,Groups!A:L,5,FALSE)</f>
        <v>SAMP</v>
      </c>
      <c r="Q1128" s="62" t="str">
        <f>IF(G1128="PA",IF(M1128&lt;&gt;"",ISERROR(VLOOKUP(M1128,ABBR!C:F,1,FALSE)),ISERROR(VLOOKUP(E1128,ABBR!C:F,1,FALSE))),"")</f>
        <v/>
      </c>
    </row>
    <row r="1129" spans="1:17" hidden="1" x14ac:dyDescent="0.25">
      <c r="A1129" s="16" t="s">
        <v>167</v>
      </c>
      <c r="B1129" s="17"/>
      <c r="C1129" s="16" t="s">
        <v>2621</v>
      </c>
      <c r="D1129" s="17"/>
      <c r="E1129" s="17" t="s">
        <v>608</v>
      </c>
      <c r="F1129" s="18" t="s">
        <v>875</v>
      </c>
      <c r="G1129" s="49" t="s">
        <v>876</v>
      </c>
      <c r="H1129" s="17">
        <v>50</v>
      </c>
      <c r="J1129" s="62" t="s">
        <v>473</v>
      </c>
      <c r="K1129" s="62"/>
      <c r="M1129" s="62"/>
      <c r="N1129" s="62"/>
      <c r="O1129" s="62" t="str">
        <f>IF(E1129="PA",IF(K1129&lt;&gt;"",ISERROR(VLOOKUP(K1129,ABBR!A:D,1,FALSE)),ISERROR(VLOOKUP(C1129,ABBR!A:D,1,FALSE))),"")</f>
        <v/>
      </c>
      <c r="P1129" t="str">
        <f>VLOOKUP(A1129,Groups!A:L,5,FALSE)</f>
        <v>SAMP</v>
      </c>
      <c r="Q1129" s="62" t="str">
        <f>IF(G1129="PA",IF(M1129&lt;&gt;"",ISERROR(VLOOKUP(M1129,ABBR!C:F,1,FALSE)),ISERROR(VLOOKUP(E1129,ABBR!C:F,1,FALSE))),"")</f>
        <v/>
      </c>
    </row>
    <row r="1130" spans="1:17" hidden="1" x14ac:dyDescent="0.25">
      <c r="A1130" s="16" t="s">
        <v>167</v>
      </c>
      <c r="B1130" s="17"/>
      <c r="C1130" s="16" t="s">
        <v>2622</v>
      </c>
      <c r="D1130" s="17"/>
      <c r="E1130" s="17" t="s">
        <v>608</v>
      </c>
      <c r="F1130" s="18" t="s">
        <v>929</v>
      </c>
      <c r="G1130" s="49" t="s">
        <v>876</v>
      </c>
      <c r="H1130" s="17">
        <v>51</v>
      </c>
      <c r="J1130" s="62" t="s">
        <v>473</v>
      </c>
      <c r="K1130" s="62"/>
      <c r="M1130" s="62"/>
      <c r="N1130" s="62"/>
      <c r="O1130" s="62" t="str">
        <f>IF(E1130="PA",IF(K1130&lt;&gt;"",ISERROR(VLOOKUP(K1130,ABBR!A:D,1,FALSE)),ISERROR(VLOOKUP(C1130,ABBR!A:D,1,FALSE))),"")</f>
        <v/>
      </c>
      <c r="P1130" t="str">
        <f>VLOOKUP(A1130,Groups!A:L,5,FALSE)</f>
        <v>SAMP</v>
      </c>
      <c r="Q1130" s="62" t="str">
        <f>IF(G1130="PA",IF(M1130&lt;&gt;"",ISERROR(VLOOKUP(M1130,ABBR!C:F,1,FALSE)),ISERROR(VLOOKUP(E1130,ABBR!C:F,1,FALSE))),"")</f>
        <v/>
      </c>
    </row>
    <row r="1131" spans="1:17" hidden="1" x14ac:dyDescent="0.25">
      <c r="A1131" s="16" t="s">
        <v>169</v>
      </c>
      <c r="B1131" s="17" t="s">
        <v>594</v>
      </c>
      <c r="C1131" s="16" t="s">
        <v>595</v>
      </c>
      <c r="D1131" s="17"/>
      <c r="E1131" s="17" t="s">
        <v>596</v>
      </c>
      <c r="F1131" s="18" t="s">
        <v>597</v>
      </c>
      <c r="G1131" s="49" t="s">
        <v>598</v>
      </c>
      <c r="H1131" s="17">
        <v>1</v>
      </c>
      <c r="O1131" s="62" t="str">
        <f>IF(E1131="PA",IF(K1131&lt;&gt;"",ISERROR(VLOOKUP(K1131,ABBR!A:D,1,FALSE)),ISERROR(VLOOKUP(C1131,ABBR!A:D,1,FALSE))),"")</f>
        <v/>
      </c>
      <c r="P1131" t="str">
        <f>VLOOKUP(A1131,Groups!A:L,5,FALSE)</f>
        <v>ESCG</v>
      </c>
      <c r="Q1131" s="62" t="str">
        <f>IF(G1131="PA",IF(M1131&lt;&gt;"",ISERROR(VLOOKUP(M1131,ABBR!C:F,1,FALSE)),ISERROR(VLOOKUP(E1131,ABBR!C:F,1,FALSE))),"")</f>
        <v/>
      </c>
    </row>
    <row r="1132" spans="1:17" hidden="1" x14ac:dyDescent="0.25">
      <c r="A1132" s="16" t="s">
        <v>169</v>
      </c>
      <c r="B1132" s="17" t="s">
        <v>594</v>
      </c>
      <c r="C1132" s="16" t="s">
        <v>851</v>
      </c>
      <c r="D1132" s="17" t="s">
        <v>600</v>
      </c>
      <c r="E1132" s="17" t="s">
        <v>601</v>
      </c>
      <c r="F1132" s="18" t="s">
        <v>852</v>
      </c>
      <c r="G1132" s="49" t="s">
        <v>853</v>
      </c>
      <c r="H1132" s="17">
        <v>2</v>
      </c>
      <c r="O1132" s="62" t="str">
        <f>IF(E1132="PA",IF(K1132&lt;&gt;"",ISERROR(VLOOKUP(K1132,ABBR!A:D,1,FALSE)),ISERROR(VLOOKUP(C1132,ABBR!A:D,1,FALSE))),"")</f>
        <v/>
      </c>
      <c r="P1132" t="str">
        <f>VLOOKUP(A1132,Groups!A:L,5,FALSE)</f>
        <v>ESCG</v>
      </c>
      <c r="Q1132" s="62" t="str">
        <f>IF(G1132="PA",IF(M1132&lt;&gt;"",ISERROR(VLOOKUP(M1132,ABBR!C:F,1,FALSE)),ISERROR(VLOOKUP(E1132,ABBR!C:F,1,FALSE))),"")</f>
        <v/>
      </c>
    </row>
    <row r="1133" spans="1:17" hidden="1" x14ac:dyDescent="0.25">
      <c r="A1133" s="16" t="s">
        <v>169</v>
      </c>
      <c r="B1133" s="17" t="s">
        <v>594</v>
      </c>
      <c r="C1133" s="16" t="s">
        <v>854</v>
      </c>
      <c r="D1133" s="17"/>
      <c r="E1133" s="17" t="s">
        <v>608</v>
      </c>
      <c r="F1133" s="18" t="s">
        <v>855</v>
      </c>
      <c r="G1133" s="49" t="s">
        <v>941</v>
      </c>
      <c r="H1133" s="17">
        <v>3</v>
      </c>
      <c r="O1133" s="62" t="str">
        <f>IF(E1133="PA",IF(K1133&lt;&gt;"",ISERROR(VLOOKUP(K1133,ABBR!A:D,1,FALSE)),ISERROR(VLOOKUP(C1133,ABBR!A:D,1,FALSE))),"")</f>
        <v/>
      </c>
      <c r="P1133" t="str">
        <f>VLOOKUP(A1133,Groups!A:L,5,FALSE)</f>
        <v>ESCG</v>
      </c>
      <c r="Q1133" s="62" t="str">
        <f>IF(G1133="PA",IF(M1133&lt;&gt;"",ISERROR(VLOOKUP(M1133,ABBR!C:F,1,FALSE)),ISERROR(VLOOKUP(E1133,ABBR!C:F,1,FALSE))),"")</f>
        <v/>
      </c>
    </row>
    <row r="1134" spans="1:17" hidden="1" x14ac:dyDescent="0.25">
      <c r="A1134" s="16" t="s">
        <v>169</v>
      </c>
      <c r="B1134" s="17" t="s">
        <v>594</v>
      </c>
      <c r="C1134" s="16" t="s">
        <v>857</v>
      </c>
      <c r="D1134" s="17"/>
      <c r="E1134" s="17" t="s">
        <v>618</v>
      </c>
      <c r="F1134" s="18" t="s">
        <v>858</v>
      </c>
      <c r="G1134" s="49" t="s">
        <v>859</v>
      </c>
      <c r="H1134" s="17">
        <v>4</v>
      </c>
      <c r="O1134" s="62" t="b">
        <f>IF(E1134="PA",IF(K1134&lt;&gt;"",ISERROR(VLOOKUP(K1134,ABBR!A:D,1,FALSE)),ISERROR(VLOOKUP(C1134,ABBR!A:D,1,FALSE))),"")</f>
        <v>0</v>
      </c>
      <c r="P1134" t="str">
        <f>VLOOKUP(A1134,Groups!A:L,5,FALSE)</f>
        <v>ESCG</v>
      </c>
      <c r="Q1134" s="62" t="str">
        <f>IF(G1134="PA",IF(M1134&lt;&gt;"",ISERROR(VLOOKUP(M1134,ABBR!C:F,1,FALSE)),ISERROR(VLOOKUP(E1134,ABBR!C:F,1,FALSE))),"")</f>
        <v/>
      </c>
    </row>
    <row r="1135" spans="1:17" hidden="1" x14ac:dyDescent="0.25">
      <c r="A1135" s="16" t="s">
        <v>169</v>
      </c>
      <c r="B1135" s="17" t="s">
        <v>594</v>
      </c>
      <c r="C1135" s="16" t="s">
        <v>860</v>
      </c>
      <c r="D1135" s="17"/>
      <c r="E1135" s="17" t="s">
        <v>596</v>
      </c>
      <c r="F1135" s="18" t="s">
        <v>942</v>
      </c>
      <c r="G1135" s="49" t="s">
        <v>862</v>
      </c>
      <c r="H1135" s="17">
        <v>5</v>
      </c>
      <c r="O1135" s="62" t="str">
        <f>IF(E1135="PA",IF(K1135&lt;&gt;"",ISERROR(VLOOKUP(K1135,ABBR!A:D,1,FALSE)),ISERROR(VLOOKUP(C1135,ABBR!A:D,1,FALSE))),"")</f>
        <v/>
      </c>
      <c r="P1135" t="str">
        <f>VLOOKUP(A1135,Groups!A:L,5,FALSE)</f>
        <v>ESCG</v>
      </c>
      <c r="Q1135" s="62" t="str">
        <f>IF(G1135="PA",IF(M1135&lt;&gt;"",ISERROR(VLOOKUP(M1135,ABBR!C:F,1,FALSE)),ISERROR(VLOOKUP(E1135,ABBR!C:F,1,FALSE))),"")</f>
        <v/>
      </c>
    </row>
    <row r="1136" spans="1:17" hidden="1" x14ac:dyDescent="0.25">
      <c r="A1136" s="16" t="s">
        <v>169</v>
      </c>
      <c r="B1136" s="17" t="s">
        <v>594</v>
      </c>
      <c r="C1136" s="16" t="s">
        <v>863</v>
      </c>
      <c r="D1136" s="17"/>
      <c r="E1136" s="17" t="s">
        <v>608</v>
      </c>
      <c r="F1136" s="18" t="s">
        <v>864</v>
      </c>
      <c r="G1136" s="49" t="s">
        <v>865</v>
      </c>
      <c r="H1136" s="17">
        <v>6</v>
      </c>
      <c r="O1136" s="62" t="str">
        <f>IF(E1136="PA",IF(K1136&lt;&gt;"",ISERROR(VLOOKUP(K1136,ABBR!A:D,1,FALSE)),ISERROR(VLOOKUP(C1136,ABBR!A:D,1,FALSE))),"")</f>
        <v/>
      </c>
      <c r="P1136" t="str">
        <f>VLOOKUP(A1136,Groups!A:L,5,FALSE)</f>
        <v>ESCG</v>
      </c>
      <c r="Q1136" s="62" t="str">
        <f>IF(G1136="PA",IF(M1136&lt;&gt;"",ISERROR(VLOOKUP(M1136,ABBR!C:F,1,FALSE)),ISERROR(VLOOKUP(E1136,ABBR!C:F,1,FALSE))),"")</f>
        <v/>
      </c>
    </row>
    <row r="1137" spans="1:17" hidden="1" x14ac:dyDescent="0.25">
      <c r="A1137" s="16" t="s">
        <v>169</v>
      </c>
      <c r="B1137" s="17" t="s">
        <v>594</v>
      </c>
      <c r="C1137" s="16" t="s">
        <v>866</v>
      </c>
      <c r="D1137" s="17" t="s">
        <v>600</v>
      </c>
      <c r="E1137" s="17" t="s">
        <v>601</v>
      </c>
      <c r="F1137" s="18" t="s">
        <v>867</v>
      </c>
      <c r="G1137" s="49" t="s">
        <v>853</v>
      </c>
      <c r="H1137" s="17">
        <v>7</v>
      </c>
      <c r="O1137" s="62" t="str">
        <f>IF(E1137="PA",IF(K1137&lt;&gt;"",ISERROR(VLOOKUP(K1137,ABBR!A:D,1,FALSE)),ISERROR(VLOOKUP(C1137,ABBR!A:D,1,FALSE))),"")</f>
        <v/>
      </c>
      <c r="P1137" t="str">
        <f>VLOOKUP(A1137,Groups!A:L,5,FALSE)</f>
        <v>ESCG</v>
      </c>
      <c r="Q1137" s="62" t="str">
        <f>IF(G1137="PA",IF(M1137&lt;&gt;"",ISERROR(VLOOKUP(M1137,ABBR!C:F,1,FALSE)),ISERROR(VLOOKUP(E1137,ABBR!C:F,1,FALSE))),"")</f>
        <v/>
      </c>
    </row>
    <row r="1138" spans="1:17" hidden="1" x14ac:dyDescent="0.25">
      <c r="A1138" s="16" t="s">
        <v>169</v>
      </c>
      <c r="B1138" s="17" t="s">
        <v>594</v>
      </c>
      <c r="C1138" s="16" t="s">
        <v>2623</v>
      </c>
      <c r="D1138" s="17"/>
      <c r="E1138" s="17" t="s">
        <v>608</v>
      </c>
      <c r="F1138" s="18" t="s">
        <v>2624</v>
      </c>
      <c r="G1138" s="49" t="s">
        <v>1507</v>
      </c>
      <c r="H1138" s="17">
        <v>8</v>
      </c>
      <c r="O1138" s="62" t="str">
        <f>IF(E1138="PA",IF(K1138&lt;&gt;"",ISERROR(VLOOKUP(K1138,ABBR!A:D,1,FALSE)),ISERROR(VLOOKUP(C1138,ABBR!A:D,1,FALSE))),"")</f>
        <v/>
      </c>
      <c r="P1138" t="str">
        <f>VLOOKUP(A1138,Groups!A:L,5,FALSE)</f>
        <v>ESCG</v>
      </c>
      <c r="Q1138" s="62" t="str">
        <f>IF(G1138="PA",IF(M1138&lt;&gt;"",ISERROR(VLOOKUP(M1138,ABBR!C:F,1,FALSE)),ISERROR(VLOOKUP(E1138,ABBR!C:F,1,FALSE))),"")</f>
        <v/>
      </c>
    </row>
    <row r="1139" spans="1:17" ht="25" hidden="1" x14ac:dyDescent="0.25">
      <c r="A1139" s="16" t="s">
        <v>169</v>
      </c>
      <c r="B1139" s="17"/>
      <c r="C1139" s="16" t="s">
        <v>2625</v>
      </c>
      <c r="D1139" s="17"/>
      <c r="E1139" s="17" t="s">
        <v>608</v>
      </c>
      <c r="F1139" s="18" t="s">
        <v>2626</v>
      </c>
      <c r="G1139" s="49" t="s">
        <v>2627</v>
      </c>
      <c r="H1139" s="17">
        <v>9</v>
      </c>
      <c r="O1139" s="62" t="str">
        <f>IF(E1139="PA",IF(K1139&lt;&gt;"",ISERROR(VLOOKUP(K1139,ABBR!A:D,1,FALSE)),ISERROR(VLOOKUP(C1139,ABBR!A:D,1,FALSE))),"")</f>
        <v/>
      </c>
      <c r="P1139" t="str">
        <f>VLOOKUP(A1139,Groups!A:L,5,FALSE)</f>
        <v>ESCG</v>
      </c>
      <c r="Q1139" s="62" t="str">
        <f>IF(G1139="PA",IF(M1139&lt;&gt;"",ISERROR(VLOOKUP(M1139,ABBR!C:F,1,FALSE)),ISERROR(VLOOKUP(E1139,ABBR!C:F,1,FALSE))),"")</f>
        <v/>
      </c>
    </row>
    <row r="1140" spans="1:17" hidden="1" x14ac:dyDescent="0.25">
      <c r="A1140" s="16" t="s">
        <v>169</v>
      </c>
      <c r="B1140" s="17"/>
      <c r="C1140" s="16" t="s">
        <v>2628</v>
      </c>
      <c r="D1140" s="17" t="s">
        <v>1345</v>
      </c>
      <c r="E1140" s="17" t="s">
        <v>767</v>
      </c>
      <c r="F1140" s="18" t="s">
        <v>2629</v>
      </c>
      <c r="G1140" s="49" t="s">
        <v>2630</v>
      </c>
      <c r="H1140" s="17">
        <v>10</v>
      </c>
      <c r="O1140" s="62" t="str">
        <f>IF(E1140="PA",IF(K1140&lt;&gt;"",ISERROR(VLOOKUP(K1140,ABBR!A:D,1,FALSE)),ISERROR(VLOOKUP(C1140,ABBR!A:D,1,FALSE))),"")</f>
        <v/>
      </c>
      <c r="P1140" t="str">
        <f>VLOOKUP(A1140,Groups!A:L,5,FALSE)</f>
        <v>ESCG</v>
      </c>
      <c r="Q1140" s="62" t="str">
        <f>IF(G1140="PA",IF(M1140&lt;&gt;"",ISERROR(VLOOKUP(M1140,ABBR!C:F,1,FALSE)),ISERROR(VLOOKUP(E1140,ABBR!C:F,1,FALSE))),"")</f>
        <v/>
      </c>
    </row>
    <row r="1141" spans="1:17" hidden="1" x14ac:dyDescent="0.25">
      <c r="A1141" s="16" t="s">
        <v>169</v>
      </c>
      <c r="B1141" s="17"/>
      <c r="C1141" s="16" t="s">
        <v>2631</v>
      </c>
      <c r="D1141" s="17" t="s">
        <v>1345</v>
      </c>
      <c r="E1141" s="17" t="s">
        <v>767</v>
      </c>
      <c r="F1141" s="18" t="s">
        <v>2632</v>
      </c>
      <c r="G1141" s="49" t="s">
        <v>2593</v>
      </c>
      <c r="H1141" s="17">
        <v>11</v>
      </c>
      <c r="O1141" s="62" t="str">
        <f>IF(E1141="PA",IF(K1141&lt;&gt;"",ISERROR(VLOOKUP(K1141,ABBR!A:D,1,FALSE)),ISERROR(VLOOKUP(C1141,ABBR!A:D,1,FALSE))),"")</f>
        <v/>
      </c>
      <c r="P1141" t="str">
        <f>VLOOKUP(A1141,Groups!A:L,5,FALSE)</f>
        <v>ESCG</v>
      </c>
      <c r="Q1141" s="62" t="str">
        <f>IF(G1141="PA",IF(M1141&lt;&gt;"",ISERROR(VLOOKUP(M1141,ABBR!C:F,1,FALSE)),ISERROR(VLOOKUP(E1141,ABBR!C:F,1,FALSE))),"")</f>
        <v/>
      </c>
    </row>
    <row r="1142" spans="1:17" hidden="1" x14ac:dyDescent="0.25">
      <c r="A1142" s="16" t="s">
        <v>169</v>
      </c>
      <c r="B1142" s="17"/>
      <c r="C1142" s="16" t="s">
        <v>2633</v>
      </c>
      <c r="D1142" s="17" t="s">
        <v>1345</v>
      </c>
      <c r="E1142" s="17" t="s">
        <v>767</v>
      </c>
      <c r="F1142" s="18" t="s">
        <v>2634</v>
      </c>
      <c r="G1142" s="49" t="s">
        <v>2635</v>
      </c>
      <c r="H1142" s="17">
        <v>12</v>
      </c>
      <c r="O1142" s="62" t="str">
        <f>IF(E1142="PA",IF(K1142&lt;&gt;"",ISERROR(VLOOKUP(K1142,ABBR!A:D,1,FALSE)),ISERROR(VLOOKUP(C1142,ABBR!A:D,1,FALSE))),"")</f>
        <v/>
      </c>
      <c r="P1142" t="str">
        <f>VLOOKUP(A1142,Groups!A:L,5,FALSE)</f>
        <v>ESCG</v>
      </c>
      <c r="Q1142" s="62" t="str">
        <f>IF(G1142="PA",IF(M1142&lt;&gt;"",ISERROR(VLOOKUP(M1142,ABBR!C:F,1,FALSE)),ISERROR(VLOOKUP(E1142,ABBR!C:F,1,FALSE))),"")</f>
        <v/>
      </c>
    </row>
    <row r="1143" spans="1:17" hidden="1" x14ac:dyDescent="0.25">
      <c r="A1143" s="16" t="s">
        <v>169</v>
      </c>
      <c r="B1143" s="17"/>
      <c r="C1143" s="16" t="s">
        <v>2636</v>
      </c>
      <c r="D1143" s="17" t="s">
        <v>1345</v>
      </c>
      <c r="E1143" s="17" t="s">
        <v>767</v>
      </c>
      <c r="F1143" s="18" t="s">
        <v>2637</v>
      </c>
      <c r="G1143" s="49" t="s">
        <v>2593</v>
      </c>
      <c r="H1143" s="17">
        <v>13</v>
      </c>
      <c r="O1143" s="62" t="str">
        <f>IF(E1143="PA",IF(K1143&lt;&gt;"",ISERROR(VLOOKUP(K1143,ABBR!A:D,1,FALSE)),ISERROR(VLOOKUP(C1143,ABBR!A:D,1,FALSE))),"")</f>
        <v/>
      </c>
      <c r="P1143" t="str">
        <f>VLOOKUP(A1143,Groups!A:L,5,FALSE)</f>
        <v>ESCG</v>
      </c>
      <c r="Q1143" s="62" t="str">
        <f>IF(G1143="PA",IF(M1143&lt;&gt;"",ISERROR(VLOOKUP(M1143,ABBR!C:F,1,FALSE)),ISERROR(VLOOKUP(E1143,ABBR!C:F,1,FALSE))),"")</f>
        <v/>
      </c>
    </row>
    <row r="1144" spans="1:17" hidden="1" x14ac:dyDescent="0.25">
      <c r="A1144" s="16" t="s">
        <v>169</v>
      </c>
      <c r="B1144" s="17"/>
      <c r="C1144" s="16" t="s">
        <v>2638</v>
      </c>
      <c r="D1144" s="17" t="s">
        <v>1345</v>
      </c>
      <c r="E1144" s="17" t="s">
        <v>767</v>
      </c>
      <c r="F1144" s="18" t="s">
        <v>2639</v>
      </c>
      <c r="G1144" s="49" t="s">
        <v>2590</v>
      </c>
      <c r="H1144" s="17">
        <v>14</v>
      </c>
      <c r="O1144" s="62" t="str">
        <f>IF(E1144="PA",IF(K1144&lt;&gt;"",ISERROR(VLOOKUP(K1144,ABBR!A:D,1,FALSE)),ISERROR(VLOOKUP(C1144,ABBR!A:D,1,FALSE))),"")</f>
        <v/>
      </c>
      <c r="P1144" t="str">
        <f>VLOOKUP(A1144,Groups!A:L,5,FALSE)</f>
        <v>ESCG</v>
      </c>
      <c r="Q1144" s="62" t="str">
        <f>IF(G1144="PA",IF(M1144&lt;&gt;"",ISERROR(VLOOKUP(M1144,ABBR!C:F,1,FALSE)),ISERROR(VLOOKUP(E1144,ABBR!C:F,1,FALSE))),"")</f>
        <v/>
      </c>
    </row>
    <row r="1145" spans="1:17" hidden="1" x14ac:dyDescent="0.25">
      <c r="A1145" s="16" t="s">
        <v>169</v>
      </c>
      <c r="B1145" s="17"/>
      <c r="C1145" s="16" t="s">
        <v>2640</v>
      </c>
      <c r="D1145" s="17"/>
      <c r="E1145" s="17" t="s">
        <v>1321</v>
      </c>
      <c r="F1145" s="18" t="s">
        <v>1569</v>
      </c>
      <c r="G1145" s="49" t="s">
        <v>2641</v>
      </c>
      <c r="H1145" s="17">
        <v>15</v>
      </c>
      <c r="O1145" s="62" t="str">
        <f>IF(E1145="PA",IF(K1145&lt;&gt;"",ISERROR(VLOOKUP(K1145,ABBR!A:D,1,FALSE)),ISERROR(VLOOKUP(C1145,ABBR!A:D,1,FALSE))),"")</f>
        <v/>
      </c>
      <c r="P1145" t="str">
        <f>VLOOKUP(A1145,Groups!A:L,5,FALSE)</f>
        <v>ESCG</v>
      </c>
      <c r="Q1145" s="62" t="str">
        <f>IF(G1145="PA",IF(M1145&lt;&gt;"",ISERROR(VLOOKUP(M1145,ABBR!C:F,1,FALSE)),ISERROR(VLOOKUP(E1145,ABBR!C:F,1,FALSE))),"")</f>
        <v/>
      </c>
    </row>
    <row r="1146" spans="1:17" hidden="1" x14ac:dyDescent="0.25">
      <c r="A1146" s="16" t="s">
        <v>169</v>
      </c>
      <c r="B1146" s="17"/>
      <c r="C1146" s="16" t="s">
        <v>2642</v>
      </c>
      <c r="D1146" s="17"/>
      <c r="E1146" s="17" t="s">
        <v>1321</v>
      </c>
      <c r="F1146" s="18" t="s">
        <v>1574</v>
      </c>
      <c r="G1146" s="49" t="s">
        <v>2643</v>
      </c>
      <c r="H1146" s="17">
        <v>16</v>
      </c>
      <c r="O1146" s="62" t="str">
        <f>IF(E1146="PA",IF(K1146&lt;&gt;"",ISERROR(VLOOKUP(K1146,ABBR!A:D,1,FALSE)),ISERROR(VLOOKUP(C1146,ABBR!A:D,1,FALSE))),"")</f>
        <v/>
      </c>
      <c r="P1146" t="str">
        <f>VLOOKUP(A1146,Groups!A:L,5,FALSE)</f>
        <v>ESCG</v>
      </c>
      <c r="Q1146" s="62" t="str">
        <f>IF(G1146="PA",IF(M1146&lt;&gt;"",ISERROR(VLOOKUP(M1146,ABBR!C:F,1,FALSE)),ISERROR(VLOOKUP(E1146,ABBR!C:F,1,FALSE))),"")</f>
        <v/>
      </c>
    </row>
    <row r="1147" spans="1:17" hidden="1" x14ac:dyDescent="0.25">
      <c r="A1147" s="16" t="s">
        <v>169</v>
      </c>
      <c r="B1147" s="17"/>
      <c r="C1147" s="16" t="s">
        <v>2644</v>
      </c>
      <c r="D1147" s="17" t="s">
        <v>766</v>
      </c>
      <c r="E1147" s="17" t="s">
        <v>767</v>
      </c>
      <c r="F1147" s="18" t="s">
        <v>2645</v>
      </c>
      <c r="G1147" s="49" t="s">
        <v>1537</v>
      </c>
      <c r="H1147" s="17">
        <v>17</v>
      </c>
      <c r="O1147" s="62" t="str">
        <f>IF(E1147="PA",IF(K1147&lt;&gt;"",ISERROR(VLOOKUP(K1147,ABBR!A:D,1,FALSE)),ISERROR(VLOOKUP(C1147,ABBR!A:D,1,FALSE))),"")</f>
        <v/>
      </c>
      <c r="P1147" t="str">
        <f>VLOOKUP(A1147,Groups!A:L,5,FALSE)</f>
        <v>ESCG</v>
      </c>
      <c r="Q1147" s="62" t="str">
        <f>IF(G1147="PA",IF(M1147&lt;&gt;"",ISERROR(VLOOKUP(M1147,ABBR!C:F,1,FALSE)),ISERROR(VLOOKUP(E1147,ABBR!C:F,1,FALSE))),"")</f>
        <v/>
      </c>
    </row>
    <row r="1148" spans="1:17" hidden="1" x14ac:dyDescent="0.25">
      <c r="A1148" s="16" t="s">
        <v>169</v>
      </c>
      <c r="B1148" s="17"/>
      <c r="C1148" s="16" t="s">
        <v>2646</v>
      </c>
      <c r="D1148" s="17" t="s">
        <v>722</v>
      </c>
      <c r="E1148" s="17" t="s">
        <v>1321</v>
      </c>
      <c r="F1148" s="18" t="s">
        <v>2647</v>
      </c>
      <c r="G1148" s="49" t="s">
        <v>2648</v>
      </c>
      <c r="H1148" s="17">
        <v>18</v>
      </c>
      <c r="O1148" s="62" t="str">
        <f>IF(E1148="PA",IF(K1148&lt;&gt;"",ISERROR(VLOOKUP(K1148,ABBR!A:D,1,FALSE)),ISERROR(VLOOKUP(C1148,ABBR!A:D,1,FALSE))),"")</f>
        <v/>
      </c>
      <c r="P1148" t="str">
        <f>VLOOKUP(A1148,Groups!A:L,5,FALSE)</f>
        <v>ESCG</v>
      </c>
      <c r="Q1148" s="62" t="str">
        <f>IF(G1148="PA",IF(M1148&lt;&gt;"",ISERROR(VLOOKUP(M1148,ABBR!C:F,1,FALSE)),ISERROR(VLOOKUP(E1148,ABBR!C:F,1,FALSE))),"")</f>
        <v/>
      </c>
    </row>
    <row r="1149" spans="1:17" hidden="1" x14ac:dyDescent="0.25">
      <c r="A1149" s="16" t="s">
        <v>169</v>
      </c>
      <c r="B1149" s="17"/>
      <c r="C1149" s="16" t="s">
        <v>2649</v>
      </c>
      <c r="D1149" s="17" t="s">
        <v>2598</v>
      </c>
      <c r="E1149" s="17" t="s">
        <v>723</v>
      </c>
      <c r="F1149" s="18" t="s">
        <v>2650</v>
      </c>
      <c r="G1149" s="49" t="s">
        <v>2651</v>
      </c>
      <c r="H1149" s="17">
        <v>19</v>
      </c>
      <c r="O1149" s="62" t="str">
        <f>IF(E1149="PA",IF(K1149&lt;&gt;"",ISERROR(VLOOKUP(K1149,ABBR!A:D,1,FALSE)),ISERROR(VLOOKUP(C1149,ABBR!A:D,1,FALSE))),"")</f>
        <v/>
      </c>
      <c r="P1149" t="str">
        <f>VLOOKUP(A1149,Groups!A:L,5,FALSE)</f>
        <v>ESCG</v>
      </c>
      <c r="Q1149" s="62" t="str">
        <f>IF(G1149="PA",IF(M1149&lt;&gt;"",ISERROR(VLOOKUP(M1149,ABBR!C:F,1,FALSE)),ISERROR(VLOOKUP(E1149,ABBR!C:F,1,FALSE))),"")</f>
        <v/>
      </c>
    </row>
    <row r="1150" spans="1:17" ht="25" hidden="1" x14ac:dyDescent="0.25">
      <c r="A1150" s="16" t="s">
        <v>169</v>
      </c>
      <c r="B1150" s="17"/>
      <c r="C1150" s="16" t="s">
        <v>2652</v>
      </c>
      <c r="D1150" s="17" t="s">
        <v>1578</v>
      </c>
      <c r="E1150" s="17" t="s">
        <v>882</v>
      </c>
      <c r="F1150" s="18" t="s">
        <v>1579</v>
      </c>
      <c r="G1150" s="49" t="s">
        <v>1580</v>
      </c>
      <c r="H1150" s="17">
        <v>20</v>
      </c>
      <c r="O1150" s="62" t="str">
        <f>IF(E1150="PA",IF(K1150&lt;&gt;"",ISERROR(VLOOKUP(K1150,ABBR!A:D,1,FALSE)),ISERROR(VLOOKUP(C1150,ABBR!A:D,1,FALSE))),"")</f>
        <v/>
      </c>
      <c r="P1150" t="str">
        <f>VLOOKUP(A1150,Groups!A:L,5,FALSE)</f>
        <v>ESCG</v>
      </c>
      <c r="Q1150" s="62" t="str">
        <f>IF(G1150="PA",IF(M1150&lt;&gt;"",ISERROR(VLOOKUP(M1150,ABBR!C:F,1,FALSE)),ISERROR(VLOOKUP(E1150,ABBR!C:F,1,FALSE))),"")</f>
        <v/>
      </c>
    </row>
    <row r="1151" spans="1:17" ht="25" hidden="1" x14ac:dyDescent="0.25">
      <c r="A1151" s="16" t="s">
        <v>169</v>
      </c>
      <c r="B1151" s="17"/>
      <c r="C1151" s="16" t="s">
        <v>2653</v>
      </c>
      <c r="D1151" s="17" t="s">
        <v>1585</v>
      </c>
      <c r="E1151" s="17" t="s">
        <v>882</v>
      </c>
      <c r="F1151" s="18" t="s">
        <v>2654</v>
      </c>
      <c r="G1151" s="49" t="s">
        <v>884</v>
      </c>
      <c r="H1151" s="17">
        <v>21</v>
      </c>
      <c r="O1151" s="62" t="str">
        <f>IF(E1151="PA",IF(K1151&lt;&gt;"",ISERROR(VLOOKUP(K1151,ABBR!A:D,1,FALSE)),ISERROR(VLOOKUP(C1151,ABBR!A:D,1,FALSE))),"")</f>
        <v/>
      </c>
      <c r="P1151" t="str">
        <f>VLOOKUP(A1151,Groups!A:L,5,FALSE)</f>
        <v>ESCG</v>
      </c>
      <c r="Q1151" s="62" t="str">
        <f>IF(G1151="PA",IF(M1151&lt;&gt;"",ISERROR(VLOOKUP(M1151,ABBR!C:F,1,FALSE)),ISERROR(VLOOKUP(E1151,ABBR!C:F,1,FALSE))),"")</f>
        <v/>
      </c>
    </row>
    <row r="1152" spans="1:17" ht="25" hidden="1" x14ac:dyDescent="0.25">
      <c r="A1152" s="16" t="s">
        <v>169</v>
      </c>
      <c r="B1152" s="17"/>
      <c r="C1152" s="16" t="s">
        <v>2655</v>
      </c>
      <c r="D1152" s="17"/>
      <c r="E1152" s="17" t="s">
        <v>882</v>
      </c>
      <c r="F1152" s="18" t="s">
        <v>1582</v>
      </c>
      <c r="G1152" s="49" t="s">
        <v>1583</v>
      </c>
      <c r="H1152" s="17">
        <v>22</v>
      </c>
      <c r="O1152" s="62" t="str">
        <f>IF(E1152="PA",IF(K1152&lt;&gt;"",ISERROR(VLOOKUP(K1152,ABBR!A:D,1,FALSE)),ISERROR(VLOOKUP(C1152,ABBR!A:D,1,FALSE))),"")</f>
        <v/>
      </c>
      <c r="P1152" t="str">
        <f>VLOOKUP(A1152,Groups!A:L,5,FALSE)</f>
        <v>ESCG</v>
      </c>
      <c r="Q1152" s="62" t="str">
        <f>IF(G1152="PA",IF(M1152&lt;&gt;"",ISERROR(VLOOKUP(M1152,ABBR!C:F,1,FALSE)),ISERROR(VLOOKUP(E1152,ABBR!C:F,1,FALSE))),"")</f>
        <v/>
      </c>
    </row>
    <row r="1153" spans="1:17" ht="25" hidden="1" x14ac:dyDescent="0.25">
      <c r="A1153" s="16" t="s">
        <v>169</v>
      </c>
      <c r="B1153" s="17"/>
      <c r="C1153" s="16" t="s">
        <v>2656</v>
      </c>
      <c r="D1153" s="17"/>
      <c r="E1153" s="17" t="s">
        <v>608</v>
      </c>
      <c r="F1153" s="18" t="s">
        <v>2657</v>
      </c>
      <c r="G1153" s="49" t="s">
        <v>2658</v>
      </c>
      <c r="H1153" s="17">
        <v>23</v>
      </c>
      <c r="O1153" s="62" t="str">
        <f>IF(E1153="PA",IF(K1153&lt;&gt;"",ISERROR(VLOOKUP(K1153,ABBR!A:D,1,FALSE)),ISERROR(VLOOKUP(C1153,ABBR!A:D,1,FALSE))),"")</f>
        <v/>
      </c>
      <c r="P1153" t="str">
        <f>VLOOKUP(A1153,Groups!A:L,5,FALSE)</f>
        <v>ESCG</v>
      </c>
      <c r="Q1153" s="62" t="str">
        <f>IF(G1153="PA",IF(M1153&lt;&gt;"",ISERROR(VLOOKUP(M1153,ABBR!C:F,1,FALSE)),ISERROR(VLOOKUP(E1153,ABBR!C:F,1,FALSE))),"")</f>
        <v/>
      </c>
    </row>
    <row r="1154" spans="1:17" hidden="1" x14ac:dyDescent="0.25">
      <c r="A1154" s="16" t="s">
        <v>169</v>
      </c>
      <c r="B1154" s="17"/>
      <c r="C1154" s="16" t="s">
        <v>2659</v>
      </c>
      <c r="D1154" s="17" t="s">
        <v>1590</v>
      </c>
      <c r="E1154" s="17" t="s">
        <v>723</v>
      </c>
      <c r="F1154" s="18" t="s">
        <v>1591</v>
      </c>
      <c r="G1154" s="49" t="s">
        <v>1592</v>
      </c>
      <c r="H1154" s="17">
        <v>24</v>
      </c>
      <c r="O1154" s="62" t="str">
        <f>IF(E1154="PA",IF(K1154&lt;&gt;"",ISERROR(VLOOKUP(K1154,ABBR!A:D,1,FALSE)),ISERROR(VLOOKUP(C1154,ABBR!A:D,1,FALSE))),"")</f>
        <v/>
      </c>
      <c r="P1154" t="str">
        <f>VLOOKUP(A1154,Groups!A:L,5,FALSE)</f>
        <v>ESCG</v>
      </c>
      <c r="Q1154" s="62" t="str">
        <f>IF(G1154="PA",IF(M1154&lt;&gt;"",ISERROR(VLOOKUP(M1154,ABBR!C:F,1,FALSE)),ISERROR(VLOOKUP(E1154,ABBR!C:F,1,FALSE))),"")</f>
        <v/>
      </c>
    </row>
    <row r="1155" spans="1:17" hidden="1" x14ac:dyDescent="0.25">
      <c r="A1155" s="16" t="s">
        <v>169</v>
      </c>
      <c r="B1155" s="17"/>
      <c r="C1155" s="16" t="s">
        <v>643</v>
      </c>
      <c r="D1155" s="17"/>
      <c r="E1155" s="17" t="s">
        <v>608</v>
      </c>
      <c r="F1155" s="18" t="s">
        <v>954</v>
      </c>
      <c r="G1155" s="49" t="s">
        <v>1552</v>
      </c>
      <c r="H1155" s="17">
        <v>25</v>
      </c>
      <c r="O1155" s="62" t="str">
        <f>IF(E1155="PA",IF(K1155&lt;&gt;"",ISERROR(VLOOKUP(K1155,ABBR!A:D,1,FALSE)),ISERROR(VLOOKUP(C1155,ABBR!A:D,1,FALSE))),"")</f>
        <v/>
      </c>
      <c r="P1155" t="str">
        <f>VLOOKUP(A1155,Groups!A:L,5,FALSE)</f>
        <v>ESCG</v>
      </c>
      <c r="Q1155" s="62" t="str">
        <f>IF(G1155="PA",IF(M1155&lt;&gt;"",ISERROR(VLOOKUP(M1155,ABBR!C:F,1,FALSE)),ISERROR(VLOOKUP(E1155,ABBR!C:F,1,FALSE))),"")</f>
        <v/>
      </c>
    </row>
    <row r="1156" spans="1:17" hidden="1" x14ac:dyDescent="0.25">
      <c r="A1156" s="16" t="s">
        <v>169</v>
      </c>
      <c r="B1156" s="17"/>
      <c r="C1156" s="16" t="s">
        <v>2660</v>
      </c>
      <c r="D1156" s="17" t="s">
        <v>1706</v>
      </c>
      <c r="E1156" s="17" t="s">
        <v>1391</v>
      </c>
      <c r="F1156" s="18" t="s">
        <v>2661</v>
      </c>
      <c r="G1156" s="54">
        <v>9.3000000000000006E-9</v>
      </c>
      <c r="H1156" s="17">
        <v>26</v>
      </c>
      <c r="O1156" s="62" t="str">
        <f>IF(E1156="PA",IF(K1156&lt;&gt;"",ISERROR(VLOOKUP(K1156,ABBR!A:D,1,FALSE)),ISERROR(VLOOKUP(C1156,ABBR!A:D,1,FALSE))),"")</f>
        <v/>
      </c>
      <c r="P1156" t="str">
        <f>VLOOKUP(A1156,Groups!A:L,5,FALSE)</f>
        <v>ESCG</v>
      </c>
      <c r="Q1156" s="62" t="str">
        <f>IF(G1156="PA",IF(M1156&lt;&gt;"",ISERROR(VLOOKUP(M1156,ABBR!C:F,1,FALSE)),ISERROR(VLOOKUP(E1156,ABBR!C:F,1,FALSE))),"")</f>
        <v/>
      </c>
    </row>
    <row r="1157" spans="1:17" hidden="1" x14ac:dyDescent="0.25">
      <c r="A1157" s="16" t="s">
        <v>174</v>
      </c>
      <c r="B1157" s="17" t="s">
        <v>594</v>
      </c>
      <c r="C1157" s="16" t="s">
        <v>595</v>
      </c>
      <c r="D1157" s="17"/>
      <c r="E1157" s="17" t="s">
        <v>596</v>
      </c>
      <c r="F1157" s="18" t="s">
        <v>597</v>
      </c>
      <c r="G1157" s="54" t="s">
        <v>598</v>
      </c>
      <c r="H1157" s="17">
        <v>1</v>
      </c>
      <c r="I1157" s="30" t="s">
        <v>955</v>
      </c>
      <c r="J1157" s="80">
        <v>4.0999999999999996</v>
      </c>
      <c r="O1157" s="62" t="str">
        <f>IF(E1157="PA",IF(K1157&lt;&gt;"",ISERROR(VLOOKUP(K1157,ABBR!A:D,1,FALSE)),ISERROR(VLOOKUP(C1157,ABBR!A:D,1,FALSE))),"")</f>
        <v/>
      </c>
      <c r="P1157" t="str">
        <f>VLOOKUP(A1157,Groups!A:L,5,FALSE)</f>
        <v>LOCA</v>
      </c>
      <c r="Q1157" s="62" t="str">
        <f>IF(G1157="PA",IF(M1157&lt;&gt;"",ISERROR(VLOOKUP(M1157,ABBR!C:F,1,FALSE)),ISERROR(VLOOKUP(E1157,ABBR!C:F,1,FALSE))),"")</f>
        <v/>
      </c>
    </row>
    <row r="1158" spans="1:17" hidden="1" x14ac:dyDescent="0.25">
      <c r="A1158" s="16" t="s">
        <v>174</v>
      </c>
      <c r="B1158" s="17" t="s">
        <v>594</v>
      </c>
      <c r="C1158" s="16" t="s">
        <v>2662</v>
      </c>
      <c r="D1158" s="17" t="s">
        <v>600</v>
      </c>
      <c r="E1158" s="17" t="s">
        <v>601</v>
      </c>
      <c r="F1158" s="18" t="s">
        <v>2663</v>
      </c>
      <c r="G1158" s="49" t="s">
        <v>8799</v>
      </c>
      <c r="H1158" s="17">
        <v>2</v>
      </c>
      <c r="I1158" s="30" t="s">
        <v>955</v>
      </c>
      <c r="J1158" s="80">
        <v>4.0999999999999996</v>
      </c>
      <c r="M1158" s="62" t="s">
        <v>8800</v>
      </c>
      <c r="O1158" s="62" t="str">
        <f>IF(E1158="PA",IF(K1158&lt;&gt;"",ISERROR(VLOOKUP(K1158,ABBR!A:D,1,FALSE)),ISERROR(VLOOKUP(C1158,ABBR!A:D,1,FALSE))),"")</f>
        <v/>
      </c>
      <c r="P1158" t="str">
        <f>VLOOKUP(A1158,Groups!A:L,5,FALSE)</f>
        <v>LOCA</v>
      </c>
      <c r="Q1158" s="62" t="str">
        <f>IF(G1158="PA",IF(M1158&lt;&gt;"",ISERROR(VLOOKUP(M1158,ABBR!C:F,1,FALSE)),ISERROR(VLOOKUP(E1158,ABBR!C:F,1,FALSE))),"")</f>
        <v/>
      </c>
    </row>
    <row r="1159" spans="1:17" hidden="1" x14ac:dyDescent="0.25">
      <c r="A1159" s="16" t="s">
        <v>174</v>
      </c>
      <c r="B1159" s="17" t="s">
        <v>594</v>
      </c>
      <c r="C1159" s="16" t="s">
        <v>2664</v>
      </c>
      <c r="D1159" s="17" t="s">
        <v>600</v>
      </c>
      <c r="E1159" s="17" t="s">
        <v>601</v>
      </c>
      <c r="F1159" s="18" t="s">
        <v>2665</v>
      </c>
      <c r="G1159" s="49">
        <v>12.95</v>
      </c>
      <c r="H1159" s="17">
        <v>3</v>
      </c>
      <c r="I1159" s="30" t="s">
        <v>955</v>
      </c>
      <c r="J1159" s="80">
        <v>4.0999999999999996</v>
      </c>
      <c r="O1159" s="62" t="str">
        <f>IF(E1159="PA",IF(K1159&lt;&gt;"",ISERROR(VLOOKUP(K1159,ABBR!A:D,1,FALSE)),ISERROR(VLOOKUP(C1159,ABBR!A:D,1,FALSE))),"")</f>
        <v/>
      </c>
      <c r="P1159" t="str">
        <f>VLOOKUP(A1159,Groups!A:L,5,FALSE)</f>
        <v>LOCA</v>
      </c>
      <c r="Q1159" s="62" t="str">
        <f>IF(G1159="PA",IF(M1159&lt;&gt;"",ISERROR(VLOOKUP(M1159,ABBR!C:F,1,FALSE)),ISERROR(VLOOKUP(E1159,ABBR!C:F,1,FALSE))),"")</f>
        <v/>
      </c>
    </row>
    <row r="1160" spans="1:17" hidden="1" x14ac:dyDescent="0.25">
      <c r="A1160" s="16" t="s">
        <v>174</v>
      </c>
      <c r="B1160" s="17" t="s">
        <v>594</v>
      </c>
      <c r="C1160" s="16" t="s">
        <v>2666</v>
      </c>
      <c r="D1160" s="17"/>
      <c r="E1160" s="17" t="s">
        <v>608</v>
      </c>
      <c r="F1160" s="18" t="s">
        <v>1323</v>
      </c>
      <c r="G1160" s="49">
        <v>2</v>
      </c>
      <c r="H1160" s="17">
        <v>4</v>
      </c>
      <c r="I1160" s="30" t="s">
        <v>955</v>
      </c>
      <c r="J1160" s="80">
        <v>4.0999999999999996</v>
      </c>
      <c r="O1160" s="62" t="str">
        <f>IF(E1160="PA",IF(K1160&lt;&gt;"",ISERROR(VLOOKUP(K1160,ABBR!A:D,1,FALSE)),ISERROR(VLOOKUP(C1160,ABBR!A:D,1,FALSE))),"")</f>
        <v/>
      </c>
      <c r="P1160" t="str">
        <f>VLOOKUP(A1160,Groups!A:L,5,FALSE)</f>
        <v>LOCA</v>
      </c>
      <c r="Q1160" s="62" t="str">
        <f>IF(G1160="PA",IF(M1160&lt;&gt;"",ISERROR(VLOOKUP(M1160,ABBR!C:F,1,FALSE)),ISERROR(VLOOKUP(E1160,ABBR!C:F,1,FALSE))),"")</f>
        <v/>
      </c>
    </row>
    <row r="1161" spans="1:17" hidden="1" x14ac:dyDescent="0.25">
      <c r="A1161" s="16" t="s">
        <v>174</v>
      </c>
      <c r="B1161" s="17"/>
      <c r="C1161" s="16" t="s">
        <v>2667</v>
      </c>
      <c r="D1161" s="17" t="s">
        <v>722</v>
      </c>
      <c r="E1161" s="17" t="s">
        <v>767</v>
      </c>
      <c r="F1161" s="18" t="s">
        <v>2668</v>
      </c>
      <c r="G1161" s="49">
        <v>150</v>
      </c>
      <c r="H1161" s="17">
        <v>5</v>
      </c>
      <c r="I1161" s="30" t="s">
        <v>955</v>
      </c>
      <c r="J1161" s="80">
        <v>4.0999999999999996</v>
      </c>
      <c r="O1161" s="62" t="str">
        <f>IF(E1161="PA",IF(K1161&lt;&gt;"",ISERROR(VLOOKUP(K1161,ABBR!A:D,1,FALSE)),ISERROR(VLOOKUP(C1161,ABBR!A:D,1,FALSE))),"")</f>
        <v/>
      </c>
      <c r="P1161" t="str">
        <f>VLOOKUP(A1161,Groups!A:L,5,FALSE)</f>
        <v>LOCA</v>
      </c>
      <c r="Q1161" s="62" t="str">
        <f>IF(G1161="PA",IF(M1161&lt;&gt;"",ISERROR(VLOOKUP(M1161,ABBR!C:F,1,FALSE)),ISERROR(VLOOKUP(E1161,ABBR!C:F,1,FALSE))),"")</f>
        <v/>
      </c>
    </row>
    <row r="1162" spans="1:17" ht="25" hidden="1" x14ac:dyDescent="0.25">
      <c r="A1162" s="16" t="s">
        <v>174</v>
      </c>
      <c r="B1162" s="17"/>
      <c r="C1162" s="16" t="s">
        <v>2669</v>
      </c>
      <c r="D1162" s="17" t="s">
        <v>722</v>
      </c>
      <c r="E1162" s="17" t="s">
        <v>767</v>
      </c>
      <c r="F1162" s="18" t="s">
        <v>2670</v>
      </c>
      <c r="G1162" s="49">
        <v>19</v>
      </c>
      <c r="H1162" s="17">
        <v>6</v>
      </c>
      <c r="I1162" s="30" t="s">
        <v>955</v>
      </c>
      <c r="J1162" s="80">
        <v>4.0999999999999996</v>
      </c>
      <c r="O1162" s="62" t="str">
        <f>IF(E1162="PA",IF(K1162&lt;&gt;"",ISERROR(VLOOKUP(K1162,ABBR!A:D,1,FALSE)),ISERROR(VLOOKUP(C1162,ABBR!A:D,1,FALSE))),"")</f>
        <v/>
      </c>
      <c r="P1162" t="str">
        <f>VLOOKUP(A1162,Groups!A:L,5,FALSE)</f>
        <v>LOCA</v>
      </c>
      <c r="Q1162" s="62" t="str">
        <f>IF(G1162="PA",IF(M1162&lt;&gt;"",ISERROR(VLOOKUP(M1162,ABBR!C:F,1,FALSE)),ISERROR(VLOOKUP(E1162,ABBR!C:F,1,FALSE))),"")</f>
        <v/>
      </c>
    </row>
    <row r="1163" spans="1:17" ht="25" hidden="1" x14ac:dyDescent="0.25">
      <c r="A1163" s="16" t="s">
        <v>174</v>
      </c>
      <c r="B1163" s="17"/>
      <c r="C1163" s="16" t="s">
        <v>2671</v>
      </c>
      <c r="D1163" s="17" t="s">
        <v>722</v>
      </c>
      <c r="E1163" s="17" t="s">
        <v>767</v>
      </c>
      <c r="F1163" s="18" t="s">
        <v>2672</v>
      </c>
      <c r="G1163" s="49">
        <v>26</v>
      </c>
      <c r="H1163" s="17">
        <v>7</v>
      </c>
      <c r="I1163" s="30" t="s">
        <v>955</v>
      </c>
      <c r="J1163" s="80">
        <v>4.0999999999999996</v>
      </c>
      <c r="O1163" s="62" t="str">
        <f>IF(E1163="PA",IF(K1163&lt;&gt;"",ISERROR(VLOOKUP(K1163,ABBR!A:D,1,FALSE)),ISERROR(VLOOKUP(C1163,ABBR!A:D,1,FALSE))),"")</f>
        <v/>
      </c>
      <c r="P1163" t="str">
        <f>VLOOKUP(A1163,Groups!A:L,5,FALSE)</f>
        <v>LOCA</v>
      </c>
      <c r="Q1163" s="62" t="str">
        <f>IF(G1163="PA",IF(M1163&lt;&gt;"",ISERROR(VLOOKUP(M1163,ABBR!C:F,1,FALSE)),ISERROR(VLOOKUP(E1163,ABBR!C:F,1,FALSE))),"")</f>
        <v/>
      </c>
    </row>
    <row r="1164" spans="1:17" ht="25" hidden="1" x14ac:dyDescent="0.25">
      <c r="A1164" s="16" t="s">
        <v>174</v>
      </c>
      <c r="B1164" s="17"/>
      <c r="C1164" s="16" t="s">
        <v>2673</v>
      </c>
      <c r="D1164" s="17" t="s">
        <v>600</v>
      </c>
      <c r="E1164" s="17" t="s">
        <v>601</v>
      </c>
      <c r="F1164" s="18" t="s">
        <v>2674</v>
      </c>
      <c r="G1164" s="49">
        <v>15.35</v>
      </c>
      <c r="H1164" s="17">
        <v>8</v>
      </c>
      <c r="I1164" s="30" t="s">
        <v>955</v>
      </c>
      <c r="J1164" s="80">
        <v>4.0999999999999996</v>
      </c>
      <c r="O1164" s="62" t="str">
        <f>IF(E1164="PA",IF(K1164&lt;&gt;"",ISERROR(VLOOKUP(K1164,ABBR!A:D,1,FALSE)),ISERROR(VLOOKUP(C1164,ABBR!A:D,1,FALSE))),"")</f>
        <v/>
      </c>
      <c r="P1164" t="str">
        <f>VLOOKUP(A1164,Groups!A:L,5,FALSE)</f>
        <v>LOCA</v>
      </c>
      <c r="Q1164" s="62" t="str">
        <f>IF(G1164="PA",IF(M1164&lt;&gt;"",ISERROR(VLOOKUP(M1164,ABBR!C:F,1,FALSE)),ISERROR(VLOOKUP(E1164,ABBR!C:F,1,FALSE))),"")</f>
        <v/>
      </c>
    </row>
    <row r="1165" spans="1:17" ht="25" hidden="1" x14ac:dyDescent="0.25">
      <c r="A1165" s="16" t="s">
        <v>174</v>
      </c>
      <c r="B1165" s="17"/>
      <c r="C1165" s="16" t="s">
        <v>2675</v>
      </c>
      <c r="D1165" s="17" t="s">
        <v>600</v>
      </c>
      <c r="E1165" s="17" t="s">
        <v>601</v>
      </c>
      <c r="F1165" s="18" t="s">
        <v>2676</v>
      </c>
      <c r="G1165" s="49" t="s">
        <v>8799</v>
      </c>
      <c r="H1165" s="17">
        <v>9</v>
      </c>
      <c r="I1165" s="30" t="s">
        <v>955</v>
      </c>
      <c r="J1165" s="80">
        <v>4.0999999999999996</v>
      </c>
      <c r="M1165" s="62" t="s">
        <v>8800</v>
      </c>
      <c r="O1165" s="62" t="str">
        <f>IF(E1165="PA",IF(K1165&lt;&gt;"",ISERROR(VLOOKUP(K1165,ABBR!A:D,1,FALSE)),ISERROR(VLOOKUP(C1165,ABBR!A:D,1,FALSE))),"")</f>
        <v/>
      </c>
      <c r="P1165" t="str">
        <f>VLOOKUP(A1165,Groups!A:L,5,FALSE)</f>
        <v>LOCA</v>
      </c>
      <c r="Q1165" s="62" t="str">
        <f>IF(G1165="PA",IF(M1165&lt;&gt;"",ISERROR(VLOOKUP(M1165,ABBR!C:F,1,FALSE)),ISERROR(VLOOKUP(E1165,ABBR!C:F,1,FALSE))),"")</f>
        <v/>
      </c>
    </row>
    <row r="1166" spans="1:17" hidden="1" x14ac:dyDescent="0.25">
      <c r="A1166" s="16" t="s">
        <v>174</v>
      </c>
      <c r="B1166" s="17"/>
      <c r="C1166" s="16" t="s">
        <v>2677</v>
      </c>
      <c r="D1166" s="17" t="s">
        <v>600</v>
      </c>
      <c r="E1166" s="17" t="s">
        <v>601</v>
      </c>
      <c r="F1166" s="18" t="s">
        <v>2678</v>
      </c>
      <c r="G1166" s="49">
        <v>2.34</v>
      </c>
      <c r="H1166" s="17">
        <v>10</v>
      </c>
      <c r="I1166" s="30" t="s">
        <v>955</v>
      </c>
      <c r="J1166" s="80">
        <v>4.0999999999999996</v>
      </c>
      <c r="O1166" s="62" t="str">
        <f>IF(E1166="PA",IF(K1166&lt;&gt;"",ISERROR(VLOOKUP(K1166,ABBR!A:D,1,FALSE)),ISERROR(VLOOKUP(C1166,ABBR!A:D,1,FALSE))),"")</f>
        <v/>
      </c>
      <c r="P1166" t="str">
        <f>VLOOKUP(A1166,Groups!A:L,5,FALSE)</f>
        <v>LOCA</v>
      </c>
      <c r="Q1166" s="62" t="str">
        <f>IF(G1166="PA",IF(M1166&lt;&gt;"",ISERROR(VLOOKUP(M1166,ABBR!C:F,1,FALSE)),ISERROR(VLOOKUP(E1166,ABBR!C:F,1,FALSE))),"")</f>
        <v/>
      </c>
    </row>
    <row r="1167" spans="1:17" ht="50" hidden="1" x14ac:dyDescent="0.25">
      <c r="A1167" s="16" t="s">
        <v>174</v>
      </c>
      <c r="B1167" s="17"/>
      <c r="C1167" s="16" t="s">
        <v>2679</v>
      </c>
      <c r="D1167" s="17"/>
      <c r="E1167" s="17" t="s">
        <v>608</v>
      </c>
      <c r="F1167" s="18" t="s">
        <v>2680</v>
      </c>
      <c r="G1167" s="54" t="s">
        <v>2681</v>
      </c>
      <c r="H1167" s="17">
        <v>11</v>
      </c>
      <c r="I1167" s="30" t="s">
        <v>955</v>
      </c>
      <c r="J1167" s="80">
        <v>4.0999999999999996</v>
      </c>
      <c r="O1167" s="62" t="str">
        <f>IF(E1167="PA",IF(K1167&lt;&gt;"",ISERROR(VLOOKUP(K1167,ABBR!A:D,1,FALSE)),ISERROR(VLOOKUP(C1167,ABBR!A:D,1,FALSE))),"")</f>
        <v/>
      </c>
      <c r="P1167" t="str">
        <f>VLOOKUP(A1167,Groups!A:L,5,FALSE)</f>
        <v>LOCA</v>
      </c>
      <c r="Q1167" s="62" t="str">
        <f>IF(G1167="PA",IF(M1167&lt;&gt;"",ISERROR(VLOOKUP(M1167,ABBR!C:F,1,FALSE)),ISERROR(VLOOKUP(E1167,ABBR!C:F,1,FALSE))),"")</f>
        <v/>
      </c>
    </row>
    <row r="1168" spans="1:17" hidden="1" x14ac:dyDescent="0.25">
      <c r="A1168" s="16" t="s">
        <v>174</v>
      </c>
      <c r="B1168" s="17"/>
      <c r="C1168" s="16" t="s">
        <v>2682</v>
      </c>
      <c r="D1168" s="17" t="s">
        <v>924</v>
      </c>
      <c r="E1168" s="17" t="s">
        <v>925</v>
      </c>
      <c r="F1168" s="18" t="s">
        <v>1922</v>
      </c>
      <c r="G1168" s="59">
        <v>39470</v>
      </c>
      <c r="H1168" s="17">
        <v>12</v>
      </c>
      <c r="I1168" s="30" t="s">
        <v>955</v>
      </c>
      <c r="J1168" s="80">
        <v>4.0999999999999996</v>
      </c>
      <c r="O1168" s="62" t="str">
        <f>IF(E1168="PA",IF(K1168&lt;&gt;"",ISERROR(VLOOKUP(K1168,ABBR!A:D,1,FALSE)),ISERROR(VLOOKUP(C1168,ABBR!A:D,1,FALSE))),"")</f>
        <v/>
      </c>
      <c r="P1168" t="str">
        <f>VLOOKUP(A1168,Groups!A:L,5,FALSE)</f>
        <v>LOCA</v>
      </c>
      <c r="Q1168" s="62" t="str">
        <f>IF(G1168="PA",IF(M1168&lt;&gt;"",ISERROR(VLOOKUP(M1168,ABBR!C:F,1,FALSE)),ISERROR(VLOOKUP(E1168,ABBR!C:F,1,FALSE))),"")</f>
        <v/>
      </c>
    </row>
    <row r="1169" spans="1:17" hidden="1" x14ac:dyDescent="0.25">
      <c r="A1169" s="16" t="s">
        <v>174</v>
      </c>
      <c r="B1169" s="17"/>
      <c r="C1169" s="16" t="s">
        <v>2683</v>
      </c>
      <c r="D1169" s="17"/>
      <c r="E1169" s="17" t="s">
        <v>618</v>
      </c>
      <c r="F1169" s="18" t="s">
        <v>1149</v>
      </c>
      <c r="G1169" s="54" t="s">
        <v>2684</v>
      </c>
      <c r="H1169" s="17">
        <v>13</v>
      </c>
      <c r="I1169" s="30" t="s">
        <v>955</v>
      </c>
      <c r="J1169" s="80">
        <v>4.0999999999999996</v>
      </c>
      <c r="O1169" s="62" t="b">
        <f>IF(E1169="PA",IF(K1169&lt;&gt;"",ISERROR(VLOOKUP(K1169,ABBR!A:D,1,FALSE)),ISERROR(VLOOKUP(C1169,ABBR!A:D,1,FALSE))),"")</f>
        <v>0</v>
      </c>
      <c r="P1169" t="str">
        <f>VLOOKUP(A1169,Groups!A:L,5,FALSE)</f>
        <v>LOCA</v>
      </c>
      <c r="Q1169" s="62" t="str">
        <f>IF(G1169="PA",IF(M1169&lt;&gt;"",ISERROR(VLOOKUP(M1169,ABBR!C:F,1,FALSE)),ISERROR(VLOOKUP(E1169,ABBR!C:F,1,FALSE))),"")</f>
        <v/>
      </c>
    </row>
    <row r="1170" spans="1:17" hidden="1" x14ac:dyDescent="0.25">
      <c r="A1170" s="16" t="s">
        <v>174</v>
      </c>
      <c r="B1170" s="17"/>
      <c r="C1170" s="16" t="s">
        <v>2685</v>
      </c>
      <c r="D1170" s="17"/>
      <c r="E1170" s="17" t="s">
        <v>618</v>
      </c>
      <c r="F1170" s="18" t="s">
        <v>2686</v>
      </c>
      <c r="G1170" s="54" t="s">
        <v>682</v>
      </c>
      <c r="H1170" s="17">
        <v>14</v>
      </c>
      <c r="I1170" s="30" t="s">
        <v>955</v>
      </c>
      <c r="J1170" s="80">
        <v>4.0999999999999996</v>
      </c>
      <c r="O1170" s="62" t="b">
        <f>IF(E1170="PA",IF(K1170&lt;&gt;"",ISERROR(VLOOKUP(K1170,ABBR!A:D,1,FALSE)),ISERROR(VLOOKUP(C1170,ABBR!A:D,1,FALSE))),"")</f>
        <v>0</v>
      </c>
      <c r="P1170" t="str">
        <f>VLOOKUP(A1170,Groups!A:L,5,FALSE)</f>
        <v>LOCA</v>
      </c>
      <c r="Q1170" s="62" t="str">
        <f>IF(G1170="PA",IF(M1170&lt;&gt;"",ISERROR(VLOOKUP(M1170,ABBR!C:F,1,FALSE)),ISERROR(VLOOKUP(E1170,ABBR!C:F,1,FALSE))),"")</f>
        <v/>
      </c>
    </row>
    <row r="1171" spans="1:17" ht="25" hidden="1" x14ac:dyDescent="0.25">
      <c r="A1171" s="16" t="s">
        <v>174</v>
      </c>
      <c r="B1171" s="17"/>
      <c r="C1171" s="16" t="s">
        <v>2687</v>
      </c>
      <c r="D1171" s="17"/>
      <c r="E1171" s="17" t="s">
        <v>608</v>
      </c>
      <c r="F1171" s="18" t="s">
        <v>918</v>
      </c>
      <c r="G1171" s="54" t="s">
        <v>2688</v>
      </c>
      <c r="H1171" s="17">
        <v>15</v>
      </c>
      <c r="I1171" s="30" t="s">
        <v>955</v>
      </c>
      <c r="J1171" s="80">
        <v>4.0999999999999996</v>
      </c>
      <c r="O1171" s="62" t="str">
        <f>IF(E1171="PA",IF(K1171&lt;&gt;"",ISERROR(VLOOKUP(K1171,ABBR!A:D,1,FALSE)),ISERROR(VLOOKUP(C1171,ABBR!A:D,1,FALSE))),"")</f>
        <v/>
      </c>
      <c r="P1171" t="str">
        <f>VLOOKUP(A1171,Groups!A:L,5,FALSE)</f>
        <v>LOCA</v>
      </c>
      <c r="Q1171" s="62" t="str">
        <f>IF(G1171="PA",IF(M1171&lt;&gt;"",ISERROR(VLOOKUP(M1171,ABBR!C:F,1,FALSE)),ISERROR(VLOOKUP(E1171,ABBR!C:F,1,FALSE))),"")</f>
        <v/>
      </c>
    </row>
    <row r="1172" spans="1:17" hidden="1" x14ac:dyDescent="0.25">
      <c r="A1172" s="16" t="s">
        <v>174</v>
      </c>
      <c r="B1172" s="17"/>
      <c r="C1172" s="16" t="s">
        <v>2689</v>
      </c>
      <c r="D1172" s="17" t="s">
        <v>600</v>
      </c>
      <c r="E1172" s="17" t="s">
        <v>601</v>
      </c>
      <c r="F1172" s="18" t="s">
        <v>2690</v>
      </c>
      <c r="G1172" s="49">
        <v>10.6</v>
      </c>
      <c r="H1172" s="17">
        <v>16</v>
      </c>
      <c r="I1172" s="30" t="s">
        <v>955</v>
      </c>
      <c r="J1172" s="80">
        <v>4.0999999999999996</v>
      </c>
      <c r="O1172" s="62" t="str">
        <f>IF(E1172="PA",IF(K1172&lt;&gt;"",ISERROR(VLOOKUP(K1172,ABBR!A:D,1,FALSE)),ISERROR(VLOOKUP(C1172,ABBR!A:D,1,FALSE))),"")</f>
        <v/>
      </c>
      <c r="P1172" t="str">
        <f>VLOOKUP(A1172,Groups!A:L,5,FALSE)</f>
        <v>LOCA</v>
      </c>
      <c r="Q1172" s="62" t="str">
        <f>IF(G1172="PA",IF(M1172&lt;&gt;"",ISERROR(VLOOKUP(M1172,ABBR!C:F,1,FALSE)),ISERROR(VLOOKUP(E1172,ABBR!C:F,1,FALSE))),"")</f>
        <v/>
      </c>
    </row>
    <row r="1173" spans="1:17" ht="25" hidden="1" x14ac:dyDescent="0.25">
      <c r="A1173" s="16" t="s">
        <v>174</v>
      </c>
      <c r="B1173" s="17"/>
      <c r="C1173" s="16" t="s">
        <v>2691</v>
      </c>
      <c r="D1173" s="17" t="s">
        <v>600</v>
      </c>
      <c r="E1173" s="17" t="s">
        <v>601</v>
      </c>
      <c r="F1173" s="18" t="s">
        <v>2692</v>
      </c>
      <c r="G1173" s="49">
        <v>10</v>
      </c>
      <c r="H1173" s="17">
        <v>17</v>
      </c>
      <c r="I1173" s="30" t="s">
        <v>955</v>
      </c>
      <c r="J1173" s="80">
        <v>4.0999999999999996</v>
      </c>
      <c r="O1173" s="62" t="str">
        <f>IF(E1173="PA",IF(K1173&lt;&gt;"",ISERROR(VLOOKUP(K1173,ABBR!A:D,1,FALSE)),ISERROR(VLOOKUP(C1173,ABBR!A:D,1,FALSE))),"")</f>
        <v/>
      </c>
      <c r="P1173" t="str">
        <f>VLOOKUP(A1173,Groups!A:L,5,FALSE)</f>
        <v>LOCA</v>
      </c>
      <c r="Q1173" s="62" t="str">
        <f>IF(G1173="PA",IF(M1173&lt;&gt;"",ISERROR(VLOOKUP(M1173,ABBR!C:F,1,FALSE)),ISERROR(VLOOKUP(E1173,ABBR!C:F,1,FALSE))),"")</f>
        <v/>
      </c>
    </row>
    <row r="1174" spans="1:17" hidden="1" x14ac:dyDescent="0.25">
      <c r="A1174" s="16" t="s">
        <v>174</v>
      </c>
      <c r="B1174" s="17"/>
      <c r="C1174" s="16" t="s">
        <v>2693</v>
      </c>
      <c r="D1174" s="17" t="s">
        <v>600</v>
      </c>
      <c r="E1174" s="17" t="s">
        <v>601</v>
      </c>
      <c r="F1174" s="18" t="s">
        <v>2694</v>
      </c>
      <c r="G1174" s="49">
        <v>20.5</v>
      </c>
      <c r="H1174" s="17">
        <v>18</v>
      </c>
      <c r="I1174" s="30" t="s">
        <v>955</v>
      </c>
      <c r="J1174" s="80">
        <v>4.0999999999999996</v>
      </c>
      <c r="O1174" s="62" t="str">
        <f>IF(E1174="PA",IF(K1174&lt;&gt;"",ISERROR(VLOOKUP(K1174,ABBR!A:D,1,FALSE)),ISERROR(VLOOKUP(C1174,ABBR!A:D,1,FALSE))),"")</f>
        <v/>
      </c>
      <c r="P1174" t="str">
        <f>VLOOKUP(A1174,Groups!A:L,5,FALSE)</f>
        <v>LOCA</v>
      </c>
      <c r="Q1174" s="62" t="str">
        <f>IF(G1174="PA",IF(M1174&lt;&gt;"",ISERROR(VLOOKUP(M1174,ABBR!C:F,1,FALSE)),ISERROR(VLOOKUP(E1174,ABBR!C:F,1,FALSE))),"")</f>
        <v/>
      </c>
    </row>
    <row r="1175" spans="1:17" hidden="1" x14ac:dyDescent="0.25">
      <c r="A1175" s="16" t="s">
        <v>174</v>
      </c>
      <c r="B1175" s="17"/>
      <c r="C1175" s="16" t="s">
        <v>2695</v>
      </c>
      <c r="D1175" s="17" t="s">
        <v>2075</v>
      </c>
      <c r="E1175" s="17" t="s">
        <v>723</v>
      </c>
      <c r="F1175" s="18" t="s">
        <v>2696</v>
      </c>
      <c r="G1175" s="49">
        <v>2.2999999999999998</v>
      </c>
      <c r="H1175" s="17">
        <v>19</v>
      </c>
      <c r="I1175" s="30" t="s">
        <v>955</v>
      </c>
      <c r="J1175" s="80">
        <v>4.0999999999999996</v>
      </c>
      <c r="O1175" s="62" t="str">
        <f>IF(E1175="PA",IF(K1175&lt;&gt;"",ISERROR(VLOOKUP(K1175,ABBR!A:D,1,FALSE)),ISERROR(VLOOKUP(C1175,ABBR!A:D,1,FALSE))),"")</f>
        <v/>
      </c>
      <c r="P1175" t="str">
        <f>VLOOKUP(A1175,Groups!A:L,5,FALSE)</f>
        <v>LOCA</v>
      </c>
      <c r="Q1175" s="62" t="str">
        <f>IF(G1175="PA",IF(M1175&lt;&gt;"",ISERROR(VLOOKUP(M1175,ABBR!C:F,1,FALSE)),ISERROR(VLOOKUP(E1175,ABBR!C:F,1,FALSE))),"")</f>
        <v/>
      </c>
    </row>
    <row r="1176" spans="1:17" hidden="1" x14ac:dyDescent="0.25">
      <c r="A1176" s="16" t="s">
        <v>174</v>
      </c>
      <c r="B1176" s="17"/>
      <c r="C1176" s="16" t="s">
        <v>2697</v>
      </c>
      <c r="D1176" s="17" t="s">
        <v>1706</v>
      </c>
      <c r="E1176" s="17" t="s">
        <v>2117</v>
      </c>
      <c r="F1176" s="18" t="s">
        <v>2698</v>
      </c>
      <c r="G1176" s="49">
        <v>5.1000000000000002E-9</v>
      </c>
      <c r="H1176" s="17">
        <v>20</v>
      </c>
      <c r="I1176" s="30" t="s">
        <v>955</v>
      </c>
      <c r="J1176" s="80">
        <v>4.0999999999999996</v>
      </c>
      <c r="O1176" s="62" t="str">
        <f>IF(E1176="PA",IF(K1176&lt;&gt;"",ISERROR(VLOOKUP(K1176,ABBR!A:D,1,FALSE)),ISERROR(VLOOKUP(C1176,ABBR!A:D,1,FALSE))),"")</f>
        <v/>
      </c>
      <c r="P1176" t="str">
        <f>VLOOKUP(A1176,Groups!A:L,5,FALSE)</f>
        <v>LOCA</v>
      </c>
      <c r="Q1176" s="62" t="str">
        <f>IF(G1176="PA",IF(M1176&lt;&gt;"",ISERROR(VLOOKUP(M1176,ABBR!C:F,1,FALSE)),ISERROR(VLOOKUP(E1176,ABBR!C:F,1,FALSE))),"")</f>
        <v/>
      </c>
    </row>
    <row r="1177" spans="1:17" hidden="1" x14ac:dyDescent="0.25">
      <c r="A1177" s="16" t="s">
        <v>174</v>
      </c>
      <c r="B1177" s="17"/>
      <c r="C1177" s="16" t="s">
        <v>2699</v>
      </c>
      <c r="D1177" s="17"/>
      <c r="E1177" s="17" t="s">
        <v>1391</v>
      </c>
      <c r="F1177" s="18" t="s">
        <v>2700</v>
      </c>
      <c r="G1177" s="49">
        <v>50</v>
      </c>
      <c r="H1177" s="17">
        <v>21</v>
      </c>
      <c r="I1177" s="30" t="s">
        <v>955</v>
      </c>
      <c r="J1177" s="80">
        <v>4.0999999999999996</v>
      </c>
      <c r="O1177" s="62" t="str">
        <f>IF(E1177="PA",IF(K1177&lt;&gt;"",ISERROR(VLOOKUP(K1177,ABBR!A:D,1,FALSE)),ISERROR(VLOOKUP(C1177,ABBR!A:D,1,FALSE))),"")</f>
        <v/>
      </c>
      <c r="P1177" t="str">
        <f>VLOOKUP(A1177,Groups!A:L,5,FALSE)</f>
        <v>LOCA</v>
      </c>
      <c r="Q1177" s="62" t="str">
        <f>IF(G1177="PA",IF(M1177&lt;&gt;"",ISERROR(VLOOKUP(M1177,ABBR!C:F,1,FALSE)),ISERROR(VLOOKUP(E1177,ABBR!C:F,1,FALSE))),"")</f>
        <v/>
      </c>
    </row>
    <row r="1178" spans="1:17" hidden="1" x14ac:dyDescent="0.25">
      <c r="A1178" s="16" t="s">
        <v>174</v>
      </c>
      <c r="B1178" s="17"/>
      <c r="C1178" s="16" t="s">
        <v>2701</v>
      </c>
      <c r="D1178" s="17"/>
      <c r="E1178" s="17" t="s">
        <v>618</v>
      </c>
      <c r="F1178" s="18" t="s">
        <v>2702</v>
      </c>
      <c r="G1178" s="54" t="s">
        <v>2703</v>
      </c>
      <c r="H1178" s="17">
        <v>22</v>
      </c>
      <c r="I1178" s="30" t="s">
        <v>955</v>
      </c>
      <c r="J1178" s="80">
        <v>4.0999999999999996</v>
      </c>
      <c r="O1178" s="62" t="b">
        <f>IF(E1178="PA",IF(K1178&lt;&gt;"",ISERROR(VLOOKUP(K1178,ABBR!A:D,1,FALSE)),ISERROR(VLOOKUP(C1178,ABBR!A:D,1,FALSE))),"")</f>
        <v>0</v>
      </c>
      <c r="P1178" t="str">
        <f>VLOOKUP(A1178,Groups!A:L,5,FALSE)</f>
        <v>LOCA</v>
      </c>
      <c r="Q1178" s="62" t="str">
        <f>IF(G1178="PA",IF(M1178&lt;&gt;"",ISERROR(VLOOKUP(M1178,ABBR!C:F,1,FALSE)),ISERROR(VLOOKUP(E1178,ABBR!C:F,1,FALSE))),"")</f>
        <v/>
      </c>
    </row>
    <row r="1179" spans="1:17" hidden="1" x14ac:dyDescent="0.25">
      <c r="A1179" s="16" t="s">
        <v>174</v>
      </c>
      <c r="B1179" s="17"/>
      <c r="C1179" s="16" t="s">
        <v>2704</v>
      </c>
      <c r="D1179" s="17"/>
      <c r="E1179" s="17" t="s">
        <v>608</v>
      </c>
      <c r="F1179" s="18" t="s">
        <v>1935</v>
      </c>
      <c r="G1179" s="49" t="s">
        <v>16</v>
      </c>
      <c r="H1179" s="17">
        <v>23</v>
      </c>
      <c r="I1179" s="30" t="s">
        <v>955</v>
      </c>
      <c r="J1179" s="80">
        <v>4.0999999999999996</v>
      </c>
      <c r="O1179" s="62" t="str">
        <f>IF(E1179="PA",IF(K1179&lt;&gt;"",ISERROR(VLOOKUP(K1179,ABBR!A:D,1,FALSE)),ISERROR(VLOOKUP(C1179,ABBR!A:D,1,FALSE))),"")</f>
        <v/>
      </c>
      <c r="P1179" t="str">
        <f>VLOOKUP(A1179,Groups!A:L,5,FALSE)</f>
        <v>LOCA</v>
      </c>
      <c r="Q1179" s="62" t="str">
        <f>IF(G1179="PA",IF(M1179&lt;&gt;"",ISERROR(VLOOKUP(M1179,ABBR!C:F,1,FALSE)),ISERROR(VLOOKUP(E1179,ABBR!C:F,1,FALSE))),"")</f>
        <v/>
      </c>
    </row>
    <row r="1180" spans="1:17" ht="25" hidden="1" x14ac:dyDescent="0.25">
      <c r="A1180" s="16" t="s">
        <v>174</v>
      </c>
      <c r="B1180" s="17"/>
      <c r="C1180" s="16" t="s">
        <v>2705</v>
      </c>
      <c r="D1180" s="17"/>
      <c r="E1180" s="17" t="s">
        <v>608</v>
      </c>
      <c r="F1180" s="18" t="s">
        <v>1938</v>
      </c>
      <c r="G1180" s="54" t="s">
        <v>1939</v>
      </c>
      <c r="H1180" s="17">
        <v>24</v>
      </c>
      <c r="I1180" s="30" t="s">
        <v>955</v>
      </c>
      <c r="J1180" s="80">
        <v>4.0999999999999996</v>
      </c>
      <c r="O1180" s="62" t="str">
        <f>IF(E1180="PA",IF(K1180&lt;&gt;"",ISERROR(VLOOKUP(K1180,ABBR!A:D,1,FALSE)),ISERROR(VLOOKUP(C1180,ABBR!A:D,1,FALSE))),"")</f>
        <v/>
      </c>
      <c r="P1180" t="str">
        <f>VLOOKUP(A1180,Groups!A:L,5,FALSE)</f>
        <v>LOCA</v>
      </c>
      <c r="Q1180" s="62" t="str">
        <f>IF(G1180="PA",IF(M1180&lt;&gt;"",ISERROR(VLOOKUP(M1180,ABBR!C:F,1,FALSE)),ISERROR(VLOOKUP(E1180,ABBR!C:F,1,FALSE))),"")</f>
        <v/>
      </c>
    </row>
    <row r="1181" spans="1:17" ht="25" hidden="1" x14ac:dyDescent="0.25">
      <c r="A1181" s="16" t="s">
        <v>174</v>
      </c>
      <c r="B1181" s="17"/>
      <c r="C1181" s="16" t="s">
        <v>2706</v>
      </c>
      <c r="D1181" s="17"/>
      <c r="E1181" s="17" t="s">
        <v>608</v>
      </c>
      <c r="F1181" s="18" t="s">
        <v>1943</v>
      </c>
      <c r="G1181" s="54" t="s">
        <v>1944</v>
      </c>
      <c r="H1181" s="17">
        <v>25</v>
      </c>
      <c r="I1181" s="30" t="s">
        <v>955</v>
      </c>
      <c r="J1181" s="80">
        <v>4.0999999999999996</v>
      </c>
      <c r="O1181" s="62" t="str">
        <f>IF(E1181="PA",IF(K1181&lt;&gt;"",ISERROR(VLOOKUP(K1181,ABBR!A:D,1,FALSE)),ISERROR(VLOOKUP(C1181,ABBR!A:D,1,FALSE))),"")</f>
        <v/>
      </c>
      <c r="P1181" t="str">
        <f>VLOOKUP(A1181,Groups!A:L,5,FALSE)</f>
        <v>LOCA</v>
      </c>
      <c r="Q1181" s="62" t="str">
        <f>IF(G1181="PA",IF(M1181&lt;&gt;"",ISERROR(VLOOKUP(M1181,ABBR!C:F,1,FALSE)),ISERROR(VLOOKUP(E1181,ABBR!C:F,1,FALSE))),"")</f>
        <v/>
      </c>
    </row>
    <row r="1182" spans="1:17" hidden="1" x14ac:dyDescent="0.25">
      <c r="A1182" s="16" t="s">
        <v>174</v>
      </c>
      <c r="B1182" s="17"/>
      <c r="C1182" s="16" t="s">
        <v>2707</v>
      </c>
      <c r="D1182" s="17"/>
      <c r="E1182" s="17" t="s">
        <v>608</v>
      </c>
      <c r="F1182" s="18" t="s">
        <v>1952</v>
      </c>
      <c r="G1182" s="54" t="s">
        <v>876</v>
      </c>
      <c r="H1182" s="17">
        <v>26</v>
      </c>
      <c r="I1182" s="30" t="s">
        <v>955</v>
      </c>
      <c r="J1182" s="80">
        <v>4.0999999999999996</v>
      </c>
      <c r="O1182" s="62" t="str">
        <f>IF(E1182="PA",IF(K1182&lt;&gt;"",ISERROR(VLOOKUP(K1182,ABBR!A:D,1,FALSE)),ISERROR(VLOOKUP(C1182,ABBR!A:D,1,FALSE))),"")</f>
        <v/>
      </c>
      <c r="P1182" t="str">
        <f>VLOOKUP(A1182,Groups!A:L,5,FALSE)</f>
        <v>LOCA</v>
      </c>
      <c r="Q1182" s="62" t="str">
        <f>IF(G1182="PA",IF(M1182&lt;&gt;"",ISERROR(VLOOKUP(M1182,ABBR!C:F,1,FALSE)),ISERROR(VLOOKUP(E1182,ABBR!C:F,1,FALSE))),"")</f>
        <v/>
      </c>
    </row>
    <row r="1183" spans="1:17" ht="25" hidden="1" x14ac:dyDescent="0.25">
      <c r="A1183" s="16" t="s">
        <v>174</v>
      </c>
      <c r="B1183" s="17"/>
      <c r="C1183" s="16" t="s">
        <v>2708</v>
      </c>
      <c r="D1183" s="17"/>
      <c r="E1183" s="17" t="s">
        <v>608</v>
      </c>
      <c r="F1183" s="18" t="s">
        <v>934</v>
      </c>
      <c r="G1183" s="54" t="s">
        <v>953</v>
      </c>
      <c r="H1183" s="17">
        <v>27</v>
      </c>
      <c r="I1183" s="30" t="s">
        <v>955</v>
      </c>
      <c r="J1183" s="80">
        <v>4.0999999999999996</v>
      </c>
      <c r="O1183" s="62" t="str">
        <f>IF(E1183="PA",IF(K1183&lt;&gt;"",ISERROR(VLOOKUP(K1183,ABBR!A:D,1,FALSE)),ISERROR(VLOOKUP(C1183,ABBR!A:D,1,FALSE))),"")</f>
        <v/>
      </c>
      <c r="P1183" t="str">
        <f>VLOOKUP(A1183,Groups!A:L,5,FALSE)</f>
        <v>LOCA</v>
      </c>
      <c r="Q1183" s="62" t="str">
        <f>IF(G1183="PA",IF(M1183&lt;&gt;"",ISERROR(VLOOKUP(M1183,ABBR!C:F,1,FALSE)),ISERROR(VLOOKUP(E1183,ABBR!C:F,1,FALSE))),"")</f>
        <v/>
      </c>
    </row>
    <row r="1184" spans="1:17" hidden="1" x14ac:dyDescent="0.25">
      <c r="A1184" s="16" t="s">
        <v>174</v>
      </c>
      <c r="B1184" s="17"/>
      <c r="C1184" s="16" t="s">
        <v>936</v>
      </c>
      <c r="D1184" s="17"/>
      <c r="E1184" s="17" t="s">
        <v>608</v>
      </c>
      <c r="F1184" s="18" t="s">
        <v>937</v>
      </c>
      <c r="G1184" s="54" t="s">
        <v>938</v>
      </c>
      <c r="H1184" s="17">
        <v>28</v>
      </c>
      <c r="I1184" s="30" t="s">
        <v>955</v>
      </c>
      <c r="J1184" s="80">
        <v>4.0999999999999996</v>
      </c>
      <c r="O1184" s="62" t="str">
        <f>IF(E1184="PA",IF(K1184&lt;&gt;"",ISERROR(VLOOKUP(K1184,ABBR!A:D,1,FALSE)),ISERROR(VLOOKUP(C1184,ABBR!A:D,1,FALSE))),"")</f>
        <v/>
      </c>
      <c r="P1184" t="str">
        <f>VLOOKUP(A1184,Groups!A:L,5,FALSE)</f>
        <v>LOCA</v>
      </c>
      <c r="Q1184" s="62" t="str">
        <f>IF(G1184="PA",IF(M1184&lt;&gt;"",ISERROR(VLOOKUP(M1184,ABBR!C:F,1,FALSE)),ISERROR(VLOOKUP(E1184,ABBR!C:F,1,FALSE))),"")</f>
        <v/>
      </c>
    </row>
    <row r="1185" spans="1:17" hidden="1" x14ac:dyDescent="0.25">
      <c r="A1185" s="16" t="s">
        <v>174</v>
      </c>
      <c r="B1185" s="17"/>
      <c r="C1185" s="16" t="s">
        <v>643</v>
      </c>
      <c r="D1185" s="17"/>
      <c r="E1185" s="17" t="s">
        <v>608</v>
      </c>
      <c r="F1185" s="18" t="s">
        <v>1294</v>
      </c>
      <c r="G1185" s="54" t="s">
        <v>1947</v>
      </c>
      <c r="H1185" s="17">
        <v>29</v>
      </c>
      <c r="I1185" s="30" t="s">
        <v>955</v>
      </c>
      <c r="J1185" s="80">
        <v>4.0999999999999996</v>
      </c>
      <c r="O1185" s="62" t="str">
        <f>IF(E1185="PA",IF(K1185&lt;&gt;"",ISERROR(VLOOKUP(K1185,ABBR!A:D,1,FALSE)),ISERROR(VLOOKUP(C1185,ABBR!A:D,1,FALSE))),"")</f>
        <v/>
      </c>
      <c r="P1185" t="str">
        <f>VLOOKUP(A1185,Groups!A:L,5,FALSE)</f>
        <v>LOCA</v>
      </c>
      <c r="Q1185" s="62" t="str">
        <f>IF(G1185="PA",IF(M1185&lt;&gt;"",ISERROR(VLOOKUP(M1185,ABBR!C:F,1,FALSE)),ISERROR(VLOOKUP(E1185,ABBR!C:F,1,FALSE))),"")</f>
        <v/>
      </c>
    </row>
    <row r="1186" spans="1:17" hidden="1" x14ac:dyDescent="0.25">
      <c r="A1186" s="16" t="s">
        <v>178</v>
      </c>
      <c r="B1186" s="17" t="s">
        <v>594</v>
      </c>
      <c r="C1186" s="16" t="s">
        <v>595</v>
      </c>
      <c r="D1186" s="17"/>
      <c r="E1186" s="17" t="s">
        <v>596</v>
      </c>
      <c r="F1186" s="18" t="s">
        <v>597</v>
      </c>
      <c r="G1186" s="54" t="s">
        <v>598</v>
      </c>
      <c r="H1186" s="17">
        <v>1</v>
      </c>
      <c r="I1186" s="30" t="s">
        <v>955</v>
      </c>
      <c r="J1186" s="80">
        <v>4.0999999999999996</v>
      </c>
      <c r="O1186" s="62" t="str">
        <f>IF(E1186="PA",IF(K1186&lt;&gt;"",ISERROR(VLOOKUP(K1186,ABBR!A:D,1,FALSE)),ISERROR(VLOOKUP(C1186,ABBR!A:D,1,FALSE))),"")</f>
        <v/>
      </c>
      <c r="P1186" t="str">
        <f>VLOOKUP(A1186,Groups!A:L,5,FALSE)</f>
        <v>FGHG</v>
      </c>
      <c r="Q1186" s="62" t="str">
        <f>IF(G1186="PA",IF(M1186&lt;&gt;"",ISERROR(VLOOKUP(M1186,ABBR!C:F,1,FALSE)),ISERROR(VLOOKUP(E1186,ABBR!C:F,1,FALSE))),"")</f>
        <v/>
      </c>
    </row>
    <row r="1187" spans="1:17" hidden="1" x14ac:dyDescent="0.25">
      <c r="A1187" s="16" t="s">
        <v>178</v>
      </c>
      <c r="B1187" s="17" t="s">
        <v>594</v>
      </c>
      <c r="C1187" s="16" t="s">
        <v>2662</v>
      </c>
      <c r="D1187" s="17" t="s">
        <v>600</v>
      </c>
      <c r="E1187" s="17" t="s">
        <v>601</v>
      </c>
      <c r="F1187" s="18" t="s">
        <v>2663</v>
      </c>
      <c r="G1187" s="54">
        <v>12.2</v>
      </c>
      <c r="H1187" s="17">
        <v>2</v>
      </c>
      <c r="I1187" s="30" t="s">
        <v>955</v>
      </c>
      <c r="J1187" s="80">
        <v>4.0999999999999996</v>
      </c>
      <c r="O1187" s="62" t="str">
        <f>IF(E1187="PA",IF(K1187&lt;&gt;"",ISERROR(VLOOKUP(K1187,ABBR!A:D,1,FALSE)),ISERROR(VLOOKUP(C1187,ABBR!A:D,1,FALSE))),"")</f>
        <v/>
      </c>
      <c r="P1187" t="str">
        <f>VLOOKUP(A1187,Groups!A:L,5,FALSE)</f>
        <v>FGHG</v>
      </c>
      <c r="Q1187" s="62" t="str">
        <f>IF(G1187="PA",IF(M1187&lt;&gt;"",ISERROR(VLOOKUP(M1187,ABBR!C:F,1,FALSE)),ISERROR(VLOOKUP(E1187,ABBR!C:F,1,FALSE))),"")</f>
        <v/>
      </c>
    </row>
    <row r="1188" spans="1:17" hidden="1" x14ac:dyDescent="0.25">
      <c r="A1188" s="16" t="s">
        <v>178</v>
      </c>
      <c r="B1188" s="17" t="s">
        <v>594</v>
      </c>
      <c r="C1188" s="16" t="s">
        <v>2664</v>
      </c>
      <c r="D1188" s="17" t="s">
        <v>600</v>
      </c>
      <c r="E1188" s="17" t="s">
        <v>601</v>
      </c>
      <c r="F1188" s="18" t="s">
        <v>2665</v>
      </c>
      <c r="G1188" s="54">
        <v>12.95</v>
      </c>
      <c r="H1188" s="17">
        <v>3</v>
      </c>
      <c r="I1188" s="30" t="s">
        <v>955</v>
      </c>
      <c r="J1188" s="80">
        <v>4.0999999999999996</v>
      </c>
      <c r="O1188" s="62" t="str">
        <f>IF(E1188="PA",IF(K1188&lt;&gt;"",ISERROR(VLOOKUP(K1188,ABBR!A:D,1,FALSE)),ISERROR(VLOOKUP(C1188,ABBR!A:D,1,FALSE))),"")</f>
        <v/>
      </c>
      <c r="P1188" t="str">
        <f>VLOOKUP(A1188,Groups!A:L,5,FALSE)</f>
        <v>FGHG</v>
      </c>
      <c r="Q1188" s="62" t="str">
        <f>IF(G1188="PA",IF(M1188&lt;&gt;"",ISERROR(VLOOKUP(M1188,ABBR!C:F,1,FALSE)),ISERROR(VLOOKUP(E1188,ABBR!C:F,1,FALSE))),"")</f>
        <v/>
      </c>
    </row>
    <row r="1189" spans="1:17" hidden="1" x14ac:dyDescent="0.25">
      <c r="A1189" s="16" t="s">
        <v>178</v>
      </c>
      <c r="B1189" s="17" t="s">
        <v>594</v>
      </c>
      <c r="C1189" s="16" t="s">
        <v>2666</v>
      </c>
      <c r="D1189" s="17"/>
      <c r="E1189" s="17" t="s">
        <v>608</v>
      </c>
      <c r="F1189" s="18" t="s">
        <v>1323</v>
      </c>
      <c r="G1189" s="54">
        <v>2</v>
      </c>
      <c r="H1189" s="17">
        <v>4</v>
      </c>
      <c r="I1189" s="30" t="s">
        <v>955</v>
      </c>
      <c r="J1189" s="80">
        <v>4.0999999999999996</v>
      </c>
      <c r="O1189" s="62" t="str">
        <f>IF(E1189="PA",IF(K1189&lt;&gt;"",ISERROR(VLOOKUP(K1189,ABBR!A:D,1,FALSE)),ISERROR(VLOOKUP(C1189,ABBR!A:D,1,FALSE))),"")</f>
        <v/>
      </c>
      <c r="P1189" t="str">
        <f>VLOOKUP(A1189,Groups!A:L,5,FALSE)</f>
        <v>FGHG</v>
      </c>
      <c r="Q1189" s="62" t="str">
        <f>IF(G1189="PA",IF(M1189&lt;&gt;"",ISERROR(VLOOKUP(M1189,ABBR!C:F,1,FALSE)),ISERROR(VLOOKUP(E1189,ABBR!C:F,1,FALSE))),"")</f>
        <v/>
      </c>
    </row>
    <row r="1190" spans="1:17" hidden="1" x14ac:dyDescent="0.25">
      <c r="A1190" s="16" t="s">
        <v>178</v>
      </c>
      <c r="B1190" s="17" t="s">
        <v>594</v>
      </c>
      <c r="C1190" s="16" t="s">
        <v>2709</v>
      </c>
      <c r="D1190" s="17"/>
      <c r="E1190" s="17" t="s">
        <v>596</v>
      </c>
      <c r="F1190" s="18" t="s">
        <v>2710</v>
      </c>
      <c r="G1190" s="54" t="s">
        <v>2711</v>
      </c>
      <c r="H1190" s="17">
        <v>5</v>
      </c>
      <c r="I1190" s="30" t="s">
        <v>955</v>
      </c>
      <c r="J1190" s="80">
        <v>4.0999999999999996</v>
      </c>
      <c r="O1190" s="62" t="str">
        <f>IF(E1190="PA",IF(K1190&lt;&gt;"",ISERROR(VLOOKUP(K1190,ABBR!A:D,1,FALSE)),ISERROR(VLOOKUP(C1190,ABBR!A:D,1,FALSE))),"")</f>
        <v/>
      </c>
      <c r="P1190" t="str">
        <f>VLOOKUP(A1190,Groups!A:L,5,FALSE)</f>
        <v>FGHG</v>
      </c>
      <c r="Q1190" s="62" t="str">
        <f>IF(G1190="PA",IF(M1190&lt;&gt;"",ISERROR(VLOOKUP(M1190,ABBR!C:F,1,FALSE)),ISERROR(VLOOKUP(E1190,ABBR!C:F,1,FALSE))),"")</f>
        <v/>
      </c>
    </row>
    <row r="1191" spans="1:17" ht="25" hidden="1" x14ac:dyDescent="0.25">
      <c r="A1191" s="16" t="s">
        <v>178</v>
      </c>
      <c r="B1191" s="17"/>
      <c r="C1191" s="16" t="s">
        <v>2712</v>
      </c>
      <c r="D1191" s="17"/>
      <c r="E1191" s="17" t="s">
        <v>608</v>
      </c>
      <c r="F1191" s="18" t="s">
        <v>2713</v>
      </c>
      <c r="G1191" s="54" t="s">
        <v>2714</v>
      </c>
      <c r="H1191" s="17">
        <v>6</v>
      </c>
      <c r="I1191" s="30" t="s">
        <v>955</v>
      </c>
      <c r="J1191" s="80">
        <v>4.0999999999999996</v>
      </c>
      <c r="O1191" s="62" t="str">
        <f>IF(E1191="PA",IF(K1191&lt;&gt;"",ISERROR(VLOOKUP(K1191,ABBR!A:D,1,FALSE)),ISERROR(VLOOKUP(C1191,ABBR!A:D,1,FALSE))),"")</f>
        <v/>
      </c>
      <c r="P1191" t="str">
        <f>VLOOKUP(A1191,Groups!A:L,5,FALSE)</f>
        <v>FGHG</v>
      </c>
      <c r="Q1191" s="62" t="str">
        <f>IF(G1191="PA",IF(M1191&lt;&gt;"",ISERROR(VLOOKUP(M1191,ABBR!C:F,1,FALSE)),ISERROR(VLOOKUP(E1191,ABBR!C:F,1,FALSE))),"")</f>
        <v/>
      </c>
    </row>
    <row r="1192" spans="1:17" hidden="1" x14ac:dyDescent="0.25">
      <c r="A1192" s="16" t="s">
        <v>178</v>
      </c>
      <c r="B1192" s="17"/>
      <c r="C1192" s="16" t="s">
        <v>2715</v>
      </c>
      <c r="D1192" s="17"/>
      <c r="E1192" s="17" t="s">
        <v>608</v>
      </c>
      <c r="F1192" s="18" t="s">
        <v>2716</v>
      </c>
      <c r="G1192" s="54" t="s">
        <v>2717</v>
      </c>
      <c r="H1192" s="17">
        <v>7</v>
      </c>
      <c r="I1192" s="30" t="s">
        <v>955</v>
      </c>
      <c r="J1192" s="80">
        <v>4.0999999999999996</v>
      </c>
      <c r="O1192" s="62" t="str">
        <f>IF(E1192="PA",IF(K1192&lt;&gt;"",ISERROR(VLOOKUP(K1192,ABBR!A:D,1,FALSE)),ISERROR(VLOOKUP(C1192,ABBR!A:D,1,FALSE))),"")</f>
        <v/>
      </c>
      <c r="P1192" t="str">
        <f>VLOOKUP(A1192,Groups!A:L,5,FALSE)</f>
        <v>FGHG</v>
      </c>
      <c r="Q1192" s="62" t="str">
        <f>IF(G1192="PA",IF(M1192&lt;&gt;"",ISERROR(VLOOKUP(M1192,ABBR!C:F,1,FALSE)),ISERROR(VLOOKUP(E1192,ABBR!C:F,1,FALSE))),"")</f>
        <v/>
      </c>
    </row>
    <row r="1193" spans="1:17" ht="25" hidden="1" x14ac:dyDescent="0.25">
      <c r="A1193" s="16" t="s">
        <v>178</v>
      </c>
      <c r="B1193" s="17"/>
      <c r="C1193" s="16" t="s">
        <v>2718</v>
      </c>
      <c r="D1193" s="17"/>
      <c r="E1193" s="17" t="s">
        <v>608</v>
      </c>
      <c r="F1193" s="18" t="s">
        <v>2719</v>
      </c>
      <c r="G1193" s="54" t="s">
        <v>2720</v>
      </c>
      <c r="H1193" s="17">
        <v>8</v>
      </c>
      <c r="I1193" s="30" t="s">
        <v>955</v>
      </c>
      <c r="J1193" s="80">
        <v>4.0999999999999996</v>
      </c>
      <c r="O1193" s="62" t="str">
        <f>IF(E1193="PA",IF(K1193&lt;&gt;"",ISERROR(VLOOKUP(K1193,ABBR!A:D,1,FALSE)),ISERROR(VLOOKUP(C1193,ABBR!A:D,1,FALSE))),"")</f>
        <v/>
      </c>
      <c r="P1193" t="str">
        <f>VLOOKUP(A1193,Groups!A:L,5,FALSE)</f>
        <v>FGHG</v>
      </c>
      <c r="Q1193" s="62" t="str">
        <f>IF(G1193="PA",IF(M1193&lt;&gt;"",ISERROR(VLOOKUP(M1193,ABBR!C:F,1,FALSE)),ISERROR(VLOOKUP(E1193,ABBR!C:F,1,FALSE))),"")</f>
        <v/>
      </c>
    </row>
    <row r="1194" spans="1:17" hidden="1" x14ac:dyDescent="0.25">
      <c r="A1194" s="16" t="s">
        <v>178</v>
      </c>
      <c r="B1194" s="17"/>
      <c r="C1194" s="16" t="s">
        <v>2721</v>
      </c>
      <c r="D1194" s="17"/>
      <c r="E1194" s="17" t="s">
        <v>608</v>
      </c>
      <c r="F1194" s="18" t="s">
        <v>1935</v>
      </c>
      <c r="G1194" s="49" t="s">
        <v>16</v>
      </c>
      <c r="H1194" s="17">
        <v>9</v>
      </c>
      <c r="I1194" s="30" t="s">
        <v>955</v>
      </c>
      <c r="J1194" s="80">
        <v>4.0999999999999996</v>
      </c>
      <c r="M1194" s="101"/>
      <c r="O1194" s="62" t="str">
        <f>IF(E1194="PA",IF(K1194&lt;&gt;"",ISERROR(VLOOKUP(K1194,ABBR!A:D,1,FALSE)),ISERROR(VLOOKUP(C1194,ABBR!A:D,1,FALSE))),"")</f>
        <v/>
      </c>
      <c r="P1194" t="str">
        <f>VLOOKUP(A1194,Groups!A:L,5,FALSE)</f>
        <v>FGHG</v>
      </c>
      <c r="Q1194" s="62" t="str">
        <f>IF(G1194="PA",IF(M1194&lt;&gt;"",ISERROR(VLOOKUP(M1194,ABBR!C:F,1,FALSE)),ISERROR(VLOOKUP(E1194,ABBR!C:F,1,FALSE))),"")</f>
        <v/>
      </c>
    </row>
    <row r="1195" spans="1:17" hidden="1" x14ac:dyDescent="0.25">
      <c r="A1195" s="16" t="s">
        <v>178</v>
      </c>
      <c r="B1195" s="17"/>
      <c r="C1195" s="16" t="s">
        <v>643</v>
      </c>
      <c r="D1195" s="17"/>
      <c r="E1195" s="17" t="s">
        <v>608</v>
      </c>
      <c r="F1195" s="18" t="s">
        <v>1294</v>
      </c>
      <c r="G1195" s="54" t="s">
        <v>1947</v>
      </c>
      <c r="H1195" s="17">
        <v>10</v>
      </c>
      <c r="I1195" s="30" t="s">
        <v>955</v>
      </c>
      <c r="J1195" s="80">
        <v>4.0999999999999996</v>
      </c>
      <c r="O1195" s="62" t="str">
        <f>IF(E1195="PA",IF(K1195&lt;&gt;"",ISERROR(VLOOKUP(K1195,ABBR!A:D,1,FALSE)),ISERROR(VLOOKUP(C1195,ABBR!A:D,1,FALSE))),"")</f>
        <v/>
      </c>
      <c r="P1195" t="str">
        <f>VLOOKUP(A1195,Groups!A:L,5,FALSE)</f>
        <v>FGHG</v>
      </c>
      <c r="Q1195" s="62" t="str">
        <f>IF(G1195="PA",IF(M1195&lt;&gt;"",ISERROR(VLOOKUP(M1195,ABBR!C:F,1,FALSE)),ISERROR(VLOOKUP(E1195,ABBR!C:F,1,FALSE))),"")</f>
        <v/>
      </c>
    </row>
    <row r="1196" spans="1:17" hidden="1" x14ac:dyDescent="0.25">
      <c r="A1196" s="16" t="s">
        <v>182</v>
      </c>
      <c r="B1196" s="17" t="s">
        <v>594</v>
      </c>
      <c r="C1196" s="16" t="s">
        <v>595</v>
      </c>
      <c r="D1196" s="17"/>
      <c r="E1196" s="17" t="s">
        <v>596</v>
      </c>
      <c r="F1196" s="18" t="s">
        <v>597</v>
      </c>
      <c r="G1196" s="54" t="s">
        <v>598</v>
      </c>
      <c r="H1196" s="17">
        <v>1</v>
      </c>
      <c r="I1196" s="30" t="s">
        <v>955</v>
      </c>
      <c r="J1196" s="80">
        <v>4.0999999999999996</v>
      </c>
      <c r="O1196" s="62" t="str">
        <f>IF(E1196="PA",IF(K1196&lt;&gt;"",ISERROR(VLOOKUP(K1196,ABBR!A:D,1,FALSE)),ISERROR(VLOOKUP(C1196,ABBR!A:D,1,FALSE))),"")</f>
        <v/>
      </c>
      <c r="P1196" t="str">
        <f>VLOOKUP(A1196,Groups!A:L,5,FALSE)</f>
        <v>FGHG</v>
      </c>
      <c r="Q1196" s="62" t="str">
        <f>IF(G1196="PA",IF(M1196&lt;&gt;"",ISERROR(VLOOKUP(M1196,ABBR!C:F,1,FALSE)),ISERROR(VLOOKUP(E1196,ABBR!C:F,1,FALSE))),"")</f>
        <v/>
      </c>
    </row>
    <row r="1197" spans="1:17" hidden="1" x14ac:dyDescent="0.25">
      <c r="A1197" s="16" t="s">
        <v>182</v>
      </c>
      <c r="B1197" s="17" t="s">
        <v>594</v>
      </c>
      <c r="C1197" s="16" t="s">
        <v>2662</v>
      </c>
      <c r="D1197" s="17" t="s">
        <v>600</v>
      </c>
      <c r="E1197" s="17" t="s">
        <v>601</v>
      </c>
      <c r="F1197" s="18" t="s">
        <v>2663</v>
      </c>
      <c r="G1197" s="54">
        <v>12.2</v>
      </c>
      <c r="H1197" s="17">
        <v>2</v>
      </c>
      <c r="I1197" s="30" t="s">
        <v>955</v>
      </c>
      <c r="J1197" s="80">
        <v>4.0999999999999996</v>
      </c>
      <c r="O1197" s="62" t="str">
        <f>IF(E1197="PA",IF(K1197&lt;&gt;"",ISERROR(VLOOKUP(K1197,ABBR!A:D,1,FALSE)),ISERROR(VLOOKUP(C1197,ABBR!A:D,1,FALSE))),"")</f>
        <v/>
      </c>
      <c r="P1197" t="str">
        <f>VLOOKUP(A1197,Groups!A:L,5,FALSE)</f>
        <v>FGHG</v>
      </c>
      <c r="Q1197" s="62" t="str">
        <f>IF(G1197="PA",IF(M1197&lt;&gt;"",ISERROR(VLOOKUP(M1197,ABBR!C:F,1,FALSE)),ISERROR(VLOOKUP(E1197,ABBR!C:F,1,FALSE))),"")</f>
        <v/>
      </c>
    </row>
    <row r="1198" spans="1:17" hidden="1" x14ac:dyDescent="0.25">
      <c r="A1198" s="16" t="s">
        <v>182</v>
      </c>
      <c r="B1198" s="17" t="s">
        <v>594</v>
      </c>
      <c r="C1198" s="16" t="s">
        <v>2664</v>
      </c>
      <c r="D1198" s="17" t="s">
        <v>600</v>
      </c>
      <c r="E1198" s="17" t="s">
        <v>601</v>
      </c>
      <c r="F1198" s="18" t="s">
        <v>2665</v>
      </c>
      <c r="G1198" s="54">
        <v>12.95</v>
      </c>
      <c r="H1198" s="17">
        <v>3</v>
      </c>
      <c r="I1198" s="30" t="s">
        <v>955</v>
      </c>
      <c r="J1198" s="80">
        <v>4.0999999999999996</v>
      </c>
      <c r="O1198" s="62" t="str">
        <f>IF(E1198="PA",IF(K1198&lt;&gt;"",ISERROR(VLOOKUP(K1198,ABBR!A:D,1,FALSE)),ISERROR(VLOOKUP(C1198,ABBR!A:D,1,FALSE))),"")</f>
        <v/>
      </c>
      <c r="P1198" t="str">
        <f>VLOOKUP(A1198,Groups!A:L,5,FALSE)</f>
        <v>FGHG</v>
      </c>
      <c r="Q1198" s="62" t="str">
        <f>IF(G1198="PA",IF(M1198&lt;&gt;"",ISERROR(VLOOKUP(M1198,ABBR!C:F,1,FALSE)),ISERROR(VLOOKUP(E1198,ABBR!C:F,1,FALSE))),"")</f>
        <v/>
      </c>
    </row>
    <row r="1199" spans="1:17" hidden="1" x14ac:dyDescent="0.25">
      <c r="A1199" s="16" t="s">
        <v>182</v>
      </c>
      <c r="B1199" s="17" t="s">
        <v>594</v>
      </c>
      <c r="C1199" s="16" t="s">
        <v>2666</v>
      </c>
      <c r="D1199" s="17"/>
      <c r="E1199" s="17" t="s">
        <v>608</v>
      </c>
      <c r="F1199" s="18" t="s">
        <v>1323</v>
      </c>
      <c r="G1199" s="54">
        <v>2</v>
      </c>
      <c r="H1199" s="17">
        <v>4</v>
      </c>
      <c r="I1199" s="30" t="s">
        <v>955</v>
      </c>
      <c r="J1199" s="80">
        <v>4.0999999999999996</v>
      </c>
      <c r="O1199" s="62" t="str">
        <f>IF(E1199="PA",IF(K1199&lt;&gt;"",ISERROR(VLOOKUP(K1199,ABBR!A:D,1,FALSE)),ISERROR(VLOOKUP(C1199,ABBR!A:D,1,FALSE))),"")</f>
        <v/>
      </c>
      <c r="P1199" t="str">
        <f>VLOOKUP(A1199,Groups!A:L,5,FALSE)</f>
        <v>FGHG</v>
      </c>
      <c r="Q1199" s="62" t="str">
        <f>IF(G1199="PA",IF(M1199&lt;&gt;"",ISERROR(VLOOKUP(M1199,ABBR!C:F,1,FALSE)),ISERROR(VLOOKUP(E1199,ABBR!C:F,1,FALSE))),"")</f>
        <v/>
      </c>
    </row>
    <row r="1200" spans="1:17" hidden="1" x14ac:dyDescent="0.25">
      <c r="A1200" s="16" t="s">
        <v>182</v>
      </c>
      <c r="B1200" s="17" t="s">
        <v>594</v>
      </c>
      <c r="C1200" s="16" t="s">
        <v>2722</v>
      </c>
      <c r="D1200" s="17"/>
      <c r="E1200" s="17" t="s">
        <v>767</v>
      </c>
      <c r="F1200" s="18" t="s">
        <v>2723</v>
      </c>
      <c r="G1200" s="54">
        <v>1</v>
      </c>
      <c r="H1200" s="17">
        <v>5</v>
      </c>
      <c r="I1200" s="30" t="s">
        <v>955</v>
      </c>
      <c r="J1200" s="80">
        <v>4.0999999999999996</v>
      </c>
      <c r="O1200" s="62" t="str">
        <f>IF(E1200="PA",IF(K1200&lt;&gt;"",ISERROR(VLOOKUP(K1200,ABBR!A:D,1,FALSE)),ISERROR(VLOOKUP(C1200,ABBR!A:D,1,FALSE))),"")</f>
        <v/>
      </c>
      <c r="P1200" t="str">
        <f>VLOOKUP(A1200,Groups!A:L,5,FALSE)</f>
        <v>FGHG</v>
      </c>
      <c r="Q1200" s="62" t="str">
        <f>IF(G1200="PA",IF(M1200&lt;&gt;"",ISERROR(VLOOKUP(M1200,ABBR!C:F,1,FALSE)),ISERROR(VLOOKUP(E1200,ABBR!C:F,1,FALSE))),"")</f>
        <v/>
      </c>
    </row>
    <row r="1201" spans="1:17" ht="25" hidden="1" x14ac:dyDescent="0.25">
      <c r="A1201" s="16" t="s">
        <v>182</v>
      </c>
      <c r="B1201" s="17"/>
      <c r="C1201" s="16" t="s">
        <v>2724</v>
      </c>
      <c r="D1201" s="17" t="s">
        <v>1718</v>
      </c>
      <c r="E1201" s="17" t="s">
        <v>925</v>
      </c>
      <c r="F1201" s="18" t="s">
        <v>2725</v>
      </c>
      <c r="G1201" s="54" t="s">
        <v>2726</v>
      </c>
      <c r="H1201" s="17">
        <v>6</v>
      </c>
      <c r="I1201" s="30" t="s">
        <v>955</v>
      </c>
      <c r="J1201" s="80">
        <v>4.0999999999999996</v>
      </c>
      <c r="O1201" s="62" t="str">
        <f>IF(E1201="PA",IF(K1201&lt;&gt;"",ISERROR(VLOOKUP(K1201,ABBR!A:D,1,FALSE)),ISERROR(VLOOKUP(C1201,ABBR!A:D,1,FALSE))),"")</f>
        <v/>
      </c>
      <c r="P1201" t="str">
        <f>VLOOKUP(A1201,Groups!A:L,5,FALSE)</f>
        <v>FGHG</v>
      </c>
      <c r="Q1201" s="62" t="str">
        <f>IF(G1201="PA",IF(M1201&lt;&gt;"",ISERROR(VLOOKUP(M1201,ABBR!C:F,1,FALSE)),ISERROR(VLOOKUP(E1201,ABBR!C:F,1,FALSE))),"")</f>
        <v/>
      </c>
    </row>
    <row r="1202" spans="1:17" ht="25" hidden="1" x14ac:dyDescent="0.25">
      <c r="A1202" s="16" t="s">
        <v>182</v>
      </c>
      <c r="B1202" s="17"/>
      <c r="C1202" s="16" t="s">
        <v>2727</v>
      </c>
      <c r="D1202" s="17" t="s">
        <v>1718</v>
      </c>
      <c r="E1202" s="17" t="s">
        <v>925</v>
      </c>
      <c r="F1202" s="18" t="s">
        <v>2728</v>
      </c>
      <c r="G1202" s="54" t="s">
        <v>2726</v>
      </c>
      <c r="H1202" s="17">
        <v>7</v>
      </c>
      <c r="I1202" s="30" t="s">
        <v>955</v>
      </c>
      <c r="J1202" s="80">
        <v>4.0999999999999996</v>
      </c>
      <c r="O1202" s="62" t="str">
        <f>IF(E1202="PA",IF(K1202&lt;&gt;"",ISERROR(VLOOKUP(K1202,ABBR!A:D,1,FALSE)),ISERROR(VLOOKUP(C1202,ABBR!A:D,1,FALSE))),"")</f>
        <v/>
      </c>
      <c r="P1202" t="str">
        <f>VLOOKUP(A1202,Groups!A:L,5,FALSE)</f>
        <v>FGHG</v>
      </c>
      <c r="Q1202" s="62" t="str">
        <f>IF(G1202="PA",IF(M1202&lt;&gt;"",ISERROR(VLOOKUP(M1202,ABBR!C:F,1,FALSE)),ISERROR(VLOOKUP(E1202,ABBR!C:F,1,FALSE))),"")</f>
        <v/>
      </c>
    </row>
    <row r="1203" spans="1:17" ht="25" hidden="1" x14ac:dyDescent="0.25">
      <c r="A1203" s="16" t="s">
        <v>182</v>
      </c>
      <c r="B1203" s="17"/>
      <c r="C1203" s="16" t="s">
        <v>2729</v>
      </c>
      <c r="D1203" s="17" t="s">
        <v>600</v>
      </c>
      <c r="E1203" s="17" t="s">
        <v>601</v>
      </c>
      <c r="F1203" s="18" t="s">
        <v>2730</v>
      </c>
      <c r="G1203" s="54">
        <v>20.5</v>
      </c>
      <c r="H1203" s="17">
        <v>8</v>
      </c>
      <c r="I1203" s="30" t="s">
        <v>955</v>
      </c>
      <c r="J1203" s="80">
        <v>4.0999999999999996</v>
      </c>
      <c r="O1203" s="62" t="str">
        <f>IF(E1203="PA",IF(K1203&lt;&gt;"",ISERROR(VLOOKUP(K1203,ABBR!A:D,1,FALSE)),ISERROR(VLOOKUP(C1203,ABBR!A:D,1,FALSE))),"")</f>
        <v/>
      </c>
      <c r="P1203" t="str">
        <f>VLOOKUP(A1203,Groups!A:L,5,FALSE)</f>
        <v>FGHG</v>
      </c>
      <c r="Q1203" s="62" t="str">
        <f>IF(G1203="PA",IF(M1203&lt;&gt;"",ISERROR(VLOOKUP(M1203,ABBR!C:F,1,FALSE)),ISERROR(VLOOKUP(E1203,ABBR!C:F,1,FALSE))),"")</f>
        <v/>
      </c>
    </row>
    <row r="1204" spans="1:17" hidden="1" x14ac:dyDescent="0.25">
      <c r="A1204" s="16" t="s">
        <v>182</v>
      </c>
      <c r="B1204" s="17"/>
      <c r="C1204" s="16" t="s">
        <v>2731</v>
      </c>
      <c r="D1204" s="17" t="s">
        <v>2075</v>
      </c>
      <c r="E1204" s="17" t="s">
        <v>723</v>
      </c>
      <c r="F1204" s="18" t="s">
        <v>2732</v>
      </c>
      <c r="G1204" s="54">
        <v>2.2999999999999998</v>
      </c>
      <c r="H1204" s="17">
        <v>9</v>
      </c>
      <c r="I1204" s="30" t="s">
        <v>955</v>
      </c>
      <c r="J1204" s="80">
        <v>4.0999999999999996</v>
      </c>
      <c r="O1204" s="62" t="str">
        <f>IF(E1204="PA",IF(K1204&lt;&gt;"",ISERROR(VLOOKUP(K1204,ABBR!A:D,1,FALSE)),ISERROR(VLOOKUP(C1204,ABBR!A:D,1,FALSE))),"")</f>
        <v/>
      </c>
      <c r="P1204" t="str">
        <f>VLOOKUP(A1204,Groups!A:L,5,FALSE)</f>
        <v>FGHG</v>
      </c>
      <c r="Q1204" s="62" t="str">
        <f>IF(G1204="PA",IF(M1204&lt;&gt;"",ISERROR(VLOOKUP(M1204,ABBR!C:F,1,FALSE)),ISERROR(VLOOKUP(E1204,ABBR!C:F,1,FALSE))),"")</f>
        <v/>
      </c>
    </row>
    <row r="1205" spans="1:17" hidden="1" x14ac:dyDescent="0.25">
      <c r="A1205" s="16" t="s">
        <v>182</v>
      </c>
      <c r="B1205" s="17"/>
      <c r="C1205" s="16" t="s">
        <v>2733</v>
      </c>
      <c r="D1205" s="17" t="s">
        <v>1706</v>
      </c>
      <c r="E1205" s="17" t="s">
        <v>2117</v>
      </c>
      <c r="F1205" s="18" t="s">
        <v>2734</v>
      </c>
      <c r="G1205" s="54">
        <v>5.1000000000000002E-9</v>
      </c>
      <c r="H1205" s="17">
        <v>10</v>
      </c>
      <c r="I1205" s="30" t="s">
        <v>955</v>
      </c>
      <c r="J1205" s="80">
        <v>4.0999999999999996</v>
      </c>
      <c r="O1205" s="62" t="str">
        <f>IF(E1205="PA",IF(K1205&lt;&gt;"",ISERROR(VLOOKUP(K1205,ABBR!A:D,1,FALSE)),ISERROR(VLOOKUP(C1205,ABBR!A:D,1,FALSE))),"")</f>
        <v/>
      </c>
      <c r="P1205" t="str">
        <f>VLOOKUP(A1205,Groups!A:L,5,FALSE)</f>
        <v>FGHG</v>
      </c>
      <c r="Q1205" s="62" t="str">
        <f>IF(G1205="PA",IF(M1205&lt;&gt;"",ISERROR(VLOOKUP(M1205,ABBR!C:F,1,FALSE)),ISERROR(VLOOKUP(E1205,ABBR!C:F,1,FALSE))),"")</f>
        <v/>
      </c>
    </row>
    <row r="1206" spans="1:17" hidden="1" x14ac:dyDescent="0.25">
      <c r="A1206" s="16" t="s">
        <v>182</v>
      </c>
      <c r="B1206" s="17"/>
      <c r="C1206" s="16" t="s">
        <v>2735</v>
      </c>
      <c r="D1206" s="17"/>
      <c r="E1206" s="17" t="s">
        <v>1391</v>
      </c>
      <c r="F1206" s="18" t="s">
        <v>2736</v>
      </c>
      <c r="G1206" s="54"/>
      <c r="H1206" s="17">
        <v>11</v>
      </c>
      <c r="I1206" s="30" t="s">
        <v>955</v>
      </c>
      <c r="J1206" s="80">
        <v>4.0999999999999996</v>
      </c>
      <c r="M1206" s="101" t="s">
        <v>1044</v>
      </c>
      <c r="O1206" s="62" t="str">
        <f>IF(E1206="PA",IF(K1206&lt;&gt;"",ISERROR(VLOOKUP(K1206,ABBR!A:D,1,FALSE)),ISERROR(VLOOKUP(C1206,ABBR!A:D,1,FALSE))),"")</f>
        <v/>
      </c>
      <c r="P1206" t="str">
        <f>VLOOKUP(A1206,Groups!A:L,5,FALSE)</f>
        <v>FGHG</v>
      </c>
      <c r="Q1206" s="62" t="str">
        <f>IF(G1206="PA",IF(M1206&lt;&gt;"",ISERROR(VLOOKUP(M1206,ABBR!C:F,1,FALSE)),ISERROR(VLOOKUP(E1206,ABBR!C:F,1,FALSE))),"")</f>
        <v/>
      </c>
    </row>
    <row r="1207" spans="1:17" hidden="1" x14ac:dyDescent="0.25">
      <c r="A1207" s="16" t="s">
        <v>182</v>
      </c>
      <c r="B1207" s="17"/>
      <c r="C1207" s="16" t="s">
        <v>2737</v>
      </c>
      <c r="D1207" s="17"/>
      <c r="E1207" s="17" t="s">
        <v>608</v>
      </c>
      <c r="F1207" s="18" t="s">
        <v>1935</v>
      </c>
      <c r="G1207" s="49" t="s">
        <v>16</v>
      </c>
      <c r="H1207" s="17">
        <v>12</v>
      </c>
      <c r="I1207" s="30" t="s">
        <v>955</v>
      </c>
      <c r="J1207" s="80">
        <v>4.0999999999999996</v>
      </c>
      <c r="M1207" s="101"/>
      <c r="O1207" s="62" t="str">
        <f>IF(E1207="PA",IF(K1207&lt;&gt;"",ISERROR(VLOOKUP(K1207,ABBR!A:D,1,FALSE)),ISERROR(VLOOKUP(C1207,ABBR!A:D,1,FALSE))),"")</f>
        <v/>
      </c>
      <c r="P1207" t="str">
        <f>VLOOKUP(A1207,Groups!A:L,5,FALSE)</f>
        <v>FGHG</v>
      </c>
      <c r="Q1207" s="62" t="str">
        <f>IF(G1207="PA",IF(M1207&lt;&gt;"",ISERROR(VLOOKUP(M1207,ABBR!C:F,1,FALSE)),ISERROR(VLOOKUP(E1207,ABBR!C:F,1,FALSE))),"")</f>
        <v/>
      </c>
    </row>
    <row r="1208" spans="1:17" hidden="1" x14ac:dyDescent="0.25">
      <c r="A1208" s="16" t="s">
        <v>182</v>
      </c>
      <c r="B1208" s="17"/>
      <c r="C1208" s="16" t="s">
        <v>643</v>
      </c>
      <c r="D1208" s="17"/>
      <c r="E1208" s="17" t="s">
        <v>608</v>
      </c>
      <c r="F1208" s="18" t="s">
        <v>1294</v>
      </c>
      <c r="G1208" s="54" t="s">
        <v>1947</v>
      </c>
      <c r="H1208" s="17">
        <v>13</v>
      </c>
      <c r="I1208" s="30" t="s">
        <v>955</v>
      </c>
      <c r="J1208" s="80">
        <v>4.0999999999999996</v>
      </c>
      <c r="O1208" s="62" t="str">
        <f>IF(E1208="PA",IF(K1208&lt;&gt;"",ISERROR(VLOOKUP(K1208,ABBR!A:D,1,FALSE)),ISERROR(VLOOKUP(C1208,ABBR!A:D,1,FALSE))),"")</f>
        <v/>
      </c>
      <c r="P1208" t="str">
        <f>VLOOKUP(A1208,Groups!A:L,5,FALSE)</f>
        <v>FGHG</v>
      </c>
      <c r="Q1208" s="62" t="str">
        <f>IF(G1208="PA",IF(M1208&lt;&gt;"",ISERROR(VLOOKUP(M1208,ABBR!C:F,1,FALSE)),ISERROR(VLOOKUP(E1208,ABBR!C:F,1,FALSE))),"")</f>
        <v/>
      </c>
    </row>
    <row r="1209" spans="1:17" hidden="1" x14ac:dyDescent="0.25">
      <c r="A1209" s="16" t="s">
        <v>180</v>
      </c>
      <c r="B1209" s="17" t="s">
        <v>594</v>
      </c>
      <c r="C1209" s="16" t="s">
        <v>595</v>
      </c>
      <c r="D1209" s="17"/>
      <c r="E1209" s="17" t="s">
        <v>596</v>
      </c>
      <c r="F1209" s="18" t="s">
        <v>597</v>
      </c>
      <c r="G1209" s="54" t="s">
        <v>598</v>
      </c>
      <c r="H1209" s="17">
        <v>1</v>
      </c>
      <c r="I1209" s="30" t="s">
        <v>955</v>
      </c>
      <c r="J1209" s="80">
        <v>4.0999999999999996</v>
      </c>
      <c r="O1209" s="62" t="str">
        <f>IF(E1209="PA",IF(K1209&lt;&gt;"",ISERROR(VLOOKUP(K1209,ABBR!A:D,1,FALSE)),ISERROR(VLOOKUP(C1209,ABBR!A:D,1,FALSE))),"")</f>
        <v/>
      </c>
      <c r="P1209" t="str">
        <f>VLOOKUP(A1209,Groups!A:L,5,FALSE)</f>
        <v>FGHI</v>
      </c>
      <c r="Q1209" s="62" t="str">
        <f>IF(G1209="PA",IF(M1209&lt;&gt;"",ISERROR(VLOOKUP(M1209,ABBR!C:F,1,FALSE)),ISERROR(VLOOKUP(E1209,ABBR!C:F,1,FALSE))),"")</f>
        <v/>
      </c>
    </row>
    <row r="1210" spans="1:17" hidden="1" x14ac:dyDescent="0.25">
      <c r="A1210" s="16" t="s">
        <v>180</v>
      </c>
      <c r="B1210" s="17" t="s">
        <v>594</v>
      </c>
      <c r="C1210" s="16" t="s">
        <v>2662</v>
      </c>
      <c r="D1210" s="17" t="s">
        <v>600</v>
      </c>
      <c r="E1210" s="17" t="s">
        <v>601</v>
      </c>
      <c r="F1210" s="18" t="s">
        <v>2663</v>
      </c>
      <c r="G1210" s="54">
        <v>12.2</v>
      </c>
      <c r="H1210" s="17">
        <v>2</v>
      </c>
      <c r="I1210" s="30" t="s">
        <v>955</v>
      </c>
      <c r="J1210" s="80">
        <v>4.0999999999999996</v>
      </c>
      <c r="O1210" s="62" t="str">
        <f>IF(E1210="PA",IF(K1210&lt;&gt;"",ISERROR(VLOOKUP(K1210,ABBR!A:D,1,FALSE)),ISERROR(VLOOKUP(C1210,ABBR!A:D,1,FALSE))),"")</f>
        <v/>
      </c>
      <c r="P1210" t="str">
        <f>VLOOKUP(A1210,Groups!A:L,5,FALSE)</f>
        <v>FGHI</v>
      </c>
      <c r="Q1210" s="62" t="str">
        <f>IF(G1210="PA",IF(M1210&lt;&gt;"",ISERROR(VLOOKUP(M1210,ABBR!C:F,1,FALSE)),ISERROR(VLOOKUP(E1210,ABBR!C:F,1,FALSE))),"")</f>
        <v/>
      </c>
    </row>
    <row r="1211" spans="1:17" hidden="1" x14ac:dyDescent="0.25">
      <c r="A1211" s="16" t="s">
        <v>180</v>
      </c>
      <c r="B1211" s="17" t="s">
        <v>594</v>
      </c>
      <c r="C1211" s="16" t="s">
        <v>2664</v>
      </c>
      <c r="D1211" s="17" t="s">
        <v>600</v>
      </c>
      <c r="E1211" s="17" t="s">
        <v>601</v>
      </c>
      <c r="F1211" s="18" t="s">
        <v>2665</v>
      </c>
      <c r="G1211" s="54">
        <v>12.95</v>
      </c>
      <c r="H1211" s="17">
        <v>3</v>
      </c>
      <c r="I1211" s="30" t="s">
        <v>955</v>
      </c>
      <c r="J1211" s="80">
        <v>4.0999999999999996</v>
      </c>
      <c r="O1211" s="62" t="str">
        <f>IF(E1211="PA",IF(K1211&lt;&gt;"",ISERROR(VLOOKUP(K1211,ABBR!A:D,1,FALSE)),ISERROR(VLOOKUP(C1211,ABBR!A:D,1,FALSE))),"")</f>
        <v/>
      </c>
      <c r="P1211" t="str">
        <f>VLOOKUP(A1211,Groups!A:L,5,FALSE)</f>
        <v>FGHI</v>
      </c>
      <c r="Q1211" s="62" t="str">
        <f>IF(G1211="PA",IF(M1211&lt;&gt;"",ISERROR(VLOOKUP(M1211,ABBR!C:F,1,FALSE)),ISERROR(VLOOKUP(E1211,ABBR!C:F,1,FALSE))),"")</f>
        <v/>
      </c>
    </row>
    <row r="1212" spans="1:17" hidden="1" x14ac:dyDescent="0.25">
      <c r="A1212" s="16" t="s">
        <v>180</v>
      </c>
      <c r="B1212" s="17" t="s">
        <v>594</v>
      </c>
      <c r="C1212" s="16" t="s">
        <v>2666</v>
      </c>
      <c r="D1212" s="17"/>
      <c r="E1212" s="17" t="s">
        <v>608</v>
      </c>
      <c r="F1212" s="18" t="s">
        <v>1323</v>
      </c>
      <c r="G1212" s="54">
        <v>2</v>
      </c>
      <c r="H1212" s="17">
        <v>4</v>
      </c>
      <c r="I1212" s="30" t="s">
        <v>955</v>
      </c>
      <c r="J1212" s="80">
        <v>4.0999999999999996</v>
      </c>
      <c r="O1212" s="62" t="str">
        <f>IF(E1212="PA",IF(K1212&lt;&gt;"",ISERROR(VLOOKUP(K1212,ABBR!A:D,1,FALSE)),ISERROR(VLOOKUP(C1212,ABBR!A:D,1,FALSE))),"")</f>
        <v/>
      </c>
      <c r="P1212" t="str">
        <f>VLOOKUP(A1212,Groups!A:L,5,FALSE)</f>
        <v>FGHI</v>
      </c>
      <c r="Q1212" s="62" t="str">
        <f>IF(G1212="PA",IF(M1212&lt;&gt;"",ISERROR(VLOOKUP(M1212,ABBR!C:F,1,FALSE)),ISERROR(VLOOKUP(E1212,ABBR!C:F,1,FALSE))),"")</f>
        <v/>
      </c>
    </row>
    <row r="1213" spans="1:17" hidden="1" x14ac:dyDescent="0.25">
      <c r="A1213" s="16" t="s">
        <v>180</v>
      </c>
      <c r="B1213" s="17" t="s">
        <v>594</v>
      </c>
      <c r="C1213" s="16" t="s">
        <v>2709</v>
      </c>
      <c r="D1213" s="17"/>
      <c r="E1213" s="17" t="s">
        <v>596</v>
      </c>
      <c r="F1213" s="18" t="s">
        <v>2710</v>
      </c>
      <c r="G1213" s="54" t="s">
        <v>2711</v>
      </c>
      <c r="H1213" s="17">
        <v>5</v>
      </c>
      <c r="I1213" s="30" t="s">
        <v>955</v>
      </c>
      <c r="J1213" s="80">
        <v>4.0999999999999996</v>
      </c>
      <c r="M1213" s="62" t="s">
        <v>8801</v>
      </c>
      <c r="O1213" s="62" t="str">
        <f>IF(E1213="PA",IF(K1213&lt;&gt;"",ISERROR(VLOOKUP(K1213,ABBR!A:D,1,FALSE)),ISERROR(VLOOKUP(C1213,ABBR!A:D,1,FALSE))),"")</f>
        <v/>
      </c>
      <c r="P1213" t="str">
        <f>VLOOKUP(A1213,Groups!A:L,5,FALSE)</f>
        <v>FGHI</v>
      </c>
      <c r="Q1213" s="62" t="str">
        <f>IF(G1213="PA",IF(M1213&lt;&gt;"",ISERROR(VLOOKUP(M1213,ABBR!C:F,1,FALSE)),ISERROR(VLOOKUP(E1213,ABBR!C:F,1,FALSE))),"")</f>
        <v/>
      </c>
    </row>
    <row r="1214" spans="1:17" ht="25" hidden="1" x14ac:dyDescent="0.25">
      <c r="A1214" s="16" t="s">
        <v>180</v>
      </c>
      <c r="B1214" s="17" t="s">
        <v>594</v>
      </c>
      <c r="C1214" s="16" t="s">
        <v>2738</v>
      </c>
      <c r="D1214" s="17" t="s">
        <v>1718</v>
      </c>
      <c r="E1214" s="17" t="s">
        <v>925</v>
      </c>
      <c r="F1214" s="18" t="s">
        <v>2739</v>
      </c>
      <c r="G1214" s="54" t="s">
        <v>2726</v>
      </c>
      <c r="H1214" s="17">
        <v>6</v>
      </c>
      <c r="I1214" s="30" t="s">
        <v>955</v>
      </c>
      <c r="J1214" s="80">
        <v>4.0999999999999996</v>
      </c>
      <c r="O1214" s="62" t="str">
        <f>IF(E1214="PA",IF(K1214&lt;&gt;"",ISERROR(VLOOKUP(K1214,ABBR!A:D,1,FALSE)),ISERROR(VLOOKUP(C1214,ABBR!A:D,1,FALSE))),"")</f>
        <v/>
      </c>
      <c r="P1214" t="str">
        <f>VLOOKUP(A1214,Groups!A:L,5,FALSE)</f>
        <v>FGHI</v>
      </c>
      <c r="Q1214" s="62" t="str">
        <f>IF(G1214="PA",IF(M1214&lt;&gt;"",ISERROR(VLOOKUP(M1214,ABBR!C:F,1,FALSE)),ISERROR(VLOOKUP(E1214,ABBR!C:F,1,FALSE))),"")</f>
        <v/>
      </c>
    </row>
    <row r="1215" spans="1:17" hidden="1" x14ac:dyDescent="0.25">
      <c r="A1215" s="16" t="s">
        <v>180</v>
      </c>
      <c r="B1215" s="17" t="s">
        <v>594</v>
      </c>
      <c r="C1215" s="16" t="s">
        <v>2740</v>
      </c>
      <c r="D1215" s="17"/>
      <c r="E1215" s="17" t="s">
        <v>618</v>
      </c>
      <c r="F1215" s="18" t="s">
        <v>2713</v>
      </c>
      <c r="G1215" s="54" t="s">
        <v>2741</v>
      </c>
      <c r="H1215" s="17">
        <v>7</v>
      </c>
      <c r="I1215" s="30" t="s">
        <v>955</v>
      </c>
      <c r="J1215" s="80">
        <v>4.0999999999999996</v>
      </c>
      <c r="O1215" s="62" t="b">
        <f>IF(E1215="PA",IF(K1215&lt;&gt;"",ISERROR(VLOOKUP(K1215,ABBR!A:D,1,FALSE)),ISERROR(VLOOKUP(C1215,ABBR!A:D,1,FALSE))),"")</f>
        <v>0</v>
      </c>
      <c r="P1215" t="str">
        <f>VLOOKUP(A1215,Groups!A:L,5,FALSE)</f>
        <v>FGHI</v>
      </c>
      <c r="Q1215" s="62" t="str">
        <f>IF(G1215="PA",IF(M1215&lt;&gt;"",ISERROR(VLOOKUP(M1215,ABBR!C:F,1,FALSE)),ISERROR(VLOOKUP(E1215,ABBR!C:F,1,FALSE))),"")</f>
        <v/>
      </c>
    </row>
    <row r="1216" spans="1:17" hidden="1" x14ac:dyDescent="0.25">
      <c r="A1216" s="16" t="s">
        <v>180</v>
      </c>
      <c r="B1216" s="17"/>
      <c r="C1216" s="16" t="s">
        <v>2722</v>
      </c>
      <c r="D1216" s="17"/>
      <c r="E1216" s="17" t="s">
        <v>767</v>
      </c>
      <c r="F1216" s="18" t="s">
        <v>2723</v>
      </c>
      <c r="G1216" s="54">
        <v>1</v>
      </c>
      <c r="H1216" s="17">
        <v>8</v>
      </c>
      <c r="I1216" s="30" t="s">
        <v>955</v>
      </c>
      <c r="J1216" s="80">
        <v>4.0999999999999996</v>
      </c>
      <c r="O1216" s="62" t="str">
        <f>IF(E1216="PA",IF(K1216&lt;&gt;"",ISERROR(VLOOKUP(K1216,ABBR!A:D,1,FALSE)),ISERROR(VLOOKUP(C1216,ABBR!A:D,1,FALSE))),"")</f>
        <v/>
      </c>
      <c r="P1216" t="str">
        <f>VLOOKUP(A1216,Groups!A:L,5,FALSE)</f>
        <v>FGHI</v>
      </c>
      <c r="Q1216" s="62" t="str">
        <f>IF(G1216="PA",IF(M1216&lt;&gt;"",ISERROR(VLOOKUP(M1216,ABBR!C:F,1,FALSE)),ISERROR(VLOOKUP(E1216,ABBR!C:F,1,FALSE))),"")</f>
        <v/>
      </c>
    </row>
    <row r="1217" spans="1:17" hidden="1" x14ac:dyDescent="0.25">
      <c r="A1217" s="16" t="s">
        <v>180</v>
      </c>
      <c r="B1217" s="17"/>
      <c r="C1217" s="16" t="s">
        <v>2742</v>
      </c>
      <c r="D1217" s="17" t="s">
        <v>1639</v>
      </c>
      <c r="E1217" s="17" t="s">
        <v>1417</v>
      </c>
      <c r="F1217" s="18" t="s">
        <v>2743</v>
      </c>
      <c r="G1217" s="60">
        <v>5.5555555555555552E-2</v>
      </c>
      <c r="H1217" s="17">
        <v>9</v>
      </c>
      <c r="I1217" s="30" t="s">
        <v>955</v>
      </c>
      <c r="J1217" s="80">
        <v>4.0999999999999996</v>
      </c>
      <c r="O1217" s="62" t="str">
        <f>IF(E1217="PA",IF(K1217&lt;&gt;"",ISERROR(VLOOKUP(K1217,ABBR!A:D,1,FALSE)),ISERROR(VLOOKUP(C1217,ABBR!A:D,1,FALSE))),"")</f>
        <v/>
      </c>
      <c r="P1217" t="str">
        <f>VLOOKUP(A1217,Groups!A:L,5,FALSE)</f>
        <v>FGHI</v>
      </c>
      <c r="Q1217" s="62" t="str">
        <f>IF(G1217="PA",IF(M1217&lt;&gt;"",ISERROR(VLOOKUP(M1217,ABBR!C:F,1,FALSE)),ISERROR(VLOOKUP(E1217,ABBR!C:F,1,FALSE))),"")</f>
        <v/>
      </c>
    </row>
    <row r="1218" spans="1:17" ht="25" hidden="1" x14ac:dyDescent="0.25">
      <c r="A1218" s="16" t="s">
        <v>180</v>
      </c>
      <c r="B1218" s="17"/>
      <c r="C1218" s="16" t="s">
        <v>2744</v>
      </c>
      <c r="D1218" s="17"/>
      <c r="E1218" s="17" t="s">
        <v>859</v>
      </c>
      <c r="F1218" s="18" t="s">
        <v>2745</v>
      </c>
      <c r="G1218" s="54" t="s">
        <v>2746</v>
      </c>
      <c r="H1218" s="17">
        <v>10</v>
      </c>
      <c r="I1218" s="30" t="s">
        <v>955</v>
      </c>
      <c r="J1218" s="80">
        <v>4.0999999999999996</v>
      </c>
      <c r="O1218" s="62" t="str">
        <f>IF(E1218="PA",IF(K1218&lt;&gt;"",ISERROR(VLOOKUP(K1218,ABBR!A:D,1,FALSE)),ISERROR(VLOOKUP(C1218,ABBR!A:D,1,FALSE))),"")</f>
        <v/>
      </c>
      <c r="P1218" t="str">
        <f>VLOOKUP(A1218,Groups!A:L,5,FALSE)</f>
        <v>FGHI</v>
      </c>
      <c r="Q1218" s="62" t="str">
        <f>IF(G1218="PA",IF(M1218&lt;&gt;"",ISERROR(VLOOKUP(M1218,ABBR!C:F,1,FALSE)),ISERROR(VLOOKUP(E1218,ABBR!C:F,1,FALSE))),"")</f>
        <v/>
      </c>
    </row>
    <row r="1219" spans="1:17" hidden="1" x14ac:dyDescent="0.25">
      <c r="A1219" s="16" t="s">
        <v>180</v>
      </c>
      <c r="B1219" s="17" t="s">
        <v>966</v>
      </c>
      <c r="C1219" s="16" t="s">
        <v>2747</v>
      </c>
      <c r="D1219" s="17"/>
      <c r="E1219" s="17" t="s">
        <v>2004</v>
      </c>
      <c r="F1219" s="18" t="s">
        <v>2748</v>
      </c>
      <c r="G1219" s="54" t="s">
        <v>600</v>
      </c>
      <c r="H1219" s="17">
        <v>11</v>
      </c>
      <c r="I1219" s="30" t="s">
        <v>955</v>
      </c>
      <c r="J1219" s="80">
        <v>4.0999999999999996</v>
      </c>
      <c r="O1219" s="62" t="str">
        <f>IF(E1219="PA",IF(K1219&lt;&gt;"",ISERROR(VLOOKUP(K1219,ABBR!A:D,1,FALSE)),ISERROR(VLOOKUP(C1219,ABBR!A:D,1,FALSE))),"")</f>
        <v/>
      </c>
      <c r="P1219" t="str">
        <f>VLOOKUP(A1219,Groups!A:L,5,FALSE)</f>
        <v>FGHI</v>
      </c>
      <c r="Q1219" s="62" t="str">
        <f>IF(G1219="PA",IF(M1219&lt;&gt;"",ISERROR(VLOOKUP(M1219,ABBR!C:F,1,FALSE)),ISERROR(VLOOKUP(E1219,ABBR!C:F,1,FALSE))),"")</f>
        <v/>
      </c>
    </row>
    <row r="1220" spans="1:17" hidden="1" x14ac:dyDescent="0.25">
      <c r="A1220" s="16" t="s">
        <v>180</v>
      </c>
      <c r="B1220" s="17"/>
      <c r="C1220" s="16" t="s">
        <v>2749</v>
      </c>
      <c r="D1220" s="17"/>
      <c r="E1220" s="17" t="s">
        <v>608</v>
      </c>
      <c r="F1220" s="18" t="s">
        <v>2750</v>
      </c>
      <c r="G1220" s="49" t="s">
        <v>16</v>
      </c>
      <c r="H1220" s="17">
        <v>12</v>
      </c>
      <c r="I1220" s="30" t="s">
        <v>955</v>
      </c>
      <c r="J1220" s="80">
        <v>4.0999999999999996</v>
      </c>
      <c r="M1220" s="101"/>
      <c r="O1220" s="62" t="str">
        <f>IF(E1220="PA",IF(K1220&lt;&gt;"",ISERROR(VLOOKUP(K1220,ABBR!A:D,1,FALSE)),ISERROR(VLOOKUP(C1220,ABBR!A:D,1,FALSE))),"")</f>
        <v/>
      </c>
      <c r="P1220" t="str">
        <f>VLOOKUP(A1220,Groups!A:L,5,FALSE)</f>
        <v>FGHI</v>
      </c>
      <c r="Q1220" s="62" t="str">
        <f>IF(G1220="PA",IF(M1220&lt;&gt;"",ISERROR(VLOOKUP(M1220,ABBR!C:F,1,FALSE)),ISERROR(VLOOKUP(E1220,ABBR!C:F,1,FALSE))),"")</f>
        <v/>
      </c>
    </row>
    <row r="1221" spans="1:17" hidden="1" x14ac:dyDescent="0.25">
      <c r="A1221" s="16" t="s">
        <v>180</v>
      </c>
      <c r="B1221" s="17"/>
      <c r="C1221" s="16" t="s">
        <v>643</v>
      </c>
      <c r="D1221" s="17"/>
      <c r="E1221" s="17" t="s">
        <v>608</v>
      </c>
      <c r="F1221" s="18" t="s">
        <v>1294</v>
      </c>
      <c r="G1221" s="54" t="s">
        <v>1947</v>
      </c>
      <c r="H1221" s="17">
        <v>13</v>
      </c>
      <c r="I1221" s="30" t="s">
        <v>955</v>
      </c>
      <c r="J1221" s="80">
        <v>4.0999999999999996</v>
      </c>
      <c r="M1221" s="62" t="s">
        <v>8802</v>
      </c>
      <c r="O1221" s="62" t="str">
        <f>IF(E1221="PA",IF(K1221&lt;&gt;"",ISERROR(VLOOKUP(K1221,ABBR!A:D,1,FALSE)),ISERROR(VLOOKUP(C1221,ABBR!A:D,1,FALSE))),"")</f>
        <v/>
      </c>
      <c r="P1221" t="str">
        <f>VLOOKUP(A1221,Groups!A:L,5,FALSE)</f>
        <v>FGHI</v>
      </c>
      <c r="Q1221" s="62" t="str">
        <f>IF(G1221="PA",IF(M1221&lt;&gt;"",ISERROR(VLOOKUP(M1221,ABBR!C:F,1,FALSE)),ISERROR(VLOOKUP(E1221,ABBR!C:F,1,FALSE))),"")</f>
        <v/>
      </c>
    </row>
    <row r="1222" spans="1:17" hidden="1" x14ac:dyDescent="0.25">
      <c r="A1222" s="16" t="s">
        <v>35</v>
      </c>
      <c r="B1222" s="17" t="s">
        <v>960</v>
      </c>
      <c r="C1222" s="16" t="s">
        <v>643</v>
      </c>
      <c r="D1222" s="17"/>
      <c r="E1222" s="17" t="s">
        <v>608</v>
      </c>
      <c r="F1222" s="18" t="s">
        <v>2751</v>
      </c>
      <c r="G1222" s="49" t="s">
        <v>2752</v>
      </c>
      <c r="H1222" s="17">
        <v>1</v>
      </c>
      <c r="O1222" s="62" t="str">
        <f>IF(E1222="PA",IF(K1222&lt;&gt;"",ISERROR(VLOOKUP(K1222,ABBR!A:D,1,FALSE)),ISERROR(VLOOKUP(C1222,ABBR!A:D,1,FALSE))),"")</f>
        <v/>
      </c>
      <c r="P1222" t="str">
        <f>VLOOKUP(A1222,Groups!A:L,5,FALSE)</f>
        <v>-</v>
      </c>
      <c r="Q1222" s="62" t="str">
        <f>IF(G1222="PA",IF(M1222&lt;&gt;"",ISERROR(VLOOKUP(M1222,ABBR!C:F,1,FALSE)),ISERROR(VLOOKUP(E1222,ABBR!C:F,1,FALSE))),"")</f>
        <v/>
      </c>
    </row>
    <row r="1223" spans="1:17" hidden="1" x14ac:dyDescent="0.25">
      <c r="A1223" s="16" t="s">
        <v>35</v>
      </c>
      <c r="B1223" s="17" t="s">
        <v>960</v>
      </c>
      <c r="C1223" s="16" t="s">
        <v>2753</v>
      </c>
      <c r="D1223" s="17"/>
      <c r="E1223" s="17" t="s">
        <v>608</v>
      </c>
      <c r="F1223" s="18" t="s">
        <v>2754</v>
      </c>
      <c r="G1223" s="49" t="s">
        <v>2755</v>
      </c>
      <c r="H1223" s="17">
        <v>2</v>
      </c>
      <c r="O1223" s="62" t="str">
        <f>IF(E1223="PA",IF(K1223&lt;&gt;"",ISERROR(VLOOKUP(K1223,ABBR!A:D,1,FALSE)),ISERROR(VLOOKUP(C1223,ABBR!A:D,1,FALSE))),"")</f>
        <v/>
      </c>
      <c r="P1223" t="str">
        <f>VLOOKUP(A1223,Groups!A:L,5,FALSE)</f>
        <v>-</v>
      </c>
      <c r="Q1223" s="62" t="str">
        <f>IF(G1223="PA",IF(M1223&lt;&gt;"",ISERROR(VLOOKUP(M1223,ABBR!C:F,1,FALSE)),ISERROR(VLOOKUP(E1223,ABBR!C:F,1,FALSE))),"")</f>
        <v/>
      </c>
    </row>
    <row r="1224" spans="1:17" hidden="1" x14ac:dyDescent="0.25">
      <c r="A1224" s="16" t="s">
        <v>35</v>
      </c>
      <c r="B1224" s="17"/>
      <c r="C1224" s="16" t="s">
        <v>2756</v>
      </c>
      <c r="D1224" s="17"/>
      <c r="E1224" s="17" t="s">
        <v>608</v>
      </c>
      <c r="F1224" s="18" t="s">
        <v>2757</v>
      </c>
      <c r="G1224" s="49" t="s">
        <v>2758</v>
      </c>
      <c r="H1224" s="17">
        <v>3</v>
      </c>
      <c r="O1224" s="62" t="str">
        <f>IF(E1224="PA",IF(K1224&lt;&gt;"",ISERROR(VLOOKUP(K1224,ABBR!A:D,1,FALSE)),ISERROR(VLOOKUP(C1224,ABBR!A:D,1,FALSE))),"")</f>
        <v/>
      </c>
      <c r="P1224" t="str">
        <f>VLOOKUP(A1224,Groups!A:L,5,FALSE)</f>
        <v>-</v>
      </c>
      <c r="Q1224" s="62" t="str">
        <f>IF(G1224="PA",IF(M1224&lt;&gt;"",ISERROR(VLOOKUP(M1224,ABBR!C:F,1,FALSE)),ISERROR(VLOOKUP(E1224,ABBR!C:F,1,FALSE))),"")</f>
        <v/>
      </c>
    </row>
    <row r="1225" spans="1:17" hidden="1" x14ac:dyDescent="0.25">
      <c r="A1225" s="16" t="s">
        <v>35</v>
      </c>
      <c r="B1225" s="17"/>
      <c r="C1225" s="16" t="s">
        <v>2759</v>
      </c>
      <c r="D1225" s="17"/>
      <c r="E1225" s="17" t="s">
        <v>618</v>
      </c>
      <c r="F1225" s="18" t="s">
        <v>2760</v>
      </c>
      <c r="G1225" s="49" t="s">
        <v>2761</v>
      </c>
      <c r="H1225" s="17">
        <v>4</v>
      </c>
      <c r="O1225" s="62" t="b">
        <f>IF(E1225="PA",IF(K1225&lt;&gt;"",ISERROR(VLOOKUP(K1225,ABBR!A:D,1,FALSE)),ISERROR(VLOOKUP(C1225,ABBR!A:D,1,FALSE))),"")</f>
        <v>0</v>
      </c>
      <c r="P1225" t="str">
        <f>VLOOKUP(A1225,Groups!A:L,5,FALSE)</f>
        <v>-</v>
      </c>
      <c r="Q1225" s="62" t="str">
        <f>IF(G1225="PA",IF(M1225&lt;&gt;"",ISERROR(VLOOKUP(M1225,ABBR!C:F,1,FALSE)),ISERROR(VLOOKUP(E1225,ABBR!C:F,1,FALSE))),"")</f>
        <v/>
      </c>
    </row>
    <row r="1226" spans="1:17" hidden="1" x14ac:dyDescent="0.25">
      <c r="A1226" s="16" t="s">
        <v>35</v>
      </c>
      <c r="B1226" s="17"/>
      <c r="C1226" s="16" t="s">
        <v>2762</v>
      </c>
      <c r="D1226" s="17"/>
      <c r="E1226" s="17" t="s">
        <v>608</v>
      </c>
      <c r="F1226" s="18" t="s">
        <v>2763</v>
      </c>
      <c r="G1226" s="49" t="s">
        <v>2764</v>
      </c>
      <c r="H1226" s="17">
        <v>5</v>
      </c>
      <c r="O1226" s="62" t="str">
        <f>IF(E1226="PA",IF(K1226&lt;&gt;"",ISERROR(VLOOKUP(K1226,ABBR!A:D,1,FALSE)),ISERROR(VLOOKUP(C1226,ABBR!A:D,1,FALSE))),"")</f>
        <v/>
      </c>
      <c r="P1226" t="str">
        <f>VLOOKUP(A1226,Groups!A:L,5,FALSE)</f>
        <v>-</v>
      </c>
      <c r="Q1226" s="62" t="str">
        <f>IF(G1226="PA",IF(M1226&lt;&gt;"",ISERROR(VLOOKUP(M1226,ABBR!C:F,1,FALSE)),ISERROR(VLOOKUP(E1226,ABBR!C:F,1,FALSE))),"")</f>
        <v/>
      </c>
    </row>
    <row r="1227" spans="1:17" hidden="1" x14ac:dyDescent="0.25">
      <c r="A1227" s="16" t="s">
        <v>35</v>
      </c>
      <c r="B1227" s="17"/>
      <c r="C1227" s="16" t="s">
        <v>2765</v>
      </c>
      <c r="D1227" s="17"/>
      <c r="E1227" s="17" t="s">
        <v>618</v>
      </c>
      <c r="F1227" s="18" t="s">
        <v>2766</v>
      </c>
      <c r="G1227" s="49" t="s">
        <v>2767</v>
      </c>
      <c r="H1227" s="17">
        <v>6</v>
      </c>
      <c r="O1227" s="62" t="b">
        <f>IF(E1227="PA",IF(K1227&lt;&gt;"",ISERROR(VLOOKUP(K1227,ABBR!A:D,1,FALSE)),ISERROR(VLOOKUP(C1227,ABBR!A:D,1,FALSE))),"")</f>
        <v>0</v>
      </c>
      <c r="P1227" t="str">
        <f>VLOOKUP(A1227,Groups!A:L,5,FALSE)</f>
        <v>-</v>
      </c>
      <c r="Q1227" s="62" t="str">
        <f>IF(G1227="PA",IF(M1227&lt;&gt;"",ISERROR(VLOOKUP(M1227,ABBR!C:F,1,FALSE)),ISERROR(VLOOKUP(E1227,ABBR!C:F,1,FALSE))),"")</f>
        <v/>
      </c>
    </row>
    <row r="1228" spans="1:17" ht="25" hidden="1" x14ac:dyDescent="0.25">
      <c r="A1228" s="16" t="s">
        <v>35</v>
      </c>
      <c r="B1228" s="17"/>
      <c r="C1228" s="16" t="s">
        <v>2768</v>
      </c>
      <c r="D1228" s="17" t="s">
        <v>1421</v>
      </c>
      <c r="E1228" s="17" t="s">
        <v>925</v>
      </c>
      <c r="F1228" s="18" t="s">
        <v>2769</v>
      </c>
      <c r="G1228" s="49" t="s">
        <v>2770</v>
      </c>
      <c r="H1228" s="17">
        <v>7</v>
      </c>
      <c r="O1228" s="62" t="str">
        <f>IF(E1228="PA",IF(K1228&lt;&gt;"",ISERROR(VLOOKUP(K1228,ABBR!A:D,1,FALSE)),ISERROR(VLOOKUP(C1228,ABBR!A:D,1,FALSE))),"")</f>
        <v/>
      </c>
      <c r="P1228" t="str">
        <f>VLOOKUP(A1228,Groups!A:L,5,FALSE)</f>
        <v>-</v>
      </c>
      <c r="Q1228" s="62" t="str">
        <f>IF(G1228="PA",IF(M1228&lt;&gt;"",ISERROR(VLOOKUP(M1228,ABBR!C:F,1,FALSE)),ISERROR(VLOOKUP(E1228,ABBR!C:F,1,FALSE))),"")</f>
        <v/>
      </c>
    </row>
    <row r="1229" spans="1:17" hidden="1" x14ac:dyDescent="0.25">
      <c r="A1229" s="16" t="s">
        <v>35</v>
      </c>
      <c r="B1229" s="17"/>
      <c r="C1229" s="16" t="s">
        <v>2771</v>
      </c>
      <c r="D1229" s="17"/>
      <c r="E1229" s="17" t="s">
        <v>608</v>
      </c>
      <c r="F1229" s="18" t="s">
        <v>2772</v>
      </c>
      <c r="G1229" s="49" t="s">
        <v>16</v>
      </c>
      <c r="H1229" s="17">
        <v>8</v>
      </c>
      <c r="M1229" s="101"/>
      <c r="O1229" s="62" t="str">
        <f>IF(E1229="PA",IF(K1229&lt;&gt;"",ISERROR(VLOOKUP(K1229,ABBR!A:D,1,FALSE)),ISERROR(VLOOKUP(C1229,ABBR!A:D,1,FALSE))),"")</f>
        <v/>
      </c>
      <c r="P1229" t="str">
        <f>VLOOKUP(A1229,Groups!A:L,5,FALSE)</f>
        <v>-</v>
      </c>
      <c r="Q1229" s="62" t="str">
        <f>IF(G1229="PA",IF(M1229&lt;&gt;"",ISERROR(VLOOKUP(M1229,ABBR!C:F,1,FALSE)),ISERROR(VLOOKUP(E1229,ABBR!C:F,1,FALSE))),"")</f>
        <v/>
      </c>
    </row>
    <row r="1230" spans="1:17" hidden="1" x14ac:dyDescent="0.25">
      <c r="A1230" s="16" t="s">
        <v>186</v>
      </c>
      <c r="B1230" s="17" t="s">
        <v>594</v>
      </c>
      <c r="C1230" s="16" t="s">
        <v>595</v>
      </c>
      <c r="D1230" s="17"/>
      <c r="E1230" s="17" t="s">
        <v>596</v>
      </c>
      <c r="F1230" s="18" t="s">
        <v>597</v>
      </c>
      <c r="G1230" s="49" t="s">
        <v>598</v>
      </c>
      <c r="H1230" s="17">
        <v>1</v>
      </c>
      <c r="O1230" s="62" t="str">
        <f>IF(E1230="PA",IF(K1230&lt;&gt;"",ISERROR(VLOOKUP(K1230,ABBR!A:D,1,FALSE)),ISERROR(VLOOKUP(C1230,ABBR!A:D,1,FALSE))),"")</f>
        <v/>
      </c>
      <c r="P1230" t="str">
        <f>VLOOKUP(A1230,Groups!A:L,5,FALSE)</f>
        <v>LOCA</v>
      </c>
      <c r="Q1230" s="62" t="str">
        <f>IF(G1230="PA",IF(M1230&lt;&gt;"",ISERROR(VLOOKUP(M1230,ABBR!C:F,1,FALSE)),ISERROR(VLOOKUP(E1230,ABBR!C:F,1,FALSE))),"")</f>
        <v/>
      </c>
    </row>
    <row r="1231" spans="1:17" hidden="1" x14ac:dyDescent="0.25">
      <c r="A1231" s="16" t="s">
        <v>186</v>
      </c>
      <c r="B1231" s="17" t="s">
        <v>594</v>
      </c>
      <c r="C1231" s="16" t="s">
        <v>2773</v>
      </c>
      <c r="D1231" s="17" t="s">
        <v>600</v>
      </c>
      <c r="E1231" s="17" t="s">
        <v>601</v>
      </c>
      <c r="F1231" s="18" t="s">
        <v>2774</v>
      </c>
      <c r="G1231" s="49" t="s">
        <v>2775</v>
      </c>
      <c r="H1231" s="17">
        <v>2</v>
      </c>
      <c r="O1231" s="62" t="str">
        <f>IF(E1231="PA",IF(K1231&lt;&gt;"",ISERROR(VLOOKUP(K1231,ABBR!A:D,1,FALSE)),ISERROR(VLOOKUP(C1231,ABBR!A:D,1,FALSE))),"")</f>
        <v/>
      </c>
      <c r="P1231" t="str">
        <f>VLOOKUP(A1231,Groups!A:L,5,FALSE)</f>
        <v>LOCA</v>
      </c>
      <c r="Q1231" s="62" t="str">
        <f>IF(G1231="PA",IF(M1231&lt;&gt;"",ISERROR(VLOOKUP(M1231,ABBR!C:F,1,FALSE)),ISERROR(VLOOKUP(E1231,ABBR!C:F,1,FALSE))),"")</f>
        <v/>
      </c>
    </row>
    <row r="1232" spans="1:17" hidden="1" x14ac:dyDescent="0.25">
      <c r="A1232" s="16" t="s">
        <v>186</v>
      </c>
      <c r="B1232" s="17" t="s">
        <v>594</v>
      </c>
      <c r="C1232" s="16" t="s">
        <v>2776</v>
      </c>
      <c r="D1232" s="17" t="s">
        <v>600</v>
      </c>
      <c r="E1232" s="17" t="s">
        <v>601</v>
      </c>
      <c r="F1232" s="18" t="s">
        <v>2777</v>
      </c>
      <c r="G1232" s="49" t="s">
        <v>2778</v>
      </c>
      <c r="H1232" s="17">
        <v>3</v>
      </c>
      <c r="O1232" s="62" t="str">
        <f>IF(E1232="PA",IF(K1232&lt;&gt;"",ISERROR(VLOOKUP(K1232,ABBR!A:D,1,FALSE)),ISERROR(VLOOKUP(C1232,ABBR!A:D,1,FALSE))),"")</f>
        <v/>
      </c>
      <c r="P1232" t="str">
        <f>VLOOKUP(A1232,Groups!A:L,5,FALSE)</f>
        <v>LOCA</v>
      </c>
      <c r="Q1232" s="62" t="str">
        <f>IF(G1232="PA",IF(M1232&lt;&gt;"",ISERROR(VLOOKUP(M1232,ABBR!C:F,1,FALSE)),ISERROR(VLOOKUP(E1232,ABBR!C:F,1,FALSE))),"")</f>
        <v/>
      </c>
    </row>
    <row r="1233" spans="1:17" hidden="1" x14ac:dyDescent="0.25">
      <c r="A1233" s="16" t="s">
        <v>186</v>
      </c>
      <c r="B1233" s="17"/>
      <c r="C1233" s="16" t="s">
        <v>2779</v>
      </c>
      <c r="D1233" s="17"/>
      <c r="E1233" s="17" t="s">
        <v>618</v>
      </c>
      <c r="F1233" s="18" t="s">
        <v>2780</v>
      </c>
      <c r="G1233" s="49" t="s">
        <v>2781</v>
      </c>
      <c r="H1233" s="17">
        <v>4</v>
      </c>
      <c r="O1233" s="62" t="b">
        <f>IF(E1233="PA",IF(K1233&lt;&gt;"",ISERROR(VLOOKUP(K1233,ABBR!A:D,1,FALSE)),ISERROR(VLOOKUP(C1233,ABBR!A:D,1,FALSE))),"")</f>
        <v>0</v>
      </c>
      <c r="P1233" t="str">
        <f>VLOOKUP(A1233,Groups!A:L,5,FALSE)</f>
        <v>LOCA</v>
      </c>
      <c r="Q1233" s="62" t="str">
        <f>IF(G1233="PA",IF(M1233&lt;&gt;"",ISERROR(VLOOKUP(M1233,ABBR!C:F,1,FALSE)),ISERROR(VLOOKUP(E1233,ABBR!C:F,1,FALSE))),"")</f>
        <v/>
      </c>
    </row>
    <row r="1234" spans="1:17" hidden="1" x14ac:dyDescent="0.25">
      <c r="A1234" s="16" t="s">
        <v>186</v>
      </c>
      <c r="B1234" s="17"/>
      <c r="C1234" s="16" t="s">
        <v>2782</v>
      </c>
      <c r="D1234" s="17" t="s">
        <v>766</v>
      </c>
      <c r="E1234" s="17" t="s">
        <v>767</v>
      </c>
      <c r="F1234" s="18" t="s">
        <v>2783</v>
      </c>
      <c r="G1234" s="49" t="s">
        <v>2067</v>
      </c>
      <c r="H1234" s="17">
        <v>5</v>
      </c>
      <c r="O1234" s="62" t="str">
        <f>IF(E1234="PA",IF(K1234&lt;&gt;"",ISERROR(VLOOKUP(K1234,ABBR!A:D,1,FALSE)),ISERROR(VLOOKUP(C1234,ABBR!A:D,1,FALSE))),"")</f>
        <v/>
      </c>
      <c r="P1234" t="str">
        <f>VLOOKUP(A1234,Groups!A:L,5,FALSE)</f>
        <v>LOCA</v>
      </c>
      <c r="Q1234" s="62" t="str">
        <f>IF(G1234="PA",IF(M1234&lt;&gt;"",ISERROR(VLOOKUP(M1234,ABBR!C:F,1,FALSE)),ISERROR(VLOOKUP(E1234,ABBR!C:F,1,FALSE))),"")</f>
        <v/>
      </c>
    </row>
    <row r="1235" spans="1:17" hidden="1" x14ac:dyDescent="0.25">
      <c r="A1235" s="16" t="s">
        <v>186</v>
      </c>
      <c r="B1235" s="17"/>
      <c r="C1235" s="16" t="s">
        <v>2784</v>
      </c>
      <c r="D1235" s="17" t="s">
        <v>766</v>
      </c>
      <c r="E1235" s="17" t="s">
        <v>767</v>
      </c>
      <c r="F1235" s="18" t="s">
        <v>2785</v>
      </c>
      <c r="G1235" s="49" t="s">
        <v>2786</v>
      </c>
      <c r="H1235" s="17">
        <v>6</v>
      </c>
      <c r="O1235" s="62" t="str">
        <f>IF(E1235="PA",IF(K1235&lt;&gt;"",ISERROR(VLOOKUP(K1235,ABBR!A:D,1,FALSE)),ISERROR(VLOOKUP(C1235,ABBR!A:D,1,FALSE))),"")</f>
        <v/>
      </c>
      <c r="P1235" t="str">
        <f>VLOOKUP(A1235,Groups!A:L,5,FALSE)</f>
        <v>LOCA</v>
      </c>
      <c r="Q1235" s="62" t="str">
        <f>IF(G1235="PA",IF(M1235&lt;&gt;"",ISERROR(VLOOKUP(M1235,ABBR!C:F,1,FALSE)),ISERROR(VLOOKUP(E1235,ABBR!C:F,1,FALSE))),"")</f>
        <v/>
      </c>
    </row>
    <row r="1236" spans="1:17" hidden="1" x14ac:dyDescent="0.25">
      <c r="A1236" s="16" t="s">
        <v>186</v>
      </c>
      <c r="B1236" s="17"/>
      <c r="C1236" s="16" t="s">
        <v>2787</v>
      </c>
      <c r="D1236" s="17"/>
      <c r="E1236" s="17" t="s">
        <v>608</v>
      </c>
      <c r="F1236" s="18" t="s">
        <v>2788</v>
      </c>
      <c r="G1236" s="49" t="s">
        <v>2789</v>
      </c>
      <c r="H1236" s="17">
        <v>7</v>
      </c>
      <c r="O1236" s="62" t="str">
        <f>IF(E1236="PA",IF(K1236&lt;&gt;"",ISERROR(VLOOKUP(K1236,ABBR!A:D,1,FALSE)),ISERROR(VLOOKUP(C1236,ABBR!A:D,1,FALSE))),"")</f>
        <v/>
      </c>
      <c r="P1236" t="str">
        <f>VLOOKUP(A1236,Groups!A:L,5,FALSE)</f>
        <v>LOCA</v>
      </c>
      <c r="Q1236" s="62" t="str">
        <f>IF(G1236="PA",IF(M1236&lt;&gt;"",ISERROR(VLOOKUP(M1236,ABBR!C:F,1,FALSE)),ISERROR(VLOOKUP(E1236,ABBR!C:F,1,FALSE))),"")</f>
        <v/>
      </c>
    </row>
    <row r="1237" spans="1:17" hidden="1" x14ac:dyDescent="0.25">
      <c r="A1237" s="16" t="s">
        <v>186</v>
      </c>
      <c r="B1237" s="17"/>
      <c r="C1237" s="16" t="s">
        <v>2790</v>
      </c>
      <c r="D1237" s="17"/>
      <c r="E1237" s="17" t="s">
        <v>608</v>
      </c>
      <c r="F1237" s="18" t="s">
        <v>642</v>
      </c>
      <c r="G1237" s="49" t="s">
        <v>16</v>
      </c>
      <c r="H1237" s="17">
        <v>8</v>
      </c>
      <c r="M1237" s="101"/>
      <c r="O1237" s="62" t="str">
        <f>IF(E1237="PA",IF(K1237&lt;&gt;"",ISERROR(VLOOKUP(K1237,ABBR!A:D,1,FALSE)),ISERROR(VLOOKUP(C1237,ABBR!A:D,1,FALSE))),"")</f>
        <v/>
      </c>
      <c r="P1237" t="str">
        <f>VLOOKUP(A1237,Groups!A:L,5,FALSE)</f>
        <v>LOCA</v>
      </c>
      <c r="Q1237" s="62" t="str">
        <f>IF(G1237="PA",IF(M1237&lt;&gt;"",ISERROR(VLOOKUP(M1237,ABBR!C:F,1,FALSE)),ISERROR(VLOOKUP(E1237,ABBR!C:F,1,FALSE))),"")</f>
        <v/>
      </c>
    </row>
    <row r="1238" spans="1:17" ht="25" hidden="1" x14ac:dyDescent="0.25">
      <c r="A1238" s="16" t="s">
        <v>186</v>
      </c>
      <c r="B1238" s="17"/>
      <c r="C1238" s="16" t="s">
        <v>643</v>
      </c>
      <c r="D1238" s="17"/>
      <c r="E1238" s="17" t="s">
        <v>608</v>
      </c>
      <c r="F1238" s="18" t="s">
        <v>2791</v>
      </c>
      <c r="G1238" s="49" t="s">
        <v>1615</v>
      </c>
      <c r="H1238" s="17">
        <v>9</v>
      </c>
      <c r="O1238" s="62" t="str">
        <f>IF(E1238="PA",IF(K1238&lt;&gt;"",ISERROR(VLOOKUP(K1238,ABBR!A:D,1,FALSE)),ISERROR(VLOOKUP(C1238,ABBR!A:D,1,FALSE))),"")</f>
        <v/>
      </c>
      <c r="P1238" t="str">
        <f>VLOOKUP(A1238,Groups!A:L,5,FALSE)</f>
        <v>LOCA</v>
      </c>
      <c r="Q1238" s="62" t="str">
        <f>IF(G1238="PA",IF(M1238&lt;&gt;"",ISERROR(VLOOKUP(M1238,ABBR!C:F,1,FALSE)),ISERROR(VLOOKUP(E1238,ABBR!C:F,1,FALSE))),"")</f>
        <v/>
      </c>
    </row>
    <row r="1239" spans="1:17" hidden="1" x14ac:dyDescent="0.25">
      <c r="A1239" s="16" t="s">
        <v>188</v>
      </c>
      <c r="B1239" s="17" t="s">
        <v>594</v>
      </c>
      <c r="C1239" s="16" t="s">
        <v>595</v>
      </c>
      <c r="D1239" s="17"/>
      <c r="E1239" s="17" t="s">
        <v>596</v>
      </c>
      <c r="F1239" s="18" t="s">
        <v>597</v>
      </c>
      <c r="G1239" s="49" t="s">
        <v>598</v>
      </c>
      <c r="H1239" s="17">
        <v>1</v>
      </c>
      <c r="O1239" s="62" t="str">
        <f>IF(E1239="PA",IF(K1239&lt;&gt;"",ISERROR(VLOOKUP(K1239,ABBR!A:D,1,FALSE)),ISERROR(VLOOKUP(C1239,ABBR!A:D,1,FALSE))),"")</f>
        <v/>
      </c>
      <c r="P1239" t="str">
        <f>VLOOKUP(A1239,Groups!A:L,5,FALSE)</f>
        <v>LOCA</v>
      </c>
      <c r="Q1239" s="62" t="str">
        <f>IF(G1239="PA",IF(M1239&lt;&gt;"",ISERROR(VLOOKUP(M1239,ABBR!C:F,1,FALSE)),ISERROR(VLOOKUP(E1239,ABBR!C:F,1,FALSE))),"")</f>
        <v/>
      </c>
    </row>
    <row r="1240" spans="1:17" ht="25" hidden="1" x14ac:dyDescent="0.25">
      <c r="A1240" s="16" t="s">
        <v>188</v>
      </c>
      <c r="B1240" s="17" t="s">
        <v>594</v>
      </c>
      <c r="C1240" s="16" t="s">
        <v>2792</v>
      </c>
      <c r="D1240" s="17" t="s">
        <v>600</v>
      </c>
      <c r="E1240" s="17" t="s">
        <v>601</v>
      </c>
      <c r="F1240" s="18" t="s">
        <v>2793</v>
      </c>
      <c r="G1240" s="49" t="s">
        <v>2794</v>
      </c>
      <c r="H1240" s="17">
        <v>2</v>
      </c>
      <c r="O1240" s="62" t="str">
        <f>IF(E1240="PA",IF(K1240&lt;&gt;"",ISERROR(VLOOKUP(K1240,ABBR!A:D,1,FALSE)),ISERROR(VLOOKUP(C1240,ABBR!A:D,1,FALSE))),"")</f>
        <v/>
      </c>
      <c r="P1240" t="str">
        <f>VLOOKUP(A1240,Groups!A:L,5,FALSE)</f>
        <v>LOCA</v>
      </c>
      <c r="Q1240" s="62" t="str">
        <f>IF(G1240="PA",IF(M1240&lt;&gt;"",ISERROR(VLOOKUP(M1240,ABBR!C:F,1,FALSE)),ISERROR(VLOOKUP(E1240,ABBR!C:F,1,FALSE))),"")</f>
        <v/>
      </c>
    </row>
    <row r="1241" spans="1:17" ht="25" hidden="1" x14ac:dyDescent="0.25">
      <c r="A1241" s="16" t="s">
        <v>188</v>
      </c>
      <c r="B1241" s="17" t="s">
        <v>594</v>
      </c>
      <c r="C1241" s="16" t="s">
        <v>2795</v>
      </c>
      <c r="D1241" s="17" t="s">
        <v>600</v>
      </c>
      <c r="E1241" s="17" t="s">
        <v>601</v>
      </c>
      <c r="F1241" s="18" t="s">
        <v>2796</v>
      </c>
      <c r="G1241" s="49" t="s">
        <v>2797</v>
      </c>
      <c r="H1241" s="17">
        <v>3</v>
      </c>
      <c r="O1241" s="62" t="str">
        <f>IF(E1241="PA",IF(K1241&lt;&gt;"",ISERROR(VLOOKUP(K1241,ABBR!A:D,1,FALSE)),ISERROR(VLOOKUP(C1241,ABBR!A:D,1,FALSE))),"")</f>
        <v/>
      </c>
      <c r="P1241" t="str">
        <f>VLOOKUP(A1241,Groups!A:L,5,FALSE)</f>
        <v>LOCA</v>
      </c>
      <c r="Q1241" s="62" t="str">
        <f>IF(G1241="PA",IF(M1241&lt;&gt;"",ISERROR(VLOOKUP(M1241,ABBR!C:F,1,FALSE)),ISERROR(VLOOKUP(E1241,ABBR!C:F,1,FALSE))),"")</f>
        <v/>
      </c>
    </row>
    <row r="1242" spans="1:17" hidden="1" x14ac:dyDescent="0.25">
      <c r="A1242" s="16" t="s">
        <v>188</v>
      </c>
      <c r="B1242" s="17" t="s">
        <v>594</v>
      </c>
      <c r="C1242" s="16" t="s">
        <v>2017</v>
      </c>
      <c r="D1242" s="17"/>
      <c r="E1242" s="17" t="s">
        <v>608</v>
      </c>
      <c r="F1242" s="18" t="s">
        <v>2018</v>
      </c>
      <c r="G1242" s="49" t="s">
        <v>2019</v>
      </c>
      <c r="H1242" s="17">
        <v>4</v>
      </c>
      <c r="O1242" s="62" t="str">
        <f>IF(E1242="PA",IF(K1242&lt;&gt;"",ISERROR(VLOOKUP(K1242,ABBR!A:D,1,FALSE)),ISERROR(VLOOKUP(C1242,ABBR!A:D,1,FALSE))),"")</f>
        <v/>
      </c>
      <c r="P1242" t="str">
        <f>VLOOKUP(A1242,Groups!A:L,5,FALSE)</f>
        <v>LOCA</v>
      </c>
      <c r="Q1242" s="62" t="str">
        <f>IF(G1242="PA",IF(M1242&lt;&gt;"",ISERROR(VLOOKUP(M1242,ABBR!C:F,1,FALSE)),ISERROR(VLOOKUP(E1242,ABBR!C:F,1,FALSE))),"")</f>
        <v/>
      </c>
    </row>
    <row r="1243" spans="1:17" hidden="1" x14ac:dyDescent="0.25">
      <c r="A1243" s="16" t="s">
        <v>188</v>
      </c>
      <c r="B1243" s="17"/>
      <c r="C1243" s="16" t="s">
        <v>2798</v>
      </c>
      <c r="D1243" s="17" t="s">
        <v>722</v>
      </c>
      <c r="E1243" s="17" t="s">
        <v>1391</v>
      </c>
      <c r="F1243" s="18" t="s">
        <v>2799</v>
      </c>
      <c r="G1243" s="49" t="s">
        <v>2800</v>
      </c>
      <c r="H1243" s="17">
        <v>5</v>
      </c>
      <c r="O1243" s="62" t="str">
        <f>IF(E1243="PA",IF(K1243&lt;&gt;"",ISERROR(VLOOKUP(K1243,ABBR!A:D,1,FALSE)),ISERROR(VLOOKUP(C1243,ABBR!A:D,1,FALSE))),"")</f>
        <v/>
      </c>
      <c r="P1243" t="str">
        <f>VLOOKUP(A1243,Groups!A:L,5,FALSE)</f>
        <v>LOCA</v>
      </c>
      <c r="Q1243" s="62" t="str">
        <f>IF(G1243="PA",IF(M1243&lt;&gt;"",ISERROR(VLOOKUP(M1243,ABBR!C:F,1,FALSE)),ISERROR(VLOOKUP(E1243,ABBR!C:F,1,FALSE))),"")</f>
        <v/>
      </c>
    </row>
    <row r="1244" spans="1:17" ht="25" hidden="1" x14ac:dyDescent="0.25">
      <c r="A1244" s="16" t="s">
        <v>188</v>
      </c>
      <c r="B1244" s="17"/>
      <c r="C1244" s="16" t="s">
        <v>2801</v>
      </c>
      <c r="D1244" s="17" t="s">
        <v>722</v>
      </c>
      <c r="E1244" s="17" t="s">
        <v>1391</v>
      </c>
      <c r="F1244" s="18" t="s">
        <v>2802</v>
      </c>
      <c r="G1244" s="49" t="s">
        <v>2803</v>
      </c>
      <c r="H1244" s="17">
        <v>6</v>
      </c>
      <c r="J1244" s="62" t="s">
        <v>1279</v>
      </c>
      <c r="K1244" s="62"/>
      <c r="M1244" s="62"/>
      <c r="N1244" s="62"/>
      <c r="O1244" s="62" t="str">
        <f>IF(E1244="PA",IF(K1244&lt;&gt;"",ISERROR(VLOOKUP(K1244,ABBR!A:D,1,FALSE)),ISERROR(VLOOKUP(C1244,ABBR!A:D,1,FALSE))),"")</f>
        <v/>
      </c>
      <c r="P1244" t="str">
        <f>VLOOKUP(A1244,Groups!A:L,5,FALSE)</f>
        <v>LOCA</v>
      </c>
      <c r="Q1244" s="62" t="str">
        <f>IF(G1244="PA",IF(M1244&lt;&gt;"",ISERROR(VLOOKUP(M1244,ABBR!C:F,1,FALSE)),ISERROR(VLOOKUP(E1244,ABBR!C:F,1,FALSE))),"")</f>
        <v/>
      </c>
    </row>
    <row r="1245" spans="1:17" hidden="1" x14ac:dyDescent="0.25">
      <c r="A1245" s="16" t="s">
        <v>188</v>
      </c>
      <c r="B1245" s="17"/>
      <c r="C1245" s="16" t="s">
        <v>2804</v>
      </c>
      <c r="D1245" s="17" t="s">
        <v>722</v>
      </c>
      <c r="E1245" s="17" t="s">
        <v>1391</v>
      </c>
      <c r="F1245" s="18" t="s">
        <v>2805</v>
      </c>
      <c r="G1245" s="49" t="s">
        <v>2806</v>
      </c>
      <c r="H1245" s="17">
        <v>7</v>
      </c>
      <c r="O1245" s="62" t="str">
        <f>IF(E1245="PA",IF(K1245&lt;&gt;"",ISERROR(VLOOKUP(K1245,ABBR!A:D,1,FALSE)),ISERROR(VLOOKUP(C1245,ABBR!A:D,1,FALSE))),"")</f>
        <v/>
      </c>
      <c r="P1245" t="str">
        <f>VLOOKUP(A1245,Groups!A:L,5,FALSE)</f>
        <v>LOCA</v>
      </c>
      <c r="Q1245" s="62" t="str">
        <f>IF(G1245="PA",IF(M1245&lt;&gt;"",ISERROR(VLOOKUP(M1245,ABBR!C:F,1,FALSE)),ISERROR(VLOOKUP(E1245,ABBR!C:F,1,FALSE))),"")</f>
        <v/>
      </c>
    </row>
    <row r="1246" spans="1:17" ht="25" hidden="1" x14ac:dyDescent="0.25">
      <c r="A1246" s="16" t="s">
        <v>188</v>
      </c>
      <c r="B1246" s="17"/>
      <c r="C1246" s="16" t="s">
        <v>2807</v>
      </c>
      <c r="D1246" s="17"/>
      <c r="E1246" s="17" t="s">
        <v>1391</v>
      </c>
      <c r="F1246" s="18" t="s">
        <v>2808</v>
      </c>
      <c r="G1246" s="49" t="s">
        <v>1091</v>
      </c>
      <c r="H1246" s="17">
        <v>8</v>
      </c>
      <c r="O1246" s="62" t="str">
        <f>IF(E1246="PA",IF(K1246&lt;&gt;"",ISERROR(VLOOKUP(K1246,ABBR!A:D,1,FALSE)),ISERROR(VLOOKUP(C1246,ABBR!A:D,1,FALSE))),"")</f>
        <v/>
      </c>
      <c r="P1246" t="str">
        <f>VLOOKUP(A1246,Groups!A:L,5,FALSE)</f>
        <v>LOCA</v>
      </c>
      <c r="Q1246" s="62" t="str">
        <f>IF(G1246="PA",IF(M1246&lt;&gt;"",ISERROR(VLOOKUP(M1246,ABBR!C:F,1,FALSE)),ISERROR(VLOOKUP(E1246,ABBR!C:F,1,FALSE))),"")</f>
        <v/>
      </c>
    </row>
    <row r="1247" spans="1:17" hidden="1" x14ac:dyDescent="0.25">
      <c r="A1247" s="16" t="s">
        <v>188</v>
      </c>
      <c r="B1247" s="17"/>
      <c r="C1247" s="16" t="s">
        <v>2809</v>
      </c>
      <c r="D1247" s="17"/>
      <c r="E1247" s="17" t="s">
        <v>608</v>
      </c>
      <c r="F1247" s="18" t="s">
        <v>2810</v>
      </c>
      <c r="G1247" s="49" t="s">
        <v>1229</v>
      </c>
      <c r="H1247" s="17">
        <v>9</v>
      </c>
      <c r="O1247" s="62" t="str">
        <f>IF(E1247="PA",IF(K1247&lt;&gt;"",ISERROR(VLOOKUP(K1247,ABBR!A:D,1,FALSE)),ISERROR(VLOOKUP(C1247,ABBR!A:D,1,FALSE))),"")</f>
        <v/>
      </c>
      <c r="P1247" t="str">
        <f>VLOOKUP(A1247,Groups!A:L,5,FALSE)</f>
        <v>LOCA</v>
      </c>
      <c r="Q1247" s="62" t="str">
        <f>IF(G1247="PA",IF(M1247&lt;&gt;"",ISERROR(VLOOKUP(M1247,ABBR!C:F,1,FALSE)),ISERROR(VLOOKUP(E1247,ABBR!C:F,1,FALSE))),"")</f>
        <v/>
      </c>
    </row>
    <row r="1248" spans="1:17" hidden="1" x14ac:dyDescent="0.25">
      <c r="A1248" s="16" t="s">
        <v>188</v>
      </c>
      <c r="B1248" s="17"/>
      <c r="C1248" s="16" t="s">
        <v>643</v>
      </c>
      <c r="D1248" s="17"/>
      <c r="E1248" s="17" t="s">
        <v>608</v>
      </c>
      <c r="F1248" s="18" t="s">
        <v>1985</v>
      </c>
      <c r="G1248" s="49" t="s">
        <v>645</v>
      </c>
      <c r="H1248" s="17">
        <v>10</v>
      </c>
      <c r="O1248" s="62" t="str">
        <f>IF(E1248="PA",IF(K1248&lt;&gt;"",ISERROR(VLOOKUP(K1248,ABBR!A:D,1,FALSE)),ISERROR(VLOOKUP(C1248,ABBR!A:D,1,FALSE))),"")</f>
        <v/>
      </c>
      <c r="P1248" t="str">
        <f>VLOOKUP(A1248,Groups!A:L,5,FALSE)</f>
        <v>LOCA</v>
      </c>
      <c r="Q1248" s="62" t="str">
        <f>IF(G1248="PA",IF(M1248&lt;&gt;"",ISERROR(VLOOKUP(M1248,ABBR!C:F,1,FALSE)),ISERROR(VLOOKUP(E1248,ABBR!C:F,1,FALSE))),"")</f>
        <v/>
      </c>
    </row>
    <row r="1249" spans="1:17" hidden="1" x14ac:dyDescent="0.25">
      <c r="A1249" s="16" t="s">
        <v>192</v>
      </c>
      <c r="B1249" s="17" t="s">
        <v>594</v>
      </c>
      <c r="C1249" s="16" t="s">
        <v>595</v>
      </c>
      <c r="D1249" s="17"/>
      <c r="E1249" s="17" t="s">
        <v>596</v>
      </c>
      <c r="F1249" s="18" t="s">
        <v>597</v>
      </c>
      <c r="G1249" s="49" t="s">
        <v>598</v>
      </c>
      <c r="H1249" s="17">
        <v>1</v>
      </c>
      <c r="O1249" s="62" t="str">
        <f>IF(E1249="PA",IF(K1249&lt;&gt;"",ISERROR(VLOOKUP(K1249,ABBR!A:D,1,FALSE)),ISERROR(VLOOKUP(C1249,ABBR!A:D,1,FALSE))),"")</f>
        <v/>
      </c>
      <c r="P1249" t="str">
        <f>VLOOKUP(A1249,Groups!A:L,5,FALSE)</f>
        <v>SAMP</v>
      </c>
      <c r="Q1249" s="62" t="str">
        <f>IF(G1249="PA",IF(M1249&lt;&gt;"",ISERROR(VLOOKUP(M1249,ABBR!C:F,1,FALSE)),ISERROR(VLOOKUP(E1249,ABBR!C:F,1,FALSE))),"")</f>
        <v/>
      </c>
    </row>
    <row r="1250" spans="1:17" hidden="1" x14ac:dyDescent="0.25">
      <c r="A1250" s="16" t="s">
        <v>192</v>
      </c>
      <c r="B1250" s="17" t="s">
        <v>594</v>
      </c>
      <c r="C1250" s="16" t="s">
        <v>851</v>
      </c>
      <c r="D1250" s="17" t="s">
        <v>600</v>
      </c>
      <c r="E1250" s="17" t="s">
        <v>601</v>
      </c>
      <c r="F1250" s="18" t="s">
        <v>852</v>
      </c>
      <c r="G1250" s="49" t="s">
        <v>853</v>
      </c>
      <c r="H1250" s="17">
        <v>2</v>
      </c>
      <c r="O1250" s="62" t="str">
        <f>IF(E1250="PA",IF(K1250&lt;&gt;"",ISERROR(VLOOKUP(K1250,ABBR!A:D,1,FALSE)),ISERROR(VLOOKUP(C1250,ABBR!A:D,1,FALSE))),"")</f>
        <v/>
      </c>
      <c r="P1250" t="str">
        <f>VLOOKUP(A1250,Groups!A:L,5,FALSE)</f>
        <v>SAMP</v>
      </c>
      <c r="Q1250" s="62" t="str">
        <f>IF(G1250="PA",IF(M1250&lt;&gt;"",ISERROR(VLOOKUP(M1250,ABBR!C:F,1,FALSE)),ISERROR(VLOOKUP(E1250,ABBR!C:F,1,FALSE))),"")</f>
        <v/>
      </c>
    </row>
    <row r="1251" spans="1:17" hidden="1" x14ac:dyDescent="0.25">
      <c r="A1251" s="16" t="s">
        <v>192</v>
      </c>
      <c r="B1251" s="17" t="s">
        <v>594</v>
      </c>
      <c r="C1251" s="16" t="s">
        <v>854</v>
      </c>
      <c r="D1251" s="17"/>
      <c r="E1251" s="17" t="s">
        <v>608</v>
      </c>
      <c r="F1251" s="18" t="s">
        <v>855</v>
      </c>
      <c r="G1251" s="49" t="s">
        <v>941</v>
      </c>
      <c r="H1251" s="17">
        <v>3</v>
      </c>
      <c r="O1251" s="62" t="str">
        <f>IF(E1251="PA",IF(K1251&lt;&gt;"",ISERROR(VLOOKUP(K1251,ABBR!A:D,1,FALSE)),ISERROR(VLOOKUP(C1251,ABBR!A:D,1,FALSE))),"")</f>
        <v/>
      </c>
      <c r="P1251" t="str">
        <f>VLOOKUP(A1251,Groups!A:L,5,FALSE)</f>
        <v>SAMP</v>
      </c>
      <c r="Q1251" s="62" t="str">
        <f>IF(G1251="PA",IF(M1251&lt;&gt;"",ISERROR(VLOOKUP(M1251,ABBR!C:F,1,FALSE)),ISERROR(VLOOKUP(E1251,ABBR!C:F,1,FALSE))),"")</f>
        <v/>
      </c>
    </row>
    <row r="1252" spans="1:17" hidden="1" x14ac:dyDescent="0.25">
      <c r="A1252" s="16" t="s">
        <v>192</v>
      </c>
      <c r="B1252" s="17" t="s">
        <v>594</v>
      </c>
      <c r="C1252" s="16" t="s">
        <v>857</v>
      </c>
      <c r="D1252" s="17"/>
      <c r="E1252" s="17" t="s">
        <v>618</v>
      </c>
      <c r="F1252" s="18" t="s">
        <v>858</v>
      </c>
      <c r="G1252" s="49" t="s">
        <v>859</v>
      </c>
      <c r="H1252" s="17">
        <v>4</v>
      </c>
      <c r="O1252" s="62" t="b">
        <f>IF(E1252="PA",IF(K1252&lt;&gt;"",ISERROR(VLOOKUP(K1252,ABBR!A:D,1,FALSE)),ISERROR(VLOOKUP(C1252,ABBR!A:D,1,FALSE))),"")</f>
        <v>0</v>
      </c>
      <c r="P1252" t="str">
        <f>VLOOKUP(A1252,Groups!A:L,5,FALSE)</f>
        <v>SAMP</v>
      </c>
      <c r="Q1252" s="62" t="str">
        <f>IF(G1252="PA",IF(M1252&lt;&gt;"",ISERROR(VLOOKUP(M1252,ABBR!C:F,1,FALSE)),ISERROR(VLOOKUP(E1252,ABBR!C:F,1,FALSE))),"")</f>
        <v/>
      </c>
    </row>
    <row r="1253" spans="1:17" hidden="1" x14ac:dyDescent="0.25">
      <c r="A1253" s="16" t="s">
        <v>192</v>
      </c>
      <c r="B1253" s="17" t="s">
        <v>594</v>
      </c>
      <c r="C1253" s="16" t="s">
        <v>860</v>
      </c>
      <c r="D1253" s="17"/>
      <c r="E1253" s="17" t="s">
        <v>596</v>
      </c>
      <c r="F1253" s="18" t="s">
        <v>942</v>
      </c>
      <c r="G1253" s="49" t="s">
        <v>862</v>
      </c>
      <c r="H1253" s="17">
        <v>5</v>
      </c>
      <c r="O1253" s="62" t="str">
        <f>IF(E1253="PA",IF(K1253&lt;&gt;"",ISERROR(VLOOKUP(K1253,ABBR!A:D,1,FALSE)),ISERROR(VLOOKUP(C1253,ABBR!A:D,1,FALSE))),"")</f>
        <v/>
      </c>
      <c r="P1253" t="str">
        <f>VLOOKUP(A1253,Groups!A:L,5,FALSE)</f>
        <v>SAMP</v>
      </c>
      <c r="Q1253" s="62" t="str">
        <f>IF(G1253="PA",IF(M1253&lt;&gt;"",ISERROR(VLOOKUP(M1253,ABBR!C:F,1,FALSE)),ISERROR(VLOOKUP(E1253,ABBR!C:F,1,FALSE))),"")</f>
        <v/>
      </c>
    </row>
    <row r="1254" spans="1:17" hidden="1" x14ac:dyDescent="0.25">
      <c r="A1254" s="16" t="s">
        <v>192</v>
      </c>
      <c r="B1254" s="17" t="s">
        <v>594</v>
      </c>
      <c r="C1254" s="16" t="s">
        <v>863</v>
      </c>
      <c r="D1254" s="17"/>
      <c r="E1254" s="17" t="s">
        <v>608</v>
      </c>
      <c r="F1254" s="18" t="s">
        <v>864</v>
      </c>
      <c r="G1254" s="49" t="s">
        <v>865</v>
      </c>
      <c r="H1254" s="17">
        <v>6</v>
      </c>
      <c r="O1254" s="62" t="str">
        <f>IF(E1254="PA",IF(K1254&lt;&gt;"",ISERROR(VLOOKUP(K1254,ABBR!A:D,1,FALSE)),ISERROR(VLOOKUP(C1254,ABBR!A:D,1,FALSE))),"")</f>
        <v/>
      </c>
      <c r="P1254" t="str">
        <f>VLOOKUP(A1254,Groups!A:L,5,FALSE)</f>
        <v>SAMP</v>
      </c>
      <c r="Q1254" s="62" t="str">
        <f>IF(G1254="PA",IF(M1254&lt;&gt;"",ISERROR(VLOOKUP(M1254,ABBR!C:F,1,FALSE)),ISERROR(VLOOKUP(E1254,ABBR!C:F,1,FALSE))),"")</f>
        <v/>
      </c>
    </row>
    <row r="1255" spans="1:17" hidden="1" x14ac:dyDescent="0.25">
      <c r="A1255" s="16" t="s">
        <v>192</v>
      </c>
      <c r="B1255" s="17" t="s">
        <v>594</v>
      </c>
      <c r="C1255" s="16" t="s">
        <v>866</v>
      </c>
      <c r="D1255" s="17" t="s">
        <v>600</v>
      </c>
      <c r="E1255" s="17" t="s">
        <v>601</v>
      </c>
      <c r="F1255" s="18" t="s">
        <v>867</v>
      </c>
      <c r="G1255" s="49" t="s">
        <v>853</v>
      </c>
      <c r="H1255" s="17">
        <v>7</v>
      </c>
      <c r="O1255" s="62" t="str">
        <f>IF(E1255="PA",IF(K1255&lt;&gt;"",ISERROR(VLOOKUP(K1255,ABBR!A:D,1,FALSE)),ISERROR(VLOOKUP(C1255,ABBR!A:D,1,FALSE))),"")</f>
        <v/>
      </c>
      <c r="P1255" t="str">
        <f>VLOOKUP(A1255,Groups!A:L,5,FALSE)</f>
        <v>SAMP</v>
      </c>
      <c r="Q1255" s="62" t="str">
        <f>IF(G1255="PA",IF(M1255&lt;&gt;"",ISERROR(VLOOKUP(M1255,ABBR!C:F,1,FALSE)),ISERROR(VLOOKUP(E1255,ABBR!C:F,1,FALSE))),"")</f>
        <v/>
      </c>
    </row>
    <row r="1256" spans="1:17" hidden="1" x14ac:dyDescent="0.25">
      <c r="A1256" s="16" t="s">
        <v>192</v>
      </c>
      <c r="B1256" s="17"/>
      <c r="C1256" s="16" t="s">
        <v>868</v>
      </c>
      <c r="D1256" s="17"/>
      <c r="E1256" s="17" t="s">
        <v>608</v>
      </c>
      <c r="F1256" s="18" t="s">
        <v>869</v>
      </c>
      <c r="G1256" s="51" t="s">
        <v>1269</v>
      </c>
      <c r="H1256" s="17">
        <v>8</v>
      </c>
      <c r="O1256" s="62" t="str">
        <f>IF(E1256="PA",IF(K1256&lt;&gt;"",ISERROR(VLOOKUP(K1256,ABBR!A:D,1,FALSE)),ISERROR(VLOOKUP(C1256,ABBR!A:D,1,FALSE))),"")</f>
        <v/>
      </c>
      <c r="P1256" t="str">
        <f>VLOOKUP(A1256,Groups!A:L,5,FALSE)</f>
        <v>SAMP</v>
      </c>
      <c r="Q1256" s="62" t="str">
        <f>IF(G1256="PA",IF(M1256&lt;&gt;"",ISERROR(VLOOKUP(M1256,ABBR!C:F,1,FALSE)),ISERROR(VLOOKUP(E1256,ABBR!C:F,1,FALSE))),"")</f>
        <v/>
      </c>
    </row>
    <row r="1257" spans="1:17" ht="25" hidden="1" x14ac:dyDescent="0.25">
      <c r="A1257" s="16" t="s">
        <v>192</v>
      </c>
      <c r="B1257" s="17"/>
      <c r="C1257" s="16" t="s">
        <v>871</v>
      </c>
      <c r="D1257" s="17"/>
      <c r="E1257" s="17" t="s">
        <v>608</v>
      </c>
      <c r="F1257" s="18" t="s">
        <v>872</v>
      </c>
      <c r="G1257" s="49" t="s">
        <v>873</v>
      </c>
      <c r="H1257" s="17">
        <v>9</v>
      </c>
      <c r="O1257" s="62" t="str">
        <f>IF(E1257="PA",IF(K1257&lt;&gt;"",ISERROR(VLOOKUP(K1257,ABBR!A:D,1,FALSE)),ISERROR(VLOOKUP(C1257,ABBR!A:D,1,FALSE))),"")</f>
        <v/>
      </c>
      <c r="P1257" t="str">
        <f>VLOOKUP(A1257,Groups!A:L,5,FALSE)</f>
        <v>SAMP</v>
      </c>
      <c r="Q1257" s="62" t="str">
        <f>IF(G1257="PA",IF(M1257&lt;&gt;"",ISERROR(VLOOKUP(M1257,ABBR!C:F,1,FALSE)),ISERROR(VLOOKUP(E1257,ABBR!C:F,1,FALSE))),"")</f>
        <v/>
      </c>
    </row>
    <row r="1258" spans="1:17" hidden="1" x14ac:dyDescent="0.25">
      <c r="A1258" s="16" t="s">
        <v>192</v>
      </c>
      <c r="B1258" s="17"/>
      <c r="C1258" s="16" t="s">
        <v>2811</v>
      </c>
      <c r="D1258" s="17"/>
      <c r="E1258" s="17" t="s">
        <v>618</v>
      </c>
      <c r="F1258" s="18" t="s">
        <v>1272</v>
      </c>
      <c r="G1258" s="49" t="s">
        <v>2812</v>
      </c>
      <c r="H1258" s="17">
        <v>10</v>
      </c>
      <c r="O1258" s="62" t="b">
        <f>IF(E1258="PA",IF(K1258&lt;&gt;"",ISERROR(VLOOKUP(K1258,ABBR!A:D,1,FALSE)),ISERROR(VLOOKUP(C1258,ABBR!A:D,1,FALSE))),"")</f>
        <v>0</v>
      </c>
      <c r="P1258" t="str">
        <f>VLOOKUP(A1258,Groups!A:L,5,FALSE)</f>
        <v>SAMP</v>
      </c>
      <c r="Q1258" s="62" t="str">
        <f>IF(G1258="PA",IF(M1258&lt;&gt;"",ISERROR(VLOOKUP(M1258,ABBR!C:F,1,FALSE)),ISERROR(VLOOKUP(E1258,ABBR!C:F,1,FALSE))),"")</f>
        <v/>
      </c>
    </row>
    <row r="1259" spans="1:17" hidden="1" x14ac:dyDescent="0.25">
      <c r="A1259" s="16" t="s">
        <v>192</v>
      </c>
      <c r="B1259" s="17"/>
      <c r="C1259" s="16" t="s">
        <v>2813</v>
      </c>
      <c r="D1259" s="17" t="s">
        <v>1077</v>
      </c>
      <c r="E1259" s="17" t="s">
        <v>601</v>
      </c>
      <c r="F1259" s="18" t="s">
        <v>2814</v>
      </c>
      <c r="G1259" s="49" t="s">
        <v>2815</v>
      </c>
      <c r="H1259" s="17">
        <v>11</v>
      </c>
      <c r="O1259" s="62" t="str">
        <f>IF(E1259="PA",IF(K1259&lt;&gt;"",ISERROR(VLOOKUP(K1259,ABBR!A:D,1,FALSE)),ISERROR(VLOOKUP(C1259,ABBR!A:D,1,FALSE))),"")</f>
        <v/>
      </c>
      <c r="P1259" t="str">
        <f>VLOOKUP(A1259,Groups!A:L,5,FALSE)</f>
        <v>SAMP</v>
      </c>
      <c r="Q1259" s="62" t="str">
        <f>IF(G1259="PA",IF(M1259&lt;&gt;"",ISERROR(VLOOKUP(M1259,ABBR!C:F,1,FALSE)),ISERROR(VLOOKUP(E1259,ABBR!C:F,1,FALSE))),"")</f>
        <v/>
      </c>
    </row>
    <row r="1260" spans="1:17" hidden="1" x14ac:dyDescent="0.25">
      <c r="A1260" s="16" t="s">
        <v>192</v>
      </c>
      <c r="B1260" s="17"/>
      <c r="C1260" s="16" t="s">
        <v>2816</v>
      </c>
      <c r="D1260" s="17" t="s">
        <v>766</v>
      </c>
      <c r="E1260" s="17" t="s">
        <v>608</v>
      </c>
      <c r="F1260" s="18" t="s">
        <v>2817</v>
      </c>
      <c r="G1260" s="49" t="s">
        <v>856</v>
      </c>
      <c r="H1260" s="17">
        <v>12</v>
      </c>
      <c r="O1260" s="62" t="str">
        <f>IF(E1260="PA",IF(K1260&lt;&gt;"",ISERROR(VLOOKUP(K1260,ABBR!A:D,1,FALSE)),ISERROR(VLOOKUP(C1260,ABBR!A:D,1,FALSE))),"")</f>
        <v/>
      </c>
      <c r="P1260" t="str">
        <f>VLOOKUP(A1260,Groups!A:L,5,FALSE)</f>
        <v>SAMP</v>
      </c>
      <c r="Q1260" s="62" t="str">
        <f>IF(G1260="PA",IF(M1260&lt;&gt;"",ISERROR(VLOOKUP(M1260,ABBR!C:F,1,FALSE)),ISERROR(VLOOKUP(E1260,ABBR!C:F,1,FALSE))),"")</f>
        <v/>
      </c>
    </row>
    <row r="1261" spans="1:17" hidden="1" x14ac:dyDescent="0.25">
      <c r="A1261" s="16" t="s">
        <v>192</v>
      </c>
      <c r="B1261" s="17"/>
      <c r="C1261" s="16" t="s">
        <v>2818</v>
      </c>
      <c r="D1261" s="17" t="s">
        <v>722</v>
      </c>
      <c r="E1261" s="17" t="s">
        <v>723</v>
      </c>
      <c r="F1261" s="18" t="s">
        <v>2819</v>
      </c>
      <c r="G1261" s="49" t="s">
        <v>1352</v>
      </c>
      <c r="H1261" s="17">
        <v>13</v>
      </c>
      <c r="O1261" s="62" t="str">
        <f>IF(E1261="PA",IF(K1261&lt;&gt;"",ISERROR(VLOOKUP(K1261,ABBR!A:D,1,FALSE)),ISERROR(VLOOKUP(C1261,ABBR!A:D,1,FALSE))),"")</f>
        <v/>
      </c>
      <c r="P1261" t="str">
        <f>VLOOKUP(A1261,Groups!A:L,5,FALSE)</f>
        <v>SAMP</v>
      </c>
      <c r="Q1261" s="62" t="str">
        <f>IF(G1261="PA",IF(M1261&lt;&gt;"",ISERROR(VLOOKUP(M1261,ABBR!C:F,1,FALSE)),ISERROR(VLOOKUP(E1261,ABBR!C:F,1,FALSE))),"")</f>
        <v/>
      </c>
    </row>
    <row r="1262" spans="1:17" hidden="1" x14ac:dyDescent="0.25">
      <c r="A1262" s="16" t="s">
        <v>192</v>
      </c>
      <c r="B1262" s="17"/>
      <c r="C1262" s="16" t="s">
        <v>2820</v>
      </c>
      <c r="D1262" s="17" t="s">
        <v>722</v>
      </c>
      <c r="E1262" s="17" t="s">
        <v>723</v>
      </c>
      <c r="F1262" s="18" t="s">
        <v>2821</v>
      </c>
      <c r="G1262" s="49" t="s">
        <v>2822</v>
      </c>
      <c r="H1262" s="17">
        <v>14</v>
      </c>
      <c r="O1262" s="62" t="str">
        <f>IF(E1262="PA",IF(K1262&lt;&gt;"",ISERROR(VLOOKUP(K1262,ABBR!A:D,1,FALSE)),ISERROR(VLOOKUP(C1262,ABBR!A:D,1,FALSE))),"")</f>
        <v/>
      </c>
      <c r="P1262" t="str">
        <f>VLOOKUP(A1262,Groups!A:L,5,FALSE)</f>
        <v>SAMP</v>
      </c>
      <c r="Q1262" s="62" t="str">
        <f>IF(G1262="PA",IF(M1262&lt;&gt;"",ISERROR(VLOOKUP(M1262,ABBR!C:F,1,FALSE)),ISERROR(VLOOKUP(E1262,ABBR!C:F,1,FALSE))),"")</f>
        <v/>
      </c>
    </row>
    <row r="1263" spans="1:17" hidden="1" x14ac:dyDescent="0.25">
      <c r="A1263" s="16" t="s">
        <v>192</v>
      </c>
      <c r="B1263" s="17"/>
      <c r="C1263" s="16" t="s">
        <v>2823</v>
      </c>
      <c r="D1263" s="17" t="s">
        <v>722</v>
      </c>
      <c r="E1263" s="17" t="s">
        <v>723</v>
      </c>
      <c r="F1263" s="18" t="s">
        <v>2824</v>
      </c>
      <c r="G1263" s="49" t="s">
        <v>2825</v>
      </c>
      <c r="H1263" s="17">
        <v>15</v>
      </c>
      <c r="O1263" s="62" t="str">
        <f>IF(E1263="PA",IF(K1263&lt;&gt;"",ISERROR(VLOOKUP(K1263,ABBR!A:D,1,FALSE)),ISERROR(VLOOKUP(C1263,ABBR!A:D,1,FALSE))),"")</f>
        <v/>
      </c>
      <c r="P1263" t="str">
        <f>VLOOKUP(A1263,Groups!A:L,5,FALSE)</f>
        <v>SAMP</v>
      </c>
      <c r="Q1263" s="62" t="str">
        <f>IF(G1263="PA",IF(M1263&lt;&gt;"",ISERROR(VLOOKUP(M1263,ABBR!C:F,1,FALSE)),ISERROR(VLOOKUP(E1263,ABBR!C:F,1,FALSE))),"")</f>
        <v/>
      </c>
    </row>
    <row r="1264" spans="1:17" hidden="1" x14ac:dyDescent="0.25">
      <c r="A1264" s="16" t="s">
        <v>192</v>
      </c>
      <c r="B1264" s="17"/>
      <c r="C1264" s="16" t="s">
        <v>2826</v>
      </c>
      <c r="D1264" s="17" t="s">
        <v>722</v>
      </c>
      <c r="E1264" s="17" t="s">
        <v>723</v>
      </c>
      <c r="F1264" s="18" t="s">
        <v>2827</v>
      </c>
      <c r="G1264" s="49" t="s">
        <v>2828</v>
      </c>
      <c r="H1264" s="17">
        <v>16</v>
      </c>
      <c r="O1264" s="62" t="str">
        <f>IF(E1264="PA",IF(K1264&lt;&gt;"",ISERROR(VLOOKUP(K1264,ABBR!A:D,1,FALSE)),ISERROR(VLOOKUP(C1264,ABBR!A:D,1,FALSE))),"")</f>
        <v/>
      </c>
      <c r="P1264" t="str">
        <f>VLOOKUP(A1264,Groups!A:L,5,FALSE)</f>
        <v>SAMP</v>
      </c>
      <c r="Q1264" s="62" t="str">
        <f>IF(G1264="PA",IF(M1264&lt;&gt;"",ISERROR(VLOOKUP(M1264,ABBR!C:F,1,FALSE)),ISERROR(VLOOKUP(E1264,ABBR!C:F,1,FALSE))),"")</f>
        <v/>
      </c>
    </row>
    <row r="1265" spans="1:17" hidden="1" x14ac:dyDescent="0.25">
      <c r="A1265" s="16" t="s">
        <v>192</v>
      </c>
      <c r="B1265" s="17"/>
      <c r="C1265" s="16" t="s">
        <v>2829</v>
      </c>
      <c r="D1265" s="17" t="s">
        <v>766</v>
      </c>
      <c r="E1265" s="17" t="s">
        <v>882</v>
      </c>
      <c r="F1265" s="18" t="s">
        <v>1281</v>
      </c>
      <c r="G1265" s="49" t="s">
        <v>1282</v>
      </c>
      <c r="H1265" s="17">
        <v>17</v>
      </c>
      <c r="O1265" s="62" t="str">
        <f>IF(E1265="PA",IF(K1265&lt;&gt;"",ISERROR(VLOOKUP(K1265,ABBR!A:D,1,FALSE)),ISERROR(VLOOKUP(C1265,ABBR!A:D,1,FALSE))),"")</f>
        <v/>
      </c>
      <c r="P1265" t="str">
        <f>VLOOKUP(A1265,Groups!A:L,5,FALSE)</f>
        <v>SAMP</v>
      </c>
      <c r="Q1265" s="62" t="str">
        <f>IF(G1265="PA",IF(M1265&lt;&gt;"",ISERROR(VLOOKUP(M1265,ABBR!C:F,1,FALSE)),ISERROR(VLOOKUP(E1265,ABBR!C:F,1,FALSE))),"")</f>
        <v/>
      </c>
    </row>
    <row r="1266" spans="1:17" hidden="1" x14ac:dyDescent="0.25">
      <c r="A1266" s="16" t="s">
        <v>192</v>
      </c>
      <c r="B1266" s="17"/>
      <c r="C1266" s="16" t="s">
        <v>2830</v>
      </c>
      <c r="D1266" s="17"/>
      <c r="E1266" s="17" t="s">
        <v>608</v>
      </c>
      <c r="F1266" s="18" t="s">
        <v>1284</v>
      </c>
      <c r="G1266" s="49" t="s">
        <v>1285</v>
      </c>
      <c r="H1266" s="17">
        <v>18</v>
      </c>
      <c r="O1266" s="62" t="str">
        <f>IF(E1266="PA",IF(K1266&lt;&gt;"",ISERROR(VLOOKUP(K1266,ABBR!A:D,1,FALSE)),ISERROR(VLOOKUP(C1266,ABBR!A:D,1,FALSE))),"")</f>
        <v/>
      </c>
      <c r="P1266" t="str">
        <f>VLOOKUP(A1266,Groups!A:L,5,FALSE)</f>
        <v>SAMP</v>
      </c>
      <c r="Q1266" s="62" t="str">
        <f>IF(G1266="PA",IF(M1266&lt;&gt;"",ISERROR(VLOOKUP(M1266,ABBR!C:F,1,FALSE)),ISERROR(VLOOKUP(E1266,ABBR!C:F,1,FALSE))),"")</f>
        <v/>
      </c>
    </row>
    <row r="1267" spans="1:17" ht="25" hidden="1" x14ac:dyDescent="0.25">
      <c r="A1267" s="16" t="s">
        <v>192</v>
      </c>
      <c r="B1267" s="17"/>
      <c r="C1267" s="16" t="s">
        <v>2831</v>
      </c>
      <c r="D1267" s="17"/>
      <c r="E1267" s="17" t="s">
        <v>608</v>
      </c>
      <c r="F1267" s="18" t="s">
        <v>2832</v>
      </c>
      <c r="G1267" s="49" t="s">
        <v>16</v>
      </c>
      <c r="H1267" s="17">
        <v>19</v>
      </c>
      <c r="M1267" s="101"/>
      <c r="O1267" s="62" t="str">
        <f>IF(E1267="PA",IF(K1267&lt;&gt;"",ISERROR(VLOOKUP(K1267,ABBR!A:D,1,FALSE)),ISERROR(VLOOKUP(C1267,ABBR!A:D,1,FALSE))),"")</f>
        <v/>
      </c>
      <c r="P1267" t="str">
        <f>VLOOKUP(A1267,Groups!A:L,5,FALSE)</f>
        <v>SAMP</v>
      </c>
      <c r="Q1267" s="62" t="str">
        <f>IF(G1267="PA",IF(M1267&lt;&gt;"",ISERROR(VLOOKUP(M1267,ABBR!C:F,1,FALSE)),ISERROR(VLOOKUP(E1267,ABBR!C:F,1,FALSE))),"")</f>
        <v/>
      </c>
    </row>
    <row r="1268" spans="1:17" hidden="1" x14ac:dyDescent="0.25">
      <c r="A1268" s="16" t="s">
        <v>192</v>
      </c>
      <c r="B1268" s="17"/>
      <c r="C1268" s="16" t="s">
        <v>2833</v>
      </c>
      <c r="D1268" s="17"/>
      <c r="E1268" s="17" t="s">
        <v>608</v>
      </c>
      <c r="F1268" s="18" t="s">
        <v>918</v>
      </c>
      <c r="G1268" s="49" t="s">
        <v>2834</v>
      </c>
      <c r="H1268" s="17">
        <v>20</v>
      </c>
      <c r="O1268" s="62" t="str">
        <f>IF(E1268="PA",IF(K1268&lt;&gt;"",ISERROR(VLOOKUP(K1268,ABBR!A:D,1,FALSE)),ISERROR(VLOOKUP(C1268,ABBR!A:D,1,FALSE))),"")</f>
        <v/>
      </c>
      <c r="P1268" t="str">
        <f>VLOOKUP(A1268,Groups!A:L,5,FALSE)</f>
        <v>SAMP</v>
      </c>
      <c r="Q1268" s="62" t="str">
        <f>IF(G1268="PA",IF(M1268&lt;&gt;"",ISERROR(VLOOKUP(M1268,ABBR!C:F,1,FALSE)),ISERROR(VLOOKUP(E1268,ABBR!C:F,1,FALSE))),"")</f>
        <v/>
      </c>
    </row>
    <row r="1269" spans="1:17" hidden="1" x14ac:dyDescent="0.25">
      <c r="A1269" s="16" t="s">
        <v>192</v>
      </c>
      <c r="B1269" s="17"/>
      <c r="C1269" s="16" t="s">
        <v>2835</v>
      </c>
      <c r="D1269" s="17"/>
      <c r="E1269" s="17" t="s">
        <v>608</v>
      </c>
      <c r="F1269" s="18" t="s">
        <v>950</v>
      </c>
      <c r="G1269" s="27" t="s">
        <v>951</v>
      </c>
      <c r="H1269" s="17">
        <v>21</v>
      </c>
      <c r="O1269" s="62" t="str">
        <f>IF(E1269="PA",IF(K1269&lt;&gt;"",ISERROR(VLOOKUP(K1269,ABBR!A:D,1,FALSE)),ISERROR(VLOOKUP(C1269,ABBR!A:D,1,FALSE))),"")</f>
        <v/>
      </c>
      <c r="P1269" t="str">
        <f>VLOOKUP(A1269,Groups!A:L,5,FALSE)</f>
        <v>SAMP</v>
      </c>
      <c r="Q1269" s="62" t="str">
        <f>IF(G1269="PA",IF(M1269&lt;&gt;"",ISERROR(VLOOKUP(M1269,ABBR!C:F,1,FALSE)),ISERROR(VLOOKUP(E1269,ABBR!C:F,1,FALSE))),"")</f>
        <v/>
      </c>
    </row>
    <row r="1270" spans="1:17" ht="25" hidden="1" x14ac:dyDescent="0.25">
      <c r="A1270" s="16" t="s">
        <v>192</v>
      </c>
      <c r="B1270" s="17"/>
      <c r="C1270" s="16" t="s">
        <v>2836</v>
      </c>
      <c r="D1270" s="17"/>
      <c r="E1270" s="17" t="s">
        <v>608</v>
      </c>
      <c r="F1270" s="18" t="s">
        <v>934</v>
      </c>
      <c r="G1270" s="49" t="s">
        <v>953</v>
      </c>
      <c r="H1270" s="17">
        <v>22</v>
      </c>
      <c r="O1270" s="62" t="str">
        <f>IF(E1270="PA",IF(K1270&lt;&gt;"",ISERROR(VLOOKUP(K1270,ABBR!A:D,1,FALSE)),ISERROR(VLOOKUP(C1270,ABBR!A:D,1,FALSE))),"")</f>
        <v/>
      </c>
      <c r="P1270" t="str">
        <f>VLOOKUP(A1270,Groups!A:L,5,FALSE)</f>
        <v>SAMP</v>
      </c>
      <c r="Q1270" s="62" t="str">
        <f>IF(G1270="PA",IF(M1270&lt;&gt;"",ISERROR(VLOOKUP(M1270,ABBR!C:F,1,FALSE)),ISERROR(VLOOKUP(E1270,ABBR!C:F,1,FALSE))),"")</f>
        <v/>
      </c>
    </row>
    <row r="1271" spans="1:17" hidden="1" x14ac:dyDescent="0.25">
      <c r="A1271" s="16" t="s">
        <v>192</v>
      </c>
      <c r="B1271" s="17"/>
      <c r="C1271" s="16" t="s">
        <v>936</v>
      </c>
      <c r="D1271" s="17"/>
      <c r="E1271" s="22" t="s">
        <v>608</v>
      </c>
      <c r="F1271" s="18" t="s">
        <v>937</v>
      </c>
      <c r="G1271" s="49" t="s">
        <v>938</v>
      </c>
      <c r="H1271" s="17">
        <v>23</v>
      </c>
      <c r="O1271" s="62" t="str">
        <f>IF(E1271="PA",IF(K1271&lt;&gt;"",ISERROR(VLOOKUP(K1271,ABBR!A:D,1,FALSE)),ISERROR(VLOOKUP(C1271,ABBR!A:D,1,FALSE))),"")</f>
        <v/>
      </c>
      <c r="P1271" t="str">
        <f>VLOOKUP(A1271,Groups!A:L,5,FALSE)</f>
        <v>SAMP</v>
      </c>
      <c r="Q1271" s="62" t="str">
        <f>IF(G1271="PA",IF(M1271&lt;&gt;"",ISERROR(VLOOKUP(M1271,ABBR!C:F,1,FALSE)),ISERROR(VLOOKUP(E1271,ABBR!C:F,1,FALSE))),"")</f>
        <v/>
      </c>
    </row>
    <row r="1272" spans="1:17" hidden="1" x14ac:dyDescent="0.25">
      <c r="A1272" s="16" t="s">
        <v>192</v>
      </c>
      <c r="B1272" s="17"/>
      <c r="C1272" s="16" t="s">
        <v>643</v>
      </c>
      <c r="D1272" s="17"/>
      <c r="E1272" s="17" t="s">
        <v>608</v>
      </c>
      <c r="F1272" s="18" t="s">
        <v>954</v>
      </c>
      <c r="G1272" s="49" t="s">
        <v>1268</v>
      </c>
      <c r="H1272" s="17">
        <v>24</v>
      </c>
      <c r="O1272" s="62" t="str">
        <f>IF(E1272="PA",IF(K1272&lt;&gt;"",ISERROR(VLOOKUP(K1272,ABBR!A:D,1,FALSE)),ISERROR(VLOOKUP(C1272,ABBR!A:D,1,FALSE))),"")</f>
        <v/>
      </c>
      <c r="P1272" t="str">
        <f>VLOOKUP(A1272,Groups!A:L,5,FALSE)</f>
        <v>SAMP</v>
      </c>
      <c r="Q1272" s="62" t="str">
        <f>IF(G1272="PA",IF(M1272&lt;&gt;"",ISERROR(VLOOKUP(M1272,ABBR!C:F,1,FALSE)),ISERROR(VLOOKUP(E1272,ABBR!C:F,1,FALSE))),"")</f>
        <v/>
      </c>
    </row>
    <row r="1273" spans="1:17" hidden="1" x14ac:dyDescent="0.25">
      <c r="A1273" s="16" t="s">
        <v>192</v>
      </c>
      <c r="B1273" s="17"/>
      <c r="C1273" s="16" t="s">
        <v>877</v>
      </c>
      <c r="D1273" s="17" t="s">
        <v>600</v>
      </c>
      <c r="E1273" s="17" t="s">
        <v>601</v>
      </c>
      <c r="F1273" s="18" t="s">
        <v>878</v>
      </c>
      <c r="G1273" s="49" t="s">
        <v>879</v>
      </c>
      <c r="H1273" s="17">
        <v>25</v>
      </c>
      <c r="I1273" s="30" t="s">
        <v>955</v>
      </c>
      <c r="J1273" s="80">
        <v>4.0999999999999996</v>
      </c>
      <c r="O1273" s="62" t="str">
        <f>IF(E1273="PA",IF(K1273&lt;&gt;"",ISERROR(VLOOKUP(K1273,ABBR!A:D,1,FALSE)),ISERROR(VLOOKUP(C1273,ABBR!A:D,1,FALSE))),"")</f>
        <v/>
      </c>
      <c r="P1273" t="str">
        <f>VLOOKUP(A1273,Groups!A:L,5,FALSE)</f>
        <v>SAMP</v>
      </c>
      <c r="Q1273" s="62" t="str">
        <f>IF(G1273="PA",IF(M1273&lt;&gt;"",ISERROR(VLOOKUP(M1273,ABBR!C:F,1,FALSE)),ISERROR(VLOOKUP(E1273,ABBR!C:F,1,FALSE))),"")</f>
        <v/>
      </c>
    </row>
    <row r="1274" spans="1:17" hidden="1" x14ac:dyDescent="0.25">
      <c r="A1274" s="16" t="s">
        <v>192</v>
      </c>
      <c r="B1274" s="17"/>
      <c r="C1274" s="16" t="s">
        <v>2837</v>
      </c>
      <c r="D1274" s="17"/>
      <c r="E1274" s="17" t="s">
        <v>608</v>
      </c>
      <c r="F1274" s="18" t="s">
        <v>1554</v>
      </c>
      <c r="G1274" s="94" t="s">
        <v>922</v>
      </c>
      <c r="H1274" s="17">
        <v>26</v>
      </c>
      <c r="I1274" s="30" t="s">
        <v>955</v>
      </c>
      <c r="J1274" s="80">
        <v>4.0999999999999996</v>
      </c>
      <c r="M1274" s="101"/>
      <c r="O1274" s="62" t="str">
        <f>IF(E1274="PA",IF(K1274&lt;&gt;"",ISERROR(VLOOKUP(K1274,ABBR!A:D,1,FALSE)),ISERROR(VLOOKUP(C1274,ABBR!A:D,1,FALSE))),"")</f>
        <v/>
      </c>
      <c r="P1274" t="str">
        <f>VLOOKUP(A1274,Groups!A:L,5,FALSE)</f>
        <v>SAMP</v>
      </c>
      <c r="Q1274" s="62" t="str">
        <f>IF(G1274="PA",IF(M1274&lt;&gt;"",ISERROR(VLOOKUP(M1274,ABBR!C:F,1,FALSE)),ISERROR(VLOOKUP(E1274,ABBR!C:F,1,FALSE))),"")</f>
        <v/>
      </c>
    </row>
    <row r="1275" spans="1:17" hidden="1" x14ac:dyDescent="0.25">
      <c r="A1275" s="16" t="s">
        <v>192</v>
      </c>
      <c r="B1275" s="17"/>
      <c r="C1275" s="16" t="s">
        <v>2838</v>
      </c>
      <c r="D1275" s="17" t="s">
        <v>924</v>
      </c>
      <c r="E1275" s="17" t="s">
        <v>925</v>
      </c>
      <c r="F1275" s="18" t="s">
        <v>926</v>
      </c>
      <c r="G1275" s="49" t="s">
        <v>927</v>
      </c>
      <c r="H1275" s="17">
        <v>27</v>
      </c>
      <c r="J1275" s="62" t="s">
        <v>473</v>
      </c>
      <c r="K1275" s="62"/>
      <c r="M1275" s="62"/>
      <c r="N1275" s="62"/>
      <c r="O1275" s="62" t="str">
        <f>IF(E1275="PA",IF(K1275&lt;&gt;"",ISERROR(VLOOKUP(K1275,ABBR!A:D,1,FALSE)),ISERROR(VLOOKUP(C1275,ABBR!A:D,1,FALSE))),"")</f>
        <v/>
      </c>
      <c r="P1275" t="str">
        <f>VLOOKUP(A1275,Groups!A:L,5,FALSE)</f>
        <v>SAMP</v>
      </c>
      <c r="Q1275" s="62" t="str">
        <f>IF(G1275="PA",IF(M1275&lt;&gt;"",ISERROR(VLOOKUP(M1275,ABBR!C:F,1,FALSE)),ISERROR(VLOOKUP(E1275,ABBR!C:F,1,FALSE))),"")</f>
        <v/>
      </c>
    </row>
    <row r="1276" spans="1:17" hidden="1" x14ac:dyDescent="0.25">
      <c r="A1276" s="16" t="s">
        <v>192</v>
      </c>
      <c r="B1276" s="17"/>
      <c r="C1276" s="16" t="s">
        <v>2839</v>
      </c>
      <c r="D1276" s="17"/>
      <c r="E1276" s="17" t="s">
        <v>608</v>
      </c>
      <c r="F1276" s="18" t="s">
        <v>875</v>
      </c>
      <c r="G1276" s="49" t="s">
        <v>876</v>
      </c>
      <c r="H1276" s="17">
        <v>28</v>
      </c>
      <c r="J1276" s="62" t="s">
        <v>473</v>
      </c>
      <c r="K1276" s="62"/>
      <c r="M1276" s="62"/>
      <c r="N1276" s="62"/>
      <c r="O1276" s="62" t="str">
        <f>IF(E1276="PA",IF(K1276&lt;&gt;"",ISERROR(VLOOKUP(K1276,ABBR!A:D,1,FALSE)),ISERROR(VLOOKUP(C1276,ABBR!A:D,1,FALSE))),"")</f>
        <v/>
      </c>
      <c r="P1276" t="str">
        <f>VLOOKUP(A1276,Groups!A:L,5,FALSE)</f>
        <v>SAMP</v>
      </c>
      <c r="Q1276" s="62" t="str">
        <f>IF(G1276="PA",IF(M1276&lt;&gt;"",ISERROR(VLOOKUP(M1276,ABBR!C:F,1,FALSE)),ISERROR(VLOOKUP(E1276,ABBR!C:F,1,FALSE))),"")</f>
        <v/>
      </c>
    </row>
    <row r="1277" spans="1:17" hidden="1" x14ac:dyDescent="0.25">
      <c r="A1277" s="16" t="s">
        <v>192</v>
      </c>
      <c r="B1277" s="17"/>
      <c r="C1277" s="16" t="s">
        <v>2840</v>
      </c>
      <c r="D1277" s="17"/>
      <c r="E1277" s="17" t="s">
        <v>608</v>
      </c>
      <c r="F1277" s="18" t="s">
        <v>929</v>
      </c>
      <c r="G1277" s="49" t="s">
        <v>876</v>
      </c>
      <c r="H1277" s="17">
        <v>29</v>
      </c>
      <c r="J1277" s="62" t="s">
        <v>473</v>
      </c>
      <c r="K1277" s="62"/>
      <c r="M1277" s="62"/>
      <c r="N1277" s="62"/>
      <c r="O1277" s="62" t="str">
        <f>IF(E1277="PA",IF(K1277&lt;&gt;"",ISERROR(VLOOKUP(K1277,ABBR!A:D,1,FALSE)),ISERROR(VLOOKUP(C1277,ABBR!A:D,1,FALSE))),"")</f>
        <v/>
      </c>
      <c r="P1277" t="str">
        <f>VLOOKUP(A1277,Groups!A:L,5,FALSE)</f>
        <v>SAMP</v>
      </c>
      <c r="Q1277" s="62" t="str">
        <f>IF(G1277="PA",IF(M1277&lt;&gt;"",ISERROR(VLOOKUP(M1277,ABBR!C:F,1,FALSE)),ISERROR(VLOOKUP(E1277,ABBR!C:F,1,FALSE))),"")</f>
        <v/>
      </c>
    </row>
    <row r="1278" spans="1:17" hidden="1" x14ac:dyDescent="0.25">
      <c r="A1278" s="16" t="s">
        <v>195</v>
      </c>
      <c r="B1278" s="17" t="s">
        <v>594</v>
      </c>
      <c r="C1278" s="16" t="s">
        <v>595</v>
      </c>
      <c r="D1278" s="17"/>
      <c r="E1278" s="17" t="s">
        <v>596</v>
      </c>
      <c r="F1278" s="18" t="s">
        <v>597</v>
      </c>
      <c r="G1278" s="49" t="s">
        <v>598</v>
      </c>
      <c r="H1278" s="17">
        <v>1</v>
      </c>
      <c r="O1278" s="62" t="str">
        <f>IF(E1278="PA",IF(K1278&lt;&gt;"",ISERROR(VLOOKUP(K1278,ABBR!A:D,1,FALSE)),ISERROR(VLOOKUP(C1278,ABBR!A:D,1,FALSE))),"")</f>
        <v/>
      </c>
      <c r="P1278" t="str">
        <f>VLOOKUP(A1278,Groups!A:L,5,FALSE)</f>
        <v>SAMP</v>
      </c>
      <c r="Q1278" s="62" t="str">
        <f>IF(G1278="PA",IF(M1278&lt;&gt;"",ISERROR(VLOOKUP(M1278,ABBR!C:F,1,FALSE)),ISERROR(VLOOKUP(E1278,ABBR!C:F,1,FALSE))),"")</f>
        <v/>
      </c>
    </row>
    <row r="1279" spans="1:17" hidden="1" x14ac:dyDescent="0.25">
      <c r="A1279" s="16" t="s">
        <v>195</v>
      </c>
      <c r="B1279" s="17" t="s">
        <v>594</v>
      </c>
      <c r="C1279" s="16" t="s">
        <v>851</v>
      </c>
      <c r="D1279" s="17" t="s">
        <v>600</v>
      </c>
      <c r="E1279" s="17" t="s">
        <v>601</v>
      </c>
      <c r="F1279" s="18" t="s">
        <v>852</v>
      </c>
      <c r="G1279" s="49" t="s">
        <v>853</v>
      </c>
      <c r="H1279" s="17">
        <v>2</v>
      </c>
      <c r="O1279" s="62" t="str">
        <f>IF(E1279="PA",IF(K1279&lt;&gt;"",ISERROR(VLOOKUP(K1279,ABBR!A:D,1,FALSE)),ISERROR(VLOOKUP(C1279,ABBR!A:D,1,FALSE))),"")</f>
        <v/>
      </c>
      <c r="P1279" t="str">
        <f>VLOOKUP(A1279,Groups!A:L,5,FALSE)</f>
        <v>SAMP</v>
      </c>
      <c r="Q1279" s="62" t="str">
        <f>IF(G1279="PA",IF(M1279&lt;&gt;"",ISERROR(VLOOKUP(M1279,ABBR!C:F,1,FALSE)),ISERROR(VLOOKUP(E1279,ABBR!C:F,1,FALSE))),"")</f>
        <v/>
      </c>
    </row>
    <row r="1280" spans="1:17" hidden="1" x14ac:dyDescent="0.25">
      <c r="A1280" s="16" t="s">
        <v>195</v>
      </c>
      <c r="B1280" s="17" t="s">
        <v>594</v>
      </c>
      <c r="C1280" s="16" t="s">
        <v>854</v>
      </c>
      <c r="D1280" s="17"/>
      <c r="E1280" s="17" t="s">
        <v>608</v>
      </c>
      <c r="F1280" s="18" t="s">
        <v>855</v>
      </c>
      <c r="G1280" s="49" t="s">
        <v>941</v>
      </c>
      <c r="H1280" s="17">
        <v>3</v>
      </c>
      <c r="O1280" s="62" t="str">
        <f>IF(E1280="PA",IF(K1280&lt;&gt;"",ISERROR(VLOOKUP(K1280,ABBR!A:D,1,FALSE)),ISERROR(VLOOKUP(C1280,ABBR!A:D,1,FALSE))),"")</f>
        <v/>
      </c>
      <c r="P1280" t="str">
        <f>VLOOKUP(A1280,Groups!A:L,5,FALSE)</f>
        <v>SAMP</v>
      </c>
      <c r="Q1280" s="62" t="str">
        <f>IF(G1280="PA",IF(M1280&lt;&gt;"",ISERROR(VLOOKUP(M1280,ABBR!C:F,1,FALSE)),ISERROR(VLOOKUP(E1280,ABBR!C:F,1,FALSE))),"")</f>
        <v/>
      </c>
    </row>
    <row r="1281" spans="1:17" hidden="1" x14ac:dyDescent="0.25">
      <c r="A1281" s="16" t="s">
        <v>195</v>
      </c>
      <c r="B1281" s="17" t="s">
        <v>594</v>
      </c>
      <c r="C1281" s="16" t="s">
        <v>857</v>
      </c>
      <c r="D1281" s="17"/>
      <c r="E1281" s="17" t="s">
        <v>618</v>
      </c>
      <c r="F1281" s="18" t="s">
        <v>858</v>
      </c>
      <c r="G1281" s="49" t="s">
        <v>859</v>
      </c>
      <c r="H1281" s="17">
        <v>4</v>
      </c>
      <c r="O1281" s="62" t="b">
        <f>IF(E1281="PA",IF(K1281&lt;&gt;"",ISERROR(VLOOKUP(K1281,ABBR!A:D,1,FALSE)),ISERROR(VLOOKUP(C1281,ABBR!A:D,1,FALSE))),"")</f>
        <v>0</v>
      </c>
      <c r="P1281" t="str">
        <f>VLOOKUP(A1281,Groups!A:L,5,FALSE)</f>
        <v>SAMP</v>
      </c>
      <c r="Q1281" s="62" t="str">
        <f>IF(G1281="PA",IF(M1281&lt;&gt;"",ISERROR(VLOOKUP(M1281,ABBR!C:F,1,FALSE)),ISERROR(VLOOKUP(E1281,ABBR!C:F,1,FALSE))),"")</f>
        <v/>
      </c>
    </row>
    <row r="1282" spans="1:17" hidden="1" x14ac:dyDescent="0.25">
      <c r="A1282" s="16" t="s">
        <v>195</v>
      </c>
      <c r="B1282" s="17" t="s">
        <v>594</v>
      </c>
      <c r="C1282" s="16" t="s">
        <v>860</v>
      </c>
      <c r="D1282" s="17"/>
      <c r="E1282" s="17" t="s">
        <v>596</v>
      </c>
      <c r="F1282" s="18" t="s">
        <v>942</v>
      </c>
      <c r="G1282" s="49" t="s">
        <v>862</v>
      </c>
      <c r="H1282" s="17">
        <v>5</v>
      </c>
      <c r="O1282" s="62" t="str">
        <f>IF(E1282="PA",IF(K1282&lt;&gt;"",ISERROR(VLOOKUP(K1282,ABBR!A:D,1,FALSE)),ISERROR(VLOOKUP(C1282,ABBR!A:D,1,FALSE))),"")</f>
        <v/>
      </c>
      <c r="P1282" t="str">
        <f>VLOOKUP(A1282,Groups!A:L,5,FALSE)</f>
        <v>SAMP</v>
      </c>
      <c r="Q1282" s="62" t="str">
        <f>IF(G1282="PA",IF(M1282&lt;&gt;"",ISERROR(VLOOKUP(M1282,ABBR!C:F,1,FALSE)),ISERROR(VLOOKUP(E1282,ABBR!C:F,1,FALSE))),"")</f>
        <v/>
      </c>
    </row>
    <row r="1283" spans="1:17" hidden="1" x14ac:dyDescent="0.25">
      <c r="A1283" s="16" t="s">
        <v>195</v>
      </c>
      <c r="B1283" s="17" t="s">
        <v>594</v>
      </c>
      <c r="C1283" s="16" t="s">
        <v>863</v>
      </c>
      <c r="D1283" s="17"/>
      <c r="E1283" s="17" t="s">
        <v>608</v>
      </c>
      <c r="F1283" s="18" t="s">
        <v>864</v>
      </c>
      <c r="G1283" s="49" t="s">
        <v>865</v>
      </c>
      <c r="H1283" s="17">
        <v>6</v>
      </c>
      <c r="O1283" s="62" t="str">
        <f>IF(E1283="PA",IF(K1283&lt;&gt;"",ISERROR(VLOOKUP(K1283,ABBR!A:D,1,FALSE)),ISERROR(VLOOKUP(C1283,ABBR!A:D,1,FALSE))),"")</f>
        <v/>
      </c>
      <c r="P1283" t="str">
        <f>VLOOKUP(A1283,Groups!A:L,5,FALSE)</f>
        <v>SAMP</v>
      </c>
      <c r="Q1283" s="62" t="str">
        <f>IF(G1283="PA",IF(M1283&lt;&gt;"",ISERROR(VLOOKUP(M1283,ABBR!C:F,1,FALSE)),ISERROR(VLOOKUP(E1283,ABBR!C:F,1,FALSE))),"")</f>
        <v/>
      </c>
    </row>
    <row r="1284" spans="1:17" hidden="1" x14ac:dyDescent="0.25">
      <c r="A1284" s="16" t="s">
        <v>195</v>
      </c>
      <c r="B1284" s="17" t="s">
        <v>594</v>
      </c>
      <c r="C1284" s="16" t="s">
        <v>866</v>
      </c>
      <c r="D1284" s="17" t="s">
        <v>600</v>
      </c>
      <c r="E1284" s="17" t="s">
        <v>601</v>
      </c>
      <c r="F1284" s="18" t="s">
        <v>867</v>
      </c>
      <c r="G1284" s="49" t="s">
        <v>853</v>
      </c>
      <c r="H1284" s="17">
        <v>7</v>
      </c>
      <c r="O1284" s="62" t="str">
        <f>IF(E1284="PA",IF(K1284&lt;&gt;"",ISERROR(VLOOKUP(K1284,ABBR!A:D,1,FALSE)),ISERROR(VLOOKUP(C1284,ABBR!A:D,1,FALSE))),"")</f>
        <v/>
      </c>
      <c r="P1284" t="str">
        <f>VLOOKUP(A1284,Groups!A:L,5,FALSE)</f>
        <v>SAMP</v>
      </c>
      <c r="Q1284" s="62" t="str">
        <f>IF(G1284="PA",IF(M1284&lt;&gt;"",ISERROR(VLOOKUP(M1284,ABBR!C:F,1,FALSE)),ISERROR(VLOOKUP(E1284,ABBR!C:F,1,FALSE))),"")</f>
        <v/>
      </c>
    </row>
    <row r="1285" spans="1:17" hidden="1" x14ac:dyDescent="0.25">
      <c r="A1285" s="16" t="s">
        <v>195</v>
      </c>
      <c r="B1285" s="17" t="s">
        <v>960</v>
      </c>
      <c r="C1285" s="25" t="s">
        <v>2841</v>
      </c>
      <c r="D1285" s="17"/>
      <c r="E1285" s="17" t="s">
        <v>618</v>
      </c>
      <c r="F1285" s="26" t="s">
        <v>2842</v>
      </c>
      <c r="G1285" s="55" t="s">
        <v>2843</v>
      </c>
      <c r="H1285" s="17">
        <v>8</v>
      </c>
      <c r="O1285" s="62" t="b">
        <f>IF(E1285="PA",IF(K1285&lt;&gt;"",ISERROR(VLOOKUP(K1285,ABBR!A:D,1,FALSE)),ISERROR(VLOOKUP(C1285,ABBR!A:D,1,FALSE))),"")</f>
        <v>0</v>
      </c>
      <c r="P1285" t="str">
        <f>VLOOKUP(A1285,Groups!A:L,5,FALSE)</f>
        <v>SAMP</v>
      </c>
      <c r="Q1285" s="62" t="str">
        <f>IF(G1285="PA",IF(M1285&lt;&gt;"",ISERROR(VLOOKUP(M1285,ABBR!C:F,1,FALSE)),ISERROR(VLOOKUP(E1285,ABBR!C:F,1,FALSE))),"")</f>
        <v/>
      </c>
    </row>
    <row r="1286" spans="1:17" hidden="1" x14ac:dyDescent="0.25">
      <c r="A1286" s="16" t="s">
        <v>195</v>
      </c>
      <c r="B1286" s="22" t="s">
        <v>594</v>
      </c>
      <c r="C1286" s="16" t="s">
        <v>2844</v>
      </c>
      <c r="D1286" s="17"/>
      <c r="E1286" s="17" t="s">
        <v>608</v>
      </c>
      <c r="F1286" s="18" t="s">
        <v>918</v>
      </c>
      <c r="G1286" s="49" t="s">
        <v>2845</v>
      </c>
      <c r="H1286" s="17">
        <v>9</v>
      </c>
      <c r="O1286" s="62" t="str">
        <f>IF(E1286="PA",IF(K1286&lt;&gt;"",ISERROR(VLOOKUP(K1286,ABBR!A:D,1,FALSE)),ISERROR(VLOOKUP(C1286,ABBR!A:D,1,FALSE))),"")</f>
        <v/>
      </c>
      <c r="P1286" t="str">
        <f>VLOOKUP(A1286,Groups!A:L,5,FALSE)</f>
        <v>SAMP</v>
      </c>
      <c r="Q1286" s="62" t="str">
        <f>IF(G1286="PA",IF(M1286&lt;&gt;"",ISERROR(VLOOKUP(M1286,ABBR!C:F,1,FALSE)),ISERROR(VLOOKUP(E1286,ABBR!C:F,1,FALSE))),"")</f>
        <v/>
      </c>
    </row>
    <row r="1287" spans="1:17" ht="25" hidden="1" x14ac:dyDescent="0.25">
      <c r="A1287" s="16" t="s">
        <v>195</v>
      </c>
      <c r="B1287" s="17" t="s">
        <v>960</v>
      </c>
      <c r="C1287" s="16" t="s">
        <v>2846</v>
      </c>
      <c r="D1287" s="17"/>
      <c r="E1287" s="17" t="s">
        <v>618</v>
      </c>
      <c r="F1287" s="18" t="s">
        <v>2547</v>
      </c>
      <c r="G1287" s="49" t="s">
        <v>2847</v>
      </c>
      <c r="H1287" s="17">
        <v>10</v>
      </c>
      <c r="O1287" s="62" t="b">
        <f>IF(E1287="PA",IF(K1287&lt;&gt;"",ISERROR(VLOOKUP(K1287,ABBR!A:D,1,FALSE)),ISERROR(VLOOKUP(C1287,ABBR!A:D,1,FALSE))),"")</f>
        <v>0</v>
      </c>
      <c r="P1287" t="str">
        <f>VLOOKUP(A1287,Groups!A:L,5,FALSE)</f>
        <v>SAMP</v>
      </c>
      <c r="Q1287" s="62" t="str">
        <f>IF(G1287="PA",IF(M1287&lt;&gt;"",ISERROR(VLOOKUP(M1287,ABBR!C:F,1,FALSE)),ISERROR(VLOOKUP(E1287,ABBR!C:F,1,FALSE))),"")</f>
        <v/>
      </c>
    </row>
    <row r="1288" spans="1:17" hidden="1" x14ac:dyDescent="0.25">
      <c r="A1288" s="16" t="s">
        <v>195</v>
      </c>
      <c r="B1288" s="17"/>
      <c r="C1288" s="16" t="s">
        <v>2848</v>
      </c>
      <c r="D1288" s="17"/>
      <c r="E1288" s="17" t="s">
        <v>859</v>
      </c>
      <c r="F1288" s="18" t="s">
        <v>2849</v>
      </c>
      <c r="G1288" s="49" t="s">
        <v>2850</v>
      </c>
      <c r="H1288" s="17">
        <v>11</v>
      </c>
      <c r="O1288" s="62" t="str">
        <f>IF(E1288="PA",IF(K1288&lt;&gt;"",ISERROR(VLOOKUP(K1288,ABBR!A:D,1,FALSE)),ISERROR(VLOOKUP(C1288,ABBR!A:D,1,FALSE))),"")</f>
        <v/>
      </c>
      <c r="P1288" t="str">
        <f>VLOOKUP(A1288,Groups!A:L,5,FALSE)</f>
        <v>SAMP</v>
      </c>
      <c r="Q1288" s="62" t="str">
        <f>IF(G1288="PA",IF(M1288&lt;&gt;"",ISERROR(VLOOKUP(M1288,ABBR!C:F,1,FALSE)),ISERROR(VLOOKUP(E1288,ABBR!C:F,1,FALSE))),"")</f>
        <v/>
      </c>
    </row>
    <row r="1289" spans="1:17" hidden="1" x14ac:dyDescent="0.25">
      <c r="A1289" s="16" t="s">
        <v>195</v>
      </c>
      <c r="B1289" s="22" t="s">
        <v>966</v>
      </c>
      <c r="C1289" s="16" t="s">
        <v>2851</v>
      </c>
      <c r="D1289" s="17"/>
      <c r="E1289" s="17" t="s">
        <v>2004</v>
      </c>
      <c r="F1289" s="18" t="s">
        <v>2852</v>
      </c>
      <c r="G1289" s="49" t="s">
        <v>2458</v>
      </c>
      <c r="H1289" s="17">
        <v>12</v>
      </c>
      <c r="O1289" s="62" t="str">
        <f>IF(E1289="PA",IF(K1289&lt;&gt;"",ISERROR(VLOOKUP(K1289,ABBR!A:D,1,FALSE)),ISERROR(VLOOKUP(C1289,ABBR!A:D,1,FALSE))),"")</f>
        <v/>
      </c>
      <c r="P1289" t="str">
        <f>VLOOKUP(A1289,Groups!A:L,5,FALSE)</f>
        <v>SAMP</v>
      </c>
      <c r="Q1289" s="62" t="str">
        <f>IF(G1289="PA",IF(M1289&lt;&gt;"",ISERROR(VLOOKUP(M1289,ABBR!C:F,1,FALSE)),ISERROR(VLOOKUP(E1289,ABBR!C:F,1,FALSE))),"")</f>
        <v/>
      </c>
    </row>
    <row r="1290" spans="1:17" hidden="1" x14ac:dyDescent="0.25">
      <c r="A1290" s="16" t="s">
        <v>195</v>
      </c>
      <c r="B1290" s="17"/>
      <c r="C1290" s="16" t="s">
        <v>2853</v>
      </c>
      <c r="D1290" s="17"/>
      <c r="E1290" s="17" t="s">
        <v>608</v>
      </c>
      <c r="F1290" s="18" t="s">
        <v>2854</v>
      </c>
      <c r="G1290" s="49" t="s">
        <v>2855</v>
      </c>
      <c r="H1290" s="17">
        <v>13</v>
      </c>
      <c r="O1290" s="62" t="str">
        <f>IF(E1290="PA",IF(K1290&lt;&gt;"",ISERROR(VLOOKUP(K1290,ABBR!A:D,1,FALSE)),ISERROR(VLOOKUP(C1290,ABBR!A:D,1,FALSE))),"")</f>
        <v/>
      </c>
      <c r="P1290" t="str">
        <f>VLOOKUP(A1290,Groups!A:L,5,FALSE)</f>
        <v>SAMP</v>
      </c>
      <c r="Q1290" s="62" t="str">
        <f>IF(G1290="PA",IF(M1290&lt;&gt;"",ISERROR(VLOOKUP(M1290,ABBR!C:F,1,FALSE)),ISERROR(VLOOKUP(E1290,ABBR!C:F,1,FALSE))),"")</f>
        <v/>
      </c>
    </row>
    <row r="1291" spans="1:17" hidden="1" x14ac:dyDescent="0.25">
      <c r="A1291" s="16" t="s">
        <v>195</v>
      </c>
      <c r="B1291" s="17"/>
      <c r="C1291" s="16" t="s">
        <v>868</v>
      </c>
      <c r="D1291" s="17"/>
      <c r="E1291" s="17" t="s">
        <v>608</v>
      </c>
      <c r="F1291" s="18" t="s">
        <v>869</v>
      </c>
      <c r="G1291" s="51" t="s">
        <v>1269</v>
      </c>
      <c r="H1291" s="17">
        <v>14</v>
      </c>
      <c r="O1291" s="62" t="str">
        <f>IF(E1291="PA",IF(K1291&lt;&gt;"",ISERROR(VLOOKUP(K1291,ABBR!A:D,1,FALSE)),ISERROR(VLOOKUP(C1291,ABBR!A:D,1,FALSE))),"")</f>
        <v/>
      </c>
      <c r="P1291" t="str">
        <f>VLOOKUP(A1291,Groups!A:L,5,FALSE)</f>
        <v>SAMP</v>
      </c>
      <c r="Q1291" s="62" t="str">
        <f>IF(G1291="PA",IF(M1291&lt;&gt;"",ISERROR(VLOOKUP(M1291,ABBR!C:F,1,FALSE)),ISERROR(VLOOKUP(E1291,ABBR!C:F,1,FALSE))),"")</f>
        <v/>
      </c>
    </row>
    <row r="1292" spans="1:17" ht="25" hidden="1" x14ac:dyDescent="0.25">
      <c r="A1292" s="16" t="s">
        <v>195</v>
      </c>
      <c r="B1292" s="17"/>
      <c r="C1292" s="16" t="s">
        <v>871</v>
      </c>
      <c r="D1292" s="17"/>
      <c r="E1292" s="17" t="s">
        <v>608</v>
      </c>
      <c r="F1292" s="18" t="s">
        <v>872</v>
      </c>
      <c r="G1292" s="49" t="s">
        <v>2856</v>
      </c>
      <c r="H1292" s="17">
        <v>15</v>
      </c>
      <c r="O1292" s="62" t="str">
        <f>IF(E1292="PA",IF(K1292&lt;&gt;"",ISERROR(VLOOKUP(K1292,ABBR!A:D,1,FALSE)),ISERROR(VLOOKUP(C1292,ABBR!A:D,1,FALSE))),"")</f>
        <v/>
      </c>
      <c r="P1292" t="str">
        <f>VLOOKUP(A1292,Groups!A:L,5,FALSE)</f>
        <v>SAMP</v>
      </c>
      <c r="Q1292" s="62" t="str">
        <f>IF(G1292="PA",IF(M1292&lt;&gt;"",ISERROR(VLOOKUP(M1292,ABBR!C:F,1,FALSE)),ISERROR(VLOOKUP(E1292,ABBR!C:F,1,FALSE))),"")</f>
        <v/>
      </c>
    </row>
    <row r="1293" spans="1:17" hidden="1" x14ac:dyDescent="0.25">
      <c r="A1293" s="16" t="s">
        <v>195</v>
      </c>
      <c r="B1293" s="17"/>
      <c r="C1293" s="16" t="s">
        <v>2857</v>
      </c>
      <c r="D1293" s="17"/>
      <c r="E1293" s="17" t="s">
        <v>608</v>
      </c>
      <c r="F1293" s="18" t="s">
        <v>2858</v>
      </c>
      <c r="G1293" s="49" t="s">
        <v>16</v>
      </c>
      <c r="H1293" s="17">
        <v>16</v>
      </c>
      <c r="M1293" s="101"/>
      <c r="O1293" s="62" t="str">
        <f>IF(E1293="PA",IF(K1293&lt;&gt;"",ISERROR(VLOOKUP(K1293,ABBR!A:D,1,FALSE)),ISERROR(VLOOKUP(C1293,ABBR!A:D,1,FALSE))),"")</f>
        <v/>
      </c>
      <c r="P1293" t="str">
        <f>VLOOKUP(A1293,Groups!A:L,5,FALSE)</f>
        <v>SAMP</v>
      </c>
      <c r="Q1293" s="62" t="str">
        <f>IF(G1293="PA",IF(M1293&lt;&gt;"",ISERROR(VLOOKUP(M1293,ABBR!C:F,1,FALSE)),ISERROR(VLOOKUP(E1293,ABBR!C:F,1,FALSE))),"")</f>
        <v/>
      </c>
    </row>
    <row r="1294" spans="1:17" hidden="1" x14ac:dyDescent="0.25">
      <c r="A1294" s="16" t="s">
        <v>195</v>
      </c>
      <c r="B1294" s="17"/>
      <c r="C1294" s="16" t="s">
        <v>2859</v>
      </c>
      <c r="D1294" s="17"/>
      <c r="E1294" s="17" t="s">
        <v>608</v>
      </c>
      <c r="F1294" s="18" t="s">
        <v>950</v>
      </c>
      <c r="G1294" s="27" t="s">
        <v>951</v>
      </c>
      <c r="H1294" s="17">
        <v>17</v>
      </c>
      <c r="O1294" s="62" t="str">
        <f>IF(E1294="PA",IF(K1294&lt;&gt;"",ISERROR(VLOOKUP(K1294,ABBR!A:D,1,FALSE)),ISERROR(VLOOKUP(C1294,ABBR!A:D,1,FALSE))),"")</f>
        <v/>
      </c>
      <c r="P1294" t="str">
        <f>VLOOKUP(A1294,Groups!A:L,5,FALSE)</f>
        <v>SAMP</v>
      </c>
      <c r="Q1294" s="62" t="str">
        <f>IF(G1294="PA",IF(M1294&lt;&gt;"",ISERROR(VLOOKUP(M1294,ABBR!C:F,1,FALSE)),ISERROR(VLOOKUP(E1294,ABBR!C:F,1,FALSE))),"")</f>
        <v/>
      </c>
    </row>
    <row r="1295" spans="1:17" ht="25" hidden="1" x14ac:dyDescent="0.25">
      <c r="A1295" s="16" t="s">
        <v>195</v>
      </c>
      <c r="B1295" s="17"/>
      <c r="C1295" s="16" t="s">
        <v>2860</v>
      </c>
      <c r="D1295" s="17"/>
      <c r="E1295" s="17" t="s">
        <v>608</v>
      </c>
      <c r="F1295" s="18" t="s">
        <v>934</v>
      </c>
      <c r="G1295" s="49" t="s">
        <v>953</v>
      </c>
      <c r="H1295" s="17">
        <v>18</v>
      </c>
      <c r="O1295" s="62" t="str">
        <f>IF(E1295="PA",IF(K1295&lt;&gt;"",ISERROR(VLOOKUP(K1295,ABBR!A:D,1,FALSE)),ISERROR(VLOOKUP(C1295,ABBR!A:D,1,FALSE))),"")</f>
        <v/>
      </c>
      <c r="P1295" t="str">
        <f>VLOOKUP(A1295,Groups!A:L,5,FALSE)</f>
        <v>SAMP</v>
      </c>
      <c r="Q1295" s="62" t="str">
        <f>IF(G1295="PA",IF(M1295&lt;&gt;"",ISERROR(VLOOKUP(M1295,ABBR!C:F,1,FALSE)),ISERROR(VLOOKUP(E1295,ABBR!C:F,1,FALSE))),"")</f>
        <v/>
      </c>
    </row>
    <row r="1296" spans="1:17" hidden="1" x14ac:dyDescent="0.25">
      <c r="A1296" s="16" t="s">
        <v>195</v>
      </c>
      <c r="B1296" s="17"/>
      <c r="C1296" s="16" t="s">
        <v>936</v>
      </c>
      <c r="D1296" s="17"/>
      <c r="E1296" s="17" t="s">
        <v>608</v>
      </c>
      <c r="F1296" s="18" t="s">
        <v>937</v>
      </c>
      <c r="G1296" s="49" t="s">
        <v>938</v>
      </c>
      <c r="H1296" s="17">
        <v>19</v>
      </c>
      <c r="O1296" s="62" t="str">
        <f>IF(E1296="PA",IF(K1296&lt;&gt;"",ISERROR(VLOOKUP(K1296,ABBR!A:D,1,FALSE)),ISERROR(VLOOKUP(C1296,ABBR!A:D,1,FALSE))),"")</f>
        <v/>
      </c>
      <c r="P1296" t="str">
        <f>VLOOKUP(A1296,Groups!A:L,5,FALSE)</f>
        <v>SAMP</v>
      </c>
      <c r="Q1296" s="62" t="str">
        <f>IF(G1296="PA",IF(M1296&lt;&gt;"",ISERROR(VLOOKUP(M1296,ABBR!C:F,1,FALSE)),ISERROR(VLOOKUP(E1296,ABBR!C:F,1,FALSE))),"")</f>
        <v/>
      </c>
    </row>
    <row r="1297" spans="1:17" hidden="1" x14ac:dyDescent="0.25">
      <c r="A1297" s="16" t="s">
        <v>195</v>
      </c>
      <c r="B1297" s="17"/>
      <c r="C1297" s="16" t="s">
        <v>643</v>
      </c>
      <c r="D1297" s="17"/>
      <c r="E1297" s="17" t="s">
        <v>608</v>
      </c>
      <c r="F1297" s="18" t="s">
        <v>954</v>
      </c>
      <c r="G1297" s="49" t="s">
        <v>1477</v>
      </c>
      <c r="H1297" s="17">
        <v>20</v>
      </c>
      <c r="O1297" s="62" t="str">
        <f>IF(E1297="PA",IF(K1297&lt;&gt;"",ISERROR(VLOOKUP(K1297,ABBR!A:D,1,FALSE)),ISERROR(VLOOKUP(C1297,ABBR!A:D,1,FALSE))),"")</f>
        <v/>
      </c>
      <c r="P1297" t="str">
        <f>VLOOKUP(A1297,Groups!A:L,5,FALSE)</f>
        <v>SAMP</v>
      </c>
      <c r="Q1297" s="62" t="str">
        <f>IF(G1297="PA",IF(M1297&lt;&gt;"",ISERROR(VLOOKUP(M1297,ABBR!C:F,1,FALSE)),ISERROR(VLOOKUP(E1297,ABBR!C:F,1,FALSE))),"")</f>
        <v/>
      </c>
    </row>
    <row r="1298" spans="1:17" hidden="1" x14ac:dyDescent="0.25">
      <c r="A1298" s="16" t="s">
        <v>195</v>
      </c>
      <c r="B1298" s="22"/>
      <c r="C1298" s="16" t="s">
        <v>2861</v>
      </c>
      <c r="D1298" s="17"/>
      <c r="E1298" s="17" t="s">
        <v>608</v>
      </c>
      <c r="F1298" s="18" t="s">
        <v>2473</v>
      </c>
      <c r="G1298" s="49" t="s">
        <v>2862</v>
      </c>
      <c r="H1298" s="17">
        <v>21</v>
      </c>
      <c r="O1298" s="62" t="str">
        <f>IF(E1298="PA",IF(K1298&lt;&gt;"",ISERROR(VLOOKUP(K1298,ABBR!A:D,1,FALSE)),ISERROR(VLOOKUP(C1298,ABBR!A:D,1,FALSE))),"")</f>
        <v/>
      </c>
      <c r="P1298" t="str">
        <f>VLOOKUP(A1298,Groups!A:L,5,FALSE)</f>
        <v>SAMP</v>
      </c>
      <c r="Q1298" s="62" t="str">
        <f>IF(G1298="PA",IF(M1298&lt;&gt;"",ISERROR(VLOOKUP(M1298,ABBR!C:F,1,FALSE)),ISERROR(VLOOKUP(E1298,ABBR!C:F,1,FALSE))),"")</f>
        <v/>
      </c>
    </row>
    <row r="1299" spans="1:17" hidden="1" x14ac:dyDescent="0.25">
      <c r="A1299" s="16" t="s">
        <v>195</v>
      </c>
      <c r="B1299" s="22"/>
      <c r="C1299" s="16" t="s">
        <v>2863</v>
      </c>
      <c r="D1299" s="17"/>
      <c r="E1299" s="17" t="s">
        <v>859</v>
      </c>
      <c r="F1299" s="18" t="s">
        <v>2864</v>
      </c>
      <c r="G1299" s="49" t="s">
        <v>2865</v>
      </c>
      <c r="H1299" s="17">
        <v>22</v>
      </c>
      <c r="O1299" s="62" t="str">
        <f>IF(E1299="PA",IF(K1299&lt;&gt;"",ISERROR(VLOOKUP(K1299,ABBR!A:D,1,FALSE)),ISERROR(VLOOKUP(C1299,ABBR!A:D,1,FALSE))),"")</f>
        <v/>
      </c>
      <c r="P1299" t="str">
        <f>VLOOKUP(A1299,Groups!A:L,5,FALSE)</f>
        <v>SAMP</v>
      </c>
      <c r="Q1299" s="62" t="str">
        <f>IF(G1299="PA",IF(M1299&lt;&gt;"",ISERROR(VLOOKUP(M1299,ABBR!C:F,1,FALSE)),ISERROR(VLOOKUP(E1299,ABBR!C:F,1,FALSE))),"")</f>
        <v/>
      </c>
    </row>
    <row r="1300" spans="1:17" hidden="1" x14ac:dyDescent="0.25">
      <c r="A1300" s="16" t="s">
        <v>195</v>
      </c>
      <c r="B1300" s="17"/>
      <c r="C1300" s="16" t="s">
        <v>877</v>
      </c>
      <c r="D1300" s="17" t="s">
        <v>600</v>
      </c>
      <c r="E1300" s="17" t="s">
        <v>601</v>
      </c>
      <c r="F1300" s="18" t="s">
        <v>878</v>
      </c>
      <c r="G1300" s="49" t="s">
        <v>879</v>
      </c>
      <c r="H1300" s="17">
        <v>23</v>
      </c>
      <c r="I1300" s="30" t="s">
        <v>955</v>
      </c>
      <c r="J1300" s="80">
        <v>4.0999999999999996</v>
      </c>
      <c r="O1300" s="62" t="str">
        <f>IF(E1300="PA",IF(K1300&lt;&gt;"",ISERROR(VLOOKUP(K1300,ABBR!A:D,1,FALSE)),ISERROR(VLOOKUP(C1300,ABBR!A:D,1,FALSE))),"")</f>
        <v/>
      </c>
      <c r="P1300" t="str">
        <f>VLOOKUP(A1300,Groups!A:L,5,FALSE)</f>
        <v>SAMP</v>
      </c>
      <c r="Q1300" s="62" t="str">
        <f>IF(G1300="PA",IF(M1300&lt;&gt;"",ISERROR(VLOOKUP(M1300,ABBR!C:F,1,FALSE)),ISERROR(VLOOKUP(E1300,ABBR!C:F,1,FALSE))),"")</f>
        <v/>
      </c>
    </row>
    <row r="1301" spans="1:17" hidden="1" x14ac:dyDescent="0.25">
      <c r="A1301" s="16" t="s">
        <v>195</v>
      </c>
      <c r="B1301" s="17"/>
      <c r="C1301" s="16" t="s">
        <v>2866</v>
      </c>
      <c r="D1301" s="17"/>
      <c r="E1301" s="17" t="s">
        <v>608</v>
      </c>
      <c r="F1301" s="18" t="s">
        <v>1554</v>
      </c>
      <c r="G1301" s="94" t="s">
        <v>922</v>
      </c>
      <c r="H1301" s="17">
        <v>24</v>
      </c>
      <c r="I1301" s="30" t="s">
        <v>955</v>
      </c>
      <c r="J1301" s="80">
        <v>4.0999999999999996</v>
      </c>
      <c r="M1301" s="101"/>
      <c r="O1301" s="62" t="str">
        <f>IF(E1301="PA",IF(K1301&lt;&gt;"",ISERROR(VLOOKUP(K1301,ABBR!A:D,1,FALSE)),ISERROR(VLOOKUP(C1301,ABBR!A:D,1,FALSE))),"")</f>
        <v/>
      </c>
      <c r="P1301" t="str">
        <f>VLOOKUP(A1301,Groups!A:L,5,FALSE)</f>
        <v>SAMP</v>
      </c>
      <c r="Q1301" s="62" t="str">
        <f>IF(G1301="PA",IF(M1301&lt;&gt;"",ISERROR(VLOOKUP(M1301,ABBR!C:F,1,FALSE)),ISERROR(VLOOKUP(E1301,ABBR!C:F,1,FALSE))),"")</f>
        <v/>
      </c>
    </row>
    <row r="1302" spans="1:17" hidden="1" x14ac:dyDescent="0.25">
      <c r="A1302" s="16" t="s">
        <v>195</v>
      </c>
      <c r="B1302" s="17"/>
      <c r="C1302" s="16" t="s">
        <v>2867</v>
      </c>
      <c r="D1302" s="17" t="s">
        <v>2868</v>
      </c>
      <c r="E1302" s="17" t="s">
        <v>2869</v>
      </c>
      <c r="F1302" s="18" t="s">
        <v>2870</v>
      </c>
      <c r="G1302" s="49"/>
      <c r="H1302" s="17">
        <v>25</v>
      </c>
      <c r="I1302" s="30" t="s">
        <v>955</v>
      </c>
      <c r="J1302" s="80">
        <v>4.0999999999999996</v>
      </c>
      <c r="M1302" s="101" t="s">
        <v>1044</v>
      </c>
      <c r="O1302" s="62" t="str">
        <f>IF(E1302="PA",IF(K1302&lt;&gt;"",ISERROR(VLOOKUP(K1302,ABBR!A:D,1,FALSE)),ISERROR(VLOOKUP(C1302,ABBR!A:D,1,FALSE))),"")</f>
        <v/>
      </c>
      <c r="P1302" t="str">
        <f>VLOOKUP(A1302,Groups!A:L,5,FALSE)</f>
        <v>SAMP</v>
      </c>
      <c r="Q1302" s="62" t="str">
        <f>IF(G1302="PA",IF(M1302&lt;&gt;"",ISERROR(VLOOKUP(M1302,ABBR!C:F,1,FALSE)),ISERROR(VLOOKUP(E1302,ABBR!C:F,1,FALSE))),"")</f>
        <v/>
      </c>
    </row>
    <row r="1303" spans="1:17" hidden="1" x14ac:dyDescent="0.25">
      <c r="A1303" s="16" t="s">
        <v>195</v>
      </c>
      <c r="B1303" s="17"/>
      <c r="C1303" s="16" t="s">
        <v>2871</v>
      </c>
      <c r="D1303" s="17" t="s">
        <v>2868</v>
      </c>
      <c r="E1303" s="17" t="s">
        <v>2869</v>
      </c>
      <c r="F1303" s="18" t="s">
        <v>2872</v>
      </c>
      <c r="G1303" s="49"/>
      <c r="H1303" s="17">
        <v>26</v>
      </c>
      <c r="I1303" s="30" t="s">
        <v>955</v>
      </c>
      <c r="J1303" s="80">
        <v>4.0999999999999996</v>
      </c>
      <c r="M1303" s="101" t="s">
        <v>1044</v>
      </c>
      <c r="O1303" s="62" t="str">
        <f>IF(E1303="PA",IF(K1303&lt;&gt;"",ISERROR(VLOOKUP(K1303,ABBR!A:D,1,FALSE)),ISERROR(VLOOKUP(C1303,ABBR!A:D,1,FALSE))),"")</f>
        <v/>
      </c>
      <c r="P1303" t="str">
        <f>VLOOKUP(A1303,Groups!A:L,5,FALSE)</f>
        <v>SAMP</v>
      </c>
      <c r="Q1303" s="62" t="str">
        <f>IF(G1303="PA",IF(M1303&lt;&gt;"",ISERROR(VLOOKUP(M1303,ABBR!C:F,1,FALSE)),ISERROR(VLOOKUP(E1303,ABBR!C:F,1,FALSE))),"")</f>
        <v/>
      </c>
    </row>
    <row r="1304" spans="1:17" hidden="1" x14ac:dyDescent="0.25">
      <c r="A1304" s="16" t="s">
        <v>195</v>
      </c>
      <c r="B1304" s="17"/>
      <c r="C1304" s="16" t="s">
        <v>2873</v>
      </c>
      <c r="D1304" s="17" t="s">
        <v>2868</v>
      </c>
      <c r="E1304" s="17" t="s">
        <v>2869</v>
      </c>
      <c r="F1304" s="18" t="s">
        <v>2874</v>
      </c>
      <c r="G1304" s="49"/>
      <c r="H1304" s="17">
        <v>27</v>
      </c>
      <c r="I1304" s="30" t="s">
        <v>955</v>
      </c>
      <c r="J1304" s="80">
        <v>4.0999999999999996</v>
      </c>
      <c r="M1304" s="101" t="s">
        <v>1044</v>
      </c>
      <c r="O1304" s="62" t="str">
        <f>IF(E1304="PA",IF(K1304&lt;&gt;"",ISERROR(VLOOKUP(K1304,ABBR!A:D,1,FALSE)),ISERROR(VLOOKUP(C1304,ABBR!A:D,1,FALSE))),"")</f>
        <v/>
      </c>
      <c r="P1304" t="str">
        <f>VLOOKUP(A1304,Groups!A:L,5,FALSE)</f>
        <v>SAMP</v>
      </c>
      <c r="Q1304" s="62" t="str">
        <f>IF(G1304="PA",IF(M1304&lt;&gt;"",ISERROR(VLOOKUP(M1304,ABBR!C:F,1,FALSE)),ISERROR(VLOOKUP(E1304,ABBR!C:F,1,FALSE))),"")</f>
        <v/>
      </c>
    </row>
    <row r="1305" spans="1:17" ht="25" hidden="1" x14ac:dyDescent="0.25">
      <c r="A1305" s="16" t="s">
        <v>195</v>
      </c>
      <c r="B1305" s="17"/>
      <c r="C1305" s="16" t="s">
        <v>2875</v>
      </c>
      <c r="D1305" s="17" t="s">
        <v>2876</v>
      </c>
      <c r="E1305" s="17" t="s">
        <v>2877</v>
      </c>
      <c r="F1305" s="18" t="s">
        <v>2878</v>
      </c>
      <c r="G1305" s="49"/>
      <c r="H1305" s="17">
        <v>28</v>
      </c>
      <c r="I1305" s="30" t="s">
        <v>955</v>
      </c>
      <c r="J1305" s="80">
        <v>4.0999999999999996</v>
      </c>
      <c r="M1305" s="101" t="s">
        <v>1044</v>
      </c>
      <c r="O1305" s="62" t="str">
        <f>IF(E1305="PA",IF(K1305&lt;&gt;"",ISERROR(VLOOKUP(K1305,ABBR!A:D,1,FALSE)),ISERROR(VLOOKUP(C1305,ABBR!A:D,1,FALSE))),"")</f>
        <v/>
      </c>
      <c r="P1305" t="str">
        <f>VLOOKUP(A1305,Groups!A:L,5,FALSE)</f>
        <v>SAMP</v>
      </c>
      <c r="Q1305" s="62" t="str">
        <f>IF(G1305="PA",IF(M1305&lt;&gt;"",ISERROR(VLOOKUP(M1305,ABBR!C:F,1,FALSE)),ISERROR(VLOOKUP(E1305,ABBR!C:F,1,FALSE))),"")</f>
        <v/>
      </c>
    </row>
    <row r="1306" spans="1:17" ht="25" hidden="1" x14ac:dyDescent="0.25">
      <c r="A1306" s="16" t="s">
        <v>195</v>
      </c>
      <c r="B1306" s="17"/>
      <c r="C1306" s="16" t="s">
        <v>2879</v>
      </c>
      <c r="D1306" s="17" t="s">
        <v>2876</v>
      </c>
      <c r="E1306" s="17" t="s">
        <v>2877</v>
      </c>
      <c r="F1306" s="18" t="s">
        <v>2880</v>
      </c>
      <c r="G1306" s="49"/>
      <c r="H1306" s="17">
        <v>29</v>
      </c>
      <c r="I1306" s="30" t="s">
        <v>955</v>
      </c>
      <c r="J1306" s="80">
        <v>4.0999999999999996</v>
      </c>
      <c r="M1306" s="101" t="s">
        <v>1044</v>
      </c>
      <c r="O1306" s="62" t="str">
        <f>IF(E1306="PA",IF(K1306&lt;&gt;"",ISERROR(VLOOKUP(K1306,ABBR!A:D,1,FALSE)),ISERROR(VLOOKUP(C1306,ABBR!A:D,1,FALSE))),"")</f>
        <v/>
      </c>
      <c r="P1306" t="str">
        <f>VLOOKUP(A1306,Groups!A:L,5,FALSE)</f>
        <v>SAMP</v>
      </c>
      <c r="Q1306" s="62" t="str">
        <f>IF(G1306="PA",IF(M1306&lt;&gt;"",ISERROR(VLOOKUP(M1306,ABBR!C:F,1,FALSE)),ISERROR(VLOOKUP(E1306,ABBR!C:F,1,FALSE))),"")</f>
        <v/>
      </c>
    </row>
    <row r="1307" spans="1:17" hidden="1" x14ac:dyDescent="0.25">
      <c r="A1307" s="16" t="s">
        <v>195</v>
      </c>
      <c r="B1307" s="17"/>
      <c r="C1307" s="16" t="s">
        <v>2881</v>
      </c>
      <c r="D1307" s="17" t="s">
        <v>2868</v>
      </c>
      <c r="E1307" s="17" t="s">
        <v>2869</v>
      </c>
      <c r="F1307" s="18" t="s">
        <v>2882</v>
      </c>
      <c r="G1307" s="49"/>
      <c r="H1307" s="17">
        <v>30</v>
      </c>
      <c r="I1307" s="30" t="s">
        <v>955</v>
      </c>
      <c r="J1307" s="80">
        <v>4.0999999999999996</v>
      </c>
      <c r="M1307" s="101" t="s">
        <v>1044</v>
      </c>
      <c r="O1307" s="62" t="str">
        <f>IF(E1307="PA",IF(K1307&lt;&gt;"",ISERROR(VLOOKUP(K1307,ABBR!A:D,1,FALSE)),ISERROR(VLOOKUP(C1307,ABBR!A:D,1,FALSE))),"")</f>
        <v/>
      </c>
      <c r="P1307" t="str">
        <f>VLOOKUP(A1307,Groups!A:L,5,FALSE)</f>
        <v>SAMP</v>
      </c>
      <c r="Q1307" s="62" t="str">
        <f>IF(G1307="PA",IF(M1307&lt;&gt;"",ISERROR(VLOOKUP(M1307,ABBR!C:F,1,FALSE)),ISERROR(VLOOKUP(E1307,ABBR!C:F,1,FALSE))),"")</f>
        <v/>
      </c>
    </row>
    <row r="1308" spans="1:17" hidden="1" x14ac:dyDescent="0.25">
      <c r="A1308" s="16" t="s">
        <v>195</v>
      </c>
      <c r="B1308" s="17"/>
      <c r="C1308" s="16" t="s">
        <v>2883</v>
      </c>
      <c r="D1308" s="17" t="s">
        <v>2868</v>
      </c>
      <c r="E1308" s="17" t="s">
        <v>2869</v>
      </c>
      <c r="F1308" s="18" t="s">
        <v>2884</v>
      </c>
      <c r="G1308" s="49"/>
      <c r="H1308" s="17">
        <v>31</v>
      </c>
      <c r="I1308" s="30" t="s">
        <v>955</v>
      </c>
      <c r="J1308" s="80">
        <v>4.0999999999999996</v>
      </c>
      <c r="M1308" s="101" t="s">
        <v>1044</v>
      </c>
      <c r="O1308" s="62" t="str">
        <f>IF(E1308="PA",IF(K1308&lt;&gt;"",ISERROR(VLOOKUP(K1308,ABBR!A:D,1,FALSE)),ISERROR(VLOOKUP(C1308,ABBR!A:D,1,FALSE))),"")</f>
        <v/>
      </c>
      <c r="P1308" t="str">
        <f>VLOOKUP(A1308,Groups!A:L,5,FALSE)</f>
        <v>SAMP</v>
      </c>
      <c r="Q1308" s="62" t="str">
        <f>IF(G1308="PA",IF(M1308&lt;&gt;"",ISERROR(VLOOKUP(M1308,ABBR!C:F,1,FALSE)),ISERROR(VLOOKUP(E1308,ABBR!C:F,1,FALSE))),"")</f>
        <v/>
      </c>
    </row>
    <row r="1309" spans="1:17" hidden="1" x14ac:dyDescent="0.25">
      <c r="A1309" s="16" t="s">
        <v>195</v>
      </c>
      <c r="B1309" s="17"/>
      <c r="C1309" s="16" t="s">
        <v>2885</v>
      </c>
      <c r="D1309" s="17" t="s">
        <v>2868</v>
      </c>
      <c r="E1309" s="17" t="s">
        <v>2869</v>
      </c>
      <c r="F1309" s="18" t="s">
        <v>2886</v>
      </c>
      <c r="G1309" s="49"/>
      <c r="H1309" s="17">
        <v>32</v>
      </c>
      <c r="I1309" s="30" t="s">
        <v>955</v>
      </c>
      <c r="J1309" s="80">
        <v>4.0999999999999996</v>
      </c>
      <c r="M1309" s="101" t="s">
        <v>1044</v>
      </c>
      <c r="O1309" s="62" t="str">
        <f>IF(E1309="PA",IF(K1309&lt;&gt;"",ISERROR(VLOOKUP(K1309,ABBR!A:D,1,FALSE)),ISERROR(VLOOKUP(C1309,ABBR!A:D,1,FALSE))),"")</f>
        <v/>
      </c>
      <c r="P1309" t="str">
        <f>VLOOKUP(A1309,Groups!A:L,5,FALSE)</f>
        <v>SAMP</v>
      </c>
      <c r="Q1309" s="62" t="str">
        <f>IF(G1309="PA",IF(M1309&lt;&gt;"",ISERROR(VLOOKUP(M1309,ABBR!C:F,1,FALSE)),ISERROR(VLOOKUP(E1309,ABBR!C:F,1,FALSE))),"")</f>
        <v/>
      </c>
    </row>
    <row r="1310" spans="1:17" ht="25" hidden="1" x14ac:dyDescent="0.25">
      <c r="A1310" s="9" t="s">
        <v>195</v>
      </c>
      <c r="B1310" s="46"/>
      <c r="C1310" s="9" t="s">
        <v>8803</v>
      </c>
      <c r="D1310" s="46" t="s">
        <v>722</v>
      </c>
      <c r="E1310" s="46" t="s">
        <v>767</v>
      </c>
      <c r="F1310" s="93" t="s">
        <v>8797</v>
      </c>
      <c r="G1310" s="94" t="s">
        <v>1229</v>
      </c>
      <c r="H1310" s="46">
        <v>33</v>
      </c>
      <c r="I1310" s="30" t="s">
        <v>955</v>
      </c>
      <c r="J1310" s="80">
        <v>4.0999999999999996</v>
      </c>
      <c r="M1310" s="62" t="s">
        <v>8806</v>
      </c>
    </row>
    <row r="1311" spans="1:17" hidden="1" x14ac:dyDescent="0.25">
      <c r="A1311" s="9" t="s">
        <v>195</v>
      </c>
      <c r="B1311" s="46"/>
      <c r="C1311" s="9" t="s">
        <v>8804</v>
      </c>
      <c r="D1311" s="46" t="s">
        <v>766</v>
      </c>
      <c r="E1311" s="46" t="s">
        <v>723</v>
      </c>
      <c r="F1311" s="93" t="s">
        <v>8805</v>
      </c>
      <c r="G1311" s="94" t="s">
        <v>2542</v>
      </c>
      <c r="H1311" s="46">
        <v>34</v>
      </c>
      <c r="I1311" s="30" t="s">
        <v>955</v>
      </c>
      <c r="J1311" s="80">
        <v>4.0999999999999996</v>
      </c>
      <c r="M1311" s="62" t="s">
        <v>8806</v>
      </c>
    </row>
    <row r="1312" spans="1:17" hidden="1" x14ac:dyDescent="0.25">
      <c r="A1312" s="16" t="s">
        <v>195</v>
      </c>
      <c r="B1312" s="17"/>
      <c r="C1312" s="16" t="s">
        <v>2887</v>
      </c>
      <c r="D1312" s="17"/>
      <c r="E1312" s="17" t="s">
        <v>608</v>
      </c>
      <c r="F1312" s="18" t="s">
        <v>875</v>
      </c>
      <c r="G1312" s="49" t="s">
        <v>876</v>
      </c>
      <c r="H1312" s="17">
        <v>35</v>
      </c>
      <c r="J1312" s="62" t="s">
        <v>473</v>
      </c>
      <c r="O1312" s="62" t="str">
        <f>IF(E1312="PA",IF(K1312&lt;&gt;"",ISERROR(VLOOKUP(K1312,ABBR!A:D,1,FALSE)),ISERROR(VLOOKUP(C1312,ABBR!A:D,1,FALSE))),"")</f>
        <v/>
      </c>
      <c r="P1312" t="str">
        <f>VLOOKUP(A1312,Groups!A:L,5,FALSE)</f>
        <v>SAMP</v>
      </c>
      <c r="Q1312" s="62" t="str">
        <f>IF(G1312="PA",IF(M1312&lt;&gt;"",ISERROR(VLOOKUP(M1312,ABBR!C:F,1,FALSE)),ISERROR(VLOOKUP(E1312,ABBR!C:F,1,FALSE))),"")</f>
        <v/>
      </c>
    </row>
    <row r="1313" spans="1:17" hidden="1" x14ac:dyDescent="0.25">
      <c r="A1313" s="16" t="s">
        <v>195</v>
      </c>
      <c r="B1313" s="17"/>
      <c r="C1313" s="16" t="s">
        <v>2888</v>
      </c>
      <c r="D1313" s="17"/>
      <c r="E1313" s="17" t="s">
        <v>608</v>
      </c>
      <c r="F1313" s="18" t="s">
        <v>929</v>
      </c>
      <c r="G1313" s="49" t="s">
        <v>876</v>
      </c>
      <c r="H1313" s="17">
        <v>36</v>
      </c>
      <c r="J1313" s="62" t="s">
        <v>473</v>
      </c>
      <c r="O1313" s="62" t="str">
        <f>IF(E1313="PA",IF(K1313&lt;&gt;"",ISERROR(VLOOKUP(K1313,ABBR!A:D,1,FALSE)),ISERROR(VLOOKUP(C1313,ABBR!A:D,1,FALSE))),"")</f>
        <v/>
      </c>
      <c r="P1313" t="str">
        <f>VLOOKUP(A1313,Groups!A:L,5,FALSE)</f>
        <v>SAMP</v>
      </c>
      <c r="Q1313" s="62" t="str">
        <f>IF(G1313="PA",IF(M1313&lt;&gt;"",ISERROR(VLOOKUP(M1313,ABBR!C:F,1,FALSE)),ISERROR(VLOOKUP(E1313,ABBR!C:F,1,FALSE))),"")</f>
        <v/>
      </c>
    </row>
    <row r="1314" spans="1:17" hidden="1" x14ac:dyDescent="0.25">
      <c r="A1314" s="16" t="s">
        <v>200</v>
      </c>
      <c r="B1314" s="17" t="s">
        <v>594</v>
      </c>
      <c r="C1314" s="16" t="s">
        <v>595</v>
      </c>
      <c r="D1314" s="17"/>
      <c r="E1314" s="17" t="s">
        <v>596</v>
      </c>
      <c r="F1314" s="18" t="s">
        <v>597</v>
      </c>
      <c r="G1314" s="49" t="s">
        <v>598</v>
      </c>
      <c r="H1314" s="17">
        <v>1</v>
      </c>
      <c r="O1314" s="62" t="str">
        <f>IF(E1314="PA",IF(K1314&lt;&gt;"",ISERROR(VLOOKUP(K1314,ABBR!A:D,1,FALSE)),ISERROR(VLOOKUP(C1314,ABBR!A:D,1,FALSE))),"")</f>
        <v/>
      </c>
      <c r="P1314" t="str">
        <f>VLOOKUP(A1314,Groups!A:L,5,FALSE)</f>
        <v>LOCA</v>
      </c>
      <c r="Q1314" s="62" t="str">
        <f>IF(G1314="PA",IF(M1314&lt;&gt;"",ISERROR(VLOOKUP(M1314,ABBR!C:F,1,FALSE)),ISERROR(VLOOKUP(E1314,ABBR!C:F,1,FALSE))),"")</f>
        <v/>
      </c>
    </row>
    <row r="1315" spans="1:17" hidden="1" x14ac:dyDescent="0.25">
      <c r="A1315" s="16" t="s">
        <v>200</v>
      </c>
      <c r="B1315" s="17" t="s">
        <v>594</v>
      </c>
      <c r="C1315" s="16" t="s">
        <v>599</v>
      </c>
      <c r="D1315" s="17" t="s">
        <v>600</v>
      </c>
      <c r="E1315" s="17" t="s">
        <v>601</v>
      </c>
      <c r="F1315" s="18" t="s">
        <v>602</v>
      </c>
      <c r="G1315" s="49" t="s">
        <v>603</v>
      </c>
      <c r="H1315" s="17">
        <f t="shared" ref="H1315:H1387" si="4">H1314+1</f>
        <v>2</v>
      </c>
      <c r="O1315" s="62" t="str">
        <f>IF(E1315="PA",IF(K1315&lt;&gt;"",ISERROR(VLOOKUP(K1315,ABBR!A:D,1,FALSE)),ISERROR(VLOOKUP(C1315,ABBR!A:D,1,FALSE))),"")</f>
        <v/>
      </c>
      <c r="P1315" t="str">
        <f>VLOOKUP(A1315,Groups!A:L,5,FALSE)</f>
        <v>LOCA</v>
      </c>
      <c r="Q1315" s="62" t="str">
        <f>IF(G1315="PA",IF(M1315&lt;&gt;"",ISERROR(VLOOKUP(M1315,ABBR!C:F,1,FALSE)),ISERROR(VLOOKUP(E1315,ABBR!C:F,1,FALSE))),"")</f>
        <v/>
      </c>
    </row>
    <row r="1316" spans="1:17" hidden="1" x14ac:dyDescent="0.25">
      <c r="A1316" s="16" t="s">
        <v>200</v>
      </c>
      <c r="B1316" s="17" t="s">
        <v>594</v>
      </c>
      <c r="C1316" s="16" t="s">
        <v>604</v>
      </c>
      <c r="D1316" s="17" t="s">
        <v>600</v>
      </c>
      <c r="E1316" s="17" t="s">
        <v>601</v>
      </c>
      <c r="F1316" s="18" t="s">
        <v>605</v>
      </c>
      <c r="G1316" s="49" t="s">
        <v>606</v>
      </c>
      <c r="H1316" s="17">
        <f t="shared" si="4"/>
        <v>3</v>
      </c>
      <c r="O1316" s="62" t="str">
        <f>IF(E1316="PA",IF(K1316&lt;&gt;"",ISERROR(VLOOKUP(K1316,ABBR!A:D,1,FALSE)),ISERROR(VLOOKUP(C1316,ABBR!A:D,1,FALSE))),"")</f>
        <v/>
      </c>
      <c r="P1316" t="str">
        <f>VLOOKUP(A1316,Groups!A:L,5,FALSE)</f>
        <v>LOCA</v>
      </c>
      <c r="Q1316" s="62" t="str">
        <f>IF(G1316="PA",IF(M1316&lt;&gt;"",ISERROR(VLOOKUP(M1316,ABBR!C:F,1,FALSE)),ISERROR(VLOOKUP(E1316,ABBR!C:F,1,FALSE))),"")</f>
        <v/>
      </c>
    </row>
    <row r="1317" spans="1:17" hidden="1" x14ac:dyDescent="0.25">
      <c r="A1317" s="16" t="s">
        <v>200</v>
      </c>
      <c r="B1317" s="17"/>
      <c r="C1317" s="16" t="s">
        <v>607</v>
      </c>
      <c r="D1317" s="17"/>
      <c r="E1317" s="17" t="s">
        <v>608</v>
      </c>
      <c r="F1317" s="18" t="s">
        <v>609</v>
      </c>
      <c r="G1317" s="49" t="s">
        <v>610</v>
      </c>
      <c r="H1317" s="17">
        <f t="shared" si="4"/>
        <v>4</v>
      </c>
      <c r="O1317" s="62" t="str">
        <f>IF(E1317="PA",IF(K1317&lt;&gt;"",ISERROR(VLOOKUP(K1317,ABBR!A:D,1,FALSE)),ISERROR(VLOOKUP(C1317,ABBR!A:D,1,FALSE))),"")</f>
        <v/>
      </c>
      <c r="P1317" t="str">
        <f>VLOOKUP(A1317,Groups!A:L,5,FALSE)</f>
        <v>LOCA</v>
      </c>
      <c r="Q1317" s="62" t="str">
        <f>IF(G1317="PA",IF(M1317&lt;&gt;"",ISERROR(VLOOKUP(M1317,ABBR!C:F,1,FALSE)),ISERROR(VLOOKUP(E1317,ABBR!C:F,1,FALSE))),"")</f>
        <v/>
      </c>
    </row>
    <row r="1318" spans="1:17" hidden="1" x14ac:dyDescent="0.25">
      <c r="A1318" s="16" t="s">
        <v>200</v>
      </c>
      <c r="B1318" s="17"/>
      <c r="C1318" s="16" t="s">
        <v>617</v>
      </c>
      <c r="D1318" s="17"/>
      <c r="E1318" s="17" t="s">
        <v>618</v>
      </c>
      <c r="F1318" s="18" t="s">
        <v>619</v>
      </c>
      <c r="G1318" s="49">
        <v>102</v>
      </c>
      <c r="H1318" s="17">
        <f t="shared" si="4"/>
        <v>5</v>
      </c>
      <c r="M1318" s="62"/>
      <c r="O1318" s="62" t="b">
        <f>IF(E1318="PA",IF(K1318&lt;&gt;"",ISERROR(VLOOKUP(K1318,ABBR!A:D,1,FALSE)),ISERROR(VLOOKUP(C1318,ABBR!A:D,1,FALSE))),"")</f>
        <v>0</v>
      </c>
      <c r="P1318" t="str">
        <f>VLOOKUP(A1318,Groups!A:L,5,FALSE)</f>
        <v>LOCA</v>
      </c>
      <c r="Q1318" s="62" t="str">
        <f>IF(G1318="PA",IF(M1318&lt;&gt;"",ISERROR(VLOOKUP(M1318,ABBR!C:F,1,FALSE)),ISERROR(VLOOKUP(E1318,ABBR!C:F,1,FALSE))),"")</f>
        <v/>
      </c>
    </row>
    <row r="1319" spans="1:17" ht="25" hidden="1" x14ac:dyDescent="0.25">
      <c r="A1319" s="108" t="s">
        <v>200</v>
      </c>
      <c r="B1319" s="17"/>
      <c r="C1319" s="108" t="s">
        <v>622</v>
      </c>
      <c r="D1319" s="109"/>
      <c r="E1319" s="109" t="s">
        <v>618</v>
      </c>
      <c r="F1319" s="110" t="s">
        <v>623</v>
      </c>
      <c r="G1319" s="111" t="s">
        <v>624</v>
      </c>
      <c r="H1319" s="17">
        <f t="shared" si="4"/>
        <v>6</v>
      </c>
      <c r="I1319" s="30" t="s">
        <v>2889</v>
      </c>
      <c r="J1319" s="62"/>
      <c r="L1319" s="62" t="s">
        <v>8821</v>
      </c>
      <c r="O1319" s="62" t="b">
        <f>IF(E1319="PA",IF(K1319&lt;&gt;"",ISERROR(VLOOKUP(K1319,ABBR!A:D,1,FALSE)),ISERROR(VLOOKUP(C1319,ABBR!A:D,1,FALSE))),"")</f>
        <v>1</v>
      </c>
      <c r="P1319" t="str">
        <f>VLOOKUP(A1319,Groups!A:L,5,FALSE)</f>
        <v>LOCA</v>
      </c>
      <c r="Q1319" s="62" t="str">
        <f>IF(G1319="PA",IF(M1319&lt;&gt;"",ISERROR(VLOOKUP(M1319,ABBR!C:F,1,FALSE)),ISERROR(VLOOKUP(E1319,ABBR!C:F,1,FALSE))),"")</f>
        <v/>
      </c>
    </row>
    <row r="1320" spans="1:17" ht="25" hidden="1" x14ac:dyDescent="0.25">
      <c r="A1320" s="108" t="s">
        <v>200</v>
      </c>
      <c r="B1320" s="17"/>
      <c r="C1320" s="108" t="s">
        <v>626</v>
      </c>
      <c r="D1320" s="109"/>
      <c r="E1320" s="109" t="s">
        <v>618</v>
      </c>
      <c r="F1320" s="110" t="s">
        <v>627</v>
      </c>
      <c r="G1320" s="111" t="s">
        <v>628</v>
      </c>
      <c r="H1320" s="17">
        <f t="shared" si="4"/>
        <v>7</v>
      </c>
      <c r="I1320" s="30" t="s">
        <v>2889</v>
      </c>
      <c r="J1320" s="62"/>
      <c r="L1320" s="62" t="s">
        <v>8822</v>
      </c>
      <c r="O1320" s="62" t="b">
        <f>IF(E1320="PA",IF(K1320&lt;&gt;"",ISERROR(VLOOKUP(K1320,ABBR!A:D,1,FALSE)),ISERROR(VLOOKUP(C1320,ABBR!A:D,1,FALSE))),"")</f>
        <v>1</v>
      </c>
      <c r="P1320" t="str">
        <f>VLOOKUP(A1320,Groups!A:L,5,FALSE)</f>
        <v>LOCA</v>
      </c>
      <c r="Q1320" s="62" t="str">
        <f>IF(G1320="PA",IF(M1320&lt;&gt;"",ISERROR(VLOOKUP(M1320,ABBR!C:F,1,FALSE)),ISERROR(VLOOKUP(E1320,ABBR!C:F,1,FALSE))),"")</f>
        <v/>
      </c>
    </row>
    <row r="1321" spans="1:17" hidden="1" x14ac:dyDescent="0.25">
      <c r="A1321" s="16" t="s">
        <v>200</v>
      </c>
      <c r="B1321" s="17"/>
      <c r="C1321" s="16" t="s">
        <v>629</v>
      </c>
      <c r="D1321" s="17"/>
      <c r="E1321" s="17" t="s">
        <v>608</v>
      </c>
      <c r="F1321" s="18" t="s">
        <v>630</v>
      </c>
      <c r="G1321" s="49" t="s">
        <v>631</v>
      </c>
      <c r="H1321" s="17">
        <f t="shared" si="4"/>
        <v>8</v>
      </c>
      <c r="O1321" s="62" t="str">
        <f>IF(E1321="PA",IF(K1321&lt;&gt;"",ISERROR(VLOOKUP(K1321,ABBR!A:D,1,FALSE)),ISERROR(VLOOKUP(C1321,ABBR!A:D,1,FALSE))),"")</f>
        <v/>
      </c>
      <c r="P1321" t="str">
        <f>VLOOKUP(A1321,Groups!A:L,5,FALSE)</f>
        <v>LOCA</v>
      </c>
      <c r="Q1321" s="62" t="str">
        <f>IF(G1321="PA",IF(M1321&lt;&gt;"",ISERROR(VLOOKUP(M1321,ABBR!C:F,1,FALSE)),ISERROR(VLOOKUP(E1321,ABBR!C:F,1,FALSE))),"")</f>
        <v/>
      </c>
    </row>
    <row r="1322" spans="1:17" ht="25" hidden="1" x14ac:dyDescent="0.25">
      <c r="A1322" s="108" t="s">
        <v>200</v>
      </c>
      <c r="B1322" s="109"/>
      <c r="C1322" s="108" t="s">
        <v>632</v>
      </c>
      <c r="D1322" s="109"/>
      <c r="E1322" s="109" t="s">
        <v>618</v>
      </c>
      <c r="F1322" s="110" t="s">
        <v>633</v>
      </c>
      <c r="G1322" s="111" t="s">
        <v>634</v>
      </c>
      <c r="H1322" s="17">
        <f t="shared" si="4"/>
        <v>9</v>
      </c>
      <c r="I1322" s="30" t="s">
        <v>2889</v>
      </c>
      <c r="J1322" s="62"/>
      <c r="K1322" s="62"/>
      <c r="M1322" s="62"/>
      <c r="N1322" s="62"/>
      <c r="O1322" s="62" t="b">
        <f>IF(E1322="PA",IF(K1322&lt;&gt;"",ISERROR(VLOOKUP(K1322,ABBR!A:D,1,FALSE)),ISERROR(VLOOKUP(C1322,ABBR!A:D,1,FALSE))),"")</f>
        <v>1</v>
      </c>
      <c r="P1322" t="str">
        <f>VLOOKUP(A1322,Groups!A:L,5,FALSE)</f>
        <v>LOCA</v>
      </c>
      <c r="Q1322" s="62" t="str">
        <f>IF(G1322="PA",IF(M1322&lt;&gt;"",ISERROR(VLOOKUP(M1322,ABBR!C:F,1,FALSE)),ISERROR(VLOOKUP(E1322,ABBR!C:F,1,FALSE))),"")</f>
        <v/>
      </c>
    </row>
    <row r="1323" spans="1:17" ht="25" hidden="1" x14ac:dyDescent="0.25">
      <c r="A1323" s="16" t="s">
        <v>200</v>
      </c>
      <c r="B1323" s="17"/>
      <c r="C1323" s="16" t="s">
        <v>635</v>
      </c>
      <c r="D1323" s="17"/>
      <c r="E1323" s="17" t="s">
        <v>608</v>
      </c>
      <c r="F1323" s="18" t="s">
        <v>636</v>
      </c>
      <c r="G1323" s="49" t="s">
        <v>637</v>
      </c>
      <c r="H1323" s="17">
        <f t="shared" si="4"/>
        <v>10</v>
      </c>
      <c r="K1323" s="62"/>
      <c r="M1323" s="62"/>
      <c r="N1323" s="62"/>
      <c r="O1323" s="62" t="str">
        <f>IF(E1323="PA",IF(K1323&lt;&gt;"",ISERROR(VLOOKUP(K1323,ABBR!A:D,1,FALSE)),ISERROR(VLOOKUP(C1323,ABBR!A:D,1,FALSE))),"")</f>
        <v/>
      </c>
      <c r="P1323" t="str">
        <f>VLOOKUP(A1323,Groups!A:L,5,FALSE)</f>
        <v>LOCA</v>
      </c>
      <c r="Q1323" s="62" t="str">
        <f>IF(G1323="PA",IF(M1323&lt;&gt;"",ISERROR(VLOOKUP(M1323,ABBR!C:F,1,FALSE)),ISERROR(VLOOKUP(E1323,ABBR!C:F,1,FALSE))),"")</f>
        <v/>
      </c>
    </row>
    <row r="1324" spans="1:17" hidden="1" x14ac:dyDescent="0.25">
      <c r="A1324" s="16" t="s">
        <v>200</v>
      </c>
      <c r="B1324" s="17"/>
      <c r="C1324" s="16" t="s">
        <v>641</v>
      </c>
      <c r="D1324" s="17"/>
      <c r="E1324" s="17" t="s">
        <v>608</v>
      </c>
      <c r="F1324" s="18" t="s">
        <v>642</v>
      </c>
      <c r="G1324" s="49" t="s">
        <v>16</v>
      </c>
      <c r="H1324" s="17">
        <f t="shared" si="4"/>
        <v>11</v>
      </c>
      <c r="M1324" s="101"/>
      <c r="O1324" s="62" t="str">
        <f>IF(E1324="PA",IF(K1324&lt;&gt;"",ISERROR(VLOOKUP(K1324,ABBR!A:D,1,FALSE)),ISERROR(VLOOKUP(C1324,ABBR!A:D,1,FALSE))),"")</f>
        <v/>
      </c>
      <c r="P1324" t="str">
        <f>VLOOKUP(A1324,Groups!A:L,5,FALSE)</f>
        <v>LOCA</v>
      </c>
      <c r="Q1324" s="62" t="str">
        <f>IF(G1324="PA",IF(M1324&lt;&gt;"",ISERROR(VLOOKUP(M1324,ABBR!C:F,1,FALSE)),ISERROR(VLOOKUP(E1324,ABBR!C:F,1,FALSE))),"")</f>
        <v/>
      </c>
    </row>
    <row r="1325" spans="1:17" ht="25" hidden="1" x14ac:dyDescent="0.25">
      <c r="A1325" s="16" t="s">
        <v>200</v>
      </c>
      <c r="B1325" s="17"/>
      <c r="C1325" s="16" t="s">
        <v>643</v>
      </c>
      <c r="D1325" s="17"/>
      <c r="E1325" s="17" t="s">
        <v>608</v>
      </c>
      <c r="F1325" s="18" t="s">
        <v>644</v>
      </c>
      <c r="G1325" s="49" t="s">
        <v>645</v>
      </c>
      <c r="H1325" s="17">
        <f t="shared" si="4"/>
        <v>12</v>
      </c>
      <c r="O1325" s="62" t="str">
        <f>IF(E1325="PA",IF(K1325&lt;&gt;"",ISERROR(VLOOKUP(K1325,ABBR!A:D,1,FALSE)),ISERROR(VLOOKUP(C1325,ABBR!A:D,1,FALSE))),"")</f>
        <v/>
      </c>
      <c r="P1325" t="str">
        <f>VLOOKUP(A1325,Groups!A:L,5,FALSE)</f>
        <v>LOCA</v>
      </c>
      <c r="Q1325" s="62" t="str">
        <f>IF(G1325="PA",IF(M1325&lt;&gt;"",ISERROR(VLOOKUP(M1325,ABBR!C:F,1,FALSE)),ISERROR(VLOOKUP(E1325,ABBR!C:F,1,FALSE))),"")</f>
        <v/>
      </c>
    </row>
    <row r="1326" spans="1:17" hidden="1" x14ac:dyDescent="0.25">
      <c r="A1326" s="16" t="s">
        <v>200</v>
      </c>
      <c r="B1326" s="17"/>
      <c r="C1326" s="16" t="s">
        <v>646</v>
      </c>
      <c r="D1326" s="17"/>
      <c r="E1326" s="17" t="s">
        <v>618</v>
      </c>
      <c r="F1326" s="18" t="s">
        <v>647</v>
      </c>
      <c r="G1326" s="49" t="s">
        <v>648</v>
      </c>
      <c r="H1326" s="17">
        <f t="shared" si="4"/>
        <v>13</v>
      </c>
      <c r="J1326" s="62" t="s">
        <v>473</v>
      </c>
      <c r="K1326" s="62"/>
      <c r="L1326" s="62" t="s">
        <v>2890</v>
      </c>
      <c r="M1326" s="62"/>
      <c r="N1326" s="62"/>
      <c r="O1326" s="62" t="b">
        <f>IF(E1326="PA",IF(K1326&lt;&gt;"",ISERROR(VLOOKUP(K1326,ABBR!A:D,1,FALSE)),ISERROR(VLOOKUP(C1326,ABBR!A:D,1,FALSE))),"")</f>
        <v>1</v>
      </c>
      <c r="P1326" t="str">
        <f>VLOOKUP(A1326,Groups!A:L,5,FALSE)</f>
        <v>LOCA</v>
      </c>
      <c r="Q1326" s="62" t="str">
        <f>IF(G1326="PA",IF(M1326&lt;&gt;"",ISERROR(VLOOKUP(M1326,ABBR!C:F,1,FALSE)),ISERROR(VLOOKUP(E1326,ABBR!C:F,1,FALSE))),"")</f>
        <v/>
      </c>
    </row>
    <row r="1327" spans="1:17" hidden="1" x14ac:dyDescent="0.25">
      <c r="A1327" s="16" t="s">
        <v>200</v>
      </c>
      <c r="B1327" s="17"/>
      <c r="C1327" s="16" t="s">
        <v>649</v>
      </c>
      <c r="D1327" s="17"/>
      <c r="E1327" s="17" t="s">
        <v>618</v>
      </c>
      <c r="F1327" s="18" t="s">
        <v>650</v>
      </c>
      <c r="G1327" s="49" t="s">
        <v>651</v>
      </c>
      <c r="H1327" s="17">
        <f t="shared" si="4"/>
        <v>14</v>
      </c>
      <c r="J1327" s="62" t="s">
        <v>478</v>
      </c>
      <c r="K1327" s="62" t="s">
        <v>617</v>
      </c>
      <c r="M1327" s="62"/>
      <c r="N1327" s="62"/>
      <c r="O1327" s="62" t="b">
        <f>IF(E1327="PA",IF(K1327&lt;&gt;"",ISERROR(VLOOKUP(K1327,ABBR!A:D,1,FALSE)),ISERROR(VLOOKUP(C1327,ABBR!A:D,1,FALSE))),"")</f>
        <v>0</v>
      </c>
      <c r="P1327" t="str">
        <f>VLOOKUP(A1327,Groups!A:L,5,FALSE)</f>
        <v>LOCA</v>
      </c>
      <c r="Q1327" s="62" t="str">
        <f>IF(G1327="PA",IF(M1327&lt;&gt;"",ISERROR(VLOOKUP(M1327,ABBR!C:F,1,FALSE)),ISERROR(VLOOKUP(E1327,ABBR!C:F,1,FALSE))),"")</f>
        <v/>
      </c>
    </row>
    <row r="1328" spans="1:17" ht="25" hidden="1" x14ac:dyDescent="0.25">
      <c r="A1328" s="16" t="s">
        <v>200</v>
      </c>
      <c r="B1328" s="17"/>
      <c r="C1328" s="16" t="s">
        <v>652</v>
      </c>
      <c r="D1328" s="17"/>
      <c r="E1328" s="17" t="s">
        <v>618</v>
      </c>
      <c r="F1328" s="18" t="s">
        <v>653</v>
      </c>
      <c r="G1328" s="49" t="s">
        <v>654</v>
      </c>
      <c r="H1328" s="17">
        <f t="shared" si="4"/>
        <v>15</v>
      </c>
      <c r="J1328" s="62" t="s">
        <v>478</v>
      </c>
      <c r="K1328" s="62" t="s">
        <v>2891</v>
      </c>
      <c r="M1328" s="62"/>
      <c r="N1328" s="62"/>
      <c r="O1328" s="62" t="b">
        <f>IF(E1328="PA",IF(K1328&lt;&gt;"",ISERROR(VLOOKUP(K1328,ABBR!A:D,1,FALSE)),ISERROR(VLOOKUP(C1328,ABBR!A:D,1,FALSE))),"")</f>
        <v>0</v>
      </c>
      <c r="P1328" t="str">
        <f>VLOOKUP(A1328,Groups!A:L,5,FALSE)</f>
        <v>LOCA</v>
      </c>
      <c r="Q1328" s="62" t="str">
        <f>IF(G1328="PA",IF(M1328&lt;&gt;"",ISERROR(VLOOKUP(M1328,ABBR!C:F,1,FALSE)),ISERROR(VLOOKUP(E1328,ABBR!C:F,1,FALSE))),"")</f>
        <v/>
      </c>
    </row>
    <row r="1329" spans="1:17" hidden="1" x14ac:dyDescent="0.25">
      <c r="A1329" s="16" t="s">
        <v>200</v>
      </c>
      <c r="B1329" s="17"/>
      <c r="C1329" s="16" t="s">
        <v>655</v>
      </c>
      <c r="D1329" s="17"/>
      <c r="E1329" s="17" t="s">
        <v>618</v>
      </c>
      <c r="F1329" s="18" t="s">
        <v>656</v>
      </c>
      <c r="G1329" s="49" t="s">
        <v>657</v>
      </c>
      <c r="H1329" s="17">
        <f t="shared" si="4"/>
        <v>16</v>
      </c>
      <c r="J1329" s="62" t="s">
        <v>473</v>
      </c>
      <c r="K1329" s="62" t="s">
        <v>2892</v>
      </c>
      <c r="M1329" s="62"/>
      <c r="N1329" s="62"/>
      <c r="O1329" s="62" t="b">
        <f>IF(E1329="PA",IF(K1329&lt;&gt;"",ISERROR(VLOOKUP(K1329,ABBR!A:D,1,FALSE)),ISERROR(VLOOKUP(C1329,ABBR!A:D,1,FALSE))),"")</f>
        <v>0</v>
      </c>
      <c r="P1329" t="str">
        <f>VLOOKUP(A1329,Groups!A:L,5,FALSE)</f>
        <v>LOCA</v>
      </c>
      <c r="Q1329" s="62" t="str">
        <f>IF(G1329="PA",IF(M1329&lt;&gt;"",ISERROR(VLOOKUP(M1329,ABBR!C:F,1,FALSE)),ISERROR(VLOOKUP(E1329,ABBR!C:F,1,FALSE))),"")</f>
        <v/>
      </c>
    </row>
    <row r="1330" spans="1:17" hidden="1" x14ac:dyDescent="0.25">
      <c r="A1330" s="16" t="s">
        <v>200</v>
      </c>
      <c r="B1330" s="17"/>
      <c r="C1330" s="16" t="s">
        <v>658</v>
      </c>
      <c r="D1330" s="17"/>
      <c r="E1330" s="17" t="s">
        <v>618</v>
      </c>
      <c r="F1330" s="115" t="s">
        <v>659</v>
      </c>
      <c r="G1330" s="49" t="s">
        <v>2893</v>
      </c>
      <c r="H1330" s="17">
        <f t="shared" si="4"/>
        <v>17</v>
      </c>
      <c r="J1330" s="62" t="s">
        <v>478</v>
      </c>
      <c r="K1330" s="62" t="s">
        <v>2894</v>
      </c>
      <c r="M1330" s="62"/>
      <c r="N1330" s="62"/>
      <c r="O1330" s="62" t="b">
        <f>IF(E1330="PA",IF(K1330&lt;&gt;"",ISERROR(VLOOKUP(K1330,ABBR!A:D,1,FALSE)),ISERROR(VLOOKUP(C1330,ABBR!A:D,1,FALSE))),"")</f>
        <v>0</v>
      </c>
      <c r="P1330" t="str">
        <f>VLOOKUP(A1330,Groups!A:L,5,FALSE)</f>
        <v>LOCA</v>
      </c>
      <c r="Q1330" s="62" t="str">
        <f>IF(G1330="PA",IF(M1330&lt;&gt;"",ISERROR(VLOOKUP(M1330,ABBR!C:F,1,FALSE)),ISERROR(VLOOKUP(E1330,ABBR!C:F,1,FALSE))),"")</f>
        <v/>
      </c>
    </row>
    <row r="1331" spans="1:17" hidden="1" x14ac:dyDescent="0.25">
      <c r="A1331" s="16" t="s">
        <v>200</v>
      </c>
      <c r="B1331" s="17"/>
      <c r="C1331" s="16" t="s">
        <v>663</v>
      </c>
      <c r="D1331" s="17"/>
      <c r="E1331" s="17" t="s">
        <v>618</v>
      </c>
      <c r="F1331" s="18" t="s">
        <v>664</v>
      </c>
      <c r="G1331" s="49" t="s">
        <v>665</v>
      </c>
      <c r="H1331" s="17">
        <f t="shared" si="4"/>
        <v>18</v>
      </c>
      <c r="J1331" s="62" t="s">
        <v>478</v>
      </c>
      <c r="K1331" s="62" t="s">
        <v>2895</v>
      </c>
      <c r="M1331" s="62"/>
      <c r="N1331" s="62"/>
      <c r="O1331" s="62" t="b">
        <f>IF(E1331="PA",IF(K1331&lt;&gt;"",ISERROR(VLOOKUP(K1331,ABBR!A:D,1,FALSE)),ISERROR(VLOOKUP(C1331,ABBR!A:D,1,FALSE))),"")</f>
        <v>0</v>
      </c>
      <c r="P1331" t="str">
        <f>VLOOKUP(A1331,Groups!A:L,5,FALSE)</f>
        <v>LOCA</v>
      </c>
      <c r="Q1331" s="62" t="str">
        <f>IF(G1331="PA",IF(M1331&lt;&gt;"",ISERROR(VLOOKUP(M1331,ABBR!C:F,1,FALSE)),ISERROR(VLOOKUP(E1331,ABBR!C:F,1,FALSE))),"")</f>
        <v/>
      </c>
    </row>
    <row r="1332" spans="1:17" hidden="1" x14ac:dyDescent="0.25">
      <c r="A1332" s="16" t="s">
        <v>200</v>
      </c>
      <c r="B1332" s="17"/>
      <c r="C1332" s="16" t="s">
        <v>666</v>
      </c>
      <c r="D1332" s="17"/>
      <c r="E1332" s="17" t="s">
        <v>618</v>
      </c>
      <c r="F1332" s="18" t="s">
        <v>667</v>
      </c>
      <c r="G1332" s="49" t="s">
        <v>657</v>
      </c>
      <c r="H1332" s="17">
        <f t="shared" si="4"/>
        <v>19</v>
      </c>
      <c r="J1332" s="62" t="s">
        <v>473</v>
      </c>
      <c r="K1332" s="62" t="s">
        <v>2892</v>
      </c>
      <c r="M1332" s="62"/>
      <c r="N1332" s="62"/>
      <c r="O1332" s="62" t="b">
        <f>IF(E1332="PA",IF(K1332&lt;&gt;"",ISERROR(VLOOKUP(K1332,ABBR!A:D,1,FALSE)),ISERROR(VLOOKUP(C1332,ABBR!A:D,1,FALSE))),"")</f>
        <v>0</v>
      </c>
      <c r="P1332" t="str">
        <f>VLOOKUP(A1332,Groups!A:L,5,FALSE)</f>
        <v>LOCA</v>
      </c>
      <c r="Q1332" s="62" t="str">
        <f>IF(G1332="PA",IF(M1332&lt;&gt;"",ISERROR(VLOOKUP(M1332,ABBR!C:F,1,FALSE)),ISERROR(VLOOKUP(E1332,ABBR!C:F,1,FALSE))),"")</f>
        <v/>
      </c>
    </row>
    <row r="1333" spans="1:17" hidden="1" x14ac:dyDescent="0.25">
      <c r="A1333" s="16" t="s">
        <v>200</v>
      </c>
      <c r="B1333" s="17"/>
      <c r="C1333" s="16" t="s">
        <v>668</v>
      </c>
      <c r="D1333" s="17"/>
      <c r="E1333" s="17" t="s">
        <v>618</v>
      </c>
      <c r="F1333" s="18" t="s">
        <v>669</v>
      </c>
      <c r="G1333" s="49" t="s">
        <v>670</v>
      </c>
      <c r="H1333" s="17">
        <f t="shared" si="4"/>
        <v>20</v>
      </c>
      <c r="J1333" s="62" t="s">
        <v>478</v>
      </c>
      <c r="K1333" s="62" t="s">
        <v>2894</v>
      </c>
      <c r="M1333" s="62"/>
      <c r="N1333" s="62"/>
      <c r="O1333" s="62" t="b">
        <f>IF(E1333="PA",IF(K1333&lt;&gt;"",ISERROR(VLOOKUP(K1333,ABBR!A:D,1,FALSE)),ISERROR(VLOOKUP(C1333,ABBR!A:D,1,FALSE))),"")</f>
        <v>0</v>
      </c>
      <c r="P1333" t="str">
        <f>VLOOKUP(A1333,Groups!A:L,5,FALSE)</f>
        <v>LOCA</v>
      </c>
      <c r="Q1333" s="62" t="str">
        <f>IF(G1333="PA",IF(M1333&lt;&gt;"",ISERROR(VLOOKUP(M1333,ABBR!C:F,1,FALSE)),ISERROR(VLOOKUP(E1333,ABBR!C:F,1,FALSE))),"")</f>
        <v/>
      </c>
    </row>
    <row r="1334" spans="1:17" hidden="1" x14ac:dyDescent="0.25">
      <c r="A1334" s="16" t="s">
        <v>200</v>
      </c>
      <c r="B1334" s="17"/>
      <c r="C1334" s="16" t="s">
        <v>671</v>
      </c>
      <c r="D1334" s="17"/>
      <c r="E1334" s="17" t="s">
        <v>618</v>
      </c>
      <c r="F1334" s="18" t="s">
        <v>672</v>
      </c>
      <c r="G1334" s="49" t="s">
        <v>2896</v>
      </c>
      <c r="H1334" s="17">
        <f t="shared" si="4"/>
        <v>21</v>
      </c>
      <c r="J1334" s="62" t="s">
        <v>473</v>
      </c>
      <c r="K1334" s="62" t="s">
        <v>2897</v>
      </c>
      <c r="M1334" s="62"/>
      <c r="N1334" s="62"/>
      <c r="O1334" s="62" t="b">
        <f>IF(E1334="PA",IF(K1334&lt;&gt;"",ISERROR(VLOOKUP(K1334,ABBR!A:D,1,FALSE)),ISERROR(VLOOKUP(C1334,ABBR!A:D,1,FALSE))),"")</f>
        <v>0</v>
      </c>
      <c r="P1334" t="str">
        <f>VLOOKUP(A1334,Groups!A:L,5,FALSE)</f>
        <v>LOCA</v>
      </c>
      <c r="Q1334" s="62" t="str">
        <f>IF(G1334="PA",IF(M1334&lt;&gt;"",ISERROR(VLOOKUP(M1334,ABBR!C:F,1,FALSE)),ISERROR(VLOOKUP(E1334,ABBR!C:F,1,FALSE))),"")</f>
        <v/>
      </c>
    </row>
    <row r="1335" spans="1:17" ht="37.5" hidden="1" x14ac:dyDescent="0.35">
      <c r="A1335" s="16" t="s">
        <v>200</v>
      </c>
      <c r="B1335" s="17"/>
      <c r="C1335" s="196" t="s">
        <v>8835</v>
      </c>
      <c r="D1335" s="17"/>
      <c r="E1335" s="17" t="s">
        <v>674</v>
      </c>
      <c r="F1335" s="18" t="s">
        <v>8839</v>
      </c>
      <c r="G1335" s="49" t="s">
        <v>8837</v>
      </c>
      <c r="H1335" s="17">
        <f t="shared" si="4"/>
        <v>22</v>
      </c>
      <c r="J1335" s="62" t="s">
        <v>473</v>
      </c>
      <c r="K1335" s="62"/>
      <c r="L1335" s="81"/>
      <c r="M1335" s="62"/>
      <c r="N1335" s="62"/>
      <c r="O1335" s="62" t="str">
        <f>IF(E1335="PA",IF(K1335&lt;&gt;"",ISERROR(VLOOKUP(K1335,ABBR!A:D,1,FALSE)),ISERROR(VLOOKUP(C1335,ABBR!A:D,1,FALSE))),"")</f>
        <v/>
      </c>
      <c r="P1335" t="str">
        <f>VLOOKUP(A1335,Groups!A:L,5,FALSE)</f>
        <v>LOCA</v>
      </c>
      <c r="Q1335" s="62"/>
    </row>
    <row r="1336" spans="1:17" ht="14.5" hidden="1" x14ac:dyDescent="0.35">
      <c r="A1336" s="16" t="s">
        <v>200</v>
      </c>
      <c r="B1336" s="17"/>
      <c r="C1336" s="196" t="s">
        <v>8836</v>
      </c>
      <c r="D1336" s="17"/>
      <c r="E1336" s="17" t="s">
        <v>608</v>
      </c>
      <c r="F1336" s="18" t="s">
        <v>8840</v>
      </c>
      <c r="G1336" s="49" t="s">
        <v>8838</v>
      </c>
      <c r="H1336" s="17">
        <f t="shared" si="4"/>
        <v>23</v>
      </c>
      <c r="J1336" s="62" t="s">
        <v>473</v>
      </c>
      <c r="K1336" s="62"/>
      <c r="L1336" s="81"/>
      <c r="M1336" s="62"/>
      <c r="N1336" s="62"/>
      <c r="O1336" s="62" t="str">
        <f>IF(E1336="PA",IF(K1336&lt;&gt;"",ISERROR(VLOOKUP(K1336,ABBR!A:D,1,FALSE)),ISERROR(VLOOKUP(C1336,ABBR!A:D,1,FALSE))),"")</f>
        <v/>
      </c>
      <c r="P1336" t="str">
        <f>VLOOKUP(A1336,Groups!A:L,5,FALSE)</f>
        <v>LOCA</v>
      </c>
      <c r="Q1336" s="62"/>
    </row>
    <row r="1337" spans="1:17" hidden="1" x14ac:dyDescent="0.25">
      <c r="A1337" s="16" t="s">
        <v>200</v>
      </c>
      <c r="B1337" s="17"/>
      <c r="C1337" s="16" t="s">
        <v>673</v>
      </c>
      <c r="D1337" s="17"/>
      <c r="E1337" s="17" t="s">
        <v>674</v>
      </c>
      <c r="F1337" s="18" t="s">
        <v>675</v>
      </c>
      <c r="G1337" s="49" t="s">
        <v>676</v>
      </c>
      <c r="H1337" s="17">
        <f t="shared" si="4"/>
        <v>24</v>
      </c>
      <c r="J1337" s="62" t="s">
        <v>473</v>
      </c>
      <c r="M1337" s="62"/>
      <c r="N1337" s="62"/>
      <c r="O1337" s="62" t="str">
        <f>IF(E1337="PA",IF(K1337&lt;&gt;"",ISERROR(VLOOKUP(K1337,ABBR!A:D,1,FALSE)),ISERROR(VLOOKUP(C1337,ABBR!A:D,1,FALSE))),"")</f>
        <v/>
      </c>
      <c r="P1337" t="str">
        <f>VLOOKUP(A1337,Groups!A:L,5,FALSE)</f>
        <v>LOCA</v>
      </c>
      <c r="Q1337" s="62" t="str">
        <f>IF(G1337="PA",IF(M1337&lt;&gt;"",ISERROR(VLOOKUP(M1337,ABBR!C:F,1,FALSE)),ISERROR(VLOOKUP(E1337,ABBR!C:F,1,FALSE))),"")</f>
        <v/>
      </c>
    </row>
    <row r="1338" spans="1:17" hidden="1" x14ac:dyDescent="0.25">
      <c r="A1338" s="16" t="s">
        <v>200</v>
      </c>
      <c r="B1338" s="17"/>
      <c r="C1338" s="16" t="s">
        <v>678</v>
      </c>
      <c r="D1338" s="17"/>
      <c r="E1338" s="17" t="s">
        <v>618</v>
      </c>
      <c r="F1338" s="18" t="s">
        <v>679</v>
      </c>
      <c r="G1338" s="49" t="s">
        <v>680</v>
      </c>
      <c r="H1338" s="17">
        <f t="shared" si="4"/>
        <v>25</v>
      </c>
      <c r="J1338" s="62" t="s">
        <v>473</v>
      </c>
      <c r="K1338" s="62" t="s">
        <v>2898</v>
      </c>
      <c r="M1338" s="62"/>
      <c r="N1338" s="62"/>
      <c r="O1338" s="62" t="b">
        <f>IF(E1338="PA",IF(K1338&lt;&gt;"",ISERROR(VLOOKUP(K1338,ABBR!A:D,1,FALSE)),ISERROR(VLOOKUP(C1338,ABBR!A:D,1,FALSE))),"")</f>
        <v>0</v>
      </c>
      <c r="P1338" t="str">
        <f>VLOOKUP(A1338,Groups!A:L,5,FALSE)</f>
        <v>LOCA</v>
      </c>
      <c r="Q1338" s="62" t="str">
        <f>IF(G1338="PA",IF(M1338&lt;&gt;"",ISERROR(VLOOKUP(M1338,ABBR!C:F,1,FALSE)),ISERROR(VLOOKUP(E1338,ABBR!C:F,1,FALSE))),"")</f>
        <v/>
      </c>
    </row>
    <row r="1339" spans="1:17" hidden="1" x14ac:dyDescent="0.25">
      <c r="A1339" s="16" t="s">
        <v>200</v>
      </c>
      <c r="B1339" s="17"/>
      <c r="C1339" s="16" t="s">
        <v>683</v>
      </c>
      <c r="D1339" s="17"/>
      <c r="E1339" s="17" t="s">
        <v>618</v>
      </c>
      <c r="F1339" s="18" t="s">
        <v>684</v>
      </c>
      <c r="G1339" s="49" t="s">
        <v>685</v>
      </c>
      <c r="H1339" s="17">
        <f t="shared" si="4"/>
        <v>26</v>
      </c>
      <c r="J1339" s="62" t="s">
        <v>473</v>
      </c>
      <c r="K1339" s="62" t="s">
        <v>2899</v>
      </c>
      <c r="M1339" s="62"/>
      <c r="N1339" s="62"/>
      <c r="O1339" s="62" t="b">
        <f>IF(E1339="PA",IF(K1339&lt;&gt;"",ISERROR(VLOOKUP(K1339,ABBR!A:D,1,FALSE)),ISERROR(VLOOKUP(C1339,ABBR!A:D,1,FALSE))),"")</f>
        <v>0</v>
      </c>
      <c r="P1339" t="str">
        <f>VLOOKUP(A1339,Groups!A:L,5,FALSE)</f>
        <v>LOCA</v>
      </c>
      <c r="Q1339" s="62" t="str">
        <f>IF(G1339="PA",IF(M1339&lt;&gt;"",ISERROR(VLOOKUP(M1339,ABBR!C:F,1,FALSE)),ISERROR(VLOOKUP(E1339,ABBR!C:F,1,FALSE))),"")</f>
        <v/>
      </c>
    </row>
    <row r="1340" spans="1:17" hidden="1" x14ac:dyDescent="0.25">
      <c r="A1340" s="16" t="s">
        <v>200</v>
      </c>
      <c r="B1340" s="17"/>
      <c r="C1340" s="16" t="s">
        <v>686</v>
      </c>
      <c r="D1340" s="17"/>
      <c r="E1340" s="17" t="s">
        <v>618</v>
      </c>
      <c r="F1340" s="18" t="s">
        <v>687</v>
      </c>
      <c r="G1340" s="49" t="s">
        <v>688</v>
      </c>
      <c r="H1340" s="17">
        <f t="shared" si="4"/>
        <v>27</v>
      </c>
      <c r="J1340" s="62" t="s">
        <v>473</v>
      </c>
      <c r="K1340" s="62" t="s">
        <v>2900</v>
      </c>
      <c r="M1340" s="62"/>
      <c r="N1340" s="62"/>
      <c r="O1340" s="62" t="b">
        <f>IF(E1340="PA",IF(K1340&lt;&gt;"",ISERROR(VLOOKUP(K1340,ABBR!A:D,1,FALSE)),ISERROR(VLOOKUP(C1340,ABBR!A:D,1,FALSE))),"")</f>
        <v>0</v>
      </c>
      <c r="P1340" t="str">
        <f>VLOOKUP(A1340,Groups!A:L,5,FALSE)</f>
        <v>LOCA</v>
      </c>
      <c r="Q1340" s="62" t="str">
        <f>IF(G1340="PA",IF(M1340&lt;&gt;"",ISERROR(VLOOKUP(M1340,ABBR!C:F,1,FALSE)),ISERROR(VLOOKUP(E1340,ABBR!C:F,1,FALSE))),"")</f>
        <v/>
      </c>
    </row>
    <row r="1341" spans="1:17" hidden="1" x14ac:dyDescent="0.25">
      <c r="A1341" s="16" t="s">
        <v>200</v>
      </c>
      <c r="B1341" s="17"/>
      <c r="C1341" s="16" t="s">
        <v>689</v>
      </c>
      <c r="D1341" s="17"/>
      <c r="E1341" s="17" t="s">
        <v>618</v>
      </c>
      <c r="F1341" s="18" t="s">
        <v>690</v>
      </c>
      <c r="G1341" s="49" t="s">
        <v>784</v>
      </c>
      <c r="H1341" s="17">
        <f t="shared" si="4"/>
        <v>28</v>
      </c>
      <c r="J1341" s="62" t="s">
        <v>473</v>
      </c>
      <c r="K1341" s="62" t="s">
        <v>2901</v>
      </c>
      <c r="M1341" s="62"/>
      <c r="N1341" s="62"/>
      <c r="O1341" s="62" t="b">
        <f>IF(E1341="PA",IF(K1341&lt;&gt;"",ISERROR(VLOOKUP(K1341,ABBR!A:D,1,FALSE)),ISERROR(VLOOKUP(C1341,ABBR!A:D,1,FALSE))),"")</f>
        <v>0</v>
      </c>
      <c r="P1341" t="str">
        <f>VLOOKUP(A1341,Groups!A:L,5,FALSE)</f>
        <v>LOCA</v>
      </c>
      <c r="Q1341" s="62" t="str">
        <f>IF(G1341="PA",IF(M1341&lt;&gt;"",ISERROR(VLOOKUP(M1341,ABBR!C:F,1,FALSE)),ISERROR(VLOOKUP(E1341,ABBR!C:F,1,FALSE))),"")</f>
        <v/>
      </c>
    </row>
    <row r="1342" spans="1:17" hidden="1" x14ac:dyDescent="0.25">
      <c r="A1342" s="16" t="s">
        <v>200</v>
      </c>
      <c r="B1342" s="17"/>
      <c r="C1342" s="16" t="s">
        <v>694</v>
      </c>
      <c r="D1342" s="17"/>
      <c r="E1342" s="17" t="s">
        <v>608</v>
      </c>
      <c r="F1342" s="18" t="s">
        <v>695</v>
      </c>
      <c r="G1342" s="49" t="s">
        <v>2902</v>
      </c>
      <c r="H1342" s="17">
        <f t="shared" si="4"/>
        <v>29</v>
      </c>
      <c r="J1342" s="62" t="s">
        <v>473</v>
      </c>
      <c r="K1342" s="62"/>
      <c r="M1342" s="62"/>
      <c r="N1342" s="62"/>
      <c r="O1342" s="62" t="str">
        <f>IF(E1342="PA",IF(K1342&lt;&gt;"",ISERROR(VLOOKUP(K1342,ABBR!A:D,1,FALSE)),ISERROR(VLOOKUP(C1342,ABBR!A:D,1,FALSE))),"")</f>
        <v/>
      </c>
      <c r="P1342" t="str">
        <f>VLOOKUP(A1342,Groups!A:L,5,FALSE)</f>
        <v>LOCA</v>
      </c>
      <c r="Q1342" s="62" t="str">
        <f>IF(G1342="PA",IF(M1342&lt;&gt;"",ISERROR(VLOOKUP(M1342,ABBR!C:F,1,FALSE)),ISERROR(VLOOKUP(E1342,ABBR!C:F,1,FALSE))),"")</f>
        <v/>
      </c>
    </row>
    <row r="1343" spans="1:17" hidden="1" x14ac:dyDescent="0.25">
      <c r="A1343" s="16" t="s">
        <v>200</v>
      </c>
      <c r="B1343" s="17"/>
      <c r="C1343" s="16" t="s">
        <v>696</v>
      </c>
      <c r="D1343" s="17"/>
      <c r="E1343" s="17" t="s">
        <v>618</v>
      </c>
      <c r="F1343" s="18" t="s">
        <v>697</v>
      </c>
      <c r="G1343" s="49" t="s">
        <v>698</v>
      </c>
      <c r="H1343" s="17">
        <f t="shared" si="4"/>
        <v>30</v>
      </c>
      <c r="J1343" s="62" t="s">
        <v>473</v>
      </c>
      <c r="K1343" s="62" t="s">
        <v>2903</v>
      </c>
      <c r="M1343" s="62"/>
      <c r="N1343" s="62"/>
      <c r="O1343" s="62" t="b">
        <f>IF(E1343="PA",IF(K1343&lt;&gt;"",ISERROR(VLOOKUP(K1343,ABBR!A:D,1,FALSE)),ISERROR(VLOOKUP(C1343,ABBR!A:D,1,FALSE))),"")</f>
        <v>0</v>
      </c>
      <c r="P1343" t="str">
        <f>VLOOKUP(A1343,Groups!A:L,5,FALSE)</f>
        <v>LOCA</v>
      </c>
      <c r="Q1343" s="62" t="str">
        <f>IF(G1343="PA",IF(M1343&lt;&gt;"",ISERROR(VLOOKUP(M1343,ABBR!C:F,1,FALSE)),ISERROR(VLOOKUP(E1343,ABBR!C:F,1,FALSE))),"")</f>
        <v/>
      </c>
    </row>
    <row r="1344" spans="1:17" hidden="1" x14ac:dyDescent="0.25">
      <c r="A1344" s="16" t="s">
        <v>200</v>
      </c>
      <c r="B1344" s="17"/>
      <c r="C1344" s="16" t="s">
        <v>699</v>
      </c>
      <c r="D1344" s="17"/>
      <c r="E1344" s="17" t="s">
        <v>618</v>
      </c>
      <c r="F1344" s="18" t="s">
        <v>700</v>
      </c>
      <c r="G1344" s="49" t="s">
        <v>701</v>
      </c>
      <c r="H1344" s="17">
        <f t="shared" si="4"/>
        <v>31</v>
      </c>
      <c r="J1344" s="62" t="s">
        <v>473</v>
      </c>
      <c r="K1344" s="62" t="s">
        <v>2897</v>
      </c>
      <c r="M1344" s="62"/>
      <c r="N1344" s="62"/>
      <c r="O1344" s="62" t="b">
        <f>IF(E1344="PA",IF(K1344&lt;&gt;"",ISERROR(VLOOKUP(K1344,ABBR!A:D,1,FALSE)),ISERROR(VLOOKUP(C1344,ABBR!A:D,1,FALSE))),"")</f>
        <v>0</v>
      </c>
      <c r="P1344" t="str">
        <f>VLOOKUP(A1344,Groups!A:L,5,FALSE)</f>
        <v>LOCA</v>
      </c>
      <c r="Q1344" s="62" t="str">
        <f>IF(G1344="PA",IF(M1344&lt;&gt;"",ISERROR(VLOOKUP(M1344,ABBR!C:F,1,FALSE)),ISERROR(VLOOKUP(E1344,ABBR!C:F,1,FALSE))),"")</f>
        <v/>
      </c>
    </row>
    <row r="1345" spans="1:17" hidden="1" x14ac:dyDescent="0.25">
      <c r="A1345" s="16" t="s">
        <v>200</v>
      </c>
      <c r="B1345" s="17"/>
      <c r="C1345" s="16" t="s">
        <v>703</v>
      </c>
      <c r="D1345" s="17"/>
      <c r="E1345" s="17" t="s">
        <v>608</v>
      </c>
      <c r="F1345" s="18" t="s">
        <v>704</v>
      </c>
      <c r="G1345" s="49"/>
      <c r="H1345" s="17">
        <f t="shared" si="4"/>
        <v>32</v>
      </c>
      <c r="J1345" s="62" t="s">
        <v>473</v>
      </c>
      <c r="K1345" s="62"/>
      <c r="M1345" s="101" t="s">
        <v>1044</v>
      </c>
      <c r="N1345" s="62"/>
      <c r="O1345" s="62" t="str">
        <f>IF(E1345="PA",IF(K1345&lt;&gt;"",ISERROR(VLOOKUP(K1345,ABBR!A:D,1,FALSE)),ISERROR(VLOOKUP(C1345,ABBR!A:D,1,FALSE))),"")</f>
        <v/>
      </c>
      <c r="P1345" t="str">
        <f>VLOOKUP(A1345,Groups!A:L,5,FALSE)</f>
        <v>LOCA</v>
      </c>
      <c r="Q1345" s="62" t="str">
        <f>IF(G1345="PA",IF(M1345&lt;&gt;"",ISERROR(VLOOKUP(M1345,ABBR!C:F,1,FALSE)),ISERROR(VLOOKUP(E1345,ABBR!C:F,1,FALSE))),"")</f>
        <v/>
      </c>
    </row>
    <row r="1346" spans="1:17" hidden="1" x14ac:dyDescent="0.25">
      <c r="A1346" s="16" t="s">
        <v>200</v>
      </c>
      <c r="B1346" s="17"/>
      <c r="C1346" s="16" t="s">
        <v>705</v>
      </c>
      <c r="D1346" s="17"/>
      <c r="E1346" s="17" t="s">
        <v>608</v>
      </c>
      <c r="F1346" s="18" t="s">
        <v>706</v>
      </c>
      <c r="G1346" s="49" t="s">
        <v>707</v>
      </c>
      <c r="H1346" s="17">
        <f t="shared" si="4"/>
        <v>33</v>
      </c>
      <c r="J1346" s="62" t="s">
        <v>473</v>
      </c>
      <c r="K1346" s="62" t="s">
        <v>2904</v>
      </c>
      <c r="M1346" s="62"/>
      <c r="N1346" s="62"/>
      <c r="O1346" s="62" t="str">
        <f>IF(E1346="PA",IF(K1346&lt;&gt;"",ISERROR(VLOOKUP(K1346,ABBR!A:D,1,FALSE)),ISERROR(VLOOKUP(C1346,ABBR!A:D,1,FALSE))),"")</f>
        <v/>
      </c>
      <c r="P1346" t="str">
        <f>VLOOKUP(A1346,Groups!A:L,5,FALSE)</f>
        <v>LOCA</v>
      </c>
      <c r="Q1346" s="62" t="str">
        <f>IF(G1346="PA",IF(M1346&lt;&gt;"",ISERROR(VLOOKUP(M1346,ABBR!C:F,1,FALSE)),ISERROR(VLOOKUP(E1346,ABBR!C:F,1,FALSE))),"")</f>
        <v/>
      </c>
    </row>
    <row r="1347" spans="1:17" hidden="1" x14ac:dyDescent="0.25">
      <c r="A1347" s="16" t="s">
        <v>200</v>
      </c>
      <c r="B1347" s="17"/>
      <c r="C1347" s="16" t="s">
        <v>712</v>
      </c>
      <c r="D1347" s="17"/>
      <c r="E1347" s="17" t="s">
        <v>618</v>
      </c>
      <c r="F1347" s="18" t="s">
        <v>713</v>
      </c>
      <c r="G1347" s="49" t="s">
        <v>714</v>
      </c>
      <c r="H1347" s="17">
        <f t="shared" si="4"/>
        <v>34</v>
      </c>
      <c r="J1347" s="62" t="s">
        <v>473</v>
      </c>
      <c r="K1347" s="62" t="s">
        <v>2905</v>
      </c>
      <c r="M1347" s="62"/>
      <c r="N1347" s="62"/>
      <c r="O1347" s="62" t="b">
        <f>IF(E1347="PA",IF(K1347&lt;&gt;"",ISERROR(VLOOKUP(K1347,ABBR!A:D,1,FALSE)),ISERROR(VLOOKUP(C1347,ABBR!A:D,1,FALSE))),"")</f>
        <v>0</v>
      </c>
      <c r="P1347" t="str">
        <f>VLOOKUP(A1347,Groups!A:L,5,FALSE)</f>
        <v>LOCA</v>
      </c>
      <c r="Q1347" s="62" t="str">
        <f>IF(G1347="PA",IF(M1347&lt;&gt;"",ISERROR(VLOOKUP(M1347,ABBR!C:F,1,FALSE)),ISERROR(VLOOKUP(E1347,ABBR!C:F,1,FALSE))),"")</f>
        <v/>
      </c>
    </row>
    <row r="1348" spans="1:17" hidden="1" x14ac:dyDescent="0.25">
      <c r="A1348" s="16" t="s">
        <v>200</v>
      </c>
      <c r="B1348" s="17"/>
      <c r="C1348" s="16" t="s">
        <v>716</v>
      </c>
      <c r="D1348" s="17"/>
      <c r="E1348" s="17" t="s">
        <v>618</v>
      </c>
      <c r="F1348" s="18" t="s">
        <v>717</v>
      </c>
      <c r="G1348" s="49" t="s">
        <v>718</v>
      </c>
      <c r="H1348" s="17">
        <f t="shared" si="4"/>
        <v>35</v>
      </c>
      <c r="J1348" s="62" t="s">
        <v>473</v>
      </c>
      <c r="K1348" s="62" t="s">
        <v>2895</v>
      </c>
      <c r="M1348" s="62"/>
      <c r="N1348" s="62"/>
      <c r="O1348" s="62" t="b">
        <f>IF(E1348="PA",IF(K1348&lt;&gt;"",ISERROR(VLOOKUP(K1348,ABBR!A:D,1,FALSE)),ISERROR(VLOOKUP(C1348,ABBR!A:D,1,FALSE))),"")</f>
        <v>0</v>
      </c>
      <c r="P1348" t="str">
        <f>VLOOKUP(A1348,Groups!A:L,5,FALSE)</f>
        <v>LOCA</v>
      </c>
      <c r="Q1348" s="62" t="str">
        <f>IF(G1348="PA",IF(M1348&lt;&gt;"",ISERROR(VLOOKUP(M1348,ABBR!C:F,1,FALSE)),ISERROR(VLOOKUP(E1348,ABBR!C:F,1,FALSE))),"")</f>
        <v/>
      </c>
    </row>
    <row r="1349" spans="1:17" hidden="1" x14ac:dyDescent="0.25">
      <c r="A1349" s="16" t="s">
        <v>200</v>
      </c>
      <c r="B1349" s="17"/>
      <c r="C1349" s="16" t="s">
        <v>719</v>
      </c>
      <c r="D1349" s="17"/>
      <c r="E1349" s="17" t="s">
        <v>618</v>
      </c>
      <c r="F1349" s="18" t="s">
        <v>720</v>
      </c>
      <c r="G1349" s="49" t="s">
        <v>715</v>
      </c>
      <c r="H1349" s="17">
        <f t="shared" si="4"/>
        <v>36</v>
      </c>
      <c r="J1349" s="62" t="s">
        <v>473</v>
      </c>
      <c r="K1349" s="62" t="s">
        <v>2905</v>
      </c>
      <c r="M1349" s="62"/>
      <c r="N1349" s="62"/>
      <c r="O1349" s="62" t="b">
        <f>IF(E1349="PA",IF(K1349&lt;&gt;"",ISERROR(VLOOKUP(K1349,ABBR!A:D,1,FALSE)),ISERROR(VLOOKUP(C1349,ABBR!A:D,1,FALSE))),"")</f>
        <v>0</v>
      </c>
      <c r="P1349" t="str">
        <f>VLOOKUP(A1349,Groups!A:L,5,FALSE)</f>
        <v>LOCA</v>
      </c>
      <c r="Q1349" s="62" t="str">
        <f>IF(G1349="PA",IF(M1349&lt;&gt;"",ISERROR(VLOOKUP(M1349,ABBR!C:F,1,FALSE)),ISERROR(VLOOKUP(E1349,ABBR!C:F,1,FALSE))),"")</f>
        <v/>
      </c>
    </row>
    <row r="1350" spans="1:17" hidden="1" x14ac:dyDescent="0.25">
      <c r="A1350" s="16" t="s">
        <v>200</v>
      </c>
      <c r="B1350" s="17"/>
      <c r="C1350" s="16" t="s">
        <v>721</v>
      </c>
      <c r="D1350" s="17" t="s">
        <v>722</v>
      </c>
      <c r="E1350" s="17" t="s">
        <v>723</v>
      </c>
      <c r="F1350" s="18" t="s">
        <v>724</v>
      </c>
      <c r="G1350" s="49" t="s">
        <v>725</v>
      </c>
      <c r="H1350" s="17">
        <f t="shared" si="4"/>
        <v>37</v>
      </c>
      <c r="J1350" s="62" t="s">
        <v>473</v>
      </c>
      <c r="K1350" s="62"/>
      <c r="M1350" s="62"/>
      <c r="N1350" s="62"/>
      <c r="O1350" s="62" t="str">
        <f>IF(E1350="PA",IF(K1350&lt;&gt;"",ISERROR(VLOOKUP(K1350,ABBR!A:D,1,FALSE)),ISERROR(VLOOKUP(C1350,ABBR!A:D,1,FALSE))),"")</f>
        <v/>
      </c>
      <c r="P1350" t="str">
        <f>VLOOKUP(A1350,Groups!A:L,5,FALSE)</f>
        <v>LOCA</v>
      </c>
      <c r="Q1350" s="62" t="str">
        <f>IF(G1350="PA",IF(M1350&lt;&gt;"",ISERROR(VLOOKUP(M1350,ABBR!C:F,1,FALSE)),ISERROR(VLOOKUP(E1350,ABBR!C:F,1,FALSE))),"")</f>
        <v/>
      </c>
    </row>
    <row r="1351" spans="1:17" hidden="1" x14ac:dyDescent="0.25">
      <c r="A1351" s="16" t="s">
        <v>200</v>
      </c>
      <c r="B1351" s="17"/>
      <c r="C1351" s="16" t="s">
        <v>726</v>
      </c>
      <c r="D1351" s="17"/>
      <c r="E1351" s="17" t="s">
        <v>618</v>
      </c>
      <c r="F1351" s="18" t="s">
        <v>727</v>
      </c>
      <c r="G1351" s="49" t="s">
        <v>728</v>
      </c>
      <c r="H1351" s="17">
        <f t="shared" si="4"/>
        <v>38</v>
      </c>
      <c r="J1351" s="62" t="s">
        <v>473</v>
      </c>
      <c r="K1351" s="62" t="s">
        <v>2906</v>
      </c>
      <c r="M1351" s="62"/>
      <c r="N1351" s="62"/>
      <c r="O1351" s="62" t="b">
        <f>IF(E1351="PA",IF(K1351&lt;&gt;"",ISERROR(VLOOKUP(K1351,ABBR!A:D,1,FALSE)),ISERROR(VLOOKUP(C1351,ABBR!A:D,1,FALSE))),"")</f>
        <v>0</v>
      </c>
      <c r="P1351" t="str">
        <f>VLOOKUP(A1351,Groups!A:L,5,FALSE)</f>
        <v>LOCA</v>
      </c>
      <c r="Q1351" s="62" t="str">
        <f>IF(G1351="PA",IF(M1351&lt;&gt;"",ISERROR(VLOOKUP(M1351,ABBR!C:F,1,FALSE)),ISERROR(VLOOKUP(E1351,ABBR!C:F,1,FALSE))),"")</f>
        <v/>
      </c>
    </row>
    <row r="1352" spans="1:17" hidden="1" x14ac:dyDescent="0.25">
      <c r="A1352" s="16" t="s">
        <v>200</v>
      </c>
      <c r="B1352" s="17"/>
      <c r="C1352" s="16" t="s">
        <v>8844</v>
      </c>
      <c r="D1352" s="17"/>
      <c r="E1352" s="17" t="s">
        <v>618</v>
      </c>
      <c r="F1352" s="18" t="s">
        <v>8847</v>
      </c>
      <c r="G1352" s="49" t="s">
        <v>731</v>
      </c>
      <c r="H1352" s="17">
        <f t="shared" si="4"/>
        <v>39</v>
      </c>
      <c r="J1352" s="62" t="s">
        <v>473</v>
      </c>
      <c r="K1352" s="62" t="s">
        <v>2907</v>
      </c>
      <c r="M1352" s="62"/>
      <c r="N1352" s="62"/>
      <c r="O1352" s="62" t="b">
        <f>IF(E1352="PA",IF(K1352&lt;&gt;"",ISERROR(VLOOKUP(K1352,ABBR!A:D,1,FALSE)),ISERROR(VLOOKUP(C1352,ABBR!A:D,1,FALSE))),"")</f>
        <v>0</v>
      </c>
      <c r="P1352" t="str">
        <f>VLOOKUP(A1352,Groups!A:L,5,FALSE)</f>
        <v>LOCA</v>
      </c>
      <c r="Q1352" s="62" t="str">
        <f>IF(G1352="PA",IF(M1352&lt;&gt;"",ISERROR(VLOOKUP(M1352,ABBR!C:F,1,FALSE)),ISERROR(VLOOKUP(E1352,ABBR!C:F,1,FALSE))),"")</f>
        <v/>
      </c>
    </row>
    <row r="1353" spans="1:17" hidden="1" x14ac:dyDescent="0.25">
      <c r="A1353" s="16" t="s">
        <v>200</v>
      </c>
      <c r="B1353" s="17"/>
      <c r="C1353" s="16" t="s">
        <v>8845</v>
      </c>
      <c r="D1353" s="17"/>
      <c r="E1353" s="17" t="s">
        <v>618</v>
      </c>
      <c r="F1353" s="18" t="s">
        <v>8855</v>
      </c>
      <c r="G1353" s="49" t="s">
        <v>718</v>
      </c>
      <c r="H1353" s="17">
        <f t="shared" si="4"/>
        <v>40</v>
      </c>
      <c r="J1353" s="62" t="s">
        <v>473</v>
      </c>
      <c r="K1353" s="62" t="s">
        <v>2904</v>
      </c>
      <c r="M1353" s="62"/>
      <c r="N1353" s="62"/>
      <c r="O1353" s="62" t="b">
        <f>IF(E1353="PA",IF(K1353&lt;&gt;"",ISERROR(VLOOKUP(K1353,ABBR!A:D,1,FALSE)),ISERROR(VLOOKUP(C1353,ABBR!A:D,1,FALSE))),"")</f>
        <v>0</v>
      </c>
      <c r="P1353" t="str">
        <f>VLOOKUP(A1353,Groups!A:L,5,FALSE)</f>
        <v>LOCA</v>
      </c>
      <c r="Q1353" s="62" t="str">
        <f>IF(G1353="PA",IF(M1353&lt;&gt;"",ISERROR(VLOOKUP(M1353,ABBR!C:F,1,FALSE)),ISERROR(VLOOKUP(E1353,ABBR!C:F,1,FALSE))),"")</f>
        <v/>
      </c>
    </row>
    <row r="1354" spans="1:17" hidden="1" x14ac:dyDescent="0.25">
      <c r="A1354" s="16" t="s">
        <v>200</v>
      </c>
      <c r="B1354" s="17"/>
      <c r="C1354" s="16" t="s">
        <v>8846</v>
      </c>
      <c r="D1354" s="17"/>
      <c r="E1354" s="17" t="s">
        <v>618</v>
      </c>
      <c r="F1354" s="18" t="s">
        <v>8848</v>
      </c>
      <c r="G1354" s="49" t="s">
        <v>7253</v>
      </c>
      <c r="H1354" s="17">
        <f t="shared" si="4"/>
        <v>41</v>
      </c>
      <c r="J1354" s="62" t="s">
        <v>473</v>
      </c>
      <c r="K1354" s="62" t="s">
        <v>2907</v>
      </c>
      <c r="M1354" s="62"/>
      <c r="N1354" s="62"/>
      <c r="O1354" s="62" t="b">
        <f>IF(E1354="PA",IF(K1354&lt;&gt;"",ISERROR(VLOOKUP(K1354,ABBR!A:D,1,FALSE)),ISERROR(VLOOKUP(C1354,ABBR!A:D,1,FALSE))),"")</f>
        <v>0</v>
      </c>
      <c r="P1354" t="str">
        <f>VLOOKUP(A1354,Groups!A:L,5,FALSE)</f>
        <v>LOCA</v>
      </c>
      <c r="Q1354" s="62" t="str">
        <f>IF(G1354="PA",IF(M1354&lt;&gt;"",ISERROR(VLOOKUP(M1354,ABBR!C:F,1,FALSE)),ISERROR(VLOOKUP(E1354,ABBR!C:F,1,FALSE))),"")</f>
        <v/>
      </c>
    </row>
    <row r="1355" spans="1:17" hidden="1" x14ac:dyDescent="0.25">
      <c r="A1355" s="16" t="s">
        <v>200</v>
      </c>
      <c r="B1355" s="17"/>
      <c r="C1355" s="16" t="s">
        <v>732</v>
      </c>
      <c r="D1355" s="17"/>
      <c r="E1355" s="17" t="s">
        <v>618</v>
      </c>
      <c r="F1355" s="18" t="s">
        <v>733</v>
      </c>
      <c r="G1355" s="49" t="s">
        <v>734</v>
      </c>
      <c r="H1355" s="17">
        <f t="shared" si="4"/>
        <v>42</v>
      </c>
      <c r="J1355" s="62" t="s">
        <v>473</v>
      </c>
      <c r="K1355" s="62" t="s">
        <v>2908</v>
      </c>
      <c r="L1355" t="s">
        <v>8814</v>
      </c>
      <c r="M1355" s="62"/>
      <c r="N1355" s="62"/>
      <c r="O1355" s="62" t="b">
        <f>IF(E1355="PA",IF(K1355&lt;&gt;"",ISERROR(VLOOKUP(K1355,ABBR!A:D,1,FALSE)),ISERROR(VLOOKUP(C1355,ABBR!A:D,1,FALSE))),"")</f>
        <v>0</v>
      </c>
      <c r="P1355" t="str">
        <f>VLOOKUP(A1355,Groups!A:L,5,FALSE)</f>
        <v>LOCA</v>
      </c>
      <c r="Q1355" s="62" t="str">
        <f>IF(G1355="PA",IF(M1355&lt;&gt;"",ISERROR(VLOOKUP(M1355,ABBR!C:F,1,FALSE)),ISERROR(VLOOKUP(E1355,ABBR!C:F,1,FALSE))),"")</f>
        <v/>
      </c>
    </row>
    <row r="1356" spans="1:17" hidden="1" x14ac:dyDescent="0.25">
      <c r="A1356" s="16" t="s">
        <v>200</v>
      </c>
      <c r="B1356" s="17"/>
      <c r="C1356" s="16" t="s">
        <v>735</v>
      </c>
      <c r="D1356" s="17"/>
      <c r="E1356" s="17" t="s">
        <v>618</v>
      </c>
      <c r="F1356" s="18" t="s">
        <v>736</v>
      </c>
      <c r="G1356" s="49" t="s">
        <v>693</v>
      </c>
      <c r="H1356" s="17">
        <f t="shared" si="4"/>
        <v>43</v>
      </c>
      <c r="J1356" s="62" t="s">
        <v>473</v>
      </c>
      <c r="K1356" s="62" t="s">
        <v>2901</v>
      </c>
      <c r="M1356" s="62"/>
      <c r="N1356" s="62"/>
      <c r="O1356" s="62" t="b">
        <f>IF(E1356="PA",IF(K1356&lt;&gt;"",ISERROR(VLOOKUP(K1356,ABBR!A:D,1,FALSE)),ISERROR(VLOOKUP(C1356,ABBR!A:D,1,FALSE))),"")</f>
        <v>0</v>
      </c>
      <c r="P1356" t="str">
        <f>VLOOKUP(A1356,Groups!A:L,5,FALSE)</f>
        <v>LOCA</v>
      </c>
      <c r="Q1356" s="62" t="str">
        <f>IF(G1356="PA",IF(M1356&lt;&gt;"",ISERROR(VLOOKUP(M1356,ABBR!C:F,1,FALSE)),ISERROR(VLOOKUP(E1356,ABBR!C:F,1,FALSE))),"")</f>
        <v/>
      </c>
    </row>
    <row r="1357" spans="1:17" ht="25" hidden="1" x14ac:dyDescent="0.25">
      <c r="A1357" s="16" t="s">
        <v>200</v>
      </c>
      <c r="B1357" s="17"/>
      <c r="C1357" s="16" t="s">
        <v>737</v>
      </c>
      <c r="D1357" s="17"/>
      <c r="E1357" s="17" t="s">
        <v>608</v>
      </c>
      <c r="F1357" s="18" t="s">
        <v>738</v>
      </c>
      <c r="G1357" s="49" t="s">
        <v>739</v>
      </c>
      <c r="H1357" s="17">
        <f t="shared" si="4"/>
        <v>44</v>
      </c>
      <c r="J1357" s="62" t="s">
        <v>473</v>
      </c>
      <c r="K1357" s="62"/>
      <c r="M1357" s="62"/>
      <c r="N1357" s="62"/>
      <c r="O1357" s="62" t="str">
        <f>IF(E1357="PA",IF(K1357&lt;&gt;"",ISERROR(VLOOKUP(K1357,ABBR!A:D,1,FALSE)),ISERROR(VLOOKUP(C1357,ABBR!A:D,1,FALSE))),"")</f>
        <v/>
      </c>
      <c r="P1357" t="str">
        <f>VLOOKUP(A1357,Groups!A:L,5,FALSE)</f>
        <v>LOCA</v>
      </c>
      <c r="Q1357" s="62" t="str">
        <f>IF(G1357="PA",IF(M1357&lt;&gt;"",ISERROR(VLOOKUP(M1357,ABBR!C:F,1,FALSE)),ISERROR(VLOOKUP(E1357,ABBR!C:F,1,FALSE))),"")</f>
        <v/>
      </c>
    </row>
    <row r="1358" spans="1:17" hidden="1" x14ac:dyDescent="0.25">
      <c r="A1358" s="16" t="s">
        <v>200</v>
      </c>
      <c r="B1358" s="17"/>
      <c r="C1358" s="16" t="s">
        <v>740</v>
      </c>
      <c r="D1358" s="17"/>
      <c r="E1358" s="17" t="s">
        <v>618</v>
      </c>
      <c r="F1358" s="18" t="s">
        <v>741</v>
      </c>
      <c r="G1358" s="49" t="s">
        <v>692</v>
      </c>
      <c r="H1358" s="17">
        <f t="shared" si="4"/>
        <v>45</v>
      </c>
      <c r="J1358" s="62" t="s">
        <v>473</v>
      </c>
      <c r="K1358" s="62" t="s">
        <v>2901</v>
      </c>
      <c r="M1358" s="62"/>
      <c r="N1358" s="62"/>
      <c r="O1358" s="62" t="b">
        <f>IF(E1358="PA",IF(K1358&lt;&gt;"",ISERROR(VLOOKUP(K1358,ABBR!A:D,1,FALSE)),ISERROR(VLOOKUP(C1358,ABBR!A:D,1,FALSE))),"")</f>
        <v>0</v>
      </c>
      <c r="P1358" t="str">
        <f>VLOOKUP(A1358,Groups!A:L,5,FALSE)</f>
        <v>LOCA</v>
      </c>
      <c r="Q1358" s="62" t="str">
        <f>IF(G1358="PA",IF(M1358&lt;&gt;"",ISERROR(VLOOKUP(M1358,ABBR!C:F,1,FALSE)),ISERROR(VLOOKUP(E1358,ABBR!C:F,1,FALSE))),"")</f>
        <v/>
      </c>
    </row>
    <row r="1359" spans="1:17" ht="25" hidden="1" x14ac:dyDescent="0.25">
      <c r="A1359" s="16" t="s">
        <v>200</v>
      </c>
      <c r="B1359" s="17"/>
      <c r="C1359" s="16" t="s">
        <v>742</v>
      </c>
      <c r="D1359" s="17"/>
      <c r="E1359" s="17" t="s">
        <v>608</v>
      </c>
      <c r="F1359" s="18" t="s">
        <v>743</v>
      </c>
      <c r="G1359" s="49" t="s">
        <v>739</v>
      </c>
      <c r="H1359" s="17">
        <f t="shared" si="4"/>
        <v>46</v>
      </c>
      <c r="J1359" s="62" t="s">
        <v>473</v>
      </c>
      <c r="K1359" s="62"/>
      <c r="M1359" s="62"/>
      <c r="N1359" s="62"/>
      <c r="O1359" s="62" t="str">
        <f>IF(E1359="PA",IF(K1359&lt;&gt;"",ISERROR(VLOOKUP(K1359,ABBR!A:D,1,FALSE)),ISERROR(VLOOKUP(C1359,ABBR!A:D,1,FALSE))),"")</f>
        <v/>
      </c>
      <c r="P1359" t="str">
        <f>VLOOKUP(A1359,Groups!A:L,5,FALSE)</f>
        <v>LOCA</v>
      </c>
      <c r="Q1359" s="62" t="str">
        <f>IF(G1359="PA",IF(M1359&lt;&gt;"",ISERROR(VLOOKUP(M1359,ABBR!C:F,1,FALSE)),ISERROR(VLOOKUP(E1359,ABBR!C:F,1,FALSE))),"")</f>
        <v/>
      </c>
    </row>
    <row r="1360" spans="1:17" hidden="1" x14ac:dyDescent="0.25">
      <c r="A1360" s="16" t="s">
        <v>200</v>
      </c>
      <c r="B1360" s="17"/>
      <c r="C1360" s="16" t="s">
        <v>744</v>
      </c>
      <c r="D1360" s="17"/>
      <c r="E1360" s="17" t="s">
        <v>608</v>
      </c>
      <c r="F1360" s="18" t="s">
        <v>745</v>
      </c>
      <c r="G1360" s="49" t="s">
        <v>746</v>
      </c>
      <c r="H1360" s="17">
        <f t="shared" si="4"/>
        <v>47</v>
      </c>
      <c r="J1360" s="62" t="s">
        <v>473</v>
      </c>
      <c r="K1360" s="62"/>
      <c r="M1360" s="62"/>
      <c r="N1360" s="62"/>
      <c r="O1360" s="62" t="str">
        <f>IF(E1360="PA",IF(K1360&lt;&gt;"",ISERROR(VLOOKUP(K1360,ABBR!A:D,1,FALSE)),ISERROR(VLOOKUP(C1360,ABBR!A:D,1,FALSE))),"")</f>
        <v/>
      </c>
      <c r="P1360" t="str">
        <f>VLOOKUP(A1360,Groups!A:L,5,FALSE)</f>
        <v>LOCA</v>
      </c>
      <c r="Q1360" s="62" t="str">
        <f>IF(G1360="PA",IF(M1360&lt;&gt;"",ISERROR(VLOOKUP(M1360,ABBR!C:F,1,FALSE)),ISERROR(VLOOKUP(E1360,ABBR!C:F,1,FALSE))),"")</f>
        <v/>
      </c>
    </row>
    <row r="1361" spans="1:17" hidden="1" x14ac:dyDescent="0.25">
      <c r="A1361" s="16" t="s">
        <v>200</v>
      </c>
      <c r="B1361" s="17"/>
      <c r="C1361" s="16" t="s">
        <v>748</v>
      </c>
      <c r="D1361" s="17"/>
      <c r="E1361" s="17" t="s">
        <v>618</v>
      </c>
      <c r="F1361" s="18" t="s">
        <v>749</v>
      </c>
      <c r="G1361" s="49" t="s">
        <v>7118</v>
      </c>
      <c r="H1361" s="17">
        <f t="shared" si="4"/>
        <v>48</v>
      </c>
      <c r="J1361" s="62" t="s">
        <v>473</v>
      </c>
      <c r="K1361" s="62" t="s">
        <v>2909</v>
      </c>
      <c r="M1361" s="62"/>
      <c r="N1361" s="62"/>
      <c r="O1361" s="62" t="b">
        <f>IF(E1361="PA",IF(K1361&lt;&gt;"",ISERROR(VLOOKUP(K1361,ABBR!A:D,1,FALSE)),ISERROR(VLOOKUP(C1361,ABBR!A:D,1,FALSE))),"")</f>
        <v>0</v>
      </c>
      <c r="P1361" t="str">
        <f>VLOOKUP(A1361,Groups!A:L,5,FALSE)</f>
        <v>LOCA</v>
      </c>
      <c r="Q1361" s="62" t="str">
        <f>IF(G1361="PA",IF(M1361&lt;&gt;"",ISERROR(VLOOKUP(M1361,ABBR!C:F,1,FALSE)),ISERROR(VLOOKUP(E1361,ABBR!C:F,1,FALSE))),"")</f>
        <v/>
      </c>
    </row>
    <row r="1362" spans="1:17" hidden="1" x14ac:dyDescent="0.25">
      <c r="A1362" s="16" t="s">
        <v>200</v>
      </c>
      <c r="B1362" s="17"/>
      <c r="C1362" s="16" t="s">
        <v>751</v>
      </c>
      <c r="D1362" s="17"/>
      <c r="E1362" s="17" t="s">
        <v>608</v>
      </c>
      <c r="F1362" s="18" t="s">
        <v>752</v>
      </c>
      <c r="G1362" s="49" t="s">
        <v>753</v>
      </c>
      <c r="H1362" s="17">
        <f t="shared" si="4"/>
        <v>49</v>
      </c>
      <c r="J1362" s="62" t="s">
        <v>473</v>
      </c>
      <c r="K1362" s="62"/>
      <c r="M1362" s="62"/>
      <c r="N1362" s="62"/>
      <c r="O1362" s="62" t="str">
        <f>IF(E1362="PA",IF(K1362&lt;&gt;"",ISERROR(VLOOKUP(K1362,ABBR!A:D,1,FALSE)),ISERROR(VLOOKUP(C1362,ABBR!A:D,1,FALSE))),"")</f>
        <v/>
      </c>
      <c r="P1362" t="str">
        <f>VLOOKUP(A1362,Groups!A:L,5,FALSE)</f>
        <v>LOCA</v>
      </c>
      <c r="Q1362" s="62" t="str">
        <f>IF(G1362="PA",IF(M1362&lt;&gt;"",ISERROR(VLOOKUP(M1362,ABBR!C:F,1,FALSE)),ISERROR(VLOOKUP(E1362,ABBR!C:F,1,FALSE))),"")</f>
        <v/>
      </c>
    </row>
    <row r="1363" spans="1:17" hidden="1" x14ac:dyDescent="0.25">
      <c r="A1363" s="16" t="s">
        <v>200</v>
      </c>
      <c r="B1363" s="17"/>
      <c r="C1363" s="16" t="s">
        <v>8860</v>
      </c>
      <c r="D1363" s="17"/>
      <c r="E1363" s="17" t="s">
        <v>618</v>
      </c>
      <c r="F1363" s="8" t="s">
        <v>8866</v>
      </c>
      <c r="G1363" s="18" t="s">
        <v>8856</v>
      </c>
      <c r="H1363" s="17">
        <f t="shared" si="4"/>
        <v>50</v>
      </c>
      <c r="J1363" s="62" t="s">
        <v>473</v>
      </c>
      <c r="K1363" s="62" t="s">
        <v>8859</v>
      </c>
      <c r="M1363" s="62"/>
      <c r="N1363" s="62"/>
      <c r="O1363" s="62" t="b">
        <f>IF(E1363="PA",IF(K1363&lt;&gt;"",ISERROR(VLOOKUP(K1363,ABBR!A:D,1,FALSE)),ISERROR(VLOOKUP(C1363,ABBR!A:D,1,FALSE))),"")</f>
        <v>0</v>
      </c>
      <c r="P1363" t="str">
        <f>VLOOKUP(A1363,Groups!A:L,5,FALSE)</f>
        <v>LOCA</v>
      </c>
      <c r="Q1363" s="62"/>
    </row>
    <row r="1364" spans="1:17" hidden="1" x14ac:dyDescent="0.25">
      <c r="A1364" s="16" t="s">
        <v>200</v>
      </c>
      <c r="B1364" s="17"/>
      <c r="C1364" s="16" t="s">
        <v>8861</v>
      </c>
      <c r="D1364" s="17"/>
      <c r="E1364" s="17" t="s">
        <v>618</v>
      </c>
      <c r="F1364" s="8" t="s">
        <v>8867</v>
      </c>
      <c r="G1364" s="18" t="s">
        <v>784</v>
      </c>
      <c r="H1364" s="17">
        <f t="shared" si="4"/>
        <v>51</v>
      </c>
      <c r="J1364" s="62" t="s">
        <v>473</v>
      </c>
      <c r="K1364" s="62" t="s">
        <v>2901</v>
      </c>
      <c r="M1364" s="62"/>
      <c r="N1364" s="62"/>
      <c r="O1364" s="62" t="b">
        <f>IF(E1364="PA",IF(K1364&lt;&gt;"",ISERROR(VLOOKUP(K1364,ABBR!A:D,1,FALSE)),ISERROR(VLOOKUP(C1364,ABBR!A:D,1,FALSE))),"")</f>
        <v>0</v>
      </c>
      <c r="P1364" t="str">
        <f>VLOOKUP(A1364,Groups!A:L,5,FALSE)</f>
        <v>LOCA</v>
      </c>
      <c r="Q1364" s="62"/>
    </row>
    <row r="1365" spans="1:17" ht="25" hidden="1" x14ac:dyDescent="0.25">
      <c r="A1365" s="16" t="s">
        <v>200</v>
      </c>
      <c r="B1365" s="17"/>
      <c r="C1365" s="16" t="s">
        <v>8862</v>
      </c>
      <c r="D1365" s="17"/>
      <c r="E1365" s="17" t="s">
        <v>608</v>
      </c>
      <c r="F1365" s="8" t="s">
        <v>8868</v>
      </c>
      <c r="G1365" s="18" t="s">
        <v>739</v>
      </c>
      <c r="H1365" s="17">
        <f t="shared" si="4"/>
        <v>52</v>
      </c>
      <c r="J1365" s="62" t="s">
        <v>473</v>
      </c>
      <c r="K1365" s="62"/>
      <c r="M1365" s="62"/>
      <c r="N1365" s="62"/>
      <c r="O1365" s="62" t="str">
        <f>IF(E1365="PA",IF(K1365&lt;&gt;"",ISERROR(VLOOKUP(K1365,ABBR!A:D,1,FALSE)),ISERROR(VLOOKUP(C1365,ABBR!A:D,1,FALSE))),"")</f>
        <v/>
      </c>
      <c r="P1365" t="str">
        <f>VLOOKUP(A1365,Groups!A:L,5,FALSE)</f>
        <v>LOCA</v>
      </c>
      <c r="Q1365" s="62"/>
    </row>
    <row r="1366" spans="1:17" hidden="1" x14ac:dyDescent="0.25">
      <c r="A1366" s="16" t="s">
        <v>200</v>
      </c>
      <c r="B1366" s="17"/>
      <c r="C1366" s="16" t="s">
        <v>8863</v>
      </c>
      <c r="D1366" s="17"/>
      <c r="E1366" s="17" t="s">
        <v>618</v>
      </c>
      <c r="F1366" s="8" t="s">
        <v>8869</v>
      </c>
      <c r="G1366" s="18" t="s">
        <v>8856</v>
      </c>
      <c r="H1366" s="17">
        <f t="shared" si="4"/>
        <v>53</v>
      </c>
      <c r="J1366" s="62" t="s">
        <v>473</v>
      </c>
      <c r="K1366" s="62" t="s">
        <v>8859</v>
      </c>
      <c r="M1366" s="62"/>
      <c r="N1366" s="62"/>
      <c r="O1366" s="62" t="b">
        <f>IF(E1366="PA",IF(K1366&lt;&gt;"",ISERROR(VLOOKUP(K1366,ABBR!A:D,1,FALSE)),ISERROR(VLOOKUP(C1366,ABBR!A:D,1,FALSE))),"")</f>
        <v>0</v>
      </c>
      <c r="P1366" t="str">
        <f>VLOOKUP(A1366,Groups!A:L,5,FALSE)</f>
        <v>LOCA</v>
      </c>
      <c r="Q1366" s="62"/>
    </row>
    <row r="1367" spans="1:17" hidden="1" x14ac:dyDescent="0.25">
      <c r="A1367" s="16" t="s">
        <v>200</v>
      </c>
      <c r="B1367" s="17"/>
      <c r="C1367" s="16" t="s">
        <v>8864</v>
      </c>
      <c r="D1367" s="17"/>
      <c r="E1367" s="17" t="s">
        <v>618</v>
      </c>
      <c r="F1367" s="8" t="s">
        <v>8870</v>
      </c>
      <c r="G1367" s="18" t="s">
        <v>784</v>
      </c>
      <c r="H1367" s="17">
        <f t="shared" si="4"/>
        <v>54</v>
      </c>
      <c r="J1367" s="62" t="s">
        <v>473</v>
      </c>
      <c r="K1367" s="62" t="s">
        <v>2901</v>
      </c>
      <c r="M1367" s="62"/>
      <c r="N1367" s="62"/>
      <c r="O1367" s="62" t="b">
        <f>IF(E1367="PA",IF(K1367&lt;&gt;"",ISERROR(VLOOKUP(K1367,ABBR!A:D,1,FALSE)),ISERROR(VLOOKUP(C1367,ABBR!A:D,1,FALSE))),"")</f>
        <v>0</v>
      </c>
      <c r="P1367" t="str">
        <f>VLOOKUP(A1367,Groups!A:L,5,FALSE)</f>
        <v>LOCA</v>
      </c>
      <c r="Q1367" s="62"/>
    </row>
    <row r="1368" spans="1:17" ht="25" hidden="1" x14ac:dyDescent="0.25">
      <c r="A1368" s="16" t="s">
        <v>200</v>
      </c>
      <c r="B1368" s="17"/>
      <c r="C1368" s="16" t="s">
        <v>8865</v>
      </c>
      <c r="D1368" s="17"/>
      <c r="E1368" s="17" t="s">
        <v>608</v>
      </c>
      <c r="F1368" s="8" t="s">
        <v>8871</v>
      </c>
      <c r="G1368" s="18" t="s">
        <v>739</v>
      </c>
      <c r="H1368" s="17">
        <f t="shared" si="4"/>
        <v>55</v>
      </c>
      <c r="J1368" s="62" t="s">
        <v>473</v>
      </c>
      <c r="K1368" s="62"/>
      <c r="M1368" s="62"/>
      <c r="N1368" s="62"/>
      <c r="O1368" s="62" t="str">
        <f>IF(E1368="PA",IF(K1368&lt;&gt;"",ISERROR(VLOOKUP(K1368,ABBR!A:D,1,FALSE)),ISERROR(VLOOKUP(C1368,ABBR!A:D,1,FALSE))),"")</f>
        <v/>
      </c>
      <c r="P1368" t="str">
        <f>VLOOKUP(A1368,Groups!A:L,5,FALSE)</f>
        <v>LOCA</v>
      </c>
      <c r="Q1368" s="62"/>
    </row>
    <row r="1369" spans="1:17" hidden="1" x14ac:dyDescent="0.25">
      <c r="A1369" s="16" t="s">
        <v>200</v>
      </c>
      <c r="B1369" s="17"/>
      <c r="C1369" s="16" t="s">
        <v>754</v>
      </c>
      <c r="D1369" s="17"/>
      <c r="E1369" s="17" t="s">
        <v>608</v>
      </c>
      <c r="F1369" s="18" t="s">
        <v>8872</v>
      </c>
      <c r="G1369" s="49" t="s">
        <v>756</v>
      </c>
      <c r="H1369" s="17">
        <f t="shared" si="4"/>
        <v>56</v>
      </c>
      <c r="J1369" s="62" t="s">
        <v>473</v>
      </c>
      <c r="K1369" s="62"/>
      <c r="M1369" s="62"/>
      <c r="N1369" s="62"/>
      <c r="O1369" s="62" t="str">
        <f>IF(E1369="PA",IF(K1369&lt;&gt;"",ISERROR(VLOOKUP(K1369,ABBR!A:D,1,FALSE)),ISERROR(VLOOKUP(C1369,ABBR!A:D,1,FALSE))),"")</f>
        <v/>
      </c>
      <c r="P1369" t="str">
        <f>VLOOKUP(A1369,Groups!A:L,5,FALSE)</f>
        <v>LOCA</v>
      </c>
      <c r="Q1369" s="62" t="str">
        <f>IF(G1369="PA",IF(M1369&lt;&gt;"",ISERROR(VLOOKUP(M1369,ABBR!C:F,1,FALSE)),ISERROR(VLOOKUP(E1369,ABBR!C:F,1,FALSE))),"")</f>
        <v/>
      </c>
    </row>
    <row r="1370" spans="1:17" hidden="1" x14ac:dyDescent="0.25">
      <c r="A1370" s="16" t="s">
        <v>200</v>
      </c>
      <c r="B1370" s="17"/>
      <c r="C1370" s="16" t="s">
        <v>758</v>
      </c>
      <c r="D1370" s="17"/>
      <c r="E1370" s="17" t="s">
        <v>608</v>
      </c>
      <c r="F1370" s="18" t="s">
        <v>2910</v>
      </c>
      <c r="G1370" s="49" t="s">
        <v>760</v>
      </c>
      <c r="H1370" s="17">
        <f t="shared" si="4"/>
        <v>57</v>
      </c>
      <c r="J1370" s="62" t="s">
        <v>473</v>
      </c>
      <c r="K1370" s="62"/>
      <c r="M1370" s="62"/>
      <c r="N1370" s="62"/>
      <c r="O1370" s="62" t="str">
        <f>IF(E1370="PA",IF(K1370&lt;&gt;"",ISERROR(VLOOKUP(K1370,ABBR!A:D,1,FALSE)),ISERROR(VLOOKUP(C1370,ABBR!A:D,1,FALSE))),"")</f>
        <v/>
      </c>
      <c r="P1370" t="str">
        <f>VLOOKUP(A1370,Groups!A:L,5,FALSE)</f>
        <v>LOCA</v>
      </c>
      <c r="Q1370" s="62" t="str">
        <f>IF(G1370="PA",IF(M1370&lt;&gt;"",ISERROR(VLOOKUP(M1370,ABBR!C:F,1,FALSE)),ISERROR(VLOOKUP(E1370,ABBR!C:F,1,FALSE))),"")</f>
        <v/>
      </c>
    </row>
    <row r="1371" spans="1:17" ht="25" hidden="1" x14ac:dyDescent="0.25">
      <c r="A1371" s="16" t="s">
        <v>200</v>
      </c>
      <c r="B1371" s="17"/>
      <c r="C1371" s="16" t="s">
        <v>762</v>
      </c>
      <c r="D1371" s="17"/>
      <c r="E1371" s="17" t="s">
        <v>608</v>
      </c>
      <c r="F1371" s="18" t="s">
        <v>763</v>
      </c>
      <c r="G1371" s="49" t="s">
        <v>764</v>
      </c>
      <c r="H1371" s="17">
        <f t="shared" si="4"/>
        <v>58</v>
      </c>
      <c r="J1371" s="62" t="s">
        <v>473</v>
      </c>
      <c r="K1371" s="62"/>
      <c r="M1371" s="62"/>
      <c r="N1371" s="62"/>
      <c r="O1371" s="62" t="str">
        <f>IF(E1371="PA",IF(K1371&lt;&gt;"",ISERROR(VLOOKUP(K1371,ABBR!A:D,1,FALSE)),ISERROR(VLOOKUP(C1371,ABBR!A:D,1,FALSE))),"")</f>
        <v/>
      </c>
      <c r="P1371" t="str">
        <f>VLOOKUP(A1371,Groups!A:L,5,FALSE)</f>
        <v>LOCA</v>
      </c>
      <c r="Q1371" s="62" t="str">
        <f>IF(G1371="PA",IF(M1371&lt;&gt;"",ISERROR(VLOOKUP(M1371,ABBR!C:F,1,FALSE)),ISERROR(VLOOKUP(E1371,ABBR!C:F,1,FALSE))),"")</f>
        <v/>
      </c>
    </row>
    <row r="1372" spans="1:17" hidden="1" x14ac:dyDescent="0.25">
      <c r="A1372" s="16" t="s">
        <v>200</v>
      </c>
      <c r="B1372" s="17"/>
      <c r="C1372" s="16" t="s">
        <v>765</v>
      </c>
      <c r="D1372" s="17" t="s">
        <v>766</v>
      </c>
      <c r="E1372" s="17" t="s">
        <v>767</v>
      </c>
      <c r="F1372" s="18" t="s">
        <v>768</v>
      </c>
      <c r="G1372" s="49" t="s">
        <v>769</v>
      </c>
      <c r="H1372" s="17">
        <f t="shared" si="4"/>
        <v>59</v>
      </c>
      <c r="J1372" s="62"/>
      <c r="K1372" s="62"/>
      <c r="M1372" s="62"/>
      <c r="N1372" s="62"/>
      <c r="O1372" s="62" t="str">
        <f>IF(E1372="PA",IF(K1372&lt;&gt;"",ISERROR(VLOOKUP(K1372,ABBR!A:D,1,FALSE)),ISERROR(VLOOKUP(C1372,ABBR!A:D,1,FALSE))),"")</f>
        <v/>
      </c>
      <c r="P1372" t="str">
        <f>VLOOKUP(A1372,Groups!A:L,5,FALSE)</f>
        <v>LOCA</v>
      </c>
      <c r="Q1372" s="62" t="str">
        <f>IF(G1372="PA",IF(M1372&lt;&gt;"",ISERROR(VLOOKUP(M1372,ABBR!C:F,1,FALSE)),ISERROR(VLOOKUP(E1372,ABBR!C:F,1,FALSE))),"")</f>
        <v/>
      </c>
    </row>
    <row r="1373" spans="1:17" hidden="1" x14ac:dyDescent="0.25">
      <c r="A1373" s="16" t="s">
        <v>200</v>
      </c>
      <c r="B1373" s="17"/>
      <c r="C1373" s="16" t="s">
        <v>2911</v>
      </c>
      <c r="D1373" s="17"/>
      <c r="E1373" s="17" t="s">
        <v>618</v>
      </c>
      <c r="F1373" s="18" t="s">
        <v>771</v>
      </c>
      <c r="G1373" s="49" t="s">
        <v>772</v>
      </c>
      <c r="H1373" s="17">
        <f t="shared" si="4"/>
        <v>60</v>
      </c>
      <c r="J1373" s="62" t="s">
        <v>473</v>
      </c>
      <c r="K1373" s="62" t="s">
        <v>2900</v>
      </c>
      <c r="M1373" s="62"/>
      <c r="N1373" s="62"/>
      <c r="O1373" s="62" t="b">
        <f>IF(E1373="PA",IF(K1373&lt;&gt;"",ISERROR(VLOOKUP(K1373,ABBR!A:D,1,FALSE)),ISERROR(VLOOKUP(C1373,ABBR!A:D,1,FALSE))),"")</f>
        <v>0</v>
      </c>
      <c r="P1373" t="str">
        <f>VLOOKUP(A1373,Groups!A:L,5,FALSE)</f>
        <v>LOCA</v>
      </c>
      <c r="Q1373" s="62" t="str">
        <f>IF(G1373="PA",IF(M1373&lt;&gt;"",ISERROR(VLOOKUP(M1373,ABBR!C:F,1,FALSE)),ISERROR(VLOOKUP(E1373,ABBR!C:F,1,FALSE))),"")</f>
        <v/>
      </c>
    </row>
    <row r="1374" spans="1:17" hidden="1" x14ac:dyDescent="0.25">
      <c r="A1374" s="16" t="s">
        <v>200</v>
      </c>
      <c r="B1374" s="17"/>
      <c r="C1374" s="16" t="s">
        <v>2912</v>
      </c>
      <c r="D1374" s="17"/>
      <c r="E1374" s="17" t="s">
        <v>618</v>
      </c>
      <c r="F1374" s="18" t="s">
        <v>776</v>
      </c>
      <c r="G1374" s="49" t="s">
        <v>718</v>
      </c>
      <c r="H1374" s="17">
        <f t="shared" si="4"/>
        <v>61</v>
      </c>
      <c r="J1374" s="62" t="s">
        <v>473</v>
      </c>
      <c r="K1374" s="62" t="s">
        <v>2895</v>
      </c>
      <c r="M1374" s="62"/>
      <c r="N1374" s="62"/>
      <c r="O1374" s="62" t="b">
        <f>IF(E1374="PA",IF(K1374&lt;&gt;"",ISERROR(VLOOKUP(K1374,ABBR!A:D,1,FALSE)),ISERROR(VLOOKUP(C1374,ABBR!A:D,1,FALSE))),"")</f>
        <v>0</v>
      </c>
      <c r="P1374" t="str">
        <f>VLOOKUP(A1374,Groups!A:L,5,FALSE)</f>
        <v>LOCA</v>
      </c>
      <c r="Q1374" s="62" t="str">
        <f>IF(G1374="PA",IF(M1374&lt;&gt;"",ISERROR(VLOOKUP(M1374,ABBR!C:F,1,FALSE)),ISERROR(VLOOKUP(E1374,ABBR!C:F,1,FALSE))),"")</f>
        <v/>
      </c>
    </row>
    <row r="1375" spans="1:17" hidden="1" x14ac:dyDescent="0.25">
      <c r="A1375" s="16" t="s">
        <v>200</v>
      </c>
      <c r="B1375" s="17"/>
      <c r="C1375" s="16" t="s">
        <v>778</v>
      </c>
      <c r="D1375" s="17"/>
      <c r="E1375" s="17" t="s">
        <v>618</v>
      </c>
      <c r="F1375" s="18" t="s">
        <v>679</v>
      </c>
      <c r="G1375" s="49" t="s">
        <v>680</v>
      </c>
      <c r="H1375" s="17">
        <f t="shared" si="4"/>
        <v>62</v>
      </c>
      <c r="J1375" s="62" t="s">
        <v>473</v>
      </c>
      <c r="K1375" s="62" t="s">
        <v>2898</v>
      </c>
      <c r="M1375" s="62"/>
      <c r="N1375" s="62"/>
      <c r="O1375" s="62" t="b">
        <f>IF(E1375="PA",IF(K1375&lt;&gt;"",ISERROR(VLOOKUP(K1375,ABBR!A:D,1,FALSE)),ISERROR(VLOOKUP(C1375,ABBR!A:D,1,FALSE))),"")</f>
        <v>0</v>
      </c>
      <c r="P1375" t="str">
        <f>VLOOKUP(A1375,Groups!A:L,5,FALSE)</f>
        <v>LOCA</v>
      </c>
      <c r="Q1375" s="62" t="str">
        <f>IF(G1375="PA",IF(M1375&lt;&gt;"",ISERROR(VLOOKUP(M1375,ABBR!C:F,1,FALSE)),ISERROR(VLOOKUP(E1375,ABBR!C:F,1,FALSE))),"")</f>
        <v/>
      </c>
    </row>
    <row r="1376" spans="1:17" hidden="1" x14ac:dyDescent="0.25">
      <c r="A1376" s="16" t="s">
        <v>200</v>
      </c>
      <c r="B1376" s="17"/>
      <c r="C1376" s="16" t="s">
        <v>779</v>
      </c>
      <c r="D1376" s="17"/>
      <c r="E1376" s="17" t="s">
        <v>618</v>
      </c>
      <c r="F1376" s="18" t="s">
        <v>684</v>
      </c>
      <c r="G1376" s="49" t="s">
        <v>685</v>
      </c>
      <c r="H1376" s="17">
        <f t="shared" si="4"/>
        <v>63</v>
      </c>
      <c r="J1376" s="62" t="s">
        <v>473</v>
      </c>
      <c r="K1376" s="62" t="s">
        <v>2899</v>
      </c>
      <c r="M1376" s="62"/>
      <c r="N1376" s="62"/>
      <c r="O1376" s="62" t="b">
        <f>IF(E1376="PA",IF(K1376&lt;&gt;"",ISERROR(VLOOKUP(K1376,ABBR!A:D,1,FALSE)),ISERROR(VLOOKUP(C1376,ABBR!A:D,1,FALSE))),"")</f>
        <v>0</v>
      </c>
      <c r="P1376" t="str">
        <f>VLOOKUP(A1376,Groups!A:L,5,FALSE)</f>
        <v>LOCA</v>
      </c>
      <c r="Q1376" s="62" t="str">
        <f>IF(G1376="PA",IF(M1376&lt;&gt;"",ISERROR(VLOOKUP(M1376,ABBR!C:F,1,FALSE)),ISERROR(VLOOKUP(E1376,ABBR!C:F,1,FALSE))),"")</f>
        <v/>
      </c>
    </row>
    <row r="1377" spans="1:17" ht="25" hidden="1" x14ac:dyDescent="0.25">
      <c r="A1377" s="16" t="s">
        <v>200</v>
      </c>
      <c r="B1377" s="17"/>
      <c r="C1377" s="16" t="s">
        <v>780</v>
      </c>
      <c r="D1377" s="17"/>
      <c r="E1377" s="17" t="s">
        <v>618</v>
      </c>
      <c r="F1377" s="18" t="s">
        <v>781</v>
      </c>
      <c r="G1377" s="49" t="s">
        <v>688</v>
      </c>
      <c r="H1377" s="17">
        <f t="shared" si="4"/>
        <v>64</v>
      </c>
      <c r="J1377" s="62" t="s">
        <v>473</v>
      </c>
      <c r="K1377" s="62" t="s">
        <v>2900</v>
      </c>
      <c r="M1377" s="62"/>
      <c r="N1377" s="62"/>
      <c r="O1377" s="62" t="b">
        <f>IF(E1377="PA",IF(K1377&lt;&gt;"",ISERROR(VLOOKUP(K1377,ABBR!A:D,1,FALSE)),ISERROR(VLOOKUP(C1377,ABBR!A:D,1,FALSE))),"")</f>
        <v>0</v>
      </c>
      <c r="P1377" t="str">
        <f>VLOOKUP(A1377,Groups!A:L,5,FALSE)</f>
        <v>LOCA</v>
      </c>
      <c r="Q1377" s="62" t="str">
        <f>IF(G1377="PA",IF(M1377&lt;&gt;"",ISERROR(VLOOKUP(M1377,ABBR!C:F,1,FALSE)),ISERROR(VLOOKUP(E1377,ABBR!C:F,1,FALSE))),"")</f>
        <v/>
      </c>
    </row>
    <row r="1378" spans="1:17" hidden="1" x14ac:dyDescent="0.25">
      <c r="A1378" s="16" t="s">
        <v>200</v>
      </c>
      <c r="B1378" s="17"/>
      <c r="C1378" s="16" t="s">
        <v>782</v>
      </c>
      <c r="D1378" s="17"/>
      <c r="E1378" s="17" t="s">
        <v>618</v>
      </c>
      <c r="F1378" s="18" t="s">
        <v>783</v>
      </c>
      <c r="G1378" s="49" t="s">
        <v>784</v>
      </c>
      <c r="H1378" s="17">
        <f t="shared" si="4"/>
        <v>65</v>
      </c>
      <c r="J1378" s="62" t="s">
        <v>473</v>
      </c>
      <c r="K1378" s="62" t="s">
        <v>2901</v>
      </c>
      <c r="M1378" s="62"/>
      <c r="N1378" s="62"/>
      <c r="O1378" s="62" t="b">
        <f>IF(E1378="PA",IF(K1378&lt;&gt;"",ISERROR(VLOOKUP(K1378,ABBR!A:D,1,FALSE)),ISERROR(VLOOKUP(C1378,ABBR!A:D,1,FALSE))),"")</f>
        <v>0</v>
      </c>
      <c r="P1378" t="str">
        <f>VLOOKUP(A1378,Groups!A:L,5,FALSE)</f>
        <v>LOCA</v>
      </c>
      <c r="Q1378" s="62" t="str">
        <f>IF(G1378="PA",IF(M1378&lt;&gt;"",ISERROR(VLOOKUP(M1378,ABBR!C:F,1,FALSE)),ISERROR(VLOOKUP(E1378,ABBR!C:F,1,FALSE))),"")</f>
        <v/>
      </c>
    </row>
    <row r="1379" spans="1:17" ht="25" hidden="1" x14ac:dyDescent="0.25">
      <c r="A1379" s="16" t="s">
        <v>200</v>
      </c>
      <c r="B1379" s="17"/>
      <c r="C1379" s="16" t="s">
        <v>786</v>
      </c>
      <c r="D1379" s="17"/>
      <c r="E1379" s="17" t="s">
        <v>608</v>
      </c>
      <c r="F1379" s="18" t="s">
        <v>787</v>
      </c>
      <c r="G1379" s="49" t="s">
        <v>2902</v>
      </c>
      <c r="H1379" s="17">
        <f t="shared" si="4"/>
        <v>66</v>
      </c>
      <c r="J1379" s="62" t="s">
        <v>473</v>
      </c>
      <c r="K1379" s="62"/>
      <c r="M1379" s="62"/>
      <c r="N1379" s="62"/>
      <c r="O1379" s="62" t="str">
        <f>IF(E1379="PA",IF(K1379&lt;&gt;"",ISERROR(VLOOKUP(K1379,ABBR!A:D,1,FALSE)),ISERROR(VLOOKUP(C1379,ABBR!A:D,1,FALSE))),"")</f>
        <v/>
      </c>
      <c r="P1379" t="str">
        <f>VLOOKUP(A1379,Groups!A:L,5,FALSE)</f>
        <v>LOCA</v>
      </c>
      <c r="Q1379" s="62" t="str">
        <f>IF(G1379="PA",IF(M1379&lt;&gt;"",ISERROR(VLOOKUP(M1379,ABBR!C:F,1,FALSE)),ISERROR(VLOOKUP(E1379,ABBR!C:F,1,FALSE))),"")</f>
        <v/>
      </c>
    </row>
    <row r="1380" spans="1:17" hidden="1" x14ac:dyDescent="0.25">
      <c r="A1380" s="16" t="s">
        <v>200</v>
      </c>
      <c r="B1380" s="17"/>
      <c r="C1380" s="16" t="s">
        <v>788</v>
      </c>
      <c r="D1380" s="17"/>
      <c r="E1380" s="17" t="s">
        <v>618</v>
      </c>
      <c r="F1380" s="18" t="s">
        <v>789</v>
      </c>
      <c r="G1380" s="49" t="s">
        <v>698</v>
      </c>
      <c r="H1380" s="17">
        <f t="shared" si="4"/>
        <v>67</v>
      </c>
      <c r="J1380" s="62" t="s">
        <v>473</v>
      </c>
      <c r="K1380" s="62" t="s">
        <v>2903</v>
      </c>
      <c r="M1380" s="62"/>
      <c r="N1380" s="62"/>
      <c r="O1380" s="62" t="b">
        <f>IF(E1380="PA",IF(K1380&lt;&gt;"",ISERROR(VLOOKUP(K1380,ABBR!A:D,1,FALSE)),ISERROR(VLOOKUP(C1380,ABBR!A:D,1,FALSE))),"")</f>
        <v>0</v>
      </c>
      <c r="P1380" t="str">
        <f>VLOOKUP(A1380,Groups!A:L,5,FALSE)</f>
        <v>LOCA</v>
      </c>
      <c r="Q1380" s="62" t="str">
        <f>IF(G1380="PA",IF(M1380&lt;&gt;"",ISERROR(VLOOKUP(M1380,ABBR!C:F,1,FALSE)),ISERROR(VLOOKUP(E1380,ABBR!C:F,1,FALSE))),"")</f>
        <v/>
      </c>
    </row>
    <row r="1381" spans="1:17" hidden="1" x14ac:dyDescent="0.25">
      <c r="A1381" s="16" t="s">
        <v>200</v>
      </c>
      <c r="B1381" s="17"/>
      <c r="C1381" s="16" t="s">
        <v>790</v>
      </c>
      <c r="D1381" s="17"/>
      <c r="E1381" s="17" t="s">
        <v>618</v>
      </c>
      <c r="F1381" s="18" t="s">
        <v>791</v>
      </c>
      <c r="G1381" s="49" t="s">
        <v>701</v>
      </c>
      <c r="H1381" s="17">
        <f t="shared" si="4"/>
        <v>68</v>
      </c>
      <c r="J1381" s="62" t="s">
        <v>473</v>
      </c>
      <c r="K1381" s="62" t="s">
        <v>2897</v>
      </c>
      <c r="M1381" s="62"/>
      <c r="N1381" s="62"/>
      <c r="O1381" s="62" t="b">
        <f>IF(E1381="PA",IF(K1381&lt;&gt;"",ISERROR(VLOOKUP(K1381,ABBR!A:D,1,FALSE)),ISERROR(VLOOKUP(C1381,ABBR!A:D,1,FALSE))),"")</f>
        <v>0</v>
      </c>
      <c r="P1381" t="str">
        <f>VLOOKUP(A1381,Groups!A:L,5,FALSE)</f>
        <v>LOCA</v>
      </c>
      <c r="Q1381" s="62" t="str">
        <f>IF(G1381="PA",IF(M1381&lt;&gt;"",ISERROR(VLOOKUP(M1381,ABBR!C:F,1,FALSE)),ISERROR(VLOOKUP(E1381,ABBR!C:F,1,FALSE))),"")</f>
        <v/>
      </c>
    </row>
    <row r="1382" spans="1:17" hidden="1" x14ac:dyDescent="0.25">
      <c r="A1382" s="16" t="s">
        <v>200</v>
      </c>
      <c r="B1382" s="17"/>
      <c r="C1382" s="16" t="s">
        <v>793</v>
      </c>
      <c r="D1382" s="17"/>
      <c r="E1382" s="17" t="s">
        <v>608</v>
      </c>
      <c r="F1382" s="18" t="s">
        <v>794</v>
      </c>
      <c r="G1382" s="49"/>
      <c r="H1382" s="17">
        <f t="shared" si="4"/>
        <v>69</v>
      </c>
      <c r="J1382" s="62" t="s">
        <v>473</v>
      </c>
      <c r="K1382" s="62"/>
      <c r="M1382" s="101" t="s">
        <v>1044</v>
      </c>
      <c r="N1382" s="62"/>
      <c r="O1382" s="62" t="str">
        <f>IF(E1382="PA",IF(K1382&lt;&gt;"",ISERROR(VLOOKUP(K1382,ABBR!A:D,1,FALSE)),ISERROR(VLOOKUP(C1382,ABBR!A:D,1,FALSE))),"")</f>
        <v/>
      </c>
      <c r="P1382" t="str">
        <f>VLOOKUP(A1382,Groups!A:L,5,FALSE)</f>
        <v>LOCA</v>
      </c>
      <c r="Q1382" s="62" t="str">
        <f>IF(G1382="PA",IF(M1382&lt;&gt;"",ISERROR(VLOOKUP(M1382,ABBR!C:F,1,FALSE)),ISERROR(VLOOKUP(E1382,ABBR!C:F,1,FALSE))),"")</f>
        <v/>
      </c>
    </row>
    <row r="1383" spans="1:17" hidden="1" x14ac:dyDescent="0.25">
      <c r="A1383" s="16" t="s">
        <v>200</v>
      </c>
      <c r="B1383" s="17"/>
      <c r="C1383" s="16" t="s">
        <v>795</v>
      </c>
      <c r="D1383" s="17"/>
      <c r="E1383" s="17" t="s">
        <v>608</v>
      </c>
      <c r="F1383" s="18" t="s">
        <v>796</v>
      </c>
      <c r="G1383" s="49" t="s">
        <v>707</v>
      </c>
      <c r="H1383" s="17">
        <f t="shared" si="4"/>
        <v>70</v>
      </c>
      <c r="J1383" s="62" t="s">
        <v>473</v>
      </c>
      <c r="K1383" s="62" t="s">
        <v>2904</v>
      </c>
      <c r="M1383" s="62"/>
      <c r="N1383" s="62"/>
      <c r="O1383" s="62" t="str">
        <f>IF(E1383="PA",IF(K1383&lt;&gt;"",ISERROR(VLOOKUP(K1383,ABBR!A:D,1,FALSE)),ISERROR(VLOOKUP(C1383,ABBR!A:D,1,FALSE))),"")</f>
        <v/>
      </c>
      <c r="P1383" t="str">
        <f>VLOOKUP(A1383,Groups!A:L,5,FALSE)</f>
        <v>LOCA</v>
      </c>
      <c r="Q1383" s="62" t="str">
        <f>IF(G1383="PA",IF(M1383&lt;&gt;"",ISERROR(VLOOKUP(M1383,ABBR!C:F,1,FALSE)),ISERROR(VLOOKUP(E1383,ABBR!C:F,1,FALSE))),"")</f>
        <v/>
      </c>
    </row>
    <row r="1384" spans="1:17" hidden="1" x14ac:dyDescent="0.25">
      <c r="A1384" s="16" t="s">
        <v>200</v>
      </c>
      <c r="B1384" s="17"/>
      <c r="C1384" s="16" t="s">
        <v>798</v>
      </c>
      <c r="D1384" s="17"/>
      <c r="E1384" s="17" t="s">
        <v>618</v>
      </c>
      <c r="F1384" s="18" t="s">
        <v>799</v>
      </c>
      <c r="G1384" s="49" t="s">
        <v>714</v>
      </c>
      <c r="H1384" s="17">
        <f t="shared" si="4"/>
        <v>71</v>
      </c>
      <c r="J1384" s="62" t="s">
        <v>473</v>
      </c>
      <c r="K1384" s="62" t="s">
        <v>2905</v>
      </c>
      <c r="M1384" s="62"/>
      <c r="N1384" s="62"/>
      <c r="O1384" s="62" t="b">
        <f>IF(E1384="PA",IF(K1384&lt;&gt;"",ISERROR(VLOOKUP(K1384,ABBR!A:D,1,FALSE)),ISERROR(VLOOKUP(C1384,ABBR!A:D,1,FALSE))),"")</f>
        <v>0</v>
      </c>
      <c r="P1384" t="str">
        <f>VLOOKUP(A1384,Groups!A:L,5,FALSE)</f>
        <v>LOCA</v>
      </c>
      <c r="Q1384" s="62" t="str">
        <f>IF(G1384="PA",IF(M1384&lt;&gt;"",ISERROR(VLOOKUP(M1384,ABBR!C:F,1,FALSE)),ISERROR(VLOOKUP(E1384,ABBR!C:F,1,FALSE))),"")</f>
        <v/>
      </c>
    </row>
    <row r="1385" spans="1:17" hidden="1" x14ac:dyDescent="0.25">
      <c r="A1385" s="16" t="s">
        <v>200</v>
      </c>
      <c r="B1385" s="17"/>
      <c r="C1385" s="16" t="s">
        <v>800</v>
      </c>
      <c r="D1385" s="17"/>
      <c r="E1385" s="17" t="s">
        <v>618</v>
      </c>
      <c r="F1385" s="18" t="s">
        <v>717</v>
      </c>
      <c r="G1385" s="49" t="s">
        <v>718</v>
      </c>
      <c r="H1385" s="17">
        <f t="shared" si="4"/>
        <v>72</v>
      </c>
      <c r="J1385" s="62" t="s">
        <v>473</v>
      </c>
      <c r="K1385" s="62" t="s">
        <v>2895</v>
      </c>
      <c r="M1385" s="62"/>
      <c r="N1385" s="62"/>
      <c r="O1385" s="62" t="b">
        <f>IF(E1385="PA",IF(K1385&lt;&gt;"",ISERROR(VLOOKUP(K1385,ABBR!A:D,1,FALSE)),ISERROR(VLOOKUP(C1385,ABBR!A:D,1,FALSE))),"")</f>
        <v>0</v>
      </c>
      <c r="P1385" t="str">
        <f>VLOOKUP(A1385,Groups!A:L,5,FALSE)</f>
        <v>LOCA</v>
      </c>
      <c r="Q1385" s="62" t="str">
        <f>IF(G1385="PA",IF(M1385&lt;&gt;"",ISERROR(VLOOKUP(M1385,ABBR!C:F,1,FALSE)),ISERROR(VLOOKUP(E1385,ABBR!C:F,1,FALSE))),"")</f>
        <v/>
      </c>
    </row>
    <row r="1386" spans="1:17" hidden="1" x14ac:dyDescent="0.25">
      <c r="A1386" s="16" t="s">
        <v>200</v>
      </c>
      <c r="B1386" s="17"/>
      <c r="C1386" s="16" t="s">
        <v>801</v>
      </c>
      <c r="D1386" s="17"/>
      <c r="E1386" s="17" t="s">
        <v>618</v>
      </c>
      <c r="F1386" s="18" t="s">
        <v>802</v>
      </c>
      <c r="G1386" s="49" t="s">
        <v>715</v>
      </c>
      <c r="H1386" s="17">
        <f t="shared" si="4"/>
        <v>73</v>
      </c>
      <c r="J1386" s="62" t="s">
        <v>473</v>
      </c>
      <c r="K1386" s="62" t="s">
        <v>2905</v>
      </c>
      <c r="M1386" s="62"/>
      <c r="N1386" s="62"/>
      <c r="O1386" s="62" t="b">
        <f>IF(E1386="PA",IF(K1386&lt;&gt;"",ISERROR(VLOOKUP(K1386,ABBR!A:D,1,FALSE)),ISERROR(VLOOKUP(C1386,ABBR!A:D,1,FALSE))),"")</f>
        <v>0</v>
      </c>
      <c r="P1386" t="str">
        <f>VLOOKUP(A1386,Groups!A:L,5,FALSE)</f>
        <v>LOCA</v>
      </c>
      <c r="Q1386" s="62" t="str">
        <f>IF(G1386="PA",IF(M1386&lt;&gt;"",ISERROR(VLOOKUP(M1386,ABBR!C:F,1,FALSE)),ISERROR(VLOOKUP(E1386,ABBR!C:F,1,FALSE))),"")</f>
        <v/>
      </c>
    </row>
    <row r="1387" spans="1:17" ht="25" hidden="1" x14ac:dyDescent="0.25">
      <c r="A1387" s="16" t="s">
        <v>200</v>
      </c>
      <c r="B1387" s="17"/>
      <c r="C1387" s="16" t="s">
        <v>803</v>
      </c>
      <c r="D1387" s="17" t="s">
        <v>722</v>
      </c>
      <c r="E1387" s="17" t="s">
        <v>723</v>
      </c>
      <c r="F1387" s="18" t="s">
        <v>804</v>
      </c>
      <c r="G1387" s="49" t="s">
        <v>725</v>
      </c>
      <c r="H1387" s="17">
        <f t="shared" si="4"/>
        <v>74</v>
      </c>
      <c r="J1387" s="62" t="s">
        <v>473</v>
      </c>
      <c r="K1387" s="62"/>
      <c r="M1387" s="62"/>
      <c r="N1387" s="62"/>
      <c r="O1387" s="62" t="str">
        <f>IF(E1387="PA",IF(K1387&lt;&gt;"",ISERROR(VLOOKUP(K1387,ABBR!A:D,1,FALSE)),ISERROR(VLOOKUP(C1387,ABBR!A:D,1,FALSE))),"")</f>
        <v/>
      </c>
      <c r="P1387" t="str">
        <f>VLOOKUP(A1387,Groups!A:L,5,FALSE)</f>
        <v>LOCA</v>
      </c>
      <c r="Q1387" s="62" t="str">
        <f>IF(G1387="PA",IF(M1387&lt;&gt;"",ISERROR(VLOOKUP(M1387,ABBR!C:F,1,FALSE)),ISERROR(VLOOKUP(E1387,ABBR!C:F,1,FALSE))),"")</f>
        <v/>
      </c>
    </row>
    <row r="1388" spans="1:17" hidden="1" x14ac:dyDescent="0.25">
      <c r="A1388" s="16" t="s">
        <v>200</v>
      </c>
      <c r="B1388" s="17"/>
      <c r="C1388" s="16" t="s">
        <v>805</v>
      </c>
      <c r="D1388" s="17"/>
      <c r="E1388" s="17" t="s">
        <v>618</v>
      </c>
      <c r="F1388" s="18" t="s">
        <v>806</v>
      </c>
      <c r="G1388" s="49" t="s">
        <v>728</v>
      </c>
      <c r="H1388" s="17">
        <f t="shared" ref="H1388:H1412" si="5">H1387+1</f>
        <v>75</v>
      </c>
      <c r="J1388" s="62" t="s">
        <v>473</v>
      </c>
      <c r="K1388" s="62" t="s">
        <v>2906</v>
      </c>
      <c r="M1388" s="62"/>
      <c r="N1388" s="62"/>
      <c r="O1388" s="62" t="b">
        <f>IF(E1388="PA",IF(K1388&lt;&gt;"",ISERROR(VLOOKUP(K1388,ABBR!A:D,1,FALSE)),ISERROR(VLOOKUP(C1388,ABBR!A:D,1,FALSE))),"")</f>
        <v>0</v>
      </c>
      <c r="P1388" t="str">
        <f>VLOOKUP(A1388,Groups!A:L,5,FALSE)</f>
        <v>LOCA</v>
      </c>
      <c r="Q1388" s="62" t="str">
        <f>IF(G1388="PA",IF(M1388&lt;&gt;"",ISERROR(VLOOKUP(M1388,ABBR!C:F,1,FALSE)),ISERROR(VLOOKUP(E1388,ABBR!C:F,1,FALSE))),"")</f>
        <v/>
      </c>
    </row>
    <row r="1389" spans="1:17" hidden="1" x14ac:dyDescent="0.25">
      <c r="A1389" s="16" t="s">
        <v>200</v>
      </c>
      <c r="B1389" s="17"/>
      <c r="C1389" s="16" t="s">
        <v>8851</v>
      </c>
      <c r="D1389" s="17"/>
      <c r="E1389" s="17" t="s">
        <v>618</v>
      </c>
      <c r="F1389" s="18" t="s">
        <v>8849</v>
      </c>
      <c r="G1389" s="49" t="s">
        <v>731</v>
      </c>
      <c r="H1389" s="17">
        <f t="shared" si="5"/>
        <v>76</v>
      </c>
      <c r="J1389" s="62" t="s">
        <v>473</v>
      </c>
      <c r="K1389" s="62" t="s">
        <v>2907</v>
      </c>
      <c r="M1389" s="62"/>
      <c r="N1389" s="62"/>
      <c r="O1389" s="62" t="b">
        <f>IF(E1389="PA",IF(K1389&lt;&gt;"",ISERROR(VLOOKUP(K1389,ABBR!A:D,1,FALSE)),ISERROR(VLOOKUP(C1389,ABBR!A:D,1,FALSE))),"")</f>
        <v>0</v>
      </c>
      <c r="P1389" t="str">
        <f>VLOOKUP(A1389,Groups!A:L,5,FALSE)</f>
        <v>LOCA</v>
      </c>
      <c r="Q1389" s="62" t="str">
        <f>IF(G1389="PA",IF(M1389&lt;&gt;"",ISERROR(VLOOKUP(M1389,ABBR!C:F,1,FALSE)),ISERROR(VLOOKUP(E1389,ABBR!C:F,1,FALSE))),"")</f>
        <v/>
      </c>
    </row>
    <row r="1390" spans="1:17" hidden="1" x14ac:dyDescent="0.25">
      <c r="A1390" s="16" t="s">
        <v>200</v>
      </c>
      <c r="B1390" s="17"/>
      <c r="C1390" s="16" t="s">
        <v>8852</v>
      </c>
      <c r="D1390" s="17"/>
      <c r="E1390" s="17" t="s">
        <v>618</v>
      </c>
      <c r="F1390" s="18" t="s">
        <v>8854</v>
      </c>
      <c r="G1390" s="49" t="s">
        <v>718</v>
      </c>
      <c r="H1390" s="17">
        <f t="shared" si="5"/>
        <v>77</v>
      </c>
      <c r="J1390" s="62" t="s">
        <v>473</v>
      </c>
      <c r="K1390" s="62" t="s">
        <v>2904</v>
      </c>
      <c r="M1390" s="62"/>
      <c r="N1390" s="62"/>
      <c r="O1390" s="62" t="b">
        <f>IF(E1390="PA",IF(K1390&lt;&gt;"",ISERROR(VLOOKUP(K1390,ABBR!A:D,1,FALSE)),ISERROR(VLOOKUP(C1390,ABBR!A:D,1,FALSE))),"")</f>
        <v>0</v>
      </c>
      <c r="P1390" t="str">
        <f>VLOOKUP(A1390,Groups!A:L,5,FALSE)</f>
        <v>LOCA</v>
      </c>
      <c r="Q1390" s="62" t="str">
        <f>IF(G1390="PA",IF(M1390&lt;&gt;"",ISERROR(VLOOKUP(M1390,ABBR!C:F,1,FALSE)),ISERROR(VLOOKUP(E1390,ABBR!C:F,1,FALSE))),"")</f>
        <v/>
      </c>
    </row>
    <row r="1391" spans="1:17" hidden="1" x14ac:dyDescent="0.25">
      <c r="A1391" s="16" t="s">
        <v>200</v>
      </c>
      <c r="B1391" s="17"/>
      <c r="C1391" s="16" t="s">
        <v>8853</v>
      </c>
      <c r="D1391" s="17"/>
      <c r="E1391" s="17" t="s">
        <v>618</v>
      </c>
      <c r="F1391" s="18" t="s">
        <v>8850</v>
      </c>
      <c r="G1391" s="49" t="s">
        <v>7253</v>
      </c>
      <c r="H1391" s="17">
        <f t="shared" si="5"/>
        <v>78</v>
      </c>
      <c r="J1391" s="62" t="s">
        <v>473</v>
      </c>
      <c r="K1391" s="62" t="s">
        <v>2907</v>
      </c>
      <c r="M1391" s="62"/>
      <c r="N1391" s="62"/>
      <c r="O1391" s="62" t="b">
        <f>IF(E1391="PA",IF(K1391&lt;&gt;"",ISERROR(VLOOKUP(K1391,ABBR!A:D,1,FALSE)),ISERROR(VLOOKUP(C1391,ABBR!A:D,1,FALSE))),"")</f>
        <v>0</v>
      </c>
      <c r="P1391" t="str">
        <f>VLOOKUP(A1391,Groups!A:L,5,FALSE)</f>
        <v>LOCA</v>
      </c>
      <c r="Q1391" s="62" t="str">
        <f>IF(G1391="PA",IF(M1391&lt;&gt;"",ISERROR(VLOOKUP(M1391,ABBR!C:F,1,FALSE)),ISERROR(VLOOKUP(E1391,ABBR!C:F,1,FALSE))),"")</f>
        <v/>
      </c>
    </row>
    <row r="1392" spans="1:17" hidden="1" x14ac:dyDescent="0.25">
      <c r="A1392" s="16" t="s">
        <v>200</v>
      </c>
      <c r="B1392" s="17"/>
      <c r="C1392" s="16" t="s">
        <v>809</v>
      </c>
      <c r="D1392" s="17"/>
      <c r="E1392" s="17" t="s">
        <v>618</v>
      </c>
      <c r="F1392" s="18" t="s">
        <v>810</v>
      </c>
      <c r="G1392" s="49" t="s">
        <v>734</v>
      </c>
      <c r="H1392" s="17">
        <f t="shared" si="5"/>
        <v>79</v>
      </c>
      <c r="J1392" s="62" t="s">
        <v>473</v>
      </c>
      <c r="K1392" s="62" t="s">
        <v>2908</v>
      </c>
      <c r="L1392" t="s">
        <v>8815</v>
      </c>
      <c r="M1392" s="62"/>
      <c r="N1392" s="62"/>
      <c r="O1392" s="62" t="b">
        <f>IF(E1392="PA",IF(K1392&lt;&gt;"",ISERROR(VLOOKUP(K1392,ABBR!A:D,1,FALSE)),ISERROR(VLOOKUP(C1392,ABBR!A:D,1,FALSE))),"")</f>
        <v>0</v>
      </c>
      <c r="P1392" t="str">
        <f>VLOOKUP(A1392,Groups!A:L,5,FALSE)</f>
        <v>LOCA</v>
      </c>
      <c r="Q1392" s="62" t="str">
        <f>IF(G1392="PA",IF(M1392&lt;&gt;"",ISERROR(VLOOKUP(M1392,ABBR!C:F,1,FALSE)),ISERROR(VLOOKUP(E1392,ABBR!C:F,1,FALSE))),"")</f>
        <v/>
      </c>
    </row>
    <row r="1393" spans="1:17" ht="25" hidden="1" x14ac:dyDescent="0.25">
      <c r="A1393" s="16" t="s">
        <v>200</v>
      </c>
      <c r="B1393" s="17"/>
      <c r="C1393" s="16" t="s">
        <v>811</v>
      </c>
      <c r="D1393" s="17"/>
      <c r="E1393" s="17" t="s">
        <v>618</v>
      </c>
      <c r="F1393" s="18" t="s">
        <v>812</v>
      </c>
      <c r="G1393" s="49" t="s">
        <v>693</v>
      </c>
      <c r="H1393" s="17">
        <f t="shared" si="5"/>
        <v>80</v>
      </c>
      <c r="J1393" s="62" t="s">
        <v>473</v>
      </c>
      <c r="K1393" s="62" t="s">
        <v>2901</v>
      </c>
      <c r="M1393" s="62"/>
      <c r="N1393" s="62"/>
      <c r="O1393" s="62" t="b">
        <f>IF(E1393="PA",IF(K1393&lt;&gt;"",ISERROR(VLOOKUP(K1393,ABBR!A:D,1,FALSE)),ISERROR(VLOOKUP(C1393,ABBR!A:D,1,FALSE))),"")</f>
        <v>0</v>
      </c>
      <c r="P1393" t="str">
        <f>VLOOKUP(A1393,Groups!A:L,5,FALSE)</f>
        <v>LOCA</v>
      </c>
      <c r="Q1393" s="62" t="str">
        <f>IF(G1393="PA",IF(M1393&lt;&gt;"",ISERROR(VLOOKUP(M1393,ABBR!C:F,1,FALSE)),ISERROR(VLOOKUP(E1393,ABBR!C:F,1,FALSE))),"")</f>
        <v/>
      </c>
    </row>
    <row r="1394" spans="1:17" ht="25" hidden="1" x14ac:dyDescent="0.25">
      <c r="A1394" s="16" t="s">
        <v>200</v>
      </c>
      <c r="B1394" s="17"/>
      <c r="C1394" s="16" t="s">
        <v>813</v>
      </c>
      <c r="D1394" s="17"/>
      <c r="E1394" s="17" t="s">
        <v>608</v>
      </c>
      <c r="F1394" s="18" t="s">
        <v>814</v>
      </c>
      <c r="G1394" s="49" t="s">
        <v>739</v>
      </c>
      <c r="H1394" s="17">
        <f t="shared" si="5"/>
        <v>81</v>
      </c>
      <c r="J1394" s="62" t="s">
        <v>473</v>
      </c>
      <c r="K1394" s="62"/>
      <c r="M1394" s="62"/>
      <c r="N1394" s="62"/>
      <c r="O1394" s="62" t="str">
        <f>IF(E1394="PA",IF(K1394&lt;&gt;"",ISERROR(VLOOKUP(K1394,ABBR!A:D,1,FALSE)),ISERROR(VLOOKUP(C1394,ABBR!A:D,1,FALSE))),"")</f>
        <v/>
      </c>
      <c r="P1394" t="str">
        <f>VLOOKUP(A1394,Groups!A:L,5,FALSE)</f>
        <v>LOCA</v>
      </c>
      <c r="Q1394" s="62" t="str">
        <f>IF(G1394="PA",IF(M1394&lt;&gt;"",ISERROR(VLOOKUP(M1394,ABBR!C:F,1,FALSE)),ISERROR(VLOOKUP(E1394,ABBR!C:F,1,FALSE))),"")</f>
        <v/>
      </c>
    </row>
    <row r="1395" spans="1:17" ht="25" hidden="1" x14ac:dyDescent="0.25">
      <c r="A1395" s="16" t="s">
        <v>200</v>
      </c>
      <c r="B1395" s="17"/>
      <c r="C1395" s="16" t="s">
        <v>815</v>
      </c>
      <c r="D1395" s="17"/>
      <c r="E1395" s="17" t="s">
        <v>618</v>
      </c>
      <c r="F1395" s="18" t="s">
        <v>816</v>
      </c>
      <c r="G1395" s="49" t="s">
        <v>692</v>
      </c>
      <c r="H1395" s="17">
        <f t="shared" si="5"/>
        <v>82</v>
      </c>
      <c r="J1395" s="62" t="s">
        <v>473</v>
      </c>
      <c r="K1395" s="62" t="s">
        <v>2901</v>
      </c>
      <c r="M1395" s="62"/>
      <c r="N1395" s="62"/>
      <c r="O1395" s="62" t="b">
        <f>IF(E1395="PA",IF(K1395&lt;&gt;"",ISERROR(VLOOKUP(K1395,ABBR!A:D,1,FALSE)),ISERROR(VLOOKUP(C1395,ABBR!A:D,1,FALSE))),"")</f>
        <v>0</v>
      </c>
      <c r="P1395" t="str">
        <f>VLOOKUP(A1395,Groups!A:L,5,FALSE)</f>
        <v>LOCA</v>
      </c>
      <c r="Q1395" s="62" t="str">
        <f>IF(G1395="PA",IF(M1395&lt;&gt;"",ISERROR(VLOOKUP(M1395,ABBR!C:F,1,FALSE)),ISERROR(VLOOKUP(E1395,ABBR!C:F,1,FALSE))),"")</f>
        <v/>
      </c>
    </row>
    <row r="1396" spans="1:17" ht="25" hidden="1" x14ac:dyDescent="0.25">
      <c r="A1396" s="16" t="s">
        <v>200</v>
      </c>
      <c r="B1396" s="17"/>
      <c r="C1396" s="16" t="s">
        <v>817</v>
      </c>
      <c r="D1396" s="17"/>
      <c r="E1396" s="17" t="s">
        <v>608</v>
      </c>
      <c r="F1396" s="18" t="s">
        <v>818</v>
      </c>
      <c r="G1396" s="49" t="s">
        <v>739</v>
      </c>
      <c r="H1396" s="17">
        <f t="shared" si="5"/>
        <v>83</v>
      </c>
      <c r="J1396" s="62" t="s">
        <v>473</v>
      </c>
      <c r="K1396" s="62"/>
      <c r="M1396" s="62"/>
      <c r="N1396" s="62"/>
      <c r="O1396" s="62" t="str">
        <f>IF(E1396="PA",IF(K1396&lt;&gt;"",ISERROR(VLOOKUP(K1396,ABBR!A:D,1,FALSE)),ISERROR(VLOOKUP(C1396,ABBR!A:D,1,FALSE))),"")</f>
        <v/>
      </c>
      <c r="P1396" t="str">
        <f>VLOOKUP(A1396,Groups!A:L,5,FALSE)</f>
        <v>LOCA</v>
      </c>
      <c r="Q1396" s="62" t="str">
        <f>IF(G1396="PA",IF(M1396&lt;&gt;"",ISERROR(VLOOKUP(M1396,ABBR!C:F,1,FALSE)),ISERROR(VLOOKUP(E1396,ABBR!C:F,1,FALSE))),"")</f>
        <v/>
      </c>
    </row>
    <row r="1397" spans="1:17" hidden="1" x14ac:dyDescent="0.25">
      <c r="A1397" s="16" t="s">
        <v>200</v>
      </c>
      <c r="B1397" s="17"/>
      <c r="C1397" s="16" t="s">
        <v>819</v>
      </c>
      <c r="D1397" s="17"/>
      <c r="E1397" s="17" t="s">
        <v>608</v>
      </c>
      <c r="F1397" s="18" t="s">
        <v>820</v>
      </c>
      <c r="G1397" s="49" t="s">
        <v>821</v>
      </c>
      <c r="H1397" s="17">
        <f t="shared" si="5"/>
        <v>84</v>
      </c>
      <c r="J1397" s="62" t="s">
        <v>473</v>
      </c>
      <c r="K1397" s="62"/>
      <c r="M1397" s="62"/>
      <c r="N1397" s="62"/>
      <c r="O1397" s="62" t="str">
        <f>IF(E1397="PA",IF(K1397&lt;&gt;"",ISERROR(VLOOKUP(K1397,ABBR!A:D,1,FALSE)),ISERROR(VLOOKUP(C1397,ABBR!A:D,1,FALSE))),"")</f>
        <v/>
      </c>
      <c r="P1397" t="str">
        <f>VLOOKUP(A1397,Groups!A:L,5,FALSE)</f>
        <v>LOCA</v>
      </c>
      <c r="Q1397" s="62" t="str">
        <f>IF(G1397="PA",IF(M1397&lt;&gt;"",ISERROR(VLOOKUP(M1397,ABBR!C:F,1,FALSE)),ISERROR(VLOOKUP(E1397,ABBR!C:F,1,FALSE))),"")</f>
        <v/>
      </c>
    </row>
    <row r="1398" spans="1:17" hidden="1" x14ac:dyDescent="0.25">
      <c r="A1398" s="16" t="s">
        <v>200</v>
      </c>
      <c r="B1398" s="17"/>
      <c r="C1398" s="16" t="s">
        <v>822</v>
      </c>
      <c r="D1398" s="17"/>
      <c r="E1398" s="17" t="s">
        <v>618</v>
      </c>
      <c r="F1398" s="18" t="s">
        <v>823</v>
      </c>
      <c r="G1398" s="49" t="s">
        <v>7118</v>
      </c>
      <c r="H1398" s="17">
        <f t="shared" si="5"/>
        <v>85</v>
      </c>
      <c r="J1398" s="62" t="s">
        <v>473</v>
      </c>
      <c r="K1398" s="62" t="s">
        <v>2909</v>
      </c>
      <c r="M1398" s="62"/>
      <c r="N1398" s="62"/>
      <c r="O1398" s="62" t="b">
        <f>IF(E1398="PA",IF(K1398&lt;&gt;"",ISERROR(VLOOKUP(K1398,ABBR!A:D,1,FALSE)),ISERROR(VLOOKUP(C1398,ABBR!A:D,1,FALSE))),"")</f>
        <v>0</v>
      </c>
      <c r="P1398" t="str">
        <f>VLOOKUP(A1398,Groups!A:L,5,FALSE)</f>
        <v>LOCA</v>
      </c>
      <c r="Q1398" s="62" t="str">
        <f>IF(G1398="PA",IF(M1398&lt;&gt;"",ISERROR(VLOOKUP(M1398,ABBR!C:F,1,FALSE)),ISERROR(VLOOKUP(E1398,ABBR!C:F,1,FALSE))),"")</f>
        <v/>
      </c>
    </row>
    <row r="1399" spans="1:17" hidden="1" x14ac:dyDescent="0.25">
      <c r="A1399" s="16" t="s">
        <v>200</v>
      </c>
      <c r="B1399" s="17"/>
      <c r="C1399" s="16" t="s">
        <v>824</v>
      </c>
      <c r="D1399" s="17"/>
      <c r="E1399" s="17" t="s">
        <v>608</v>
      </c>
      <c r="F1399" s="18" t="s">
        <v>825</v>
      </c>
      <c r="G1399" s="49" t="s">
        <v>753</v>
      </c>
      <c r="H1399" s="17">
        <f t="shared" si="5"/>
        <v>86</v>
      </c>
      <c r="J1399" s="62" t="s">
        <v>473</v>
      </c>
      <c r="K1399" s="62"/>
      <c r="M1399" s="62"/>
      <c r="N1399" s="62"/>
      <c r="O1399" s="62" t="str">
        <f>IF(E1399="PA",IF(K1399&lt;&gt;"",ISERROR(VLOOKUP(K1399,ABBR!A:D,1,FALSE)),ISERROR(VLOOKUP(C1399,ABBR!A:D,1,FALSE))),"")</f>
        <v/>
      </c>
      <c r="P1399" t="str">
        <f>VLOOKUP(A1399,Groups!A:L,5,FALSE)</f>
        <v>LOCA</v>
      </c>
      <c r="Q1399" s="62" t="str">
        <f>IF(G1399="PA",IF(M1399&lt;&gt;"",ISERROR(VLOOKUP(M1399,ABBR!C:F,1,FALSE)),ISERROR(VLOOKUP(E1399,ABBR!C:F,1,FALSE))),"")</f>
        <v/>
      </c>
    </row>
    <row r="1400" spans="1:17" ht="25" hidden="1" x14ac:dyDescent="0.25">
      <c r="A1400" s="16" t="s">
        <v>200</v>
      </c>
      <c r="B1400" s="17"/>
      <c r="C1400" s="16" t="s">
        <v>8873</v>
      </c>
      <c r="D1400" s="17"/>
      <c r="E1400" s="17" t="s">
        <v>618</v>
      </c>
      <c r="F1400" s="8" t="s">
        <v>8879</v>
      </c>
      <c r="G1400" s="18" t="s">
        <v>8856</v>
      </c>
      <c r="H1400" s="17">
        <f t="shared" si="5"/>
        <v>87</v>
      </c>
      <c r="J1400" s="62" t="s">
        <v>473</v>
      </c>
      <c r="K1400" s="62" t="s">
        <v>8859</v>
      </c>
      <c r="M1400" s="62"/>
      <c r="N1400" s="62"/>
      <c r="O1400" s="62" t="b">
        <f>IF(E1400="PA",IF(K1400&lt;&gt;"",ISERROR(VLOOKUP(K1400,ABBR!A:D,1,FALSE)),ISERROR(VLOOKUP(C1400,ABBR!A:D,1,FALSE))),"")</f>
        <v>0</v>
      </c>
      <c r="P1400" t="str">
        <f>VLOOKUP(A1400,Groups!A:L,5,FALSE)</f>
        <v>LOCA</v>
      </c>
      <c r="Q1400" s="62"/>
    </row>
    <row r="1401" spans="1:17" hidden="1" x14ac:dyDescent="0.25">
      <c r="A1401" s="16" t="s">
        <v>200</v>
      </c>
      <c r="B1401" s="17"/>
      <c r="C1401" s="16" t="s">
        <v>8874</v>
      </c>
      <c r="D1401" s="17"/>
      <c r="E1401" s="17" t="s">
        <v>618</v>
      </c>
      <c r="F1401" s="8" t="s">
        <v>8880</v>
      </c>
      <c r="G1401" s="18" t="s">
        <v>784</v>
      </c>
      <c r="H1401" s="17">
        <f t="shared" si="5"/>
        <v>88</v>
      </c>
      <c r="J1401" s="62" t="s">
        <v>473</v>
      </c>
      <c r="K1401" s="62" t="s">
        <v>2901</v>
      </c>
      <c r="M1401" s="62"/>
      <c r="N1401" s="62"/>
      <c r="O1401" s="62" t="b">
        <f>IF(E1401="PA",IF(K1401&lt;&gt;"",ISERROR(VLOOKUP(K1401,ABBR!A:D,1,FALSE)),ISERROR(VLOOKUP(C1401,ABBR!A:D,1,FALSE))),"")</f>
        <v>0</v>
      </c>
      <c r="P1401" t="str">
        <f>VLOOKUP(A1401,Groups!A:L,5,FALSE)</f>
        <v>LOCA</v>
      </c>
      <c r="Q1401" s="62"/>
    </row>
    <row r="1402" spans="1:17" ht="25" hidden="1" x14ac:dyDescent="0.25">
      <c r="A1402" s="16" t="s">
        <v>200</v>
      </c>
      <c r="B1402" s="17"/>
      <c r="C1402" s="16" t="s">
        <v>8875</v>
      </c>
      <c r="D1402" s="17"/>
      <c r="E1402" s="17" t="s">
        <v>608</v>
      </c>
      <c r="F1402" s="8" t="s">
        <v>8881</v>
      </c>
      <c r="G1402" s="18" t="s">
        <v>739</v>
      </c>
      <c r="H1402" s="17">
        <f t="shared" si="5"/>
        <v>89</v>
      </c>
      <c r="J1402" s="62" t="s">
        <v>473</v>
      </c>
      <c r="K1402" s="62"/>
      <c r="M1402" s="62"/>
      <c r="N1402" s="62"/>
      <c r="O1402" s="62" t="str">
        <f>IF(E1402="PA",IF(K1402&lt;&gt;"",ISERROR(VLOOKUP(K1402,ABBR!A:D,1,FALSE)),ISERROR(VLOOKUP(C1402,ABBR!A:D,1,FALSE))),"")</f>
        <v/>
      </c>
      <c r="P1402" t="str">
        <f>VLOOKUP(A1402,Groups!A:L,5,FALSE)</f>
        <v>LOCA</v>
      </c>
      <c r="Q1402" s="62"/>
    </row>
    <row r="1403" spans="1:17" ht="25" hidden="1" x14ac:dyDescent="0.25">
      <c r="A1403" s="16" t="s">
        <v>200</v>
      </c>
      <c r="B1403" s="17"/>
      <c r="C1403" s="16" t="s">
        <v>8876</v>
      </c>
      <c r="D1403" s="17"/>
      <c r="E1403" s="17" t="s">
        <v>618</v>
      </c>
      <c r="F1403" s="8" t="s">
        <v>8882</v>
      </c>
      <c r="G1403" s="18" t="s">
        <v>8856</v>
      </c>
      <c r="H1403" s="17">
        <f t="shared" si="5"/>
        <v>90</v>
      </c>
      <c r="J1403" s="62" t="s">
        <v>473</v>
      </c>
      <c r="K1403" s="62" t="s">
        <v>8859</v>
      </c>
      <c r="M1403" s="62"/>
      <c r="N1403" s="62"/>
      <c r="O1403" s="62" t="b">
        <f>IF(E1403="PA",IF(K1403&lt;&gt;"",ISERROR(VLOOKUP(K1403,ABBR!A:D,1,FALSE)),ISERROR(VLOOKUP(C1403,ABBR!A:D,1,FALSE))),"")</f>
        <v>0</v>
      </c>
      <c r="P1403" t="str">
        <f>VLOOKUP(A1403,Groups!A:L,5,FALSE)</f>
        <v>LOCA</v>
      </c>
      <c r="Q1403" s="62"/>
    </row>
    <row r="1404" spans="1:17" hidden="1" x14ac:dyDescent="0.25">
      <c r="A1404" s="16" t="s">
        <v>200</v>
      </c>
      <c r="B1404" s="17"/>
      <c r="C1404" s="16" t="s">
        <v>8877</v>
      </c>
      <c r="D1404" s="17"/>
      <c r="E1404" s="17" t="s">
        <v>618</v>
      </c>
      <c r="F1404" s="8" t="s">
        <v>8883</v>
      </c>
      <c r="G1404" s="18" t="s">
        <v>784</v>
      </c>
      <c r="H1404" s="17">
        <f t="shared" si="5"/>
        <v>91</v>
      </c>
      <c r="J1404" s="62" t="s">
        <v>473</v>
      </c>
      <c r="K1404" s="62" t="s">
        <v>2901</v>
      </c>
      <c r="M1404" s="62"/>
      <c r="N1404" s="62"/>
      <c r="O1404" s="62" t="b">
        <f>IF(E1404="PA",IF(K1404&lt;&gt;"",ISERROR(VLOOKUP(K1404,ABBR!A:D,1,FALSE)),ISERROR(VLOOKUP(C1404,ABBR!A:D,1,FALSE))),"")</f>
        <v>0</v>
      </c>
      <c r="P1404" t="str">
        <f>VLOOKUP(A1404,Groups!A:L,5,FALSE)</f>
        <v>LOCA</v>
      </c>
      <c r="Q1404" s="62"/>
    </row>
    <row r="1405" spans="1:17" ht="25" hidden="1" x14ac:dyDescent="0.25">
      <c r="A1405" s="16" t="s">
        <v>200</v>
      </c>
      <c r="B1405" s="17"/>
      <c r="C1405" s="16" t="s">
        <v>8878</v>
      </c>
      <c r="D1405" s="17"/>
      <c r="E1405" s="17" t="s">
        <v>608</v>
      </c>
      <c r="F1405" s="8" t="s">
        <v>8884</v>
      </c>
      <c r="G1405" s="18" t="s">
        <v>739</v>
      </c>
      <c r="H1405" s="17">
        <f t="shared" si="5"/>
        <v>92</v>
      </c>
      <c r="J1405" s="62" t="s">
        <v>473</v>
      </c>
      <c r="K1405" s="62"/>
      <c r="M1405" s="62"/>
      <c r="N1405" s="62"/>
      <c r="O1405" s="62" t="str">
        <f>IF(E1405="PA",IF(K1405&lt;&gt;"",ISERROR(VLOOKUP(K1405,ABBR!A:D,1,FALSE)),ISERROR(VLOOKUP(C1405,ABBR!A:D,1,FALSE))),"")</f>
        <v/>
      </c>
      <c r="P1405" t="str">
        <f>VLOOKUP(A1405,Groups!A:L,5,FALSE)</f>
        <v>LOCA</v>
      </c>
      <c r="Q1405" s="62"/>
    </row>
    <row r="1406" spans="1:17" hidden="1" x14ac:dyDescent="0.25">
      <c r="A1406" s="16" t="s">
        <v>200</v>
      </c>
      <c r="B1406" s="17"/>
      <c r="C1406" s="16" t="s">
        <v>826</v>
      </c>
      <c r="D1406" s="17"/>
      <c r="E1406" s="17" t="s">
        <v>608</v>
      </c>
      <c r="F1406" s="18" t="s">
        <v>755</v>
      </c>
      <c r="G1406" s="49" t="s">
        <v>756</v>
      </c>
      <c r="H1406" s="17">
        <f t="shared" si="5"/>
        <v>93</v>
      </c>
      <c r="J1406" s="62" t="s">
        <v>473</v>
      </c>
      <c r="K1406" s="62"/>
      <c r="M1406" s="62"/>
      <c r="N1406" s="62"/>
      <c r="O1406" s="62" t="str">
        <f>IF(E1406="PA",IF(K1406&lt;&gt;"",ISERROR(VLOOKUP(K1406,ABBR!A:D,1,FALSE)),ISERROR(VLOOKUP(C1406,ABBR!A:D,1,FALSE))),"")</f>
        <v/>
      </c>
      <c r="P1406" t="str">
        <f>VLOOKUP(A1406,Groups!A:L,5,FALSE)</f>
        <v>LOCA</v>
      </c>
      <c r="Q1406" s="62" t="str">
        <f>IF(G1406="PA",IF(M1406&lt;&gt;"",ISERROR(VLOOKUP(M1406,ABBR!C:F,1,FALSE)),ISERROR(VLOOKUP(E1406,ABBR!C:F,1,FALSE))),"")</f>
        <v/>
      </c>
    </row>
    <row r="1407" spans="1:17" hidden="1" x14ac:dyDescent="0.25">
      <c r="A1407" s="16" t="s">
        <v>200</v>
      </c>
      <c r="B1407" s="17"/>
      <c r="C1407" s="16" t="s">
        <v>827</v>
      </c>
      <c r="D1407" s="17"/>
      <c r="E1407" s="17" t="s">
        <v>608</v>
      </c>
      <c r="F1407" s="18" t="s">
        <v>828</v>
      </c>
      <c r="G1407" s="49" t="s">
        <v>760</v>
      </c>
      <c r="H1407" s="17">
        <f t="shared" si="5"/>
        <v>94</v>
      </c>
      <c r="J1407" s="62" t="s">
        <v>473</v>
      </c>
      <c r="K1407" s="62"/>
      <c r="M1407" s="62"/>
      <c r="N1407" s="62"/>
      <c r="O1407" s="62" t="str">
        <f>IF(E1407="PA",IF(K1407&lt;&gt;"",ISERROR(VLOOKUP(K1407,ABBR!A:D,1,FALSE)),ISERROR(VLOOKUP(C1407,ABBR!A:D,1,FALSE))),"")</f>
        <v/>
      </c>
      <c r="P1407" t="str">
        <f>VLOOKUP(A1407,Groups!A:L,5,FALSE)</f>
        <v>LOCA</v>
      </c>
      <c r="Q1407" s="62" t="str">
        <f>IF(G1407="PA",IF(M1407&lt;&gt;"",ISERROR(VLOOKUP(M1407,ABBR!C:F,1,FALSE)),ISERROR(VLOOKUP(E1407,ABBR!C:F,1,FALSE))),"")</f>
        <v/>
      </c>
    </row>
    <row r="1408" spans="1:17" ht="25" hidden="1" x14ac:dyDescent="0.25">
      <c r="A1408" s="16" t="s">
        <v>200</v>
      </c>
      <c r="B1408" s="17"/>
      <c r="C1408" s="16" t="s">
        <v>829</v>
      </c>
      <c r="D1408" s="17"/>
      <c r="E1408" s="17" t="s">
        <v>608</v>
      </c>
      <c r="F1408" s="18" t="s">
        <v>830</v>
      </c>
      <c r="G1408" s="49" t="s">
        <v>764</v>
      </c>
      <c r="H1408" s="17">
        <f t="shared" si="5"/>
        <v>95</v>
      </c>
      <c r="J1408" s="62" t="s">
        <v>473</v>
      </c>
      <c r="K1408" s="62"/>
      <c r="M1408" s="62"/>
      <c r="N1408" s="62"/>
      <c r="O1408" s="62" t="str">
        <f>IF(E1408="PA",IF(K1408&lt;&gt;"",ISERROR(VLOOKUP(K1408,ABBR!A:D,1,FALSE)),ISERROR(VLOOKUP(C1408,ABBR!A:D,1,FALSE))),"")</f>
        <v/>
      </c>
      <c r="P1408" t="str">
        <f>VLOOKUP(A1408,Groups!A:L,5,FALSE)</f>
        <v>LOCA</v>
      </c>
      <c r="Q1408" s="62" t="str">
        <f>IF(G1408="PA",IF(M1408&lt;&gt;"",ISERROR(VLOOKUP(M1408,ABBR!C:F,1,FALSE)),ISERROR(VLOOKUP(E1408,ABBR!C:F,1,FALSE))),"")</f>
        <v/>
      </c>
    </row>
    <row r="1409" spans="1:17" hidden="1" x14ac:dyDescent="0.25">
      <c r="A1409" s="16" t="s">
        <v>200</v>
      </c>
      <c r="B1409" s="17"/>
      <c r="C1409" s="16" t="s">
        <v>832</v>
      </c>
      <c r="D1409" s="17"/>
      <c r="E1409" s="17" t="s">
        <v>608</v>
      </c>
      <c r="F1409" s="18" t="s">
        <v>833</v>
      </c>
      <c r="G1409" s="49" t="s">
        <v>834</v>
      </c>
      <c r="H1409" s="17">
        <f t="shared" si="5"/>
        <v>96</v>
      </c>
      <c r="J1409" s="62" t="s">
        <v>473</v>
      </c>
      <c r="K1409" s="62"/>
      <c r="M1409" s="62"/>
      <c r="N1409" s="62"/>
      <c r="O1409" s="62" t="str">
        <f>IF(E1409="PA",IF(K1409&lt;&gt;"",ISERROR(VLOOKUP(K1409,ABBR!A:D,1,FALSE)),ISERROR(VLOOKUP(C1409,ABBR!A:D,1,FALSE))),"")</f>
        <v/>
      </c>
      <c r="P1409" t="str">
        <f>VLOOKUP(A1409,Groups!A:L,5,FALSE)</f>
        <v>LOCA</v>
      </c>
      <c r="Q1409" s="62" t="str">
        <f>IF(G1409="PA",IF(M1409&lt;&gt;"",ISERROR(VLOOKUP(M1409,ABBR!C:F,1,FALSE)),ISERROR(VLOOKUP(E1409,ABBR!C:F,1,FALSE))),"")</f>
        <v/>
      </c>
    </row>
    <row r="1410" spans="1:17" hidden="1" x14ac:dyDescent="0.25">
      <c r="A1410" s="16" t="s">
        <v>200</v>
      </c>
      <c r="B1410" s="17"/>
      <c r="C1410" s="16" t="s">
        <v>835</v>
      </c>
      <c r="D1410" s="17"/>
      <c r="E1410" s="17" t="s">
        <v>608</v>
      </c>
      <c r="F1410" s="18" t="s">
        <v>836</v>
      </c>
      <c r="G1410" s="49" t="s">
        <v>837</v>
      </c>
      <c r="H1410" s="17">
        <f t="shared" si="5"/>
        <v>97</v>
      </c>
      <c r="J1410" s="62" t="s">
        <v>473</v>
      </c>
      <c r="K1410" s="62"/>
      <c r="M1410" s="62"/>
      <c r="N1410" s="62"/>
      <c r="O1410" s="62" t="str">
        <f>IF(E1410="PA",IF(K1410&lt;&gt;"",ISERROR(VLOOKUP(K1410,ABBR!A:D,1,FALSE)),ISERROR(VLOOKUP(C1410,ABBR!A:D,1,FALSE))),"")</f>
        <v/>
      </c>
      <c r="P1410" t="str">
        <f>VLOOKUP(A1410,Groups!A:L,5,FALSE)</f>
        <v>LOCA</v>
      </c>
      <c r="Q1410" s="62" t="str">
        <f>IF(G1410="PA",IF(M1410&lt;&gt;"",ISERROR(VLOOKUP(M1410,ABBR!C:F,1,FALSE)),ISERROR(VLOOKUP(E1410,ABBR!C:F,1,FALSE))),"")</f>
        <v/>
      </c>
    </row>
    <row r="1411" spans="1:17" hidden="1" x14ac:dyDescent="0.25">
      <c r="A1411" s="16" t="s">
        <v>200</v>
      </c>
      <c r="B1411" s="17"/>
      <c r="C1411" s="16" t="s">
        <v>838</v>
      </c>
      <c r="D1411" s="17"/>
      <c r="E1411" s="17" t="s">
        <v>608</v>
      </c>
      <c r="F1411" s="18" t="s">
        <v>839</v>
      </c>
      <c r="G1411" s="49" t="s">
        <v>840</v>
      </c>
      <c r="H1411" s="17">
        <f t="shared" si="5"/>
        <v>98</v>
      </c>
      <c r="J1411" s="62"/>
      <c r="K1411" s="62"/>
      <c r="M1411" s="62"/>
      <c r="N1411" s="62"/>
      <c r="O1411" s="62" t="str">
        <f>IF(E1411="PA",IF(K1411&lt;&gt;"",ISERROR(VLOOKUP(K1411,ABBR!A:D,1,FALSE)),ISERROR(VLOOKUP(C1411,ABBR!A:D,1,FALSE))),"")</f>
        <v/>
      </c>
      <c r="P1411" t="str">
        <f>VLOOKUP(A1411,Groups!A:L,5,FALSE)</f>
        <v>LOCA</v>
      </c>
      <c r="Q1411" s="62" t="str">
        <f>IF(G1411="PA",IF(M1411&lt;&gt;"",ISERROR(VLOOKUP(M1411,ABBR!C:F,1,FALSE)),ISERROR(VLOOKUP(E1411,ABBR!C:F,1,FALSE))),"")</f>
        <v/>
      </c>
    </row>
    <row r="1412" spans="1:17" ht="25" hidden="1" x14ac:dyDescent="0.25">
      <c r="A1412" s="16" t="s">
        <v>200</v>
      </c>
      <c r="B1412" s="17"/>
      <c r="C1412" s="16" t="s">
        <v>843</v>
      </c>
      <c r="D1412" s="17"/>
      <c r="E1412" s="17" t="s">
        <v>608</v>
      </c>
      <c r="F1412" s="18" t="s">
        <v>844</v>
      </c>
      <c r="G1412" s="49" t="s">
        <v>764</v>
      </c>
      <c r="H1412" s="17">
        <f t="shared" si="5"/>
        <v>99</v>
      </c>
      <c r="J1412" s="62" t="s">
        <v>473</v>
      </c>
      <c r="K1412" s="62"/>
      <c r="M1412" s="62"/>
      <c r="N1412" s="62"/>
      <c r="O1412" s="62" t="str">
        <f>IF(E1412="PA",IF(K1412&lt;&gt;"",ISERROR(VLOOKUP(K1412,ABBR!A:D,1,FALSE)),ISERROR(VLOOKUP(C1412,ABBR!A:D,1,FALSE))),"")</f>
        <v/>
      </c>
      <c r="P1412" t="str">
        <f>VLOOKUP(A1412,Groups!A:L,5,FALSE)</f>
        <v>LOCA</v>
      </c>
      <c r="Q1412" s="62" t="str">
        <f>IF(G1412="PA",IF(M1412&lt;&gt;"",ISERROR(VLOOKUP(M1412,ABBR!C:F,1,FALSE)),ISERROR(VLOOKUP(E1412,ABBR!C:F,1,FALSE))),"")</f>
        <v/>
      </c>
    </row>
    <row r="1413" spans="1:17" hidden="1" x14ac:dyDescent="0.25">
      <c r="A1413" s="16" t="s">
        <v>205</v>
      </c>
      <c r="B1413" s="17" t="s">
        <v>594</v>
      </c>
      <c r="C1413" s="16" t="s">
        <v>595</v>
      </c>
      <c r="D1413" s="17"/>
      <c r="E1413" s="17" t="s">
        <v>596</v>
      </c>
      <c r="F1413" s="18" t="s">
        <v>597</v>
      </c>
      <c r="G1413" s="49" t="s">
        <v>598</v>
      </c>
      <c r="H1413" s="17">
        <v>1</v>
      </c>
      <c r="O1413" s="62" t="str">
        <f>IF(E1413="PA",IF(K1413&lt;&gt;"",ISERROR(VLOOKUP(K1413,ABBR!A:D,1,FALSE)),ISERROR(VLOOKUP(C1413,ABBR!A:D,1,FALSE))),"")</f>
        <v/>
      </c>
      <c r="P1413" t="str">
        <f>VLOOKUP(A1413,Groups!A:L,5,FALSE)</f>
        <v>SAMP</v>
      </c>
      <c r="Q1413" s="62" t="str">
        <f>IF(G1413="PA",IF(M1413&lt;&gt;"",ISERROR(VLOOKUP(M1413,ABBR!C:F,1,FALSE)),ISERROR(VLOOKUP(E1413,ABBR!C:F,1,FALSE))),"")</f>
        <v/>
      </c>
    </row>
    <row r="1414" spans="1:17" hidden="1" x14ac:dyDescent="0.25">
      <c r="A1414" s="16" t="s">
        <v>205</v>
      </c>
      <c r="B1414" s="17" t="s">
        <v>594</v>
      </c>
      <c r="C1414" s="16" t="s">
        <v>851</v>
      </c>
      <c r="D1414" s="17" t="s">
        <v>600</v>
      </c>
      <c r="E1414" s="17" t="s">
        <v>601</v>
      </c>
      <c r="F1414" s="18" t="s">
        <v>852</v>
      </c>
      <c r="G1414" s="49" t="s">
        <v>853</v>
      </c>
      <c r="H1414" s="17">
        <v>2</v>
      </c>
      <c r="O1414" s="62" t="str">
        <f>IF(E1414="PA",IF(K1414&lt;&gt;"",ISERROR(VLOOKUP(K1414,ABBR!A:D,1,FALSE)),ISERROR(VLOOKUP(C1414,ABBR!A:D,1,FALSE))),"")</f>
        <v/>
      </c>
      <c r="P1414" t="str">
        <f>VLOOKUP(A1414,Groups!A:L,5,FALSE)</f>
        <v>SAMP</v>
      </c>
      <c r="Q1414" s="62" t="str">
        <f>IF(G1414="PA",IF(M1414&lt;&gt;"",ISERROR(VLOOKUP(M1414,ABBR!C:F,1,FALSE)),ISERROR(VLOOKUP(E1414,ABBR!C:F,1,FALSE))),"")</f>
        <v/>
      </c>
    </row>
    <row r="1415" spans="1:17" hidden="1" x14ac:dyDescent="0.25">
      <c r="A1415" s="16" t="s">
        <v>205</v>
      </c>
      <c r="B1415" s="17" t="s">
        <v>594</v>
      </c>
      <c r="C1415" s="16" t="s">
        <v>854</v>
      </c>
      <c r="D1415" s="17"/>
      <c r="E1415" s="17" t="s">
        <v>608</v>
      </c>
      <c r="F1415" s="18" t="s">
        <v>855</v>
      </c>
      <c r="G1415" s="49" t="s">
        <v>941</v>
      </c>
      <c r="H1415" s="17">
        <v>3</v>
      </c>
      <c r="O1415" s="62" t="str">
        <f>IF(E1415="PA",IF(K1415&lt;&gt;"",ISERROR(VLOOKUP(K1415,ABBR!A:D,1,FALSE)),ISERROR(VLOOKUP(C1415,ABBR!A:D,1,FALSE))),"")</f>
        <v/>
      </c>
      <c r="P1415" t="str">
        <f>VLOOKUP(A1415,Groups!A:L,5,FALSE)</f>
        <v>SAMP</v>
      </c>
      <c r="Q1415" s="62" t="str">
        <f>IF(G1415="PA",IF(M1415&lt;&gt;"",ISERROR(VLOOKUP(M1415,ABBR!C:F,1,FALSE)),ISERROR(VLOOKUP(E1415,ABBR!C:F,1,FALSE))),"")</f>
        <v/>
      </c>
    </row>
    <row r="1416" spans="1:17" hidden="1" x14ac:dyDescent="0.25">
      <c r="A1416" s="16" t="s">
        <v>205</v>
      </c>
      <c r="B1416" s="17" t="s">
        <v>594</v>
      </c>
      <c r="C1416" s="16" t="s">
        <v>857</v>
      </c>
      <c r="D1416" s="17"/>
      <c r="E1416" s="17" t="s">
        <v>618</v>
      </c>
      <c r="F1416" s="18" t="s">
        <v>858</v>
      </c>
      <c r="G1416" s="49" t="s">
        <v>859</v>
      </c>
      <c r="H1416" s="17">
        <v>4</v>
      </c>
      <c r="O1416" s="62" t="b">
        <f>IF(E1416="PA",IF(K1416&lt;&gt;"",ISERROR(VLOOKUP(K1416,ABBR!A:D,1,FALSE)),ISERROR(VLOOKUP(C1416,ABBR!A:D,1,FALSE))),"")</f>
        <v>0</v>
      </c>
      <c r="P1416" t="str">
        <f>VLOOKUP(A1416,Groups!A:L,5,FALSE)</f>
        <v>SAMP</v>
      </c>
      <c r="Q1416" s="62" t="str">
        <f>IF(G1416="PA",IF(M1416&lt;&gt;"",ISERROR(VLOOKUP(M1416,ABBR!C:F,1,FALSE)),ISERROR(VLOOKUP(E1416,ABBR!C:F,1,FALSE))),"")</f>
        <v/>
      </c>
    </row>
    <row r="1417" spans="1:17" hidden="1" x14ac:dyDescent="0.25">
      <c r="A1417" s="16" t="s">
        <v>205</v>
      </c>
      <c r="B1417" s="17" t="s">
        <v>594</v>
      </c>
      <c r="C1417" s="16" t="s">
        <v>860</v>
      </c>
      <c r="D1417" s="17"/>
      <c r="E1417" s="17" t="s">
        <v>596</v>
      </c>
      <c r="F1417" s="18" t="s">
        <v>942</v>
      </c>
      <c r="G1417" s="49" t="s">
        <v>862</v>
      </c>
      <c r="H1417" s="17">
        <v>5</v>
      </c>
      <c r="O1417" s="62" t="str">
        <f>IF(E1417="PA",IF(K1417&lt;&gt;"",ISERROR(VLOOKUP(K1417,ABBR!A:D,1,FALSE)),ISERROR(VLOOKUP(C1417,ABBR!A:D,1,FALSE))),"")</f>
        <v/>
      </c>
      <c r="P1417" t="str">
        <f>VLOOKUP(A1417,Groups!A:L,5,FALSE)</f>
        <v>SAMP</v>
      </c>
      <c r="Q1417" s="62" t="str">
        <f>IF(G1417="PA",IF(M1417&lt;&gt;"",ISERROR(VLOOKUP(M1417,ABBR!C:F,1,FALSE)),ISERROR(VLOOKUP(E1417,ABBR!C:F,1,FALSE))),"")</f>
        <v/>
      </c>
    </row>
    <row r="1418" spans="1:17" hidden="1" x14ac:dyDescent="0.25">
      <c r="A1418" s="16" t="s">
        <v>205</v>
      </c>
      <c r="B1418" s="17" t="s">
        <v>594</v>
      </c>
      <c r="C1418" s="16" t="s">
        <v>863</v>
      </c>
      <c r="D1418" s="17"/>
      <c r="E1418" s="17" t="s">
        <v>608</v>
      </c>
      <c r="F1418" s="18" t="s">
        <v>864</v>
      </c>
      <c r="G1418" s="49" t="s">
        <v>865</v>
      </c>
      <c r="H1418" s="17">
        <v>6</v>
      </c>
      <c r="O1418" s="62" t="str">
        <f>IF(E1418="PA",IF(K1418&lt;&gt;"",ISERROR(VLOOKUP(K1418,ABBR!A:D,1,FALSE)),ISERROR(VLOOKUP(C1418,ABBR!A:D,1,FALSE))),"")</f>
        <v/>
      </c>
      <c r="P1418" t="str">
        <f>VLOOKUP(A1418,Groups!A:L,5,FALSE)</f>
        <v>SAMP</v>
      </c>
      <c r="Q1418" s="62" t="str">
        <f>IF(G1418="PA",IF(M1418&lt;&gt;"",ISERROR(VLOOKUP(M1418,ABBR!C:F,1,FALSE)),ISERROR(VLOOKUP(E1418,ABBR!C:F,1,FALSE))),"")</f>
        <v/>
      </c>
    </row>
    <row r="1419" spans="1:17" hidden="1" x14ac:dyDescent="0.25">
      <c r="A1419" s="16" t="s">
        <v>205</v>
      </c>
      <c r="B1419" s="17" t="s">
        <v>594</v>
      </c>
      <c r="C1419" s="16" t="s">
        <v>866</v>
      </c>
      <c r="D1419" s="17" t="s">
        <v>600</v>
      </c>
      <c r="E1419" s="17" t="s">
        <v>601</v>
      </c>
      <c r="F1419" s="18" t="s">
        <v>867</v>
      </c>
      <c r="G1419" s="49" t="s">
        <v>853</v>
      </c>
      <c r="H1419" s="17">
        <v>7</v>
      </c>
      <c r="O1419" s="62" t="str">
        <f>IF(E1419="PA",IF(K1419&lt;&gt;"",ISERROR(VLOOKUP(K1419,ABBR!A:D,1,FALSE)),ISERROR(VLOOKUP(C1419,ABBR!A:D,1,FALSE))),"")</f>
        <v/>
      </c>
      <c r="P1419" t="str">
        <f>VLOOKUP(A1419,Groups!A:L,5,FALSE)</f>
        <v>SAMP</v>
      </c>
      <c r="Q1419" s="62" t="str">
        <f>IF(G1419="PA",IF(M1419&lt;&gt;"",ISERROR(VLOOKUP(M1419,ABBR!C:F,1,FALSE)),ISERROR(VLOOKUP(E1419,ABBR!C:F,1,FALSE))),"")</f>
        <v/>
      </c>
    </row>
    <row r="1420" spans="1:17" hidden="1" x14ac:dyDescent="0.25">
      <c r="A1420" s="16" t="s">
        <v>205</v>
      </c>
      <c r="B1420" s="17"/>
      <c r="C1420" s="16" t="s">
        <v>868</v>
      </c>
      <c r="D1420" s="17"/>
      <c r="E1420" s="17" t="s">
        <v>608</v>
      </c>
      <c r="F1420" s="18" t="s">
        <v>869</v>
      </c>
      <c r="G1420" s="51" t="s">
        <v>1269</v>
      </c>
      <c r="H1420" s="17">
        <v>8</v>
      </c>
      <c r="O1420" s="62" t="str">
        <f>IF(E1420="PA",IF(K1420&lt;&gt;"",ISERROR(VLOOKUP(K1420,ABBR!A:D,1,FALSE)),ISERROR(VLOOKUP(C1420,ABBR!A:D,1,FALSE))),"")</f>
        <v/>
      </c>
      <c r="P1420" t="str">
        <f>VLOOKUP(A1420,Groups!A:L,5,FALSE)</f>
        <v>SAMP</v>
      </c>
      <c r="Q1420" s="62" t="str">
        <f>IF(G1420="PA",IF(M1420&lt;&gt;"",ISERROR(VLOOKUP(M1420,ABBR!C:F,1,FALSE)),ISERROR(VLOOKUP(E1420,ABBR!C:F,1,FALSE))),"")</f>
        <v/>
      </c>
    </row>
    <row r="1421" spans="1:17" ht="25" hidden="1" x14ac:dyDescent="0.25">
      <c r="A1421" s="16" t="s">
        <v>205</v>
      </c>
      <c r="B1421" s="17"/>
      <c r="C1421" s="16" t="s">
        <v>871</v>
      </c>
      <c r="D1421" s="17"/>
      <c r="E1421" s="17" t="s">
        <v>608</v>
      </c>
      <c r="F1421" s="18" t="s">
        <v>872</v>
      </c>
      <c r="G1421" s="49" t="s">
        <v>873</v>
      </c>
      <c r="H1421" s="17">
        <v>9</v>
      </c>
      <c r="O1421" s="62" t="str">
        <f>IF(E1421="PA",IF(K1421&lt;&gt;"",ISERROR(VLOOKUP(K1421,ABBR!A:D,1,FALSE)),ISERROR(VLOOKUP(C1421,ABBR!A:D,1,FALSE))),"")</f>
        <v/>
      </c>
      <c r="P1421" t="str">
        <f>VLOOKUP(A1421,Groups!A:L,5,FALSE)</f>
        <v>SAMP</v>
      </c>
      <c r="Q1421" s="62" t="str">
        <f>IF(G1421="PA",IF(M1421&lt;&gt;"",ISERROR(VLOOKUP(M1421,ABBR!C:F,1,FALSE)),ISERROR(VLOOKUP(E1421,ABBR!C:F,1,FALSE))),"")</f>
        <v/>
      </c>
    </row>
    <row r="1422" spans="1:17" hidden="1" x14ac:dyDescent="0.25">
      <c r="A1422" s="16" t="s">
        <v>205</v>
      </c>
      <c r="B1422" s="17"/>
      <c r="C1422" s="16" t="s">
        <v>2913</v>
      </c>
      <c r="D1422" s="17"/>
      <c r="E1422" s="17" t="s">
        <v>886</v>
      </c>
      <c r="F1422" s="18" t="s">
        <v>2914</v>
      </c>
      <c r="G1422" s="49" t="s">
        <v>910</v>
      </c>
      <c r="H1422" s="17">
        <v>10</v>
      </c>
      <c r="O1422" s="62" t="str">
        <f>IF(E1422="PA",IF(K1422&lt;&gt;"",ISERROR(VLOOKUP(K1422,ABBR!A:D,1,FALSE)),ISERROR(VLOOKUP(C1422,ABBR!A:D,1,FALSE))),"")</f>
        <v/>
      </c>
      <c r="P1422" t="str">
        <f>VLOOKUP(A1422,Groups!A:L,5,FALSE)</f>
        <v>SAMP</v>
      </c>
      <c r="Q1422" s="62" t="str">
        <f>IF(G1422="PA",IF(M1422&lt;&gt;"",ISERROR(VLOOKUP(M1422,ABBR!C:F,1,FALSE)),ISERROR(VLOOKUP(E1422,ABBR!C:F,1,FALSE))),"")</f>
        <v/>
      </c>
    </row>
    <row r="1423" spans="1:17" ht="25" hidden="1" x14ac:dyDescent="0.25">
      <c r="A1423" s="16" t="s">
        <v>205</v>
      </c>
      <c r="B1423" s="17"/>
      <c r="C1423" s="16" t="s">
        <v>2915</v>
      </c>
      <c r="D1423" s="17" t="s">
        <v>766</v>
      </c>
      <c r="E1423" s="17" t="s">
        <v>723</v>
      </c>
      <c r="F1423" s="18" t="s">
        <v>2916</v>
      </c>
      <c r="G1423" s="49" t="s">
        <v>2917</v>
      </c>
      <c r="H1423" s="17">
        <v>11</v>
      </c>
      <c r="O1423" s="62" t="str">
        <f>IF(E1423="PA",IF(K1423&lt;&gt;"",ISERROR(VLOOKUP(K1423,ABBR!A:D,1,FALSE)),ISERROR(VLOOKUP(C1423,ABBR!A:D,1,FALSE))),"")</f>
        <v/>
      </c>
      <c r="P1423" t="str">
        <f>VLOOKUP(A1423,Groups!A:L,5,FALSE)</f>
        <v>SAMP</v>
      </c>
      <c r="Q1423" s="62" t="str">
        <f>IF(G1423="PA",IF(M1423&lt;&gt;"",ISERROR(VLOOKUP(M1423,ABBR!C:F,1,FALSE)),ISERROR(VLOOKUP(E1423,ABBR!C:F,1,FALSE))),"")</f>
        <v/>
      </c>
    </row>
    <row r="1424" spans="1:17" ht="25" hidden="1" x14ac:dyDescent="0.25">
      <c r="A1424" s="16" t="s">
        <v>205</v>
      </c>
      <c r="B1424" s="17"/>
      <c r="C1424" s="16" t="s">
        <v>2918</v>
      </c>
      <c r="D1424" s="17" t="s">
        <v>766</v>
      </c>
      <c r="E1424" s="17" t="s">
        <v>723</v>
      </c>
      <c r="F1424" s="18" t="s">
        <v>2919</v>
      </c>
      <c r="G1424" s="49" t="s">
        <v>2920</v>
      </c>
      <c r="H1424" s="17">
        <v>12</v>
      </c>
      <c r="O1424" s="62" t="str">
        <f>IF(E1424="PA",IF(K1424&lt;&gt;"",ISERROR(VLOOKUP(K1424,ABBR!A:D,1,FALSE)),ISERROR(VLOOKUP(C1424,ABBR!A:D,1,FALSE))),"")</f>
        <v/>
      </c>
      <c r="P1424" t="str">
        <f>VLOOKUP(A1424,Groups!A:L,5,FALSE)</f>
        <v>SAMP</v>
      </c>
      <c r="Q1424" s="62" t="str">
        <f>IF(G1424="PA",IF(M1424&lt;&gt;"",ISERROR(VLOOKUP(M1424,ABBR!C:F,1,FALSE)),ISERROR(VLOOKUP(E1424,ABBR!C:F,1,FALSE))),"")</f>
        <v/>
      </c>
    </row>
    <row r="1425" spans="1:17" ht="25" hidden="1" x14ac:dyDescent="0.25">
      <c r="A1425" s="16" t="s">
        <v>205</v>
      </c>
      <c r="B1425" s="17"/>
      <c r="C1425" s="16" t="s">
        <v>2921</v>
      </c>
      <c r="D1425" s="17" t="s">
        <v>766</v>
      </c>
      <c r="E1425" s="17" t="s">
        <v>723</v>
      </c>
      <c r="F1425" s="18" t="s">
        <v>2922</v>
      </c>
      <c r="G1425" s="49" t="s">
        <v>2923</v>
      </c>
      <c r="H1425" s="17">
        <v>13</v>
      </c>
      <c r="O1425" s="62" t="str">
        <f>IF(E1425="PA",IF(K1425&lt;&gt;"",ISERROR(VLOOKUP(K1425,ABBR!A:D,1,FALSE)),ISERROR(VLOOKUP(C1425,ABBR!A:D,1,FALSE))),"")</f>
        <v/>
      </c>
      <c r="P1425" t="str">
        <f>VLOOKUP(A1425,Groups!A:L,5,FALSE)</f>
        <v>SAMP</v>
      </c>
      <c r="Q1425" s="62" t="str">
        <f>IF(G1425="PA",IF(M1425&lt;&gt;"",ISERROR(VLOOKUP(M1425,ABBR!C:F,1,FALSE)),ISERROR(VLOOKUP(E1425,ABBR!C:F,1,FALSE))),"")</f>
        <v/>
      </c>
    </row>
    <row r="1426" spans="1:17" ht="25" hidden="1" x14ac:dyDescent="0.25">
      <c r="A1426" s="16" t="s">
        <v>205</v>
      </c>
      <c r="B1426" s="17"/>
      <c r="C1426" s="16" t="s">
        <v>2924</v>
      </c>
      <c r="D1426" s="17" t="s">
        <v>766</v>
      </c>
      <c r="E1426" s="17" t="s">
        <v>723</v>
      </c>
      <c r="F1426" s="18" t="s">
        <v>2925</v>
      </c>
      <c r="G1426" s="49" t="s">
        <v>2926</v>
      </c>
      <c r="H1426" s="17">
        <v>14</v>
      </c>
      <c r="O1426" s="62" t="str">
        <f>IF(E1426="PA",IF(K1426&lt;&gt;"",ISERROR(VLOOKUP(K1426,ABBR!A:D,1,FALSE)),ISERROR(VLOOKUP(C1426,ABBR!A:D,1,FALSE))),"")</f>
        <v/>
      </c>
      <c r="P1426" t="str">
        <f>VLOOKUP(A1426,Groups!A:L,5,FALSE)</f>
        <v>SAMP</v>
      </c>
      <c r="Q1426" s="62" t="str">
        <f>IF(G1426="PA",IF(M1426&lt;&gt;"",ISERROR(VLOOKUP(M1426,ABBR!C:F,1,FALSE)),ISERROR(VLOOKUP(E1426,ABBR!C:F,1,FALSE))),"")</f>
        <v/>
      </c>
    </row>
    <row r="1427" spans="1:17" hidden="1" x14ac:dyDescent="0.25">
      <c r="A1427" s="16" t="s">
        <v>205</v>
      </c>
      <c r="B1427" s="17"/>
      <c r="C1427" s="16" t="s">
        <v>2927</v>
      </c>
      <c r="D1427" s="17" t="s">
        <v>766</v>
      </c>
      <c r="E1427" s="17" t="s">
        <v>723</v>
      </c>
      <c r="F1427" s="18" t="s">
        <v>2928</v>
      </c>
      <c r="G1427" s="49" t="s">
        <v>1073</v>
      </c>
      <c r="H1427" s="17">
        <v>15</v>
      </c>
      <c r="O1427" s="62" t="str">
        <f>IF(E1427="PA",IF(K1427&lt;&gt;"",ISERROR(VLOOKUP(K1427,ABBR!A:D,1,FALSE)),ISERROR(VLOOKUP(C1427,ABBR!A:D,1,FALSE))),"")</f>
        <v/>
      </c>
      <c r="P1427" t="str">
        <f>VLOOKUP(A1427,Groups!A:L,5,FALSE)</f>
        <v>SAMP</v>
      </c>
      <c r="Q1427" s="62" t="str">
        <f>IF(G1427="PA",IF(M1427&lt;&gt;"",ISERROR(VLOOKUP(M1427,ABBR!C:F,1,FALSE)),ISERROR(VLOOKUP(E1427,ABBR!C:F,1,FALSE))),"")</f>
        <v/>
      </c>
    </row>
    <row r="1428" spans="1:17" hidden="1" x14ac:dyDescent="0.25">
      <c r="A1428" s="16" t="s">
        <v>205</v>
      </c>
      <c r="B1428" s="17"/>
      <c r="C1428" s="16" t="s">
        <v>2929</v>
      </c>
      <c r="D1428" s="17" t="s">
        <v>766</v>
      </c>
      <c r="E1428" s="17" t="s">
        <v>723</v>
      </c>
      <c r="F1428" s="18" t="s">
        <v>2930</v>
      </c>
      <c r="G1428" s="49" t="s">
        <v>2931</v>
      </c>
      <c r="H1428" s="17">
        <v>16</v>
      </c>
      <c r="O1428" s="62" t="str">
        <f>IF(E1428="PA",IF(K1428&lt;&gt;"",ISERROR(VLOOKUP(K1428,ABBR!A:D,1,FALSE)),ISERROR(VLOOKUP(C1428,ABBR!A:D,1,FALSE))),"")</f>
        <v/>
      </c>
      <c r="P1428" t="str">
        <f>VLOOKUP(A1428,Groups!A:L,5,FALSE)</f>
        <v>SAMP</v>
      </c>
      <c r="Q1428" s="62" t="str">
        <f>IF(G1428="PA",IF(M1428&lt;&gt;"",ISERROR(VLOOKUP(M1428,ABBR!C:F,1,FALSE)),ISERROR(VLOOKUP(E1428,ABBR!C:F,1,FALSE))),"")</f>
        <v/>
      </c>
    </row>
    <row r="1429" spans="1:17" ht="25" hidden="1" x14ac:dyDescent="0.25">
      <c r="A1429" s="16" t="s">
        <v>205</v>
      </c>
      <c r="B1429" s="17"/>
      <c r="C1429" s="16" t="s">
        <v>2932</v>
      </c>
      <c r="D1429" s="17"/>
      <c r="E1429" s="17" t="s">
        <v>608</v>
      </c>
      <c r="F1429" s="18" t="s">
        <v>1287</v>
      </c>
      <c r="G1429" s="49" t="s">
        <v>16</v>
      </c>
      <c r="H1429" s="17">
        <v>17</v>
      </c>
      <c r="M1429" s="101"/>
      <c r="O1429" s="62" t="str">
        <f>IF(E1429="PA",IF(K1429&lt;&gt;"",ISERROR(VLOOKUP(K1429,ABBR!A:D,1,FALSE)),ISERROR(VLOOKUP(C1429,ABBR!A:D,1,FALSE))),"")</f>
        <v/>
      </c>
      <c r="P1429" t="str">
        <f>VLOOKUP(A1429,Groups!A:L,5,FALSE)</f>
        <v>SAMP</v>
      </c>
      <c r="Q1429" s="62" t="str">
        <f>IF(G1429="PA",IF(M1429&lt;&gt;"",ISERROR(VLOOKUP(M1429,ABBR!C:F,1,FALSE)),ISERROR(VLOOKUP(E1429,ABBR!C:F,1,FALSE))),"")</f>
        <v/>
      </c>
    </row>
    <row r="1430" spans="1:17" hidden="1" x14ac:dyDescent="0.25">
      <c r="A1430" s="16" t="s">
        <v>205</v>
      </c>
      <c r="B1430" s="17"/>
      <c r="C1430" s="16" t="s">
        <v>2933</v>
      </c>
      <c r="D1430" s="17"/>
      <c r="E1430" s="17" t="s">
        <v>608</v>
      </c>
      <c r="F1430" s="18" t="s">
        <v>918</v>
      </c>
      <c r="G1430" s="49" t="s">
        <v>2934</v>
      </c>
      <c r="H1430" s="17">
        <v>18</v>
      </c>
      <c r="O1430" s="62" t="str">
        <f>IF(E1430="PA",IF(K1430&lt;&gt;"",ISERROR(VLOOKUP(K1430,ABBR!A:D,1,FALSE)),ISERROR(VLOOKUP(C1430,ABBR!A:D,1,FALSE))),"")</f>
        <v/>
      </c>
      <c r="P1430" t="str">
        <f>VLOOKUP(A1430,Groups!A:L,5,FALSE)</f>
        <v>SAMP</v>
      </c>
      <c r="Q1430" s="62" t="str">
        <f>IF(G1430="PA",IF(M1430&lt;&gt;"",ISERROR(VLOOKUP(M1430,ABBR!C:F,1,FALSE)),ISERROR(VLOOKUP(E1430,ABBR!C:F,1,FALSE))),"")</f>
        <v/>
      </c>
    </row>
    <row r="1431" spans="1:17" hidden="1" x14ac:dyDescent="0.25">
      <c r="A1431" s="16" t="s">
        <v>205</v>
      </c>
      <c r="B1431" s="17"/>
      <c r="C1431" s="16" t="s">
        <v>2935</v>
      </c>
      <c r="D1431" s="17"/>
      <c r="E1431" s="17" t="s">
        <v>608</v>
      </c>
      <c r="F1431" s="18" t="s">
        <v>950</v>
      </c>
      <c r="G1431" s="27" t="s">
        <v>951</v>
      </c>
      <c r="H1431" s="17">
        <v>19</v>
      </c>
      <c r="O1431" s="62" t="str">
        <f>IF(E1431="PA",IF(K1431&lt;&gt;"",ISERROR(VLOOKUP(K1431,ABBR!A:D,1,FALSE)),ISERROR(VLOOKUP(C1431,ABBR!A:D,1,FALSE))),"")</f>
        <v/>
      </c>
      <c r="P1431" t="str">
        <f>VLOOKUP(A1431,Groups!A:L,5,FALSE)</f>
        <v>SAMP</v>
      </c>
      <c r="Q1431" s="62" t="str">
        <f>IF(G1431="PA",IF(M1431&lt;&gt;"",ISERROR(VLOOKUP(M1431,ABBR!C:F,1,FALSE)),ISERROR(VLOOKUP(E1431,ABBR!C:F,1,FALSE))),"")</f>
        <v/>
      </c>
    </row>
    <row r="1432" spans="1:17" ht="25" hidden="1" x14ac:dyDescent="0.25">
      <c r="A1432" s="16" t="s">
        <v>205</v>
      </c>
      <c r="B1432" s="17"/>
      <c r="C1432" s="16" t="s">
        <v>2936</v>
      </c>
      <c r="D1432" s="17"/>
      <c r="E1432" s="17" t="s">
        <v>608</v>
      </c>
      <c r="F1432" s="18" t="s">
        <v>934</v>
      </c>
      <c r="G1432" s="49" t="s">
        <v>953</v>
      </c>
      <c r="H1432" s="17">
        <v>20</v>
      </c>
      <c r="O1432" s="62" t="str">
        <f>IF(E1432="PA",IF(K1432&lt;&gt;"",ISERROR(VLOOKUP(K1432,ABBR!A:D,1,FALSE)),ISERROR(VLOOKUP(C1432,ABBR!A:D,1,FALSE))),"")</f>
        <v/>
      </c>
      <c r="P1432" t="str">
        <f>VLOOKUP(A1432,Groups!A:L,5,FALSE)</f>
        <v>SAMP</v>
      </c>
      <c r="Q1432" s="62" t="str">
        <f>IF(G1432="PA",IF(M1432&lt;&gt;"",ISERROR(VLOOKUP(M1432,ABBR!C:F,1,FALSE)),ISERROR(VLOOKUP(E1432,ABBR!C:F,1,FALSE))),"")</f>
        <v/>
      </c>
    </row>
    <row r="1433" spans="1:17" hidden="1" x14ac:dyDescent="0.25">
      <c r="A1433" s="16" t="s">
        <v>205</v>
      </c>
      <c r="B1433" s="17"/>
      <c r="C1433" s="16" t="s">
        <v>936</v>
      </c>
      <c r="D1433" s="17"/>
      <c r="E1433" s="22" t="s">
        <v>608</v>
      </c>
      <c r="F1433" s="18" t="s">
        <v>937</v>
      </c>
      <c r="G1433" s="49" t="s">
        <v>938</v>
      </c>
      <c r="H1433" s="17">
        <v>21</v>
      </c>
      <c r="O1433" s="62" t="str">
        <f>IF(E1433="PA",IF(K1433&lt;&gt;"",ISERROR(VLOOKUP(K1433,ABBR!A:D,1,FALSE)),ISERROR(VLOOKUP(C1433,ABBR!A:D,1,FALSE))),"")</f>
        <v/>
      </c>
      <c r="P1433" t="str">
        <f>VLOOKUP(A1433,Groups!A:L,5,FALSE)</f>
        <v>SAMP</v>
      </c>
      <c r="Q1433" s="62" t="str">
        <f>IF(G1433="PA",IF(M1433&lt;&gt;"",ISERROR(VLOOKUP(M1433,ABBR!C:F,1,FALSE)),ISERROR(VLOOKUP(E1433,ABBR!C:F,1,FALSE))),"")</f>
        <v/>
      </c>
    </row>
    <row r="1434" spans="1:17" hidden="1" x14ac:dyDescent="0.25">
      <c r="A1434" s="16" t="s">
        <v>205</v>
      </c>
      <c r="B1434" s="17"/>
      <c r="C1434" s="16" t="s">
        <v>643</v>
      </c>
      <c r="D1434" s="17"/>
      <c r="E1434" s="17" t="s">
        <v>608</v>
      </c>
      <c r="F1434" s="18" t="s">
        <v>1294</v>
      </c>
      <c r="G1434" s="49" t="s">
        <v>2937</v>
      </c>
      <c r="H1434" s="17">
        <v>22</v>
      </c>
      <c r="O1434" s="62" t="str">
        <f>IF(E1434="PA",IF(K1434&lt;&gt;"",ISERROR(VLOOKUP(K1434,ABBR!A:D,1,FALSE)),ISERROR(VLOOKUP(C1434,ABBR!A:D,1,FALSE))),"")</f>
        <v/>
      </c>
      <c r="P1434" t="str">
        <f>VLOOKUP(A1434,Groups!A:L,5,FALSE)</f>
        <v>SAMP</v>
      </c>
      <c r="Q1434" s="62" t="str">
        <f>IF(G1434="PA",IF(M1434&lt;&gt;"",ISERROR(VLOOKUP(M1434,ABBR!C:F,1,FALSE)),ISERROR(VLOOKUP(E1434,ABBR!C:F,1,FALSE))),"")</f>
        <v/>
      </c>
    </row>
    <row r="1435" spans="1:17" ht="14.5" hidden="1" customHeight="1" x14ac:dyDescent="0.25">
      <c r="A1435" s="16" t="s">
        <v>205</v>
      </c>
      <c r="B1435" s="17"/>
      <c r="C1435" s="16" t="s">
        <v>877</v>
      </c>
      <c r="D1435" s="17" t="s">
        <v>600</v>
      </c>
      <c r="E1435" s="17" t="s">
        <v>601</v>
      </c>
      <c r="F1435" s="18" t="s">
        <v>878</v>
      </c>
      <c r="G1435" s="49" t="s">
        <v>879</v>
      </c>
      <c r="H1435" s="17">
        <v>23</v>
      </c>
      <c r="I1435" s="30" t="s">
        <v>955</v>
      </c>
      <c r="J1435" s="80">
        <v>4.0999999999999996</v>
      </c>
      <c r="O1435" s="62" t="str">
        <f>IF(E1435="PA",IF(K1435&lt;&gt;"",ISERROR(VLOOKUP(K1435,ABBR!A:D,1,FALSE)),ISERROR(VLOOKUP(C1435,ABBR!A:D,1,FALSE))),"")</f>
        <v/>
      </c>
      <c r="P1435" t="str">
        <f>VLOOKUP(A1435,Groups!A:L,5,FALSE)</f>
        <v>SAMP</v>
      </c>
      <c r="Q1435" s="62" t="str">
        <f>IF(G1435="PA",IF(M1435&lt;&gt;"",ISERROR(VLOOKUP(M1435,ABBR!C:F,1,FALSE)),ISERROR(VLOOKUP(E1435,ABBR!C:F,1,FALSE))),"")</f>
        <v/>
      </c>
    </row>
    <row r="1436" spans="1:17" ht="37.5" hidden="1" x14ac:dyDescent="0.25">
      <c r="A1436" s="16" t="s">
        <v>205</v>
      </c>
      <c r="B1436" s="17"/>
      <c r="C1436" s="16" t="s">
        <v>2938</v>
      </c>
      <c r="D1436" s="17"/>
      <c r="E1436" s="17" t="s">
        <v>608</v>
      </c>
      <c r="F1436" s="18" t="s">
        <v>2939</v>
      </c>
      <c r="G1436" s="94" t="s">
        <v>922</v>
      </c>
      <c r="H1436" s="17">
        <v>24</v>
      </c>
      <c r="I1436" s="30" t="s">
        <v>955</v>
      </c>
      <c r="J1436" s="80">
        <v>4.0999999999999996</v>
      </c>
      <c r="M1436" s="101"/>
      <c r="O1436" s="62" t="str">
        <f>IF(E1436="PA",IF(K1436&lt;&gt;"",ISERROR(VLOOKUP(K1436,ABBR!A:D,1,FALSE)),ISERROR(VLOOKUP(C1436,ABBR!A:D,1,FALSE))),"")</f>
        <v/>
      </c>
      <c r="P1436" t="str">
        <f>VLOOKUP(A1436,Groups!A:L,5,FALSE)</f>
        <v>SAMP</v>
      </c>
      <c r="Q1436" s="62" t="str">
        <f>IF(G1436="PA",IF(M1436&lt;&gt;"",ISERROR(VLOOKUP(M1436,ABBR!C:F,1,FALSE)),ISERROR(VLOOKUP(E1436,ABBR!C:F,1,FALSE))),"")</f>
        <v/>
      </c>
    </row>
    <row r="1437" spans="1:17" ht="25" hidden="1" x14ac:dyDescent="0.25">
      <c r="A1437" s="16" t="s">
        <v>205</v>
      </c>
      <c r="B1437" s="17"/>
      <c r="C1437" s="16" t="s">
        <v>2940</v>
      </c>
      <c r="D1437" s="17" t="s">
        <v>1077</v>
      </c>
      <c r="E1437" s="17" t="s">
        <v>1391</v>
      </c>
      <c r="F1437" s="18" t="s">
        <v>2941</v>
      </c>
      <c r="G1437" s="49" t="s">
        <v>1463</v>
      </c>
      <c r="H1437" s="17">
        <v>25</v>
      </c>
      <c r="I1437" s="30" t="s">
        <v>955</v>
      </c>
      <c r="J1437" s="80">
        <v>4.0999999999999996</v>
      </c>
      <c r="O1437" s="62" t="str">
        <f>IF(E1437="PA",IF(K1437&lt;&gt;"",ISERROR(VLOOKUP(K1437,ABBR!A:D,1,FALSE)),ISERROR(VLOOKUP(C1437,ABBR!A:D,1,FALSE))),"")</f>
        <v/>
      </c>
      <c r="P1437" t="str">
        <f>VLOOKUP(A1437,Groups!A:L,5,FALSE)</f>
        <v>SAMP</v>
      </c>
      <c r="Q1437" s="62" t="str">
        <f>IF(G1437="PA",IF(M1437&lt;&gt;"",ISERROR(VLOOKUP(M1437,ABBR!C:F,1,FALSE)),ISERROR(VLOOKUP(E1437,ABBR!C:F,1,FALSE))),"")</f>
        <v/>
      </c>
    </row>
    <row r="1438" spans="1:17" ht="25" hidden="1" x14ac:dyDescent="0.25">
      <c r="A1438" s="16" t="s">
        <v>205</v>
      </c>
      <c r="B1438" s="17"/>
      <c r="C1438" s="16" t="s">
        <v>2942</v>
      </c>
      <c r="D1438" s="17"/>
      <c r="E1438" s="17" t="s">
        <v>608</v>
      </c>
      <c r="F1438" s="18" t="s">
        <v>2943</v>
      </c>
      <c r="G1438" s="49" t="s">
        <v>2944</v>
      </c>
      <c r="H1438" s="17">
        <v>26</v>
      </c>
      <c r="I1438" s="30" t="s">
        <v>955</v>
      </c>
      <c r="J1438" s="80">
        <v>4.0999999999999996</v>
      </c>
      <c r="O1438" s="62" t="str">
        <f>IF(E1438="PA",IF(K1438&lt;&gt;"",ISERROR(VLOOKUP(K1438,ABBR!A:D,1,FALSE)),ISERROR(VLOOKUP(C1438,ABBR!A:D,1,FALSE))),"")</f>
        <v/>
      </c>
      <c r="P1438" t="str">
        <f>VLOOKUP(A1438,Groups!A:L,5,FALSE)</f>
        <v>SAMP</v>
      </c>
      <c r="Q1438" s="62" t="str">
        <f>IF(G1438="PA",IF(M1438&lt;&gt;"",ISERROR(VLOOKUP(M1438,ABBR!C:F,1,FALSE)),ISERROR(VLOOKUP(E1438,ABBR!C:F,1,FALSE))),"")</f>
        <v/>
      </c>
    </row>
    <row r="1439" spans="1:17" ht="25" hidden="1" x14ac:dyDescent="0.25">
      <c r="A1439" s="16" t="s">
        <v>205</v>
      </c>
      <c r="B1439" s="17"/>
      <c r="C1439" s="16" t="s">
        <v>2945</v>
      </c>
      <c r="D1439" s="17"/>
      <c r="E1439" s="17" t="s">
        <v>674</v>
      </c>
      <c r="F1439" s="18" t="s">
        <v>2946</v>
      </c>
      <c r="G1439" s="49" t="s">
        <v>677</v>
      </c>
      <c r="H1439" s="17">
        <v>27</v>
      </c>
      <c r="I1439" s="30" t="s">
        <v>955</v>
      </c>
      <c r="J1439" s="80">
        <v>4.0999999999999996</v>
      </c>
      <c r="O1439" s="62" t="str">
        <f>IF(E1439="PA",IF(K1439&lt;&gt;"",ISERROR(VLOOKUP(K1439,ABBR!A:D,1,FALSE)),ISERROR(VLOOKUP(C1439,ABBR!A:D,1,FALSE))),"")</f>
        <v/>
      </c>
      <c r="P1439" t="str">
        <f>VLOOKUP(A1439,Groups!A:L,5,FALSE)</f>
        <v>SAMP</v>
      </c>
      <c r="Q1439" s="62" t="str">
        <f>IF(G1439="PA",IF(M1439&lt;&gt;"",ISERROR(VLOOKUP(M1439,ABBR!C:F,1,FALSE)),ISERROR(VLOOKUP(E1439,ABBR!C:F,1,FALSE))),"")</f>
        <v/>
      </c>
    </row>
    <row r="1440" spans="1:17" ht="37.5" hidden="1" x14ac:dyDescent="0.25">
      <c r="A1440" s="16" t="s">
        <v>205</v>
      </c>
      <c r="B1440" s="17"/>
      <c r="C1440" s="16" t="s">
        <v>2947</v>
      </c>
      <c r="D1440" s="17"/>
      <c r="E1440" s="17" t="s">
        <v>608</v>
      </c>
      <c r="F1440" s="18" t="s">
        <v>2948</v>
      </c>
      <c r="G1440" s="49"/>
      <c r="H1440" s="17">
        <v>28</v>
      </c>
      <c r="I1440" s="30" t="s">
        <v>955</v>
      </c>
      <c r="J1440" s="80">
        <v>4.0999999999999996</v>
      </c>
      <c r="M1440" s="101" t="s">
        <v>1044</v>
      </c>
      <c r="O1440" s="62" t="str">
        <f>IF(E1440="PA",IF(K1440&lt;&gt;"",ISERROR(VLOOKUP(K1440,ABBR!A:D,1,FALSE)),ISERROR(VLOOKUP(C1440,ABBR!A:D,1,FALSE))),"")</f>
        <v/>
      </c>
      <c r="P1440" t="str">
        <f>VLOOKUP(A1440,Groups!A:L,5,FALSE)</f>
        <v>SAMP</v>
      </c>
      <c r="Q1440" s="62" t="str">
        <f>IF(G1440="PA",IF(M1440&lt;&gt;"",ISERROR(VLOOKUP(M1440,ABBR!C:F,1,FALSE)),ISERROR(VLOOKUP(E1440,ABBR!C:F,1,FALSE))),"")</f>
        <v/>
      </c>
    </row>
    <row r="1441" spans="1:17" hidden="1" x14ac:dyDescent="0.25">
      <c r="A1441" s="16" t="s">
        <v>205</v>
      </c>
      <c r="B1441" s="17"/>
      <c r="C1441" s="16" t="s">
        <v>2949</v>
      </c>
      <c r="D1441" s="17"/>
      <c r="E1441" s="17" t="s">
        <v>886</v>
      </c>
      <c r="F1441" s="18" t="s">
        <v>2950</v>
      </c>
      <c r="G1441" s="49" t="s">
        <v>1041</v>
      </c>
      <c r="H1441" s="17">
        <v>29</v>
      </c>
      <c r="I1441" s="30" t="s">
        <v>955</v>
      </c>
      <c r="J1441" s="80">
        <v>4.0999999999999996</v>
      </c>
      <c r="O1441" s="62" t="str">
        <f>IF(E1441="PA",IF(K1441&lt;&gt;"",ISERROR(VLOOKUP(K1441,ABBR!A:D,1,FALSE)),ISERROR(VLOOKUP(C1441,ABBR!A:D,1,FALSE))),"")</f>
        <v/>
      </c>
      <c r="P1441" t="str">
        <f>VLOOKUP(A1441,Groups!A:L,5,FALSE)</f>
        <v>SAMP</v>
      </c>
      <c r="Q1441" s="62" t="str">
        <f>IF(G1441="PA",IF(M1441&lt;&gt;"",ISERROR(VLOOKUP(M1441,ABBR!C:F,1,FALSE)),ISERROR(VLOOKUP(E1441,ABBR!C:F,1,FALSE))),"")</f>
        <v/>
      </c>
    </row>
    <row r="1442" spans="1:17" hidden="1" x14ac:dyDescent="0.25">
      <c r="A1442" s="16" t="s">
        <v>205</v>
      </c>
      <c r="B1442" s="17"/>
      <c r="C1442" s="16" t="s">
        <v>2951</v>
      </c>
      <c r="D1442" s="17" t="s">
        <v>722</v>
      </c>
      <c r="E1442" s="17" t="s">
        <v>601</v>
      </c>
      <c r="F1442" s="18" t="s">
        <v>2952</v>
      </c>
      <c r="G1442" s="49" t="s">
        <v>2865</v>
      </c>
      <c r="H1442" s="17">
        <v>30</v>
      </c>
      <c r="J1442" s="62" t="s">
        <v>2953</v>
      </c>
      <c r="K1442" s="62"/>
      <c r="M1442" s="62"/>
      <c r="N1442" s="62"/>
      <c r="O1442" s="62" t="str">
        <f>IF(E1442="PA",IF(K1442&lt;&gt;"",ISERROR(VLOOKUP(K1442,ABBR!A:D,1,FALSE)),ISERROR(VLOOKUP(C1442,ABBR!A:D,1,FALSE))),"")</f>
        <v/>
      </c>
      <c r="P1442" t="str">
        <f>VLOOKUP(A1442,Groups!A:L,5,FALSE)</f>
        <v>SAMP</v>
      </c>
      <c r="Q1442" s="62" t="str">
        <f>IF(G1442="PA",IF(M1442&lt;&gt;"",ISERROR(VLOOKUP(M1442,ABBR!C:F,1,FALSE)),ISERROR(VLOOKUP(E1442,ABBR!C:F,1,FALSE))),"")</f>
        <v/>
      </c>
    </row>
    <row r="1443" spans="1:17" hidden="1" x14ac:dyDescent="0.25">
      <c r="A1443" s="16" t="s">
        <v>205</v>
      </c>
      <c r="B1443" s="17"/>
      <c r="C1443" s="16" t="s">
        <v>2954</v>
      </c>
      <c r="D1443" s="17" t="s">
        <v>722</v>
      </c>
      <c r="E1443" s="17" t="s">
        <v>601</v>
      </c>
      <c r="F1443" s="18" t="s">
        <v>2955</v>
      </c>
      <c r="G1443" s="49" t="s">
        <v>2956</v>
      </c>
      <c r="H1443" s="17">
        <v>31</v>
      </c>
      <c r="J1443" s="62" t="s">
        <v>2953</v>
      </c>
      <c r="K1443" s="62"/>
      <c r="M1443" s="62"/>
      <c r="N1443" s="62"/>
      <c r="O1443" s="62" t="str">
        <f>IF(E1443="PA",IF(K1443&lt;&gt;"",ISERROR(VLOOKUP(K1443,ABBR!A:D,1,FALSE)),ISERROR(VLOOKUP(C1443,ABBR!A:D,1,FALSE))),"")</f>
        <v/>
      </c>
      <c r="P1443" t="str">
        <f>VLOOKUP(A1443,Groups!A:L,5,FALSE)</f>
        <v>SAMP</v>
      </c>
      <c r="Q1443" s="62" t="str">
        <f>IF(G1443="PA",IF(M1443&lt;&gt;"",ISERROR(VLOOKUP(M1443,ABBR!C:F,1,FALSE)),ISERROR(VLOOKUP(E1443,ABBR!C:F,1,FALSE))),"")</f>
        <v/>
      </c>
    </row>
    <row r="1444" spans="1:17" hidden="1" x14ac:dyDescent="0.25">
      <c r="A1444" s="16" t="s">
        <v>205</v>
      </c>
      <c r="B1444" s="17"/>
      <c r="C1444" s="16" t="s">
        <v>2957</v>
      </c>
      <c r="D1444" s="17" t="s">
        <v>722</v>
      </c>
      <c r="E1444" s="17" t="s">
        <v>601</v>
      </c>
      <c r="F1444" s="18" t="s">
        <v>2958</v>
      </c>
      <c r="G1444" s="49" t="s">
        <v>1319</v>
      </c>
      <c r="H1444" s="17">
        <v>32</v>
      </c>
      <c r="J1444" s="62" t="s">
        <v>2953</v>
      </c>
      <c r="K1444" s="62"/>
      <c r="M1444" s="62"/>
      <c r="N1444" s="62"/>
      <c r="O1444" s="62" t="str">
        <f>IF(E1444="PA",IF(K1444&lt;&gt;"",ISERROR(VLOOKUP(K1444,ABBR!A:D,1,FALSE)),ISERROR(VLOOKUP(C1444,ABBR!A:D,1,FALSE))),"")</f>
        <v/>
      </c>
      <c r="P1444" t="str">
        <f>VLOOKUP(A1444,Groups!A:L,5,FALSE)</f>
        <v>SAMP</v>
      </c>
      <c r="Q1444" s="62" t="str">
        <f>IF(G1444="PA",IF(M1444&lt;&gt;"",ISERROR(VLOOKUP(M1444,ABBR!C:F,1,FALSE)),ISERROR(VLOOKUP(E1444,ABBR!C:F,1,FALSE))),"")</f>
        <v/>
      </c>
    </row>
    <row r="1445" spans="1:17" hidden="1" x14ac:dyDescent="0.25">
      <c r="A1445" s="16" t="s">
        <v>205</v>
      </c>
      <c r="B1445" s="17"/>
      <c r="C1445" s="16" t="s">
        <v>2959</v>
      </c>
      <c r="D1445" s="17"/>
      <c r="E1445" s="17" t="s">
        <v>608</v>
      </c>
      <c r="F1445" s="18" t="s">
        <v>2960</v>
      </c>
      <c r="G1445" s="49" t="s">
        <v>2961</v>
      </c>
      <c r="H1445" s="17">
        <v>33</v>
      </c>
      <c r="J1445" s="62" t="s">
        <v>473</v>
      </c>
      <c r="K1445" s="62"/>
      <c r="M1445" s="62"/>
      <c r="N1445" s="62"/>
      <c r="O1445" s="62" t="str">
        <f>IF(E1445="PA",IF(K1445&lt;&gt;"",ISERROR(VLOOKUP(K1445,ABBR!A:D,1,FALSE)),ISERROR(VLOOKUP(C1445,ABBR!A:D,1,FALSE))),"")</f>
        <v/>
      </c>
      <c r="P1445" t="str">
        <f>VLOOKUP(A1445,Groups!A:L,5,FALSE)</f>
        <v>SAMP</v>
      </c>
      <c r="Q1445" s="62" t="str">
        <f>IF(G1445="PA",IF(M1445&lt;&gt;"",ISERROR(VLOOKUP(M1445,ABBR!C:F,1,FALSE)),ISERROR(VLOOKUP(E1445,ABBR!C:F,1,FALSE))),"")</f>
        <v/>
      </c>
    </row>
    <row r="1446" spans="1:17" hidden="1" x14ac:dyDescent="0.25">
      <c r="A1446" s="16" t="s">
        <v>205</v>
      </c>
      <c r="B1446" s="17"/>
      <c r="C1446" s="16" t="s">
        <v>2962</v>
      </c>
      <c r="D1446" s="17" t="s">
        <v>924</v>
      </c>
      <c r="E1446" s="17" t="s">
        <v>925</v>
      </c>
      <c r="F1446" s="18" t="s">
        <v>926</v>
      </c>
      <c r="G1446" s="49" t="s">
        <v>927</v>
      </c>
      <c r="H1446" s="17">
        <v>34</v>
      </c>
      <c r="J1446" s="62" t="s">
        <v>473</v>
      </c>
      <c r="K1446" s="62"/>
      <c r="M1446" s="62"/>
      <c r="N1446" s="62"/>
      <c r="O1446" s="62" t="str">
        <f>IF(E1446="PA",IF(K1446&lt;&gt;"",ISERROR(VLOOKUP(K1446,ABBR!A:D,1,FALSE)),ISERROR(VLOOKUP(C1446,ABBR!A:D,1,FALSE))),"")</f>
        <v/>
      </c>
      <c r="P1446" t="str">
        <f>VLOOKUP(A1446,Groups!A:L,5,FALSE)</f>
        <v>SAMP</v>
      </c>
      <c r="Q1446" s="62" t="str">
        <f>IF(G1446="PA",IF(M1446&lt;&gt;"",ISERROR(VLOOKUP(M1446,ABBR!C:F,1,FALSE)),ISERROR(VLOOKUP(E1446,ABBR!C:F,1,FALSE))),"")</f>
        <v/>
      </c>
    </row>
    <row r="1447" spans="1:17" hidden="1" x14ac:dyDescent="0.25">
      <c r="A1447" s="16" t="s">
        <v>205</v>
      </c>
      <c r="B1447" s="17"/>
      <c r="C1447" s="16" t="s">
        <v>2963</v>
      </c>
      <c r="D1447" s="17"/>
      <c r="E1447" s="17" t="s">
        <v>608</v>
      </c>
      <c r="F1447" s="18" t="s">
        <v>875</v>
      </c>
      <c r="G1447" s="49" t="s">
        <v>876</v>
      </c>
      <c r="H1447" s="17">
        <v>35</v>
      </c>
      <c r="J1447" s="62" t="s">
        <v>473</v>
      </c>
      <c r="K1447" s="62"/>
      <c r="M1447" s="62"/>
      <c r="N1447" s="62"/>
      <c r="O1447" s="62" t="str">
        <f>IF(E1447="PA",IF(K1447&lt;&gt;"",ISERROR(VLOOKUP(K1447,ABBR!A:D,1,FALSE)),ISERROR(VLOOKUP(C1447,ABBR!A:D,1,FALSE))),"")</f>
        <v/>
      </c>
      <c r="P1447" t="str">
        <f>VLOOKUP(A1447,Groups!A:L,5,FALSE)</f>
        <v>SAMP</v>
      </c>
      <c r="Q1447" s="62" t="str">
        <f>IF(G1447="PA",IF(M1447&lt;&gt;"",ISERROR(VLOOKUP(M1447,ABBR!C:F,1,FALSE)),ISERROR(VLOOKUP(E1447,ABBR!C:F,1,FALSE))),"")</f>
        <v/>
      </c>
    </row>
    <row r="1448" spans="1:17" hidden="1" x14ac:dyDescent="0.25">
      <c r="A1448" s="16" t="s">
        <v>205</v>
      </c>
      <c r="B1448" s="17"/>
      <c r="C1448" s="16" t="s">
        <v>2964</v>
      </c>
      <c r="D1448" s="17"/>
      <c r="E1448" s="17" t="s">
        <v>608</v>
      </c>
      <c r="F1448" s="18" t="s">
        <v>929</v>
      </c>
      <c r="G1448" s="49" t="s">
        <v>876</v>
      </c>
      <c r="H1448" s="17">
        <v>36</v>
      </c>
      <c r="J1448" s="62" t="s">
        <v>473</v>
      </c>
      <c r="K1448" s="62"/>
      <c r="M1448" s="62"/>
      <c r="N1448" s="62"/>
      <c r="O1448" s="62" t="str">
        <f>IF(E1448="PA",IF(K1448&lt;&gt;"",ISERROR(VLOOKUP(K1448,ABBR!A:D,1,FALSE)),ISERROR(VLOOKUP(C1448,ABBR!A:D,1,FALSE))),"")</f>
        <v/>
      </c>
      <c r="P1448" t="str">
        <f>VLOOKUP(A1448,Groups!A:L,5,FALSE)</f>
        <v>SAMP</v>
      </c>
      <c r="Q1448" s="62" t="str">
        <f>IF(G1448="PA",IF(M1448&lt;&gt;"",ISERROR(VLOOKUP(M1448,ABBR!C:F,1,FALSE)),ISERROR(VLOOKUP(E1448,ABBR!C:F,1,FALSE))),"")</f>
        <v/>
      </c>
    </row>
    <row r="1449" spans="1:17" hidden="1" x14ac:dyDescent="0.25">
      <c r="A1449" s="16" t="s">
        <v>207</v>
      </c>
      <c r="B1449" s="17" t="s">
        <v>594</v>
      </c>
      <c r="C1449" s="16" t="s">
        <v>595</v>
      </c>
      <c r="D1449" s="17"/>
      <c r="E1449" s="17" t="s">
        <v>596</v>
      </c>
      <c r="F1449" s="18" t="s">
        <v>597</v>
      </c>
      <c r="G1449" s="49" t="s">
        <v>598</v>
      </c>
      <c r="H1449" s="17">
        <v>1</v>
      </c>
      <c r="O1449" s="62" t="str">
        <f>IF(E1449="PA",IF(K1449&lt;&gt;"",ISERROR(VLOOKUP(K1449,ABBR!A:D,1,FALSE)),ISERROR(VLOOKUP(C1449,ABBR!A:D,1,FALSE))),"")</f>
        <v/>
      </c>
      <c r="P1449" t="str">
        <f>VLOOKUP(A1449,Groups!A:L,5,FALSE)</f>
        <v>GRAG</v>
      </c>
      <c r="Q1449" s="62" t="str">
        <f>IF(G1449="PA",IF(M1449&lt;&gt;"",ISERROR(VLOOKUP(M1449,ABBR!C:F,1,FALSE)),ISERROR(VLOOKUP(E1449,ABBR!C:F,1,FALSE))),"")</f>
        <v/>
      </c>
    </row>
    <row r="1450" spans="1:17" hidden="1" x14ac:dyDescent="0.25">
      <c r="A1450" s="16" t="s">
        <v>207</v>
      </c>
      <c r="B1450" s="17" t="s">
        <v>594</v>
      </c>
      <c r="C1450" s="16" t="s">
        <v>851</v>
      </c>
      <c r="D1450" s="17" t="s">
        <v>600</v>
      </c>
      <c r="E1450" s="17" t="s">
        <v>601</v>
      </c>
      <c r="F1450" s="18" t="s">
        <v>852</v>
      </c>
      <c r="G1450" s="49" t="s">
        <v>853</v>
      </c>
      <c r="H1450" s="17">
        <v>2</v>
      </c>
      <c r="O1450" s="62" t="str">
        <f>IF(E1450="PA",IF(K1450&lt;&gt;"",ISERROR(VLOOKUP(K1450,ABBR!A:D,1,FALSE)),ISERROR(VLOOKUP(C1450,ABBR!A:D,1,FALSE))),"")</f>
        <v/>
      </c>
      <c r="P1450" t="str">
        <f>VLOOKUP(A1450,Groups!A:L,5,FALSE)</f>
        <v>GRAG</v>
      </c>
      <c r="Q1450" s="62" t="str">
        <f>IF(G1450="PA",IF(M1450&lt;&gt;"",ISERROR(VLOOKUP(M1450,ABBR!C:F,1,FALSE)),ISERROR(VLOOKUP(E1450,ABBR!C:F,1,FALSE))),"")</f>
        <v/>
      </c>
    </row>
    <row r="1451" spans="1:17" hidden="1" x14ac:dyDescent="0.25">
      <c r="A1451" s="16" t="s">
        <v>207</v>
      </c>
      <c r="B1451" s="17" t="s">
        <v>594</v>
      </c>
      <c r="C1451" s="16" t="s">
        <v>854</v>
      </c>
      <c r="D1451" s="17"/>
      <c r="E1451" s="17" t="s">
        <v>608</v>
      </c>
      <c r="F1451" s="18" t="s">
        <v>855</v>
      </c>
      <c r="G1451" s="49" t="s">
        <v>941</v>
      </c>
      <c r="H1451" s="17">
        <v>3</v>
      </c>
      <c r="O1451" s="62" t="str">
        <f>IF(E1451="PA",IF(K1451&lt;&gt;"",ISERROR(VLOOKUP(K1451,ABBR!A:D,1,FALSE)),ISERROR(VLOOKUP(C1451,ABBR!A:D,1,FALSE))),"")</f>
        <v/>
      </c>
      <c r="P1451" t="str">
        <f>VLOOKUP(A1451,Groups!A:L,5,FALSE)</f>
        <v>GRAG</v>
      </c>
      <c r="Q1451" s="62" t="str">
        <f>IF(G1451="PA",IF(M1451&lt;&gt;"",ISERROR(VLOOKUP(M1451,ABBR!C:F,1,FALSE)),ISERROR(VLOOKUP(E1451,ABBR!C:F,1,FALSE))),"")</f>
        <v/>
      </c>
    </row>
    <row r="1452" spans="1:17" hidden="1" x14ac:dyDescent="0.25">
      <c r="A1452" s="16" t="s">
        <v>207</v>
      </c>
      <c r="B1452" s="17" t="s">
        <v>594</v>
      </c>
      <c r="C1452" s="16" t="s">
        <v>857</v>
      </c>
      <c r="D1452" s="17"/>
      <c r="E1452" s="17" t="s">
        <v>618</v>
      </c>
      <c r="F1452" s="18" t="s">
        <v>858</v>
      </c>
      <c r="G1452" s="49" t="s">
        <v>859</v>
      </c>
      <c r="H1452" s="17">
        <v>4</v>
      </c>
      <c r="O1452" s="62" t="b">
        <f>IF(E1452="PA",IF(K1452&lt;&gt;"",ISERROR(VLOOKUP(K1452,ABBR!A:D,1,FALSE)),ISERROR(VLOOKUP(C1452,ABBR!A:D,1,FALSE))),"")</f>
        <v>0</v>
      </c>
      <c r="P1452" t="str">
        <f>VLOOKUP(A1452,Groups!A:L,5,FALSE)</f>
        <v>GRAG</v>
      </c>
      <c r="Q1452" s="62" t="str">
        <f>IF(G1452="PA",IF(M1452&lt;&gt;"",ISERROR(VLOOKUP(M1452,ABBR!C:F,1,FALSE)),ISERROR(VLOOKUP(E1452,ABBR!C:F,1,FALSE))),"")</f>
        <v/>
      </c>
    </row>
    <row r="1453" spans="1:17" hidden="1" x14ac:dyDescent="0.25">
      <c r="A1453" s="16" t="s">
        <v>207</v>
      </c>
      <c r="B1453" s="17" t="s">
        <v>594</v>
      </c>
      <c r="C1453" s="16" t="s">
        <v>860</v>
      </c>
      <c r="D1453" s="17"/>
      <c r="E1453" s="17" t="s">
        <v>596</v>
      </c>
      <c r="F1453" s="18" t="s">
        <v>942</v>
      </c>
      <c r="G1453" s="49" t="s">
        <v>862</v>
      </c>
      <c r="H1453" s="17">
        <v>5</v>
      </c>
      <c r="O1453" s="62" t="str">
        <f>IF(E1453="PA",IF(K1453&lt;&gt;"",ISERROR(VLOOKUP(K1453,ABBR!A:D,1,FALSE)),ISERROR(VLOOKUP(C1453,ABBR!A:D,1,FALSE))),"")</f>
        <v/>
      </c>
      <c r="P1453" t="str">
        <f>VLOOKUP(A1453,Groups!A:L,5,FALSE)</f>
        <v>GRAG</v>
      </c>
      <c r="Q1453" s="62" t="str">
        <f>IF(G1453="PA",IF(M1453&lt;&gt;"",ISERROR(VLOOKUP(M1453,ABBR!C:F,1,FALSE)),ISERROR(VLOOKUP(E1453,ABBR!C:F,1,FALSE))),"")</f>
        <v/>
      </c>
    </row>
    <row r="1454" spans="1:17" hidden="1" x14ac:dyDescent="0.25">
      <c r="A1454" s="16" t="s">
        <v>207</v>
      </c>
      <c r="B1454" s="17" t="s">
        <v>594</v>
      </c>
      <c r="C1454" s="16" t="s">
        <v>863</v>
      </c>
      <c r="D1454" s="17"/>
      <c r="E1454" s="17" t="s">
        <v>608</v>
      </c>
      <c r="F1454" s="18" t="s">
        <v>864</v>
      </c>
      <c r="G1454" s="49" t="s">
        <v>865</v>
      </c>
      <c r="H1454" s="17">
        <v>6</v>
      </c>
      <c r="O1454" s="62" t="str">
        <f>IF(E1454="PA",IF(K1454&lt;&gt;"",ISERROR(VLOOKUP(K1454,ABBR!A:D,1,FALSE)),ISERROR(VLOOKUP(C1454,ABBR!A:D,1,FALSE))),"")</f>
        <v/>
      </c>
      <c r="P1454" t="str">
        <f>VLOOKUP(A1454,Groups!A:L,5,FALSE)</f>
        <v>GRAG</v>
      </c>
      <c r="Q1454" s="62" t="str">
        <f>IF(G1454="PA",IF(M1454&lt;&gt;"",ISERROR(VLOOKUP(M1454,ABBR!C:F,1,FALSE)),ISERROR(VLOOKUP(E1454,ABBR!C:F,1,FALSE))),"")</f>
        <v/>
      </c>
    </row>
    <row r="1455" spans="1:17" hidden="1" x14ac:dyDescent="0.25">
      <c r="A1455" s="16" t="s">
        <v>207</v>
      </c>
      <c r="B1455" s="17" t="s">
        <v>594</v>
      </c>
      <c r="C1455" s="16" t="s">
        <v>866</v>
      </c>
      <c r="D1455" s="17" t="s">
        <v>600</v>
      </c>
      <c r="E1455" s="17" t="s">
        <v>601</v>
      </c>
      <c r="F1455" s="18" t="s">
        <v>867</v>
      </c>
      <c r="G1455" s="49" t="s">
        <v>853</v>
      </c>
      <c r="H1455" s="17">
        <v>7</v>
      </c>
      <c r="O1455" s="62" t="str">
        <f>IF(E1455="PA",IF(K1455&lt;&gt;"",ISERROR(VLOOKUP(K1455,ABBR!A:D,1,FALSE)),ISERROR(VLOOKUP(C1455,ABBR!A:D,1,FALSE))),"")</f>
        <v/>
      </c>
      <c r="P1455" t="str">
        <f>VLOOKUP(A1455,Groups!A:L,5,FALSE)</f>
        <v>GRAG</v>
      </c>
      <c r="Q1455" s="62" t="str">
        <f>IF(G1455="PA",IF(M1455&lt;&gt;"",ISERROR(VLOOKUP(M1455,ABBR!C:F,1,FALSE)),ISERROR(VLOOKUP(E1455,ABBR!C:F,1,FALSE))),"")</f>
        <v/>
      </c>
    </row>
    <row r="1456" spans="1:17" hidden="1" x14ac:dyDescent="0.25">
      <c r="A1456" s="16" t="s">
        <v>207</v>
      </c>
      <c r="B1456" s="17" t="s">
        <v>594</v>
      </c>
      <c r="C1456" s="16" t="s">
        <v>2965</v>
      </c>
      <c r="D1456" s="17" t="s">
        <v>722</v>
      </c>
      <c r="E1456" s="17" t="s">
        <v>2966</v>
      </c>
      <c r="F1456" s="18" t="s">
        <v>2967</v>
      </c>
      <c r="G1456" s="49" t="s">
        <v>2968</v>
      </c>
      <c r="H1456" s="17">
        <v>8</v>
      </c>
      <c r="O1456" s="62" t="str">
        <f>IF(E1456="PA",IF(K1456&lt;&gt;"",ISERROR(VLOOKUP(K1456,ABBR!A:D,1,FALSE)),ISERROR(VLOOKUP(C1456,ABBR!A:D,1,FALSE))),"")</f>
        <v/>
      </c>
      <c r="P1456" t="str">
        <f>VLOOKUP(A1456,Groups!A:L,5,FALSE)</f>
        <v>GRAG</v>
      </c>
      <c r="Q1456" s="62" t="str">
        <f>IF(G1456="PA",IF(M1456&lt;&gt;"",ISERROR(VLOOKUP(M1456,ABBR!C:F,1,FALSE)),ISERROR(VLOOKUP(E1456,ABBR!C:F,1,FALSE))),"")</f>
        <v/>
      </c>
    </row>
    <row r="1457" spans="1:17" hidden="1" x14ac:dyDescent="0.25">
      <c r="A1457" s="16" t="s">
        <v>207</v>
      </c>
      <c r="B1457" s="17"/>
      <c r="C1457" s="16" t="s">
        <v>2969</v>
      </c>
      <c r="D1457" s="17" t="s">
        <v>766</v>
      </c>
      <c r="E1457" s="17" t="s">
        <v>767</v>
      </c>
      <c r="F1457" s="18" t="s">
        <v>2970</v>
      </c>
      <c r="G1457" s="49" t="s">
        <v>2971</v>
      </c>
      <c r="H1457" s="17">
        <v>9</v>
      </c>
      <c r="O1457" s="62" t="str">
        <f>IF(E1457="PA",IF(K1457&lt;&gt;"",ISERROR(VLOOKUP(K1457,ABBR!A:D,1,FALSE)),ISERROR(VLOOKUP(C1457,ABBR!A:D,1,FALSE))),"")</f>
        <v/>
      </c>
      <c r="P1457" t="str">
        <f>VLOOKUP(A1457,Groups!A:L,5,FALSE)</f>
        <v>GRAG</v>
      </c>
      <c r="Q1457" s="62" t="str">
        <f>IF(G1457="PA",IF(M1457&lt;&gt;"",ISERROR(VLOOKUP(M1457,ABBR!C:F,1,FALSE)),ISERROR(VLOOKUP(E1457,ABBR!C:F,1,FALSE))),"")</f>
        <v/>
      </c>
    </row>
    <row r="1458" spans="1:17" hidden="1" x14ac:dyDescent="0.25">
      <c r="A1458" s="16" t="s">
        <v>207</v>
      </c>
      <c r="B1458" s="17"/>
      <c r="C1458" s="16" t="s">
        <v>2972</v>
      </c>
      <c r="D1458" s="17"/>
      <c r="E1458" s="17" t="s">
        <v>618</v>
      </c>
      <c r="F1458" s="18" t="s">
        <v>2547</v>
      </c>
      <c r="G1458" s="49" t="s">
        <v>2973</v>
      </c>
      <c r="H1458" s="17">
        <v>10</v>
      </c>
      <c r="O1458" s="62" t="b">
        <f>IF(E1458="PA",IF(K1458&lt;&gt;"",ISERROR(VLOOKUP(K1458,ABBR!A:D,1,FALSE)),ISERROR(VLOOKUP(C1458,ABBR!A:D,1,FALSE))),"")</f>
        <v>0</v>
      </c>
      <c r="P1458" t="str">
        <f>VLOOKUP(A1458,Groups!A:L,5,FALSE)</f>
        <v>GRAG</v>
      </c>
      <c r="Q1458" s="62" t="str">
        <f>IF(G1458="PA",IF(M1458&lt;&gt;"",ISERROR(VLOOKUP(M1458,ABBR!C:F,1,FALSE)),ISERROR(VLOOKUP(E1458,ABBR!C:F,1,FALSE))),"")</f>
        <v/>
      </c>
    </row>
    <row r="1459" spans="1:17" hidden="1" x14ac:dyDescent="0.25">
      <c r="A1459" s="16" t="s">
        <v>207</v>
      </c>
      <c r="B1459" s="17"/>
      <c r="C1459" s="16" t="s">
        <v>2974</v>
      </c>
      <c r="D1459" s="17"/>
      <c r="E1459" s="17" t="s">
        <v>608</v>
      </c>
      <c r="F1459" s="18" t="s">
        <v>642</v>
      </c>
      <c r="G1459" s="49" t="s">
        <v>16</v>
      </c>
      <c r="H1459" s="17">
        <v>11</v>
      </c>
      <c r="M1459" s="101"/>
      <c r="O1459" s="62" t="str">
        <f>IF(E1459="PA",IF(K1459&lt;&gt;"",ISERROR(VLOOKUP(K1459,ABBR!A:D,1,FALSE)),ISERROR(VLOOKUP(C1459,ABBR!A:D,1,FALSE))),"")</f>
        <v/>
      </c>
      <c r="P1459" t="str">
        <f>VLOOKUP(A1459,Groups!A:L,5,FALSE)</f>
        <v>GRAG</v>
      </c>
      <c r="Q1459" s="62" t="str">
        <f>IF(G1459="PA",IF(M1459&lt;&gt;"",ISERROR(VLOOKUP(M1459,ABBR!C:F,1,FALSE)),ISERROR(VLOOKUP(E1459,ABBR!C:F,1,FALSE))),"")</f>
        <v/>
      </c>
    </row>
    <row r="1460" spans="1:17" hidden="1" x14ac:dyDescent="0.25">
      <c r="A1460" s="16" t="s">
        <v>207</v>
      </c>
      <c r="B1460" s="17"/>
      <c r="C1460" s="16" t="s">
        <v>643</v>
      </c>
      <c r="D1460" s="17"/>
      <c r="E1460" s="17" t="s">
        <v>608</v>
      </c>
      <c r="F1460" s="18" t="s">
        <v>954</v>
      </c>
      <c r="G1460" s="49" t="s">
        <v>2937</v>
      </c>
      <c r="H1460" s="17">
        <v>12</v>
      </c>
      <c r="O1460" s="62" t="str">
        <f>IF(E1460="PA",IF(K1460&lt;&gt;"",ISERROR(VLOOKUP(K1460,ABBR!A:D,1,FALSE)),ISERROR(VLOOKUP(C1460,ABBR!A:D,1,FALSE))),"")</f>
        <v/>
      </c>
      <c r="P1460" t="str">
        <f>VLOOKUP(A1460,Groups!A:L,5,FALSE)</f>
        <v>GRAG</v>
      </c>
      <c r="Q1460" s="62" t="str">
        <f>IF(G1460="PA",IF(M1460&lt;&gt;"",ISERROR(VLOOKUP(M1460,ABBR!C:F,1,FALSE)),ISERROR(VLOOKUP(E1460,ABBR!C:F,1,FALSE))),"")</f>
        <v/>
      </c>
    </row>
    <row r="1461" spans="1:17" hidden="1" x14ac:dyDescent="0.25">
      <c r="A1461" s="16" t="s">
        <v>211</v>
      </c>
      <c r="B1461" s="17" t="s">
        <v>594</v>
      </c>
      <c r="C1461" s="16" t="s">
        <v>595</v>
      </c>
      <c r="D1461" s="17"/>
      <c r="E1461" s="17" t="s">
        <v>596</v>
      </c>
      <c r="F1461" s="18" t="s">
        <v>597</v>
      </c>
      <c r="G1461" s="49" t="s">
        <v>598</v>
      </c>
      <c r="H1461" s="17">
        <v>1</v>
      </c>
      <c r="O1461" s="62" t="str">
        <f>IF(E1461="PA",IF(K1461&lt;&gt;"",ISERROR(VLOOKUP(K1461,ABBR!A:D,1,FALSE)),ISERROR(VLOOKUP(C1461,ABBR!A:D,1,FALSE))),"")</f>
        <v/>
      </c>
      <c r="P1461" t="str">
        <f>VLOOKUP(A1461,Groups!A:L,5,FALSE)</f>
        <v>LOCA</v>
      </c>
      <c r="Q1461" s="62" t="str">
        <f>IF(G1461="PA",IF(M1461&lt;&gt;"",ISERROR(VLOOKUP(M1461,ABBR!C:F,1,FALSE)),ISERROR(VLOOKUP(E1461,ABBR!C:F,1,FALSE))),"")</f>
        <v/>
      </c>
    </row>
    <row r="1462" spans="1:17" ht="25" hidden="1" x14ac:dyDescent="0.25">
      <c r="A1462" s="16" t="s">
        <v>211</v>
      </c>
      <c r="B1462" s="17" t="s">
        <v>594</v>
      </c>
      <c r="C1462" s="16" t="s">
        <v>2975</v>
      </c>
      <c r="D1462" s="17" t="s">
        <v>600</v>
      </c>
      <c r="E1462" s="17" t="s">
        <v>601</v>
      </c>
      <c r="F1462" s="18" t="s">
        <v>2976</v>
      </c>
      <c r="G1462" s="49" t="s">
        <v>2977</v>
      </c>
      <c r="H1462" s="17">
        <v>2</v>
      </c>
      <c r="O1462" s="62" t="str">
        <f>IF(E1462="PA",IF(K1462&lt;&gt;"",ISERROR(VLOOKUP(K1462,ABBR!A:D,1,FALSE)),ISERROR(VLOOKUP(C1462,ABBR!A:D,1,FALSE))),"")</f>
        <v/>
      </c>
      <c r="P1462" t="str">
        <f>VLOOKUP(A1462,Groups!A:L,5,FALSE)</f>
        <v>LOCA</v>
      </c>
      <c r="Q1462" s="62" t="str">
        <f>IF(G1462="PA",IF(M1462&lt;&gt;"",ISERROR(VLOOKUP(M1462,ABBR!C:F,1,FALSE)),ISERROR(VLOOKUP(E1462,ABBR!C:F,1,FALSE))),"")</f>
        <v/>
      </c>
    </row>
    <row r="1463" spans="1:17" hidden="1" x14ac:dyDescent="0.25">
      <c r="A1463" s="16" t="s">
        <v>211</v>
      </c>
      <c r="B1463" s="17" t="s">
        <v>594</v>
      </c>
      <c r="C1463" s="16" t="s">
        <v>2978</v>
      </c>
      <c r="D1463" s="17" t="s">
        <v>722</v>
      </c>
      <c r="E1463" s="17" t="s">
        <v>767</v>
      </c>
      <c r="F1463" s="18" t="s">
        <v>2979</v>
      </c>
      <c r="G1463" s="49" t="s">
        <v>1403</v>
      </c>
      <c r="H1463" s="17">
        <v>3</v>
      </c>
      <c r="O1463" s="62" t="str">
        <f>IF(E1463="PA",IF(K1463&lt;&gt;"",ISERROR(VLOOKUP(K1463,ABBR!A:D,1,FALSE)),ISERROR(VLOOKUP(C1463,ABBR!A:D,1,FALSE))),"")</f>
        <v/>
      </c>
      <c r="P1463" t="str">
        <f>VLOOKUP(A1463,Groups!A:L,5,FALSE)</f>
        <v>LOCA</v>
      </c>
      <c r="Q1463" s="62" t="str">
        <f>IF(G1463="PA",IF(M1463&lt;&gt;"",ISERROR(VLOOKUP(M1463,ABBR!C:F,1,FALSE)),ISERROR(VLOOKUP(E1463,ABBR!C:F,1,FALSE))),"")</f>
        <v/>
      </c>
    </row>
    <row r="1464" spans="1:17" hidden="1" x14ac:dyDescent="0.25">
      <c r="A1464" s="16" t="s">
        <v>211</v>
      </c>
      <c r="B1464" s="17"/>
      <c r="C1464" s="16" t="s">
        <v>2980</v>
      </c>
      <c r="D1464" s="17"/>
      <c r="E1464" s="17" t="s">
        <v>608</v>
      </c>
      <c r="F1464" s="18" t="s">
        <v>642</v>
      </c>
      <c r="G1464" s="49" t="s">
        <v>2981</v>
      </c>
      <c r="H1464" s="17">
        <v>4</v>
      </c>
      <c r="O1464" s="62" t="str">
        <f>IF(E1464="PA",IF(K1464&lt;&gt;"",ISERROR(VLOOKUP(K1464,ABBR!A:D,1,FALSE)),ISERROR(VLOOKUP(C1464,ABBR!A:D,1,FALSE))),"")</f>
        <v/>
      </c>
      <c r="P1464" t="str">
        <f>VLOOKUP(A1464,Groups!A:L,5,FALSE)</f>
        <v>LOCA</v>
      </c>
      <c r="Q1464" s="62" t="str">
        <f>IF(G1464="PA",IF(M1464&lt;&gt;"",ISERROR(VLOOKUP(M1464,ABBR!C:F,1,FALSE)),ISERROR(VLOOKUP(E1464,ABBR!C:F,1,FALSE))),"")</f>
        <v/>
      </c>
    </row>
    <row r="1465" spans="1:17" hidden="1" x14ac:dyDescent="0.25">
      <c r="A1465" s="16" t="s">
        <v>211</v>
      </c>
      <c r="B1465" s="17"/>
      <c r="C1465" s="16" t="s">
        <v>643</v>
      </c>
      <c r="D1465" s="17"/>
      <c r="E1465" s="17" t="s">
        <v>608</v>
      </c>
      <c r="F1465" s="18" t="s">
        <v>1267</v>
      </c>
      <c r="G1465" s="49" t="s">
        <v>1615</v>
      </c>
      <c r="H1465" s="17">
        <v>5</v>
      </c>
      <c r="O1465" s="62" t="str">
        <f>IF(E1465="PA",IF(K1465&lt;&gt;"",ISERROR(VLOOKUP(K1465,ABBR!A:D,1,FALSE)),ISERROR(VLOOKUP(C1465,ABBR!A:D,1,FALSE))),"")</f>
        <v/>
      </c>
      <c r="P1465" t="str">
        <f>VLOOKUP(A1465,Groups!A:L,5,FALSE)</f>
        <v>LOCA</v>
      </c>
      <c r="Q1465" s="62" t="str">
        <f>IF(G1465="PA",IF(M1465&lt;&gt;"",ISERROR(VLOOKUP(M1465,ABBR!C:F,1,FALSE)),ISERROR(VLOOKUP(E1465,ABBR!C:F,1,FALSE))),"")</f>
        <v/>
      </c>
    </row>
    <row r="1466" spans="1:17" ht="25" hidden="1" customHeight="1" x14ac:dyDescent="0.35">
      <c r="A1466" s="16" t="s">
        <v>211</v>
      </c>
      <c r="B1466" s="17"/>
      <c r="C1466" s="16" t="s">
        <v>2982</v>
      </c>
      <c r="D1466" s="17"/>
      <c r="E1466" s="17" t="s">
        <v>618</v>
      </c>
      <c r="F1466" s="18" t="s">
        <v>2983</v>
      </c>
      <c r="G1466" s="49" t="s">
        <v>2984</v>
      </c>
      <c r="H1466" s="17">
        <v>6</v>
      </c>
      <c r="J1466" s="62" t="s">
        <v>473</v>
      </c>
      <c r="K1466" s="62"/>
      <c r="M1466" s="81" t="s">
        <v>2985</v>
      </c>
      <c r="O1466" s="62" t="b">
        <f>IF(E1466="PA",IF(K1466&lt;&gt;"",ISERROR(VLOOKUP(K1466,ABBR!A:D,1,FALSE)),ISERROR(VLOOKUP(C1466,ABBR!A:D,1,FALSE))),"")</f>
        <v>0</v>
      </c>
      <c r="P1466" t="str">
        <f>VLOOKUP(A1466,Groups!A:L,5,FALSE)</f>
        <v>LOCA</v>
      </c>
      <c r="Q1466" s="62" t="str">
        <f>IF(G1466="PA",IF(M1466&lt;&gt;"",ISERROR(VLOOKUP(M1466,ABBR!C:F,1,FALSE)),ISERROR(VLOOKUP(E1466,ABBR!C:F,1,FALSE))),"")</f>
        <v/>
      </c>
    </row>
    <row r="1467" spans="1:17" hidden="1" x14ac:dyDescent="0.25">
      <c r="A1467" s="16" t="s">
        <v>214</v>
      </c>
      <c r="B1467" s="17" t="s">
        <v>594</v>
      </c>
      <c r="C1467" s="16" t="s">
        <v>595</v>
      </c>
      <c r="D1467" s="17"/>
      <c r="E1467" s="17" t="s">
        <v>596</v>
      </c>
      <c r="F1467" s="18" t="s">
        <v>597</v>
      </c>
      <c r="G1467" s="49" t="s">
        <v>598</v>
      </c>
      <c r="H1467" s="17">
        <v>1</v>
      </c>
      <c r="O1467" s="62" t="str">
        <f>IF(E1467="PA",IF(K1467&lt;&gt;"",ISERROR(VLOOKUP(K1467,ABBR!A:D,1,FALSE)),ISERROR(VLOOKUP(C1467,ABBR!A:D,1,FALSE))),"")</f>
        <v/>
      </c>
      <c r="P1467" t="str">
        <f>VLOOKUP(A1467,Groups!A:L,5,FALSE)</f>
        <v>LOCA</v>
      </c>
      <c r="Q1467" s="62" t="str">
        <f>IF(G1467="PA",IF(M1467&lt;&gt;"",ISERROR(VLOOKUP(M1467,ABBR!C:F,1,FALSE)),ISERROR(VLOOKUP(E1467,ABBR!C:F,1,FALSE))),"")</f>
        <v/>
      </c>
    </row>
    <row r="1468" spans="1:17" hidden="1" x14ac:dyDescent="0.25">
      <c r="A1468" s="16" t="s">
        <v>214</v>
      </c>
      <c r="B1468" s="17" t="s">
        <v>594</v>
      </c>
      <c r="C1468" s="16" t="s">
        <v>2986</v>
      </c>
      <c r="D1468" s="17" t="s">
        <v>600</v>
      </c>
      <c r="E1468" s="17" t="s">
        <v>601</v>
      </c>
      <c r="F1468" s="18" t="s">
        <v>1251</v>
      </c>
      <c r="G1468" s="49" t="s">
        <v>1252</v>
      </c>
      <c r="H1468" s="17">
        <v>2</v>
      </c>
      <c r="O1468" s="62" t="str">
        <f>IF(E1468="PA",IF(K1468&lt;&gt;"",ISERROR(VLOOKUP(K1468,ABBR!A:D,1,FALSE)),ISERROR(VLOOKUP(C1468,ABBR!A:D,1,FALSE))),"")</f>
        <v/>
      </c>
      <c r="P1468" t="str">
        <f>VLOOKUP(A1468,Groups!A:L,5,FALSE)</f>
        <v>LOCA</v>
      </c>
      <c r="Q1468" s="62" t="str">
        <f>IF(G1468="PA",IF(M1468&lt;&gt;"",ISERROR(VLOOKUP(M1468,ABBR!C:F,1,FALSE)),ISERROR(VLOOKUP(E1468,ABBR!C:F,1,FALSE))),"")</f>
        <v/>
      </c>
    </row>
    <row r="1469" spans="1:17" hidden="1" x14ac:dyDescent="0.25">
      <c r="A1469" s="16" t="s">
        <v>214</v>
      </c>
      <c r="B1469" s="17" t="s">
        <v>594</v>
      </c>
      <c r="C1469" s="16" t="s">
        <v>2987</v>
      </c>
      <c r="D1469" s="17" t="s">
        <v>600</v>
      </c>
      <c r="E1469" s="17" t="s">
        <v>601</v>
      </c>
      <c r="F1469" s="18" t="s">
        <v>1254</v>
      </c>
      <c r="G1469" s="49" t="s">
        <v>2988</v>
      </c>
      <c r="H1469" s="17">
        <v>3</v>
      </c>
      <c r="O1469" s="62" t="str">
        <f>IF(E1469="PA",IF(K1469&lt;&gt;"",ISERROR(VLOOKUP(K1469,ABBR!A:D,1,FALSE)),ISERROR(VLOOKUP(C1469,ABBR!A:D,1,FALSE))),"")</f>
        <v/>
      </c>
      <c r="P1469" t="str">
        <f>VLOOKUP(A1469,Groups!A:L,5,FALSE)</f>
        <v>LOCA</v>
      </c>
      <c r="Q1469" s="62" t="str">
        <f>IF(G1469="PA",IF(M1469&lt;&gt;"",ISERROR(VLOOKUP(M1469,ABBR!C:F,1,FALSE)),ISERROR(VLOOKUP(E1469,ABBR!C:F,1,FALSE))),"")</f>
        <v/>
      </c>
    </row>
    <row r="1470" spans="1:17" hidden="1" x14ac:dyDescent="0.25">
      <c r="A1470" s="16" t="s">
        <v>214</v>
      </c>
      <c r="B1470" s="17" t="s">
        <v>594</v>
      </c>
      <c r="C1470" s="16" t="s">
        <v>2989</v>
      </c>
      <c r="D1470" s="17"/>
      <c r="E1470" s="17" t="s">
        <v>618</v>
      </c>
      <c r="F1470" s="18" t="s">
        <v>2990</v>
      </c>
      <c r="G1470" s="49" t="s">
        <v>2991</v>
      </c>
      <c r="H1470" s="17">
        <v>4</v>
      </c>
      <c r="O1470" s="62" t="b">
        <f>IF(E1470="PA",IF(K1470&lt;&gt;"",ISERROR(VLOOKUP(K1470,ABBR!A:D,1,FALSE)),ISERROR(VLOOKUP(C1470,ABBR!A:D,1,FALSE))),"")</f>
        <v>0</v>
      </c>
      <c r="P1470" t="str">
        <f>VLOOKUP(A1470,Groups!A:L,5,FALSE)</f>
        <v>LOCA</v>
      </c>
      <c r="Q1470" s="62" t="str">
        <f>IF(G1470="PA",IF(M1470&lt;&gt;"",ISERROR(VLOOKUP(M1470,ABBR!C:F,1,FALSE)),ISERROR(VLOOKUP(E1470,ABBR!C:F,1,FALSE))),"")</f>
        <v/>
      </c>
    </row>
    <row r="1471" spans="1:17" ht="25" hidden="1" x14ac:dyDescent="0.25">
      <c r="A1471" s="16" t="s">
        <v>214</v>
      </c>
      <c r="B1471" s="17"/>
      <c r="C1471" s="16" t="s">
        <v>2992</v>
      </c>
      <c r="D1471" s="17" t="s">
        <v>1421</v>
      </c>
      <c r="E1471" s="17" t="s">
        <v>925</v>
      </c>
      <c r="F1471" s="18" t="s">
        <v>2993</v>
      </c>
      <c r="G1471" s="49" t="s">
        <v>1423</v>
      </c>
      <c r="H1471" s="17">
        <v>5</v>
      </c>
      <c r="O1471" s="62" t="str">
        <f>IF(E1471="PA",IF(K1471&lt;&gt;"",ISERROR(VLOOKUP(K1471,ABBR!A:D,1,FALSE)),ISERROR(VLOOKUP(C1471,ABBR!A:D,1,FALSE))),"")</f>
        <v/>
      </c>
      <c r="P1471" t="str">
        <f>VLOOKUP(A1471,Groups!A:L,5,FALSE)</f>
        <v>LOCA</v>
      </c>
      <c r="Q1471" s="62" t="str">
        <f>IF(G1471="PA",IF(M1471&lt;&gt;"",ISERROR(VLOOKUP(M1471,ABBR!C:F,1,FALSE)),ISERROR(VLOOKUP(E1471,ABBR!C:F,1,FALSE))),"")</f>
        <v/>
      </c>
    </row>
    <row r="1472" spans="1:17" ht="25" hidden="1" x14ac:dyDescent="0.25">
      <c r="A1472" s="16" t="s">
        <v>214</v>
      </c>
      <c r="B1472" s="17"/>
      <c r="C1472" s="16" t="s">
        <v>2994</v>
      </c>
      <c r="D1472" s="17" t="s">
        <v>1421</v>
      </c>
      <c r="E1472" s="17" t="s">
        <v>925</v>
      </c>
      <c r="F1472" s="18" t="s">
        <v>2995</v>
      </c>
      <c r="G1472" s="49" t="s">
        <v>2996</v>
      </c>
      <c r="H1472" s="17">
        <v>6</v>
      </c>
      <c r="O1472" s="62" t="str">
        <f>IF(E1472="PA",IF(K1472&lt;&gt;"",ISERROR(VLOOKUP(K1472,ABBR!A:D,1,FALSE)),ISERROR(VLOOKUP(C1472,ABBR!A:D,1,FALSE))),"")</f>
        <v/>
      </c>
      <c r="P1472" t="str">
        <f>VLOOKUP(A1472,Groups!A:L,5,FALSE)</f>
        <v>LOCA</v>
      </c>
      <c r="Q1472" s="62" t="str">
        <f>IF(G1472="PA",IF(M1472&lt;&gt;"",ISERROR(VLOOKUP(M1472,ABBR!C:F,1,FALSE)),ISERROR(VLOOKUP(E1472,ABBR!C:F,1,FALSE))),"")</f>
        <v/>
      </c>
    </row>
    <row r="1473" spans="1:17" hidden="1" x14ac:dyDescent="0.25">
      <c r="A1473" s="16" t="s">
        <v>214</v>
      </c>
      <c r="B1473" s="17"/>
      <c r="C1473" s="16" t="s">
        <v>2997</v>
      </c>
      <c r="D1473" s="17"/>
      <c r="E1473" s="17" t="s">
        <v>608</v>
      </c>
      <c r="F1473" s="18" t="s">
        <v>2998</v>
      </c>
      <c r="G1473" s="49" t="s">
        <v>2999</v>
      </c>
      <c r="H1473" s="17">
        <v>7</v>
      </c>
      <c r="O1473" s="62" t="str">
        <f>IF(E1473="PA",IF(K1473&lt;&gt;"",ISERROR(VLOOKUP(K1473,ABBR!A:D,1,FALSE)),ISERROR(VLOOKUP(C1473,ABBR!A:D,1,FALSE))),"")</f>
        <v/>
      </c>
      <c r="P1473" t="str">
        <f>VLOOKUP(A1473,Groups!A:L,5,FALSE)</f>
        <v>LOCA</v>
      </c>
      <c r="Q1473" s="62" t="str">
        <f>IF(G1473="PA",IF(M1473&lt;&gt;"",ISERROR(VLOOKUP(M1473,ABBR!C:F,1,FALSE)),ISERROR(VLOOKUP(E1473,ABBR!C:F,1,FALSE))),"")</f>
        <v/>
      </c>
    </row>
    <row r="1474" spans="1:17" hidden="1" x14ac:dyDescent="0.25">
      <c r="A1474" s="16" t="s">
        <v>214</v>
      </c>
      <c r="B1474" s="17"/>
      <c r="C1474" s="16" t="s">
        <v>3000</v>
      </c>
      <c r="D1474" s="17"/>
      <c r="E1474" s="17" t="s">
        <v>608</v>
      </c>
      <c r="F1474" s="18" t="s">
        <v>3001</v>
      </c>
      <c r="G1474" s="49" t="s">
        <v>3002</v>
      </c>
      <c r="H1474" s="17">
        <v>8</v>
      </c>
      <c r="O1474" s="62" t="str">
        <f>IF(E1474="PA",IF(K1474&lt;&gt;"",ISERROR(VLOOKUP(K1474,ABBR!A:D,1,FALSE)),ISERROR(VLOOKUP(C1474,ABBR!A:D,1,FALSE))),"")</f>
        <v/>
      </c>
      <c r="P1474" t="str">
        <f>VLOOKUP(A1474,Groups!A:L,5,FALSE)</f>
        <v>LOCA</v>
      </c>
      <c r="Q1474" s="62" t="str">
        <f>IF(G1474="PA",IF(M1474&lt;&gt;"",ISERROR(VLOOKUP(M1474,ABBR!C:F,1,FALSE)),ISERROR(VLOOKUP(E1474,ABBR!C:F,1,FALSE))),"")</f>
        <v/>
      </c>
    </row>
    <row r="1475" spans="1:17" hidden="1" x14ac:dyDescent="0.25">
      <c r="A1475" s="16" t="s">
        <v>214</v>
      </c>
      <c r="B1475" s="17"/>
      <c r="C1475" s="16" t="s">
        <v>3003</v>
      </c>
      <c r="D1475" s="17"/>
      <c r="E1475" s="17" t="s">
        <v>608</v>
      </c>
      <c r="F1475" s="18" t="s">
        <v>3004</v>
      </c>
      <c r="G1475" s="49" t="s">
        <v>2391</v>
      </c>
      <c r="H1475" s="17">
        <v>9</v>
      </c>
      <c r="O1475" s="62" t="str">
        <f>IF(E1475="PA",IF(K1475&lt;&gt;"",ISERROR(VLOOKUP(K1475,ABBR!A:D,1,FALSE)),ISERROR(VLOOKUP(C1475,ABBR!A:D,1,FALSE))),"")</f>
        <v/>
      </c>
      <c r="P1475" t="str">
        <f>VLOOKUP(A1475,Groups!A:L,5,FALSE)</f>
        <v>LOCA</v>
      </c>
      <c r="Q1475" s="62" t="str">
        <f>IF(G1475="PA",IF(M1475&lt;&gt;"",ISERROR(VLOOKUP(M1475,ABBR!C:F,1,FALSE)),ISERROR(VLOOKUP(E1475,ABBR!C:F,1,FALSE))),"")</f>
        <v/>
      </c>
    </row>
    <row r="1476" spans="1:17" ht="25" hidden="1" x14ac:dyDescent="0.25">
      <c r="A1476" s="16" t="s">
        <v>214</v>
      </c>
      <c r="B1476" s="17"/>
      <c r="C1476" s="16" t="s">
        <v>3005</v>
      </c>
      <c r="D1476" s="17"/>
      <c r="E1476" s="17" t="s">
        <v>618</v>
      </c>
      <c r="F1476" s="18" t="s">
        <v>3006</v>
      </c>
      <c r="G1476" s="49" t="s">
        <v>3007</v>
      </c>
      <c r="H1476" s="17">
        <v>10</v>
      </c>
      <c r="I1476" s="30" t="s">
        <v>3008</v>
      </c>
      <c r="J1476" s="62" t="s">
        <v>1279</v>
      </c>
      <c r="O1476" s="62" t="b">
        <f>IF(E1476="PA",IF(K1476&lt;&gt;"",ISERROR(VLOOKUP(K1476,ABBR!A:D,1,FALSE)),ISERROR(VLOOKUP(C1476,ABBR!A:D,1,FALSE))),"")</f>
        <v>0</v>
      </c>
      <c r="P1476" t="str">
        <f>VLOOKUP(A1476,Groups!A:L,5,FALSE)</f>
        <v>LOCA</v>
      </c>
      <c r="Q1476" s="62" t="str">
        <f>IF(G1476="PA",IF(M1476&lt;&gt;"",ISERROR(VLOOKUP(M1476,ABBR!C:F,1,FALSE)),ISERROR(VLOOKUP(E1476,ABBR!C:F,1,FALSE))),"")</f>
        <v/>
      </c>
    </row>
    <row r="1477" spans="1:17" hidden="1" x14ac:dyDescent="0.25">
      <c r="A1477" s="16" t="s">
        <v>214</v>
      </c>
      <c r="B1477" s="17"/>
      <c r="C1477" s="16" t="s">
        <v>3009</v>
      </c>
      <c r="D1477" s="17" t="s">
        <v>600</v>
      </c>
      <c r="E1477" s="17" t="s">
        <v>601</v>
      </c>
      <c r="F1477" s="18" t="s">
        <v>3010</v>
      </c>
      <c r="G1477" s="49" t="s">
        <v>3011</v>
      </c>
      <c r="H1477" s="17">
        <v>11</v>
      </c>
      <c r="O1477" s="62" t="str">
        <f>IF(E1477="PA",IF(K1477&lt;&gt;"",ISERROR(VLOOKUP(K1477,ABBR!A:D,1,FALSE)),ISERROR(VLOOKUP(C1477,ABBR!A:D,1,FALSE))),"")</f>
        <v/>
      </c>
      <c r="P1477" t="str">
        <f>VLOOKUP(A1477,Groups!A:L,5,FALSE)</f>
        <v>LOCA</v>
      </c>
      <c r="Q1477" s="62" t="str">
        <f>IF(G1477="PA",IF(M1477&lt;&gt;"",ISERROR(VLOOKUP(M1477,ABBR!C:F,1,FALSE)),ISERROR(VLOOKUP(E1477,ABBR!C:F,1,FALSE))),"")</f>
        <v/>
      </c>
    </row>
    <row r="1478" spans="1:17" hidden="1" x14ac:dyDescent="0.25">
      <c r="A1478" s="16" t="s">
        <v>214</v>
      </c>
      <c r="B1478" s="17"/>
      <c r="C1478" s="16" t="s">
        <v>3012</v>
      </c>
      <c r="D1478" s="17" t="s">
        <v>600</v>
      </c>
      <c r="E1478" s="17" t="s">
        <v>601</v>
      </c>
      <c r="F1478" s="18" t="s">
        <v>3013</v>
      </c>
      <c r="G1478" s="49" t="s">
        <v>3014</v>
      </c>
      <c r="H1478" s="17">
        <v>12</v>
      </c>
      <c r="O1478" s="62" t="str">
        <f>IF(E1478="PA",IF(K1478&lt;&gt;"",ISERROR(VLOOKUP(K1478,ABBR!A:D,1,FALSE)),ISERROR(VLOOKUP(C1478,ABBR!A:D,1,FALSE))),"")</f>
        <v/>
      </c>
      <c r="P1478" t="str">
        <f>VLOOKUP(A1478,Groups!A:L,5,FALSE)</f>
        <v>LOCA</v>
      </c>
      <c r="Q1478" s="62" t="str">
        <f>IF(G1478="PA",IF(M1478&lt;&gt;"",ISERROR(VLOOKUP(M1478,ABBR!C:F,1,FALSE)),ISERROR(VLOOKUP(E1478,ABBR!C:F,1,FALSE))),"")</f>
        <v/>
      </c>
    </row>
    <row r="1479" spans="1:17" hidden="1" x14ac:dyDescent="0.25">
      <c r="A1479" s="16" t="s">
        <v>214</v>
      </c>
      <c r="B1479" s="17"/>
      <c r="C1479" s="16" t="s">
        <v>3015</v>
      </c>
      <c r="D1479" s="17"/>
      <c r="E1479" s="17" t="s">
        <v>608</v>
      </c>
      <c r="F1479" s="18" t="s">
        <v>3016</v>
      </c>
      <c r="G1479" s="49" t="s">
        <v>3017</v>
      </c>
      <c r="H1479" s="17">
        <v>13</v>
      </c>
      <c r="O1479" s="62" t="str">
        <f>IF(E1479="PA",IF(K1479&lt;&gt;"",ISERROR(VLOOKUP(K1479,ABBR!A:D,1,FALSE)),ISERROR(VLOOKUP(C1479,ABBR!A:D,1,FALSE))),"")</f>
        <v/>
      </c>
      <c r="P1479" t="str">
        <f>VLOOKUP(A1479,Groups!A:L,5,FALSE)</f>
        <v>LOCA</v>
      </c>
      <c r="Q1479" s="62" t="str">
        <f>IF(G1479="PA",IF(M1479&lt;&gt;"",ISERROR(VLOOKUP(M1479,ABBR!C:F,1,FALSE)),ISERROR(VLOOKUP(E1479,ABBR!C:F,1,FALSE))),"")</f>
        <v/>
      </c>
    </row>
    <row r="1480" spans="1:17" hidden="1" x14ac:dyDescent="0.25">
      <c r="A1480" s="16" t="s">
        <v>214</v>
      </c>
      <c r="B1480" s="17"/>
      <c r="C1480" s="16" t="s">
        <v>3018</v>
      </c>
      <c r="D1480" s="17"/>
      <c r="E1480" s="17" t="s">
        <v>608</v>
      </c>
      <c r="F1480" s="18" t="s">
        <v>3019</v>
      </c>
      <c r="G1480" s="49" t="s">
        <v>3020</v>
      </c>
      <c r="H1480" s="17">
        <v>14</v>
      </c>
      <c r="O1480" s="62" t="str">
        <f>IF(E1480="PA",IF(K1480&lt;&gt;"",ISERROR(VLOOKUP(K1480,ABBR!A:D,1,FALSE)),ISERROR(VLOOKUP(C1480,ABBR!A:D,1,FALSE))),"")</f>
        <v/>
      </c>
      <c r="P1480" t="str">
        <f>VLOOKUP(A1480,Groups!A:L,5,FALSE)</f>
        <v>LOCA</v>
      </c>
      <c r="Q1480" s="62" t="str">
        <f>IF(G1480="PA",IF(M1480&lt;&gt;"",ISERROR(VLOOKUP(M1480,ABBR!C:F,1,FALSE)),ISERROR(VLOOKUP(E1480,ABBR!C:F,1,FALSE))),"")</f>
        <v/>
      </c>
    </row>
    <row r="1481" spans="1:17" hidden="1" x14ac:dyDescent="0.25">
      <c r="A1481" s="16" t="s">
        <v>214</v>
      </c>
      <c r="B1481" s="17"/>
      <c r="C1481" s="16" t="s">
        <v>3021</v>
      </c>
      <c r="D1481" s="17"/>
      <c r="E1481" s="17" t="s">
        <v>608</v>
      </c>
      <c r="F1481" s="18" t="s">
        <v>3022</v>
      </c>
      <c r="G1481" s="49" t="s">
        <v>3023</v>
      </c>
      <c r="H1481" s="17">
        <v>15</v>
      </c>
      <c r="O1481" s="62" t="str">
        <f>IF(E1481="PA",IF(K1481&lt;&gt;"",ISERROR(VLOOKUP(K1481,ABBR!A:D,1,FALSE)),ISERROR(VLOOKUP(C1481,ABBR!A:D,1,FALSE))),"")</f>
        <v/>
      </c>
      <c r="P1481" t="str">
        <f>VLOOKUP(A1481,Groups!A:L,5,FALSE)</f>
        <v>LOCA</v>
      </c>
      <c r="Q1481" s="62" t="str">
        <f>IF(G1481="PA",IF(M1481&lt;&gt;"",ISERROR(VLOOKUP(M1481,ABBR!C:F,1,FALSE)),ISERROR(VLOOKUP(E1481,ABBR!C:F,1,FALSE))),"")</f>
        <v/>
      </c>
    </row>
    <row r="1482" spans="1:17" hidden="1" x14ac:dyDescent="0.25">
      <c r="A1482" s="16" t="s">
        <v>214</v>
      </c>
      <c r="B1482" s="17"/>
      <c r="C1482" s="16" t="s">
        <v>3024</v>
      </c>
      <c r="D1482" s="17" t="s">
        <v>600</v>
      </c>
      <c r="E1482" s="17" t="s">
        <v>601</v>
      </c>
      <c r="F1482" s="18" t="s">
        <v>3025</v>
      </c>
      <c r="G1482" s="49" t="s">
        <v>3026</v>
      </c>
      <c r="H1482" s="17">
        <v>16</v>
      </c>
      <c r="O1482" s="62" t="str">
        <f>IF(E1482="PA",IF(K1482&lt;&gt;"",ISERROR(VLOOKUP(K1482,ABBR!A:D,1,FALSE)),ISERROR(VLOOKUP(C1482,ABBR!A:D,1,FALSE))),"")</f>
        <v/>
      </c>
      <c r="P1482" t="str">
        <f>VLOOKUP(A1482,Groups!A:L,5,FALSE)</f>
        <v>LOCA</v>
      </c>
      <c r="Q1482" s="62" t="str">
        <f>IF(G1482="PA",IF(M1482&lt;&gt;"",ISERROR(VLOOKUP(M1482,ABBR!C:F,1,FALSE)),ISERROR(VLOOKUP(E1482,ABBR!C:F,1,FALSE))),"")</f>
        <v/>
      </c>
    </row>
    <row r="1483" spans="1:17" hidden="1" x14ac:dyDescent="0.25">
      <c r="A1483" s="16" t="s">
        <v>214</v>
      </c>
      <c r="B1483" s="17"/>
      <c r="C1483" s="16" t="s">
        <v>3027</v>
      </c>
      <c r="D1483" s="17"/>
      <c r="E1483" s="17" t="s">
        <v>608</v>
      </c>
      <c r="F1483" s="18" t="s">
        <v>3028</v>
      </c>
      <c r="G1483" s="49" t="s">
        <v>3029</v>
      </c>
      <c r="H1483" s="17">
        <v>17</v>
      </c>
      <c r="O1483" s="62" t="str">
        <f>IF(E1483="PA",IF(K1483&lt;&gt;"",ISERROR(VLOOKUP(K1483,ABBR!A:D,1,FALSE)),ISERROR(VLOOKUP(C1483,ABBR!A:D,1,FALSE))),"")</f>
        <v/>
      </c>
      <c r="P1483" t="str">
        <f>VLOOKUP(A1483,Groups!A:L,5,FALSE)</f>
        <v>LOCA</v>
      </c>
      <c r="Q1483" s="62" t="str">
        <f>IF(G1483="PA",IF(M1483&lt;&gt;"",ISERROR(VLOOKUP(M1483,ABBR!C:F,1,FALSE)),ISERROR(VLOOKUP(E1483,ABBR!C:F,1,FALSE))),"")</f>
        <v/>
      </c>
    </row>
    <row r="1484" spans="1:17" hidden="1" x14ac:dyDescent="0.25">
      <c r="A1484" s="16" t="s">
        <v>214</v>
      </c>
      <c r="B1484" s="17"/>
      <c r="C1484" s="16" t="s">
        <v>3030</v>
      </c>
      <c r="D1484" s="17" t="s">
        <v>924</v>
      </c>
      <c r="E1484" s="17" t="s">
        <v>925</v>
      </c>
      <c r="F1484" s="18" t="s">
        <v>3031</v>
      </c>
      <c r="G1484" s="49" t="s">
        <v>3032</v>
      </c>
      <c r="H1484" s="17">
        <v>18</v>
      </c>
      <c r="O1484" s="62" t="str">
        <f>IF(E1484="PA",IF(K1484&lt;&gt;"",ISERROR(VLOOKUP(K1484,ABBR!A:D,1,FALSE)),ISERROR(VLOOKUP(C1484,ABBR!A:D,1,FALSE))),"")</f>
        <v/>
      </c>
      <c r="P1484" t="str">
        <f>VLOOKUP(A1484,Groups!A:L,5,FALSE)</f>
        <v>LOCA</v>
      </c>
      <c r="Q1484" s="62" t="str">
        <f>IF(G1484="PA",IF(M1484&lt;&gt;"",ISERROR(VLOOKUP(M1484,ABBR!C:F,1,FALSE)),ISERROR(VLOOKUP(E1484,ABBR!C:F,1,FALSE))),"")</f>
        <v/>
      </c>
    </row>
    <row r="1485" spans="1:17" hidden="1" x14ac:dyDescent="0.25">
      <c r="A1485" s="16" t="s">
        <v>214</v>
      </c>
      <c r="B1485" s="17"/>
      <c r="C1485" s="16" t="s">
        <v>3033</v>
      </c>
      <c r="D1485" s="17"/>
      <c r="E1485" s="17" t="s">
        <v>608</v>
      </c>
      <c r="F1485" s="18" t="s">
        <v>642</v>
      </c>
      <c r="G1485" s="49" t="s">
        <v>3034</v>
      </c>
      <c r="H1485" s="17">
        <v>19</v>
      </c>
      <c r="O1485" s="62" t="str">
        <f>IF(E1485="PA",IF(K1485&lt;&gt;"",ISERROR(VLOOKUP(K1485,ABBR!A:D,1,FALSE)),ISERROR(VLOOKUP(C1485,ABBR!A:D,1,FALSE))),"")</f>
        <v/>
      </c>
      <c r="P1485" t="str">
        <f>VLOOKUP(A1485,Groups!A:L,5,FALSE)</f>
        <v>LOCA</v>
      </c>
      <c r="Q1485" s="62" t="str">
        <f>IF(G1485="PA",IF(M1485&lt;&gt;"",ISERROR(VLOOKUP(M1485,ABBR!C:F,1,FALSE)),ISERROR(VLOOKUP(E1485,ABBR!C:F,1,FALSE))),"")</f>
        <v/>
      </c>
    </row>
    <row r="1486" spans="1:17" ht="25" hidden="1" x14ac:dyDescent="0.25">
      <c r="A1486" s="16" t="s">
        <v>214</v>
      </c>
      <c r="B1486" s="17"/>
      <c r="C1486" s="16" t="s">
        <v>3035</v>
      </c>
      <c r="D1486" s="17"/>
      <c r="E1486" s="17" t="s">
        <v>608</v>
      </c>
      <c r="F1486" s="18" t="s">
        <v>3036</v>
      </c>
      <c r="G1486" s="49" t="s">
        <v>3037</v>
      </c>
      <c r="H1486" s="17">
        <v>20</v>
      </c>
      <c r="O1486" s="62" t="str">
        <f>IF(E1486="PA",IF(K1486&lt;&gt;"",ISERROR(VLOOKUP(K1486,ABBR!A:D,1,FALSE)),ISERROR(VLOOKUP(C1486,ABBR!A:D,1,FALSE))),"")</f>
        <v/>
      </c>
      <c r="P1486" t="str">
        <f>VLOOKUP(A1486,Groups!A:L,5,FALSE)</f>
        <v>LOCA</v>
      </c>
      <c r="Q1486" s="62" t="str">
        <f>IF(G1486="PA",IF(M1486&lt;&gt;"",ISERROR(VLOOKUP(M1486,ABBR!C:F,1,FALSE)),ISERROR(VLOOKUP(E1486,ABBR!C:F,1,FALSE))),"")</f>
        <v/>
      </c>
    </row>
    <row r="1487" spans="1:17" hidden="1" x14ac:dyDescent="0.25">
      <c r="A1487" s="16" t="s">
        <v>214</v>
      </c>
      <c r="B1487" s="17"/>
      <c r="C1487" s="16" t="s">
        <v>3038</v>
      </c>
      <c r="D1487" s="17"/>
      <c r="E1487" s="17" t="s">
        <v>618</v>
      </c>
      <c r="F1487" s="18" t="s">
        <v>3039</v>
      </c>
      <c r="G1487" s="49" t="s">
        <v>3040</v>
      </c>
      <c r="H1487" s="17">
        <v>21</v>
      </c>
      <c r="J1487" s="62" t="s">
        <v>1279</v>
      </c>
      <c r="K1487" s="62"/>
      <c r="M1487" s="62"/>
      <c r="N1487" s="62"/>
      <c r="O1487" s="62" t="b">
        <f>IF(E1487="PA",IF(K1487&lt;&gt;"",ISERROR(VLOOKUP(K1487,ABBR!A:D,1,FALSE)),ISERROR(VLOOKUP(C1487,ABBR!A:D,1,FALSE))),"")</f>
        <v>0</v>
      </c>
      <c r="P1487" t="str">
        <f>VLOOKUP(A1487,Groups!A:L,5,FALSE)</f>
        <v>LOCA</v>
      </c>
      <c r="Q1487" s="62" t="str">
        <f>IF(G1487="PA",IF(M1487&lt;&gt;"",ISERROR(VLOOKUP(M1487,ABBR!C:F,1,FALSE)),ISERROR(VLOOKUP(E1487,ABBR!C:F,1,FALSE))),"")</f>
        <v/>
      </c>
    </row>
    <row r="1488" spans="1:17" hidden="1" x14ac:dyDescent="0.25">
      <c r="A1488" s="16" t="s">
        <v>214</v>
      </c>
      <c r="B1488" s="17"/>
      <c r="C1488" s="16" t="s">
        <v>3041</v>
      </c>
      <c r="D1488" s="17"/>
      <c r="E1488" s="17" t="s">
        <v>608</v>
      </c>
      <c r="F1488" s="18" t="s">
        <v>3042</v>
      </c>
      <c r="G1488" s="49" t="s">
        <v>3043</v>
      </c>
      <c r="H1488" s="17">
        <v>22</v>
      </c>
      <c r="O1488" s="62" t="str">
        <f>IF(E1488="PA",IF(K1488&lt;&gt;"",ISERROR(VLOOKUP(K1488,ABBR!A:D,1,FALSE)),ISERROR(VLOOKUP(C1488,ABBR!A:D,1,FALSE))),"")</f>
        <v/>
      </c>
      <c r="P1488" t="str">
        <f>VLOOKUP(A1488,Groups!A:L,5,FALSE)</f>
        <v>LOCA</v>
      </c>
      <c r="Q1488" s="62" t="str">
        <f>IF(G1488="PA",IF(M1488&lt;&gt;"",ISERROR(VLOOKUP(M1488,ABBR!C:F,1,FALSE)),ISERROR(VLOOKUP(E1488,ABBR!C:F,1,FALSE))),"")</f>
        <v/>
      </c>
    </row>
    <row r="1489" spans="1:17" ht="25" hidden="1" x14ac:dyDescent="0.25">
      <c r="A1489" s="16" t="s">
        <v>214</v>
      </c>
      <c r="B1489" s="17"/>
      <c r="C1489" s="16" t="s">
        <v>643</v>
      </c>
      <c r="D1489" s="17"/>
      <c r="E1489" s="17" t="s">
        <v>608</v>
      </c>
      <c r="F1489" s="18" t="s">
        <v>3044</v>
      </c>
      <c r="G1489" s="49" t="s">
        <v>3045</v>
      </c>
      <c r="H1489" s="17">
        <v>23</v>
      </c>
      <c r="O1489" s="62" t="str">
        <f>IF(E1489="PA",IF(K1489&lt;&gt;"",ISERROR(VLOOKUP(K1489,ABBR!A:D,1,FALSE)),ISERROR(VLOOKUP(C1489,ABBR!A:D,1,FALSE))),"")</f>
        <v/>
      </c>
      <c r="P1489" t="str">
        <f>VLOOKUP(A1489,Groups!A:L,5,FALSE)</f>
        <v>LOCA</v>
      </c>
      <c r="Q1489" s="62" t="str">
        <f>IF(G1489="PA",IF(M1489&lt;&gt;"",ISERROR(VLOOKUP(M1489,ABBR!C:F,1,FALSE)),ISERROR(VLOOKUP(E1489,ABBR!C:F,1,FALSE))),"")</f>
        <v/>
      </c>
    </row>
    <row r="1490" spans="1:17" ht="25" hidden="1" x14ac:dyDescent="0.25">
      <c r="A1490" s="16" t="s">
        <v>214</v>
      </c>
      <c r="B1490" s="17"/>
      <c r="C1490" s="16" t="s">
        <v>3046</v>
      </c>
      <c r="D1490" s="17"/>
      <c r="E1490" s="17" t="s">
        <v>608</v>
      </c>
      <c r="F1490" s="18" t="s">
        <v>3047</v>
      </c>
      <c r="G1490" s="49" t="s">
        <v>3048</v>
      </c>
      <c r="H1490" s="17">
        <v>24</v>
      </c>
      <c r="J1490" s="62" t="s">
        <v>473</v>
      </c>
      <c r="K1490" s="62"/>
      <c r="M1490" s="62"/>
      <c r="N1490" s="62"/>
      <c r="O1490" s="62" t="str">
        <f>IF(E1490="PA",IF(K1490&lt;&gt;"",ISERROR(VLOOKUP(K1490,ABBR!A:D,1,FALSE)),ISERROR(VLOOKUP(C1490,ABBR!A:D,1,FALSE))),"")</f>
        <v/>
      </c>
      <c r="P1490" t="str">
        <f>VLOOKUP(A1490,Groups!A:L,5,FALSE)</f>
        <v>LOCA</v>
      </c>
      <c r="Q1490" s="62" t="str">
        <f>IF(G1490="PA",IF(M1490&lt;&gt;"",ISERROR(VLOOKUP(M1490,ABBR!C:F,1,FALSE)),ISERROR(VLOOKUP(E1490,ABBR!C:F,1,FALSE))),"")</f>
        <v/>
      </c>
    </row>
    <row r="1491" spans="1:17" hidden="1" x14ac:dyDescent="0.25">
      <c r="A1491" s="25" t="s">
        <v>217</v>
      </c>
      <c r="B1491" s="17" t="s">
        <v>594</v>
      </c>
      <c r="C1491" s="16" t="s">
        <v>595</v>
      </c>
      <c r="D1491" s="17"/>
      <c r="E1491" s="17" t="s">
        <v>596</v>
      </c>
      <c r="F1491" s="18" t="s">
        <v>597</v>
      </c>
      <c r="G1491" s="49" t="s">
        <v>598</v>
      </c>
      <c r="H1491" s="17">
        <v>1</v>
      </c>
      <c r="O1491" s="62" t="str">
        <f>IF(E1491="PA",IF(K1491&lt;&gt;"",ISERROR(VLOOKUP(K1491,ABBR!A:D,1,FALSE)),ISERROR(VLOOKUP(C1491,ABBR!A:D,1,FALSE))),"")</f>
        <v/>
      </c>
      <c r="P1491" t="str">
        <f>VLOOKUP(A1491,Groups!A:L,5,FALSE)</f>
        <v>LOCA</v>
      </c>
      <c r="Q1491" s="62" t="str">
        <f>IF(G1491="PA",IF(M1491&lt;&gt;"",ISERROR(VLOOKUP(M1491,ABBR!C:F,1,FALSE)),ISERROR(VLOOKUP(E1491,ABBR!C:F,1,FALSE))),"")</f>
        <v/>
      </c>
    </row>
    <row r="1492" spans="1:17" hidden="1" x14ac:dyDescent="0.25">
      <c r="A1492" s="25" t="s">
        <v>217</v>
      </c>
      <c r="B1492" s="17" t="s">
        <v>594</v>
      </c>
      <c r="C1492" s="16" t="s">
        <v>3049</v>
      </c>
      <c r="D1492" s="17" t="s">
        <v>600</v>
      </c>
      <c r="E1492" s="22" t="s">
        <v>601</v>
      </c>
      <c r="F1492" s="18" t="s">
        <v>3050</v>
      </c>
      <c r="G1492" s="55" t="s">
        <v>3051</v>
      </c>
      <c r="H1492" s="17">
        <v>2</v>
      </c>
      <c r="O1492" s="62" t="str">
        <f>IF(E1492="PA",IF(K1492&lt;&gt;"",ISERROR(VLOOKUP(K1492,ABBR!A:D,1,FALSE)),ISERROR(VLOOKUP(C1492,ABBR!A:D,1,FALSE))),"")</f>
        <v/>
      </c>
      <c r="P1492" t="str">
        <f>VLOOKUP(A1492,Groups!A:L,5,FALSE)</f>
        <v>LOCA</v>
      </c>
      <c r="Q1492" s="62" t="str">
        <f>IF(G1492="PA",IF(M1492&lt;&gt;"",ISERROR(VLOOKUP(M1492,ABBR!C:F,1,FALSE)),ISERROR(VLOOKUP(E1492,ABBR!C:F,1,FALSE))),"")</f>
        <v/>
      </c>
    </row>
    <row r="1493" spans="1:17" hidden="1" x14ac:dyDescent="0.25">
      <c r="A1493" s="25" t="s">
        <v>217</v>
      </c>
      <c r="B1493" s="17" t="s">
        <v>594</v>
      </c>
      <c r="C1493" s="16" t="s">
        <v>3052</v>
      </c>
      <c r="D1493" s="17" t="s">
        <v>600</v>
      </c>
      <c r="E1493" s="22" t="s">
        <v>601</v>
      </c>
      <c r="F1493" s="18" t="s">
        <v>3053</v>
      </c>
      <c r="G1493" s="49" t="s">
        <v>2112</v>
      </c>
      <c r="H1493" s="17">
        <v>3</v>
      </c>
      <c r="O1493" s="62" t="str">
        <f>IF(E1493="PA",IF(K1493&lt;&gt;"",ISERROR(VLOOKUP(K1493,ABBR!A:D,1,FALSE)),ISERROR(VLOOKUP(C1493,ABBR!A:D,1,FALSE))),"")</f>
        <v/>
      </c>
      <c r="P1493" t="str">
        <f>VLOOKUP(A1493,Groups!A:L,5,FALSE)</f>
        <v>LOCA</v>
      </c>
      <c r="Q1493" s="62" t="str">
        <f>IF(G1493="PA",IF(M1493&lt;&gt;"",ISERROR(VLOOKUP(M1493,ABBR!C:F,1,FALSE)),ISERROR(VLOOKUP(E1493,ABBR!C:F,1,FALSE))),"")</f>
        <v/>
      </c>
    </row>
    <row r="1494" spans="1:17" ht="37.5" hidden="1" x14ac:dyDescent="0.25">
      <c r="A1494" s="25" t="s">
        <v>217</v>
      </c>
      <c r="B1494" s="17"/>
      <c r="C1494" s="25" t="s">
        <v>3054</v>
      </c>
      <c r="D1494" s="17" t="s">
        <v>2027</v>
      </c>
      <c r="E1494" s="17" t="s">
        <v>767</v>
      </c>
      <c r="F1494" s="18" t="s">
        <v>3055</v>
      </c>
      <c r="G1494" s="49" t="s">
        <v>3056</v>
      </c>
      <c r="H1494" s="17">
        <v>4</v>
      </c>
      <c r="L1494" s="195" t="s">
        <v>8833</v>
      </c>
      <c r="O1494" s="62" t="str">
        <f>IF(E1494="PA",IF(K1494&lt;&gt;"",ISERROR(VLOOKUP(K1494,ABBR!A:D,1,FALSE)),ISERROR(VLOOKUP(C1494,ABBR!A:D,1,FALSE))),"")</f>
        <v/>
      </c>
      <c r="P1494" t="str">
        <f>VLOOKUP(A1494,Groups!A:L,5,FALSE)</f>
        <v>LOCA</v>
      </c>
      <c r="Q1494" s="62" t="str">
        <f>IF(G1494="PA",IF(M1494&lt;&gt;"",ISERROR(VLOOKUP(M1494,ABBR!C:F,1,FALSE)),ISERROR(VLOOKUP(E1494,ABBR!C:F,1,FALSE))),"")</f>
        <v/>
      </c>
    </row>
    <row r="1495" spans="1:17" ht="25" hidden="1" x14ac:dyDescent="0.25">
      <c r="A1495" s="25" t="s">
        <v>217</v>
      </c>
      <c r="B1495" s="17"/>
      <c r="C1495" s="25" t="s">
        <v>3057</v>
      </c>
      <c r="D1495" s="17" t="s">
        <v>2027</v>
      </c>
      <c r="E1495" s="17" t="s">
        <v>767</v>
      </c>
      <c r="F1495" s="18" t="s">
        <v>3058</v>
      </c>
      <c r="G1495" s="49" t="s">
        <v>3059</v>
      </c>
      <c r="H1495" s="17">
        <v>5</v>
      </c>
      <c r="O1495" s="62" t="str">
        <f>IF(E1495="PA",IF(K1495&lt;&gt;"",ISERROR(VLOOKUP(K1495,ABBR!A:D,1,FALSE)),ISERROR(VLOOKUP(C1495,ABBR!A:D,1,FALSE))),"")</f>
        <v/>
      </c>
      <c r="P1495" t="str">
        <f>VLOOKUP(A1495,Groups!A:L,5,FALSE)</f>
        <v>LOCA</v>
      </c>
      <c r="Q1495" s="62" t="str">
        <f>IF(G1495="PA",IF(M1495&lt;&gt;"",ISERROR(VLOOKUP(M1495,ABBR!C:F,1,FALSE)),ISERROR(VLOOKUP(E1495,ABBR!C:F,1,FALSE))),"")</f>
        <v/>
      </c>
    </row>
    <row r="1496" spans="1:17" ht="25" hidden="1" x14ac:dyDescent="0.25">
      <c r="A1496" s="16" t="s">
        <v>217</v>
      </c>
      <c r="B1496" s="17"/>
      <c r="C1496" s="16" t="s">
        <v>3060</v>
      </c>
      <c r="D1496" s="17"/>
      <c r="E1496" s="17" t="s">
        <v>608</v>
      </c>
      <c r="F1496" s="18" t="s">
        <v>3061</v>
      </c>
      <c r="G1496" s="49" t="s">
        <v>16</v>
      </c>
      <c r="H1496" s="17">
        <v>6</v>
      </c>
      <c r="M1496" s="101"/>
      <c r="O1496" s="62" t="str">
        <f>IF(E1496="PA",IF(K1496&lt;&gt;"",ISERROR(VLOOKUP(K1496,ABBR!A:D,1,FALSE)),ISERROR(VLOOKUP(C1496,ABBR!A:D,1,FALSE))),"")</f>
        <v/>
      </c>
      <c r="P1496" t="str">
        <f>VLOOKUP(A1496,Groups!A:L,5,FALSE)</f>
        <v>LOCA</v>
      </c>
      <c r="Q1496" s="62" t="str">
        <f>IF(G1496="PA",IF(M1496&lt;&gt;"",ISERROR(VLOOKUP(M1496,ABBR!C:F,1,FALSE)),ISERROR(VLOOKUP(E1496,ABBR!C:F,1,FALSE))),"")</f>
        <v/>
      </c>
    </row>
    <row r="1497" spans="1:17" ht="25" hidden="1" x14ac:dyDescent="0.25">
      <c r="A1497" s="16" t="s">
        <v>217</v>
      </c>
      <c r="B1497" s="17"/>
      <c r="C1497" s="16" t="s">
        <v>643</v>
      </c>
      <c r="D1497" s="17"/>
      <c r="E1497" s="17" t="s">
        <v>608</v>
      </c>
      <c r="F1497" s="18" t="s">
        <v>974</v>
      </c>
      <c r="G1497" s="49" t="s">
        <v>3062</v>
      </c>
      <c r="H1497" s="17">
        <v>7</v>
      </c>
      <c r="O1497" s="62" t="str">
        <f>IF(E1497="PA",IF(K1497&lt;&gt;"",ISERROR(VLOOKUP(K1497,ABBR!A:D,1,FALSE)),ISERROR(VLOOKUP(C1497,ABBR!A:D,1,FALSE))),"")</f>
        <v/>
      </c>
      <c r="P1497" t="str">
        <f>VLOOKUP(A1497,Groups!A:L,5,FALSE)</f>
        <v>LOCA</v>
      </c>
      <c r="Q1497" s="62" t="str">
        <f>IF(G1497="PA",IF(M1497&lt;&gt;"",ISERROR(VLOOKUP(M1497,ABBR!C:F,1,FALSE)),ISERROR(VLOOKUP(E1497,ABBR!C:F,1,FALSE))),"")</f>
        <v/>
      </c>
    </row>
    <row r="1498" spans="1:17" hidden="1" x14ac:dyDescent="0.25">
      <c r="A1498" s="16" t="s">
        <v>507</v>
      </c>
      <c r="B1498" s="17" t="s">
        <v>594</v>
      </c>
      <c r="C1498" s="16" t="s">
        <v>595</v>
      </c>
      <c r="D1498" s="17"/>
      <c r="E1498" s="17" t="s">
        <v>596</v>
      </c>
      <c r="F1498" s="18" t="s">
        <v>1953</v>
      </c>
      <c r="G1498" s="49" t="s">
        <v>598</v>
      </c>
      <c r="H1498" s="17">
        <v>1</v>
      </c>
      <c r="J1498" s="62" t="s">
        <v>478</v>
      </c>
      <c r="K1498" s="62"/>
      <c r="M1498" s="62"/>
      <c r="N1498" s="62"/>
      <c r="O1498" s="62" t="str">
        <f>IF(E1498="PA",IF(K1498&lt;&gt;"",ISERROR(VLOOKUP(K1498,ABBR!A:D,1,FALSE)),ISERROR(VLOOKUP(C1498,ABBR!A:D,1,FALSE))),"")</f>
        <v/>
      </c>
      <c r="P1498" t="str">
        <f>VLOOKUP(A1498,Groups!A:L,5,FALSE)</f>
        <v>ICBR</v>
      </c>
      <c r="Q1498" s="62" t="str">
        <f>IF(G1498="PA",IF(M1498&lt;&gt;"",ISERROR(VLOOKUP(M1498,ABBR!C:F,1,FALSE)),ISERROR(VLOOKUP(E1498,ABBR!C:F,1,FALSE))),"")</f>
        <v/>
      </c>
    </row>
    <row r="1499" spans="1:17" hidden="1" x14ac:dyDescent="0.25">
      <c r="A1499" s="16" t="s">
        <v>507</v>
      </c>
      <c r="B1499" s="17" t="s">
        <v>594</v>
      </c>
      <c r="C1499" s="16" t="s">
        <v>3063</v>
      </c>
      <c r="D1499" s="17" t="s">
        <v>600</v>
      </c>
      <c r="E1499" s="17" t="s">
        <v>601</v>
      </c>
      <c r="F1499" s="18" t="s">
        <v>3064</v>
      </c>
      <c r="G1499" s="49" t="s">
        <v>3065</v>
      </c>
      <c r="H1499" s="17">
        <v>2</v>
      </c>
      <c r="J1499" s="62" t="s">
        <v>478</v>
      </c>
      <c r="K1499" s="62"/>
      <c r="M1499" s="62"/>
      <c r="N1499" s="62"/>
      <c r="O1499" s="62" t="str">
        <f>IF(E1499="PA",IF(K1499&lt;&gt;"",ISERROR(VLOOKUP(K1499,ABBR!A:D,1,FALSE)),ISERROR(VLOOKUP(C1499,ABBR!A:D,1,FALSE))),"")</f>
        <v/>
      </c>
      <c r="P1499" t="str">
        <f>VLOOKUP(A1499,Groups!A:L,5,FALSE)</f>
        <v>ICBR</v>
      </c>
      <c r="Q1499" s="62" t="str">
        <f>IF(G1499="PA",IF(M1499&lt;&gt;"",ISERROR(VLOOKUP(M1499,ABBR!C:F,1,FALSE)),ISERROR(VLOOKUP(E1499,ABBR!C:F,1,FALSE))),"")</f>
        <v/>
      </c>
    </row>
    <row r="1500" spans="1:17" hidden="1" x14ac:dyDescent="0.25">
      <c r="A1500" s="16" t="s">
        <v>507</v>
      </c>
      <c r="B1500" s="17" t="s">
        <v>594</v>
      </c>
      <c r="C1500" s="16" t="s">
        <v>3066</v>
      </c>
      <c r="D1500" s="17"/>
      <c r="E1500" s="17" t="s">
        <v>608</v>
      </c>
      <c r="F1500" s="18" t="s">
        <v>1313</v>
      </c>
      <c r="G1500" s="49" t="s">
        <v>1229</v>
      </c>
      <c r="H1500" s="17">
        <v>3</v>
      </c>
      <c r="J1500" s="62" t="s">
        <v>478</v>
      </c>
      <c r="K1500" s="62"/>
      <c r="M1500" s="62"/>
      <c r="N1500" s="62"/>
      <c r="O1500" s="62" t="str">
        <f>IF(E1500="PA",IF(K1500&lt;&gt;"",ISERROR(VLOOKUP(K1500,ABBR!A:D,1,FALSE)),ISERROR(VLOOKUP(C1500,ABBR!A:D,1,FALSE))),"")</f>
        <v/>
      </c>
      <c r="P1500" t="str">
        <f>VLOOKUP(A1500,Groups!A:L,5,FALSE)</f>
        <v>ICBR</v>
      </c>
      <c r="Q1500" s="62" t="str">
        <f>IF(G1500="PA",IF(M1500&lt;&gt;"",ISERROR(VLOOKUP(M1500,ABBR!C:F,1,FALSE)),ISERROR(VLOOKUP(E1500,ABBR!C:F,1,FALSE))),"")</f>
        <v/>
      </c>
    </row>
    <row r="1501" spans="1:17" hidden="1" x14ac:dyDescent="0.25">
      <c r="A1501" s="16" t="s">
        <v>507</v>
      </c>
      <c r="B1501" s="17" t="s">
        <v>594</v>
      </c>
      <c r="C1501" s="16" t="s">
        <v>3067</v>
      </c>
      <c r="D1501" s="17" t="s">
        <v>722</v>
      </c>
      <c r="E1501" s="17" t="s">
        <v>601</v>
      </c>
      <c r="F1501" s="18" t="s">
        <v>3068</v>
      </c>
      <c r="G1501" s="49" t="s">
        <v>2184</v>
      </c>
      <c r="H1501" s="17">
        <v>4</v>
      </c>
      <c r="J1501" s="62" t="s">
        <v>478</v>
      </c>
      <c r="K1501" s="62"/>
      <c r="M1501" s="62"/>
      <c r="N1501" s="62"/>
      <c r="O1501" s="62" t="str">
        <f>IF(E1501="PA",IF(K1501&lt;&gt;"",ISERROR(VLOOKUP(K1501,ABBR!A:D,1,FALSE)),ISERROR(VLOOKUP(C1501,ABBR!A:D,1,FALSE))),"")</f>
        <v/>
      </c>
      <c r="P1501" t="str">
        <f>VLOOKUP(A1501,Groups!A:L,5,FALSE)</f>
        <v>ICBR</v>
      </c>
      <c r="Q1501" s="62" t="str">
        <f>IF(G1501="PA",IF(M1501&lt;&gt;"",ISERROR(VLOOKUP(M1501,ABBR!C:F,1,FALSE)),ISERROR(VLOOKUP(E1501,ABBR!C:F,1,FALSE))),"")</f>
        <v/>
      </c>
    </row>
    <row r="1502" spans="1:17" hidden="1" x14ac:dyDescent="0.25">
      <c r="A1502" s="16" t="s">
        <v>507</v>
      </c>
      <c r="B1502" s="17"/>
      <c r="C1502" s="16" t="s">
        <v>3069</v>
      </c>
      <c r="D1502" s="17" t="s">
        <v>1002</v>
      </c>
      <c r="E1502" s="17" t="s">
        <v>1321</v>
      </c>
      <c r="F1502" s="18" t="s">
        <v>3070</v>
      </c>
      <c r="G1502" s="49" t="s">
        <v>3071</v>
      </c>
      <c r="H1502" s="17">
        <v>5</v>
      </c>
      <c r="J1502" s="62" t="s">
        <v>478</v>
      </c>
      <c r="K1502" s="62"/>
      <c r="M1502" s="62"/>
      <c r="N1502" s="62"/>
      <c r="O1502" s="62" t="str">
        <f>IF(E1502="PA",IF(K1502&lt;&gt;"",ISERROR(VLOOKUP(K1502,ABBR!A:D,1,FALSE)),ISERROR(VLOOKUP(C1502,ABBR!A:D,1,FALSE))),"")</f>
        <v/>
      </c>
      <c r="P1502" t="str">
        <f>VLOOKUP(A1502,Groups!A:L,5,FALSE)</f>
        <v>ICBR</v>
      </c>
      <c r="Q1502" s="62" t="str">
        <f>IF(G1502="PA",IF(M1502&lt;&gt;"",ISERROR(VLOOKUP(M1502,ABBR!C:F,1,FALSE)),ISERROR(VLOOKUP(E1502,ABBR!C:F,1,FALSE))),"")</f>
        <v/>
      </c>
    </row>
    <row r="1503" spans="1:17" hidden="1" x14ac:dyDescent="0.25">
      <c r="A1503" s="16" t="s">
        <v>507</v>
      </c>
      <c r="B1503" s="17"/>
      <c r="C1503" s="16" t="s">
        <v>3072</v>
      </c>
      <c r="D1503" s="17"/>
      <c r="E1503" s="17" t="s">
        <v>608</v>
      </c>
      <c r="F1503" s="18" t="s">
        <v>642</v>
      </c>
      <c r="G1503" s="49" t="s">
        <v>642</v>
      </c>
      <c r="H1503" s="17">
        <v>6</v>
      </c>
      <c r="J1503" s="62" t="s">
        <v>478</v>
      </c>
      <c r="K1503" s="62"/>
      <c r="M1503" s="62"/>
      <c r="N1503" s="62"/>
      <c r="O1503" s="62" t="str">
        <f>IF(E1503="PA",IF(K1503&lt;&gt;"",ISERROR(VLOOKUP(K1503,ABBR!A:D,1,FALSE)),ISERROR(VLOOKUP(C1503,ABBR!A:D,1,FALSE))),"")</f>
        <v/>
      </c>
      <c r="P1503" t="str">
        <f>VLOOKUP(A1503,Groups!A:L,5,FALSE)</f>
        <v>ICBR</v>
      </c>
      <c r="Q1503" s="62" t="str">
        <f>IF(G1503="PA",IF(M1503&lt;&gt;"",ISERROR(VLOOKUP(M1503,ABBR!C:F,1,FALSE)),ISERROR(VLOOKUP(E1503,ABBR!C:F,1,FALSE))),"")</f>
        <v/>
      </c>
    </row>
    <row r="1504" spans="1:17" hidden="1" x14ac:dyDescent="0.25">
      <c r="A1504" s="16" t="s">
        <v>220</v>
      </c>
      <c r="B1504" s="17" t="s">
        <v>594</v>
      </c>
      <c r="C1504" s="16" t="s">
        <v>595</v>
      </c>
      <c r="D1504" s="17"/>
      <c r="E1504" s="17" t="s">
        <v>596</v>
      </c>
      <c r="F1504" s="18" t="s">
        <v>597</v>
      </c>
      <c r="G1504" s="49" t="s">
        <v>598</v>
      </c>
      <c r="H1504" s="17">
        <v>1</v>
      </c>
      <c r="O1504" s="62" t="str">
        <f>IF(E1504="PA",IF(K1504&lt;&gt;"",ISERROR(VLOOKUP(K1504,ABBR!A:D,1,FALSE)),ISERROR(VLOOKUP(C1504,ABBR!A:D,1,FALSE))),"")</f>
        <v/>
      </c>
      <c r="P1504" t="str">
        <f>VLOOKUP(A1504,Groups!A:L,5,FALSE)</f>
        <v>LOCA</v>
      </c>
      <c r="Q1504" s="62" t="str">
        <f>IF(G1504="PA",IF(M1504&lt;&gt;"",ISERROR(VLOOKUP(M1504,ABBR!C:F,1,FALSE)),ISERROR(VLOOKUP(E1504,ABBR!C:F,1,FALSE))),"")</f>
        <v/>
      </c>
    </row>
    <row r="1505" spans="1:17" hidden="1" x14ac:dyDescent="0.25">
      <c r="A1505" s="16" t="s">
        <v>220</v>
      </c>
      <c r="B1505" s="17" t="s">
        <v>594</v>
      </c>
      <c r="C1505" s="16" t="s">
        <v>3063</v>
      </c>
      <c r="D1505" s="17" t="s">
        <v>600</v>
      </c>
      <c r="E1505" s="17" t="s">
        <v>601</v>
      </c>
      <c r="F1505" s="18" t="s">
        <v>3064</v>
      </c>
      <c r="G1505" s="49" t="s">
        <v>3065</v>
      </c>
      <c r="H1505" s="17">
        <v>2</v>
      </c>
      <c r="O1505" s="62" t="str">
        <f>IF(E1505="PA",IF(K1505&lt;&gt;"",ISERROR(VLOOKUP(K1505,ABBR!A:D,1,FALSE)),ISERROR(VLOOKUP(C1505,ABBR!A:D,1,FALSE))),"")</f>
        <v/>
      </c>
      <c r="P1505" t="str">
        <f>VLOOKUP(A1505,Groups!A:L,5,FALSE)</f>
        <v>LOCA</v>
      </c>
      <c r="Q1505" s="62" t="str">
        <f>IF(G1505="PA",IF(M1505&lt;&gt;"",ISERROR(VLOOKUP(M1505,ABBR!C:F,1,FALSE)),ISERROR(VLOOKUP(E1505,ABBR!C:F,1,FALSE))),"")</f>
        <v/>
      </c>
    </row>
    <row r="1506" spans="1:17" hidden="1" x14ac:dyDescent="0.25">
      <c r="A1506" s="16" t="s">
        <v>220</v>
      </c>
      <c r="B1506" s="17" t="s">
        <v>594</v>
      </c>
      <c r="C1506" s="16" t="s">
        <v>3066</v>
      </c>
      <c r="D1506" s="17"/>
      <c r="E1506" s="17" t="s">
        <v>608</v>
      </c>
      <c r="F1506" s="18" t="s">
        <v>1323</v>
      </c>
      <c r="G1506" s="49" t="s">
        <v>1229</v>
      </c>
      <c r="H1506" s="17">
        <v>3</v>
      </c>
      <c r="O1506" s="62" t="str">
        <f>IF(E1506="PA",IF(K1506&lt;&gt;"",ISERROR(VLOOKUP(K1506,ABBR!A:D,1,FALSE)),ISERROR(VLOOKUP(C1506,ABBR!A:D,1,FALSE))),"")</f>
        <v/>
      </c>
      <c r="P1506" t="str">
        <f>VLOOKUP(A1506,Groups!A:L,5,FALSE)</f>
        <v>LOCA</v>
      </c>
      <c r="Q1506" s="62" t="str">
        <f>IF(G1506="PA",IF(M1506&lt;&gt;"",ISERROR(VLOOKUP(M1506,ABBR!C:F,1,FALSE)),ISERROR(VLOOKUP(E1506,ABBR!C:F,1,FALSE))),"")</f>
        <v/>
      </c>
    </row>
    <row r="1507" spans="1:17" hidden="1" x14ac:dyDescent="0.25">
      <c r="A1507" s="16" t="s">
        <v>220</v>
      </c>
      <c r="B1507" s="17"/>
      <c r="C1507" s="16" t="s">
        <v>3073</v>
      </c>
      <c r="D1507" s="17" t="s">
        <v>766</v>
      </c>
      <c r="E1507" s="17" t="s">
        <v>882</v>
      </c>
      <c r="F1507" s="18" t="s">
        <v>3074</v>
      </c>
      <c r="G1507" s="49" t="s">
        <v>2346</v>
      </c>
      <c r="H1507" s="17">
        <v>4</v>
      </c>
      <c r="O1507" s="62" t="str">
        <f>IF(E1507="PA",IF(K1507&lt;&gt;"",ISERROR(VLOOKUP(K1507,ABBR!A:D,1,FALSE)),ISERROR(VLOOKUP(C1507,ABBR!A:D,1,FALSE))),"")</f>
        <v/>
      </c>
      <c r="P1507" t="str">
        <f>VLOOKUP(A1507,Groups!A:L,5,FALSE)</f>
        <v>LOCA</v>
      </c>
      <c r="Q1507" s="62" t="str">
        <f>IF(G1507="PA",IF(M1507&lt;&gt;"",ISERROR(VLOOKUP(M1507,ABBR!C:F,1,FALSE)),ISERROR(VLOOKUP(E1507,ABBR!C:F,1,FALSE))),"")</f>
        <v/>
      </c>
    </row>
    <row r="1508" spans="1:17" hidden="1" x14ac:dyDescent="0.25">
      <c r="A1508" s="16" t="s">
        <v>220</v>
      </c>
      <c r="B1508" s="17"/>
      <c r="C1508" s="16" t="s">
        <v>3075</v>
      </c>
      <c r="D1508" s="17" t="s">
        <v>766</v>
      </c>
      <c r="E1508" s="17" t="s">
        <v>608</v>
      </c>
      <c r="F1508" s="18" t="s">
        <v>3076</v>
      </c>
      <c r="G1508" s="49" t="s">
        <v>2971</v>
      </c>
      <c r="H1508" s="17">
        <v>5</v>
      </c>
      <c r="O1508" s="62" t="str">
        <f>IF(E1508="PA",IF(K1508&lt;&gt;"",ISERROR(VLOOKUP(K1508,ABBR!A:D,1,FALSE)),ISERROR(VLOOKUP(C1508,ABBR!A:D,1,FALSE))),"")</f>
        <v/>
      </c>
      <c r="P1508" t="str">
        <f>VLOOKUP(A1508,Groups!A:L,5,FALSE)</f>
        <v>LOCA</v>
      </c>
      <c r="Q1508" s="62" t="str">
        <f>IF(G1508="PA",IF(M1508&lt;&gt;"",ISERROR(VLOOKUP(M1508,ABBR!C:F,1,FALSE)),ISERROR(VLOOKUP(E1508,ABBR!C:F,1,FALSE))),"")</f>
        <v/>
      </c>
    </row>
    <row r="1509" spans="1:17" hidden="1" x14ac:dyDescent="0.25">
      <c r="A1509" s="16" t="s">
        <v>220</v>
      </c>
      <c r="B1509" s="17"/>
      <c r="C1509" s="16" t="s">
        <v>3077</v>
      </c>
      <c r="D1509" s="17" t="s">
        <v>924</v>
      </c>
      <c r="E1509" s="17" t="s">
        <v>925</v>
      </c>
      <c r="F1509" s="18" t="s">
        <v>1922</v>
      </c>
      <c r="G1509" s="49" t="s">
        <v>1923</v>
      </c>
      <c r="H1509" s="17">
        <v>6</v>
      </c>
      <c r="O1509" s="62" t="str">
        <f>IF(E1509="PA",IF(K1509&lt;&gt;"",ISERROR(VLOOKUP(K1509,ABBR!A:D,1,FALSE)),ISERROR(VLOOKUP(C1509,ABBR!A:D,1,FALSE))),"")</f>
        <v/>
      </c>
      <c r="P1509" t="str">
        <f>VLOOKUP(A1509,Groups!A:L,5,FALSE)</f>
        <v>LOCA</v>
      </c>
      <c r="Q1509" s="62" t="str">
        <f>IF(G1509="PA",IF(M1509&lt;&gt;"",ISERROR(VLOOKUP(M1509,ABBR!C:F,1,FALSE)),ISERROR(VLOOKUP(E1509,ABBR!C:F,1,FALSE))),"")</f>
        <v/>
      </c>
    </row>
    <row r="1510" spans="1:17" hidden="1" x14ac:dyDescent="0.25">
      <c r="A1510" s="16" t="s">
        <v>220</v>
      </c>
      <c r="B1510" s="17"/>
      <c r="C1510" s="16" t="s">
        <v>3078</v>
      </c>
      <c r="D1510" s="17"/>
      <c r="E1510" s="17" t="s">
        <v>608</v>
      </c>
      <c r="F1510" s="18" t="s">
        <v>3079</v>
      </c>
      <c r="G1510" s="49" t="s">
        <v>3080</v>
      </c>
      <c r="H1510" s="17">
        <v>7</v>
      </c>
      <c r="O1510" s="62" t="str">
        <f>IF(E1510="PA",IF(K1510&lt;&gt;"",ISERROR(VLOOKUP(K1510,ABBR!A:D,1,FALSE)),ISERROR(VLOOKUP(C1510,ABBR!A:D,1,FALSE))),"")</f>
        <v/>
      </c>
      <c r="P1510" t="str">
        <f>VLOOKUP(A1510,Groups!A:L,5,FALSE)</f>
        <v>LOCA</v>
      </c>
      <c r="Q1510" s="62" t="str">
        <f>IF(G1510="PA",IF(M1510&lt;&gt;"",ISERROR(VLOOKUP(M1510,ABBR!C:F,1,FALSE)),ISERROR(VLOOKUP(E1510,ABBR!C:F,1,FALSE))),"")</f>
        <v/>
      </c>
    </row>
    <row r="1511" spans="1:17" hidden="1" x14ac:dyDescent="0.25">
      <c r="A1511" s="16" t="s">
        <v>220</v>
      </c>
      <c r="B1511" s="17"/>
      <c r="C1511" s="16" t="s">
        <v>3081</v>
      </c>
      <c r="D1511" s="17" t="s">
        <v>676</v>
      </c>
      <c r="E1511" s="17" t="s">
        <v>767</v>
      </c>
      <c r="F1511" s="18" t="s">
        <v>3082</v>
      </c>
      <c r="G1511" s="49" t="s">
        <v>910</v>
      </c>
      <c r="H1511" s="17">
        <v>8</v>
      </c>
      <c r="O1511" s="62" t="str">
        <f>IF(E1511="PA",IF(K1511&lt;&gt;"",ISERROR(VLOOKUP(K1511,ABBR!A:D,1,FALSE)),ISERROR(VLOOKUP(C1511,ABBR!A:D,1,FALSE))),"")</f>
        <v/>
      </c>
      <c r="P1511" t="str">
        <f>VLOOKUP(A1511,Groups!A:L,5,FALSE)</f>
        <v>LOCA</v>
      </c>
      <c r="Q1511" s="62" t="str">
        <f>IF(G1511="PA",IF(M1511&lt;&gt;"",ISERROR(VLOOKUP(M1511,ABBR!C:F,1,FALSE)),ISERROR(VLOOKUP(E1511,ABBR!C:F,1,FALSE))),"")</f>
        <v/>
      </c>
    </row>
    <row r="1512" spans="1:17" hidden="1" x14ac:dyDescent="0.25">
      <c r="A1512" s="16" t="s">
        <v>220</v>
      </c>
      <c r="B1512" s="17"/>
      <c r="C1512" s="16" t="s">
        <v>3083</v>
      </c>
      <c r="D1512" s="17" t="s">
        <v>1345</v>
      </c>
      <c r="E1512" s="17" t="s">
        <v>767</v>
      </c>
      <c r="F1512" s="18" t="s">
        <v>3084</v>
      </c>
      <c r="G1512" s="49" t="s">
        <v>1091</v>
      </c>
      <c r="H1512" s="17">
        <v>9</v>
      </c>
      <c r="O1512" s="62" t="str">
        <f>IF(E1512="PA",IF(K1512&lt;&gt;"",ISERROR(VLOOKUP(K1512,ABBR!A:D,1,FALSE)),ISERROR(VLOOKUP(C1512,ABBR!A:D,1,FALSE))),"")</f>
        <v/>
      </c>
      <c r="P1512" t="str">
        <f>VLOOKUP(A1512,Groups!A:L,5,FALSE)</f>
        <v>LOCA</v>
      </c>
      <c r="Q1512" s="62" t="str">
        <f>IF(G1512="PA",IF(M1512&lt;&gt;"",ISERROR(VLOOKUP(M1512,ABBR!C:F,1,FALSE)),ISERROR(VLOOKUP(E1512,ABBR!C:F,1,FALSE))),"")</f>
        <v/>
      </c>
    </row>
    <row r="1513" spans="1:17" hidden="1" x14ac:dyDescent="0.25">
      <c r="A1513" s="16" t="s">
        <v>220</v>
      </c>
      <c r="B1513" s="17"/>
      <c r="C1513" s="16" t="s">
        <v>3085</v>
      </c>
      <c r="D1513" s="17"/>
      <c r="E1513" s="17" t="s">
        <v>618</v>
      </c>
      <c r="F1513" s="18" t="s">
        <v>3086</v>
      </c>
      <c r="G1513" s="49" t="s">
        <v>3087</v>
      </c>
      <c r="H1513" s="17">
        <v>10</v>
      </c>
      <c r="O1513" s="62" t="b">
        <f>IF(E1513="PA",IF(K1513&lt;&gt;"",ISERROR(VLOOKUP(K1513,ABBR!A:D,1,FALSE)),ISERROR(VLOOKUP(C1513,ABBR!A:D,1,FALSE))),"")</f>
        <v>0</v>
      </c>
      <c r="P1513" t="str">
        <f>VLOOKUP(A1513,Groups!A:L,5,FALSE)</f>
        <v>LOCA</v>
      </c>
      <c r="Q1513" s="62" t="str">
        <f>IF(G1513="PA",IF(M1513&lt;&gt;"",ISERROR(VLOOKUP(M1513,ABBR!C:F,1,FALSE)),ISERROR(VLOOKUP(E1513,ABBR!C:F,1,FALSE))),"")</f>
        <v/>
      </c>
    </row>
    <row r="1514" spans="1:17" ht="50" hidden="1" x14ac:dyDescent="0.25">
      <c r="A1514" s="16" t="s">
        <v>220</v>
      </c>
      <c r="B1514" s="17"/>
      <c r="C1514" s="16" t="s">
        <v>3088</v>
      </c>
      <c r="D1514" s="17"/>
      <c r="E1514" s="17" t="s">
        <v>608</v>
      </c>
      <c r="F1514" s="18" t="s">
        <v>642</v>
      </c>
      <c r="G1514" s="49" t="s">
        <v>3089</v>
      </c>
      <c r="H1514" s="17">
        <v>11</v>
      </c>
      <c r="O1514" s="62" t="str">
        <f>IF(E1514="PA",IF(K1514&lt;&gt;"",ISERROR(VLOOKUP(K1514,ABBR!A:D,1,FALSE)),ISERROR(VLOOKUP(C1514,ABBR!A:D,1,FALSE))),"")</f>
        <v/>
      </c>
      <c r="P1514" t="str">
        <f>VLOOKUP(A1514,Groups!A:L,5,FALSE)</f>
        <v>LOCA</v>
      </c>
      <c r="Q1514" s="62" t="str">
        <f>IF(G1514="PA",IF(M1514&lt;&gt;"",ISERROR(VLOOKUP(M1514,ABBR!C:F,1,FALSE)),ISERROR(VLOOKUP(E1514,ABBR!C:F,1,FALSE))),"")</f>
        <v/>
      </c>
    </row>
    <row r="1515" spans="1:17" ht="25" hidden="1" x14ac:dyDescent="0.25">
      <c r="A1515" s="16" t="s">
        <v>220</v>
      </c>
      <c r="B1515" s="17"/>
      <c r="C1515" s="16" t="s">
        <v>3090</v>
      </c>
      <c r="D1515" s="17"/>
      <c r="E1515" s="17" t="s">
        <v>608</v>
      </c>
      <c r="F1515" s="18" t="s">
        <v>1938</v>
      </c>
      <c r="G1515" s="49" t="s">
        <v>3091</v>
      </c>
      <c r="H1515" s="17">
        <v>12</v>
      </c>
      <c r="O1515" s="62" t="str">
        <f>IF(E1515="PA",IF(K1515&lt;&gt;"",ISERROR(VLOOKUP(K1515,ABBR!A:D,1,FALSE)),ISERROR(VLOOKUP(C1515,ABBR!A:D,1,FALSE))),"")</f>
        <v/>
      </c>
      <c r="P1515" t="str">
        <f>VLOOKUP(A1515,Groups!A:L,5,FALSE)</f>
        <v>LOCA</v>
      </c>
      <c r="Q1515" s="62" t="str">
        <f>IF(G1515="PA",IF(M1515&lt;&gt;"",ISERROR(VLOOKUP(M1515,ABBR!C:F,1,FALSE)),ISERROR(VLOOKUP(E1515,ABBR!C:F,1,FALSE))),"")</f>
        <v/>
      </c>
    </row>
    <row r="1516" spans="1:17" ht="25" hidden="1" x14ac:dyDescent="0.25">
      <c r="A1516" s="16" t="s">
        <v>220</v>
      </c>
      <c r="B1516" s="17"/>
      <c r="C1516" s="16" t="s">
        <v>3092</v>
      </c>
      <c r="D1516" s="17"/>
      <c r="E1516" s="17" t="s">
        <v>608</v>
      </c>
      <c r="F1516" s="18" t="s">
        <v>918</v>
      </c>
      <c r="G1516" s="49" t="s">
        <v>3093</v>
      </c>
      <c r="H1516" s="17">
        <v>13</v>
      </c>
      <c r="O1516" s="62" t="str">
        <f>IF(E1516="PA",IF(K1516&lt;&gt;"",ISERROR(VLOOKUP(K1516,ABBR!A:D,1,FALSE)),ISERROR(VLOOKUP(C1516,ABBR!A:D,1,FALSE))),"")</f>
        <v/>
      </c>
      <c r="P1516" t="str">
        <f>VLOOKUP(A1516,Groups!A:L,5,FALSE)</f>
        <v>LOCA</v>
      </c>
      <c r="Q1516" s="62" t="str">
        <f>IF(G1516="PA",IF(M1516&lt;&gt;"",ISERROR(VLOOKUP(M1516,ABBR!C:F,1,FALSE)),ISERROR(VLOOKUP(E1516,ABBR!C:F,1,FALSE))),"")</f>
        <v/>
      </c>
    </row>
    <row r="1517" spans="1:17" ht="25" hidden="1" x14ac:dyDescent="0.25">
      <c r="A1517" s="16" t="s">
        <v>220</v>
      </c>
      <c r="B1517" s="17"/>
      <c r="C1517" s="16" t="s">
        <v>3094</v>
      </c>
      <c r="D1517" s="17"/>
      <c r="E1517" s="17" t="s">
        <v>608</v>
      </c>
      <c r="F1517" s="18" t="s">
        <v>1943</v>
      </c>
      <c r="G1517" s="49" t="s">
        <v>1944</v>
      </c>
      <c r="H1517" s="17">
        <v>14</v>
      </c>
      <c r="O1517" s="62" t="str">
        <f>IF(E1517="PA",IF(K1517&lt;&gt;"",ISERROR(VLOOKUP(K1517,ABBR!A:D,1,FALSE)),ISERROR(VLOOKUP(C1517,ABBR!A:D,1,FALSE))),"")</f>
        <v/>
      </c>
      <c r="P1517" t="str">
        <f>VLOOKUP(A1517,Groups!A:L,5,FALSE)</f>
        <v>LOCA</v>
      </c>
      <c r="Q1517" s="62" t="str">
        <f>IF(G1517="PA",IF(M1517&lt;&gt;"",ISERROR(VLOOKUP(M1517,ABBR!C:F,1,FALSE)),ISERROR(VLOOKUP(E1517,ABBR!C:F,1,FALSE))),"")</f>
        <v/>
      </c>
    </row>
    <row r="1518" spans="1:17" ht="25" hidden="1" x14ac:dyDescent="0.25">
      <c r="A1518" s="16" t="s">
        <v>220</v>
      </c>
      <c r="B1518" s="17"/>
      <c r="C1518" s="16" t="s">
        <v>3095</v>
      </c>
      <c r="D1518" s="17"/>
      <c r="E1518" s="17" t="s">
        <v>608</v>
      </c>
      <c r="F1518" s="18" t="s">
        <v>934</v>
      </c>
      <c r="G1518" s="8" t="s">
        <v>953</v>
      </c>
      <c r="H1518" s="17">
        <v>15</v>
      </c>
      <c r="O1518" s="62" t="str">
        <f>IF(E1518="PA",IF(K1518&lt;&gt;"",ISERROR(VLOOKUP(K1518,ABBR!A:D,1,FALSE)),ISERROR(VLOOKUP(C1518,ABBR!A:D,1,FALSE))),"")</f>
        <v/>
      </c>
      <c r="P1518" t="str">
        <f>VLOOKUP(A1518,Groups!A:L,5,FALSE)</f>
        <v>LOCA</v>
      </c>
      <c r="Q1518" s="62" t="str">
        <f>IF(G1518="PA",IF(M1518&lt;&gt;"",ISERROR(VLOOKUP(M1518,ABBR!C:F,1,FALSE)),ISERROR(VLOOKUP(E1518,ABBR!C:F,1,FALSE))),"")</f>
        <v/>
      </c>
    </row>
    <row r="1519" spans="1:17" hidden="1" x14ac:dyDescent="0.25">
      <c r="A1519" s="16" t="s">
        <v>220</v>
      </c>
      <c r="B1519" s="17"/>
      <c r="C1519" s="16" t="s">
        <v>936</v>
      </c>
      <c r="D1519" s="17"/>
      <c r="E1519" s="22" t="s">
        <v>608</v>
      </c>
      <c r="F1519" s="18" t="s">
        <v>937</v>
      </c>
      <c r="G1519" s="49" t="s">
        <v>938</v>
      </c>
      <c r="H1519" s="17">
        <v>16</v>
      </c>
      <c r="O1519" s="62" t="str">
        <f>IF(E1519="PA",IF(K1519&lt;&gt;"",ISERROR(VLOOKUP(K1519,ABBR!A:D,1,FALSE)),ISERROR(VLOOKUP(C1519,ABBR!A:D,1,FALSE))),"")</f>
        <v/>
      </c>
      <c r="P1519" t="str">
        <f>VLOOKUP(A1519,Groups!A:L,5,FALSE)</f>
        <v>LOCA</v>
      </c>
      <c r="Q1519" s="62" t="str">
        <f>IF(G1519="PA",IF(M1519&lt;&gt;"",ISERROR(VLOOKUP(M1519,ABBR!C:F,1,FALSE)),ISERROR(VLOOKUP(E1519,ABBR!C:F,1,FALSE))),"")</f>
        <v/>
      </c>
    </row>
    <row r="1520" spans="1:17" hidden="1" x14ac:dyDescent="0.25">
      <c r="A1520" s="16" t="s">
        <v>220</v>
      </c>
      <c r="B1520" s="17"/>
      <c r="C1520" s="16" t="s">
        <v>629</v>
      </c>
      <c r="D1520" s="17"/>
      <c r="E1520" s="17" t="s">
        <v>608</v>
      </c>
      <c r="F1520" s="18" t="s">
        <v>630</v>
      </c>
      <c r="G1520" s="49" t="s">
        <v>631</v>
      </c>
      <c r="H1520" s="17">
        <v>17</v>
      </c>
      <c r="O1520" s="62" t="str">
        <f>IF(E1520="PA",IF(K1520&lt;&gt;"",ISERROR(VLOOKUP(K1520,ABBR!A:D,1,FALSE)),ISERROR(VLOOKUP(C1520,ABBR!A:D,1,FALSE))),"")</f>
        <v/>
      </c>
      <c r="P1520" t="str">
        <f>VLOOKUP(A1520,Groups!A:L,5,FALSE)</f>
        <v>LOCA</v>
      </c>
      <c r="Q1520" s="62" t="str">
        <f>IF(G1520="PA",IF(M1520&lt;&gt;"",ISERROR(VLOOKUP(M1520,ABBR!C:F,1,FALSE)),ISERROR(VLOOKUP(E1520,ABBR!C:F,1,FALSE))),"")</f>
        <v/>
      </c>
    </row>
    <row r="1521" spans="1:17" hidden="1" x14ac:dyDescent="0.25">
      <c r="A1521" s="16" t="s">
        <v>220</v>
      </c>
      <c r="B1521" s="17"/>
      <c r="C1521" s="16" t="s">
        <v>643</v>
      </c>
      <c r="D1521" s="17"/>
      <c r="E1521" s="17" t="s">
        <v>608</v>
      </c>
      <c r="F1521" s="18" t="s">
        <v>954</v>
      </c>
      <c r="G1521" s="49" t="s">
        <v>2368</v>
      </c>
      <c r="H1521" s="17">
        <v>18</v>
      </c>
      <c r="O1521" s="62" t="str">
        <f>IF(E1521="PA",IF(K1521&lt;&gt;"",ISERROR(VLOOKUP(K1521,ABBR!A:D,1,FALSE)),ISERROR(VLOOKUP(C1521,ABBR!A:D,1,FALSE))),"")</f>
        <v/>
      </c>
      <c r="P1521" t="str">
        <f>VLOOKUP(A1521,Groups!A:L,5,FALSE)</f>
        <v>LOCA</v>
      </c>
      <c r="Q1521" s="62" t="str">
        <f>IF(G1521="PA",IF(M1521&lt;&gt;"",ISERROR(VLOOKUP(M1521,ABBR!C:F,1,FALSE)),ISERROR(VLOOKUP(E1521,ABBR!C:F,1,FALSE))),"")</f>
        <v/>
      </c>
    </row>
    <row r="1522" spans="1:17" hidden="1" x14ac:dyDescent="0.25">
      <c r="A1522" s="16" t="s">
        <v>220</v>
      </c>
      <c r="B1522" s="17"/>
      <c r="C1522" s="16" t="s">
        <v>3096</v>
      </c>
      <c r="D1522" s="17" t="s">
        <v>722</v>
      </c>
      <c r="E1522" s="17" t="s">
        <v>723</v>
      </c>
      <c r="F1522" s="18" t="s">
        <v>3097</v>
      </c>
      <c r="G1522" s="49" t="s">
        <v>3098</v>
      </c>
      <c r="H1522" s="17">
        <v>19</v>
      </c>
      <c r="J1522" s="62" t="s">
        <v>473</v>
      </c>
      <c r="K1522" s="62"/>
      <c r="M1522" s="62"/>
      <c r="N1522" s="62"/>
      <c r="O1522" s="62" t="str">
        <f>IF(E1522="PA",IF(K1522&lt;&gt;"",ISERROR(VLOOKUP(K1522,ABBR!A:D,1,FALSE)),ISERROR(VLOOKUP(C1522,ABBR!A:D,1,FALSE))),"")</f>
        <v/>
      </c>
      <c r="P1522" t="str">
        <f>VLOOKUP(A1522,Groups!A:L,5,FALSE)</f>
        <v>LOCA</v>
      </c>
      <c r="Q1522" s="62" t="str">
        <f>IF(G1522="PA",IF(M1522&lt;&gt;"",ISERROR(VLOOKUP(M1522,ABBR!C:F,1,FALSE)),ISERROR(VLOOKUP(E1522,ABBR!C:F,1,FALSE))),"")</f>
        <v/>
      </c>
    </row>
    <row r="1523" spans="1:17" hidden="1" x14ac:dyDescent="0.25">
      <c r="A1523" s="16" t="s">
        <v>220</v>
      </c>
      <c r="B1523" s="17"/>
      <c r="C1523" s="16" t="s">
        <v>3099</v>
      </c>
      <c r="D1523" s="17" t="s">
        <v>908</v>
      </c>
      <c r="E1523" s="17" t="s">
        <v>1321</v>
      </c>
      <c r="F1523" s="18" t="s">
        <v>1383</v>
      </c>
      <c r="G1523" s="49" t="s">
        <v>3100</v>
      </c>
      <c r="H1523" s="17">
        <v>20</v>
      </c>
      <c r="J1523" s="62" t="s">
        <v>473</v>
      </c>
      <c r="O1523" s="62" t="str">
        <f>IF(E1523="PA",IF(K1523&lt;&gt;"",ISERROR(VLOOKUP(K1523,ABBR!A:D,1,FALSE)),ISERROR(VLOOKUP(C1523,ABBR!A:D,1,FALSE))),"")</f>
        <v/>
      </c>
      <c r="P1523" t="str">
        <f>VLOOKUP(A1523,Groups!A:L,5,FALSE)</f>
        <v>LOCA</v>
      </c>
      <c r="Q1523" s="62" t="str">
        <f>IF(G1523="PA",IF(M1523&lt;&gt;"",ISERROR(VLOOKUP(M1523,ABBR!C:F,1,FALSE)),ISERROR(VLOOKUP(E1523,ABBR!C:F,1,FALSE))),"")</f>
        <v/>
      </c>
    </row>
    <row r="1524" spans="1:17" ht="25" hidden="1" x14ac:dyDescent="0.25">
      <c r="A1524" s="16" t="s">
        <v>220</v>
      </c>
      <c r="B1524" s="17"/>
      <c r="C1524" s="16" t="s">
        <v>3101</v>
      </c>
      <c r="D1524" s="17" t="s">
        <v>766</v>
      </c>
      <c r="E1524" s="17" t="s">
        <v>723</v>
      </c>
      <c r="F1524" s="18" t="s">
        <v>3102</v>
      </c>
      <c r="G1524" s="49" t="s">
        <v>725</v>
      </c>
      <c r="H1524" s="17">
        <v>21</v>
      </c>
      <c r="J1524" s="62" t="s">
        <v>473</v>
      </c>
      <c r="O1524" s="62" t="str">
        <f>IF(E1524="PA",IF(K1524&lt;&gt;"",ISERROR(VLOOKUP(K1524,ABBR!A:D,1,FALSE)),ISERROR(VLOOKUP(C1524,ABBR!A:D,1,FALSE))),"")</f>
        <v/>
      </c>
      <c r="P1524" t="str">
        <f>VLOOKUP(A1524,Groups!A:L,5,FALSE)</f>
        <v>LOCA</v>
      </c>
      <c r="Q1524" s="62" t="str">
        <f>IF(G1524="PA",IF(M1524&lt;&gt;"",ISERROR(VLOOKUP(M1524,ABBR!C:F,1,FALSE)),ISERROR(VLOOKUP(E1524,ABBR!C:F,1,FALSE))),"")</f>
        <v/>
      </c>
    </row>
    <row r="1525" spans="1:17" hidden="1" x14ac:dyDescent="0.25">
      <c r="A1525" s="16" t="s">
        <v>220</v>
      </c>
      <c r="B1525" s="17"/>
      <c r="C1525" s="16" t="s">
        <v>3103</v>
      </c>
      <c r="D1525" s="17"/>
      <c r="E1525" s="17" t="s">
        <v>608</v>
      </c>
      <c r="F1525" s="18" t="s">
        <v>1952</v>
      </c>
      <c r="G1525" s="49" t="s">
        <v>876</v>
      </c>
      <c r="H1525" s="17">
        <v>22</v>
      </c>
      <c r="J1525" s="62" t="s">
        <v>473</v>
      </c>
      <c r="O1525" s="62" t="str">
        <f>IF(E1525="PA",IF(K1525&lt;&gt;"",ISERROR(VLOOKUP(K1525,ABBR!A:D,1,FALSE)),ISERROR(VLOOKUP(C1525,ABBR!A:D,1,FALSE))),"")</f>
        <v/>
      </c>
      <c r="P1525" t="str">
        <f>VLOOKUP(A1525,Groups!A:L,5,FALSE)</f>
        <v>LOCA</v>
      </c>
      <c r="Q1525" s="62" t="str">
        <f>IF(G1525="PA",IF(M1525&lt;&gt;"",ISERROR(VLOOKUP(M1525,ABBR!C:F,1,FALSE)),ISERROR(VLOOKUP(E1525,ABBR!C:F,1,FALSE))),"")</f>
        <v/>
      </c>
    </row>
    <row r="1526" spans="1:17" hidden="1" x14ac:dyDescent="0.25">
      <c r="A1526" s="16" t="s">
        <v>509</v>
      </c>
      <c r="B1526" s="17" t="s">
        <v>594</v>
      </c>
      <c r="C1526" s="16" t="s">
        <v>595</v>
      </c>
      <c r="D1526" s="17"/>
      <c r="E1526" s="17" t="s">
        <v>596</v>
      </c>
      <c r="F1526" s="18" t="s">
        <v>1953</v>
      </c>
      <c r="G1526" s="49" t="s">
        <v>598</v>
      </c>
      <c r="H1526" s="17">
        <v>1</v>
      </c>
      <c r="J1526" s="62" t="s">
        <v>478</v>
      </c>
      <c r="K1526" s="62"/>
      <c r="M1526" s="62"/>
      <c r="N1526" s="62"/>
      <c r="O1526" s="62" t="str">
        <f>IF(E1526="PA",IF(K1526&lt;&gt;"",ISERROR(VLOOKUP(K1526,ABBR!A:D,1,FALSE)),ISERROR(VLOOKUP(C1526,ABBR!A:D,1,FALSE))),"")</f>
        <v/>
      </c>
      <c r="P1526" t="str">
        <f>VLOOKUP(A1526,Groups!A:L,5,FALSE)</f>
        <v>LOCA</v>
      </c>
      <c r="Q1526" s="62" t="str">
        <f>IF(G1526="PA",IF(M1526&lt;&gt;"",ISERROR(VLOOKUP(M1526,ABBR!C:F,1,FALSE)),ISERROR(VLOOKUP(E1526,ABBR!C:F,1,FALSE))),"")</f>
        <v/>
      </c>
    </row>
    <row r="1527" spans="1:17" hidden="1" x14ac:dyDescent="0.25">
      <c r="A1527" s="16" t="s">
        <v>509</v>
      </c>
      <c r="B1527" s="17" t="s">
        <v>594</v>
      </c>
      <c r="C1527" s="16" t="s">
        <v>3104</v>
      </c>
      <c r="D1527" s="17" t="s">
        <v>600</v>
      </c>
      <c r="E1527" s="17" t="s">
        <v>601</v>
      </c>
      <c r="F1527" s="18" t="s">
        <v>3105</v>
      </c>
      <c r="G1527" s="49" t="s">
        <v>3106</v>
      </c>
      <c r="H1527" s="17">
        <v>2</v>
      </c>
      <c r="J1527" s="62" t="s">
        <v>478</v>
      </c>
      <c r="K1527" s="62"/>
      <c r="M1527" s="62"/>
      <c r="N1527" s="62"/>
      <c r="O1527" s="62" t="str">
        <f>IF(E1527="PA",IF(K1527&lt;&gt;"",ISERROR(VLOOKUP(K1527,ABBR!A:D,1,FALSE)),ISERROR(VLOOKUP(C1527,ABBR!A:D,1,FALSE))),"")</f>
        <v/>
      </c>
      <c r="P1527" t="str">
        <f>VLOOKUP(A1527,Groups!A:L,5,FALSE)</f>
        <v>LOCA</v>
      </c>
      <c r="Q1527" s="62" t="str">
        <f>IF(G1527="PA",IF(M1527&lt;&gt;"",ISERROR(VLOOKUP(M1527,ABBR!C:F,1,FALSE)),ISERROR(VLOOKUP(E1527,ABBR!C:F,1,FALSE))),"")</f>
        <v/>
      </c>
    </row>
    <row r="1528" spans="1:17" hidden="1" x14ac:dyDescent="0.25">
      <c r="A1528" s="16" t="s">
        <v>509</v>
      </c>
      <c r="B1528" s="17" t="s">
        <v>594</v>
      </c>
      <c r="C1528" s="16" t="s">
        <v>3107</v>
      </c>
      <c r="D1528" s="17"/>
      <c r="E1528" s="17" t="s">
        <v>608</v>
      </c>
      <c r="F1528" s="18" t="s">
        <v>1313</v>
      </c>
      <c r="G1528" s="49" t="s">
        <v>631</v>
      </c>
      <c r="H1528" s="17">
        <v>3</v>
      </c>
      <c r="J1528" s="62" t="s">
        <v>478</v>
      </c>
      <c r="K1528" s="62"/>
      <c r="M1528" s="62"/>
      <c r="N1528" s="62"/>
      <c r="O1528" s="62" t="str">
        <f>IF(E1528="PA",IF(K1528&lt;&gt;"",ISERROR(VLOOKUP(K1528,ABBR!A:D,1,FALSE)),ISERROR(VLOOKUP(C1528,ABBR!A:D,1,FALSE))),"")</f>
        <v/>
      </c>
      <c r="P1528" t="str">
        <f>VLOOKUP(A1528,Groups!A:L,5,FALSE)</f>
        <v>LOCA</v>
      </c>
      <c r="Q1528" s="62" t="str">
        <f>IF(G1528="PA",IF(M1528&lt;&gt;"",ISERROR(VLOOKUP(M1528,ABBR!C:F,1,FALSE)),ISERROR(VLOOKUP(E1528,ABBR!C:F,1,FALSE))),"")</f>
        <v/>
      </c>
    </row>
    <row r="1529" spans="1:17" ht="25" hidden="1" x14ac:dyDescent="0.25">
      <c r="A1529" s="16" t="s">
        <v>509</v>
      </c>
      <c r="B1529" s="17"/>
      <c r="C1529" s="16" t="s">
        <v>3108</v>
      </c>
      <c r="D1529" s="17" t="s">
        <v>1421</v>
      </c>
      <c r="E1529" s="17" t="s">
        <v>925</v>
      </c>
      <c r="F1529" s="18" t="s">
        <v>3109</v>
      </c>
      <c r="G1529" s="49" t="s">
        <v>3110</v>
      </c>
      <c r="H1529" s="17">
        <v>4</v>
      </c>
      <c r="J1529" s="62" t="s">
        <v>478</v>
      </c>
      <c r="K1529" s="62"/>
      <c r="M1529" s="62"/>
      <c r="N1529" s="62"/>
      <c r="O1529" s="62" t="str">
        <f>IF(E1529="PA",IF(K1529&lt;&gt;"",ISERROR(VLOOKUP(K1529,ABBR!A:D,1,FALSE)),ISERROR(VLOOKUP(C1529,ABBR!A:D,1,FALSE))),"")</f>
        <v/>
      </c>
      <c r="P1529" t="str">
        <f>VLOOKUP(A1529,Groups!A:L,5,FALSE)</f>
        <v>LOCA</v>
      </c>
      <c r="Q1529" s="62" t="str">
        <f>IF(G1529="PA",IF(M1529&lt;&gt;"",ISERROR(VLOOKUP(M1529,ABBR!C:F,1,FALSE)),ISERROR(VLOOKUP(E1529,ABBR!C:F,1,FALSE))),"")</f>
        <v/>
      </c>
    </row>
    <row r="1530" spans="1:17" ht="50" hidden="1" x14ac:dyDescent="0.25">
      <c r="A1530" s="16" t="s">
        <v>509</v>
      </c>
      <c r="B1530" s="17"/>
      <c r="C1530" s="16" t="s">
        <v>3111</v>
      </c>
      <c r="D1530" s="17"/>
      <c r="E1530" s="17" t="s">
        <v>608</v>
      </c>
      <c r="F1530" s="18" t="s">
        <v>3112</v>
      </c>
      <c r="G1530" s="49" t="s">
        <v>3113</v>
      </c>
      <c r="H1530" s="17">
        <v>5</v>
      </c>
      <c r="J1530" s="62" t="s">
        <v>478</v>
      </c>
      <c r="K1530" s="62"/>
      <c r="M1530" s="62"/>
      <c r="N1530" s="62"/>
      <c r="O1530" s="62" t="str">
        <f>IF(E1530="PA",IF(K1530&lt;&gt;"",ISERROR(VLOOKUP(K1530,ABBR!A:D,1,FALSE)),ISERROR(VLOOKUP(C1530,ABBR!A:D,1,FALSE))),"")</f>
        <v/>
      </c>
      <c r="P1530" t="str">
        <f>VLOOKUP(A1530,Groups!A:L,5,FALSE)</f>
        <v>LOCA</v>
      </c>
      <c r="Q1530" s="62" t="str">
        <f>IF(G1530="PA",IF(M1530&lt;&gt;"",ISERROR(VLOOKUP(M1530,ABBR!C:F,1,FALSE)),ISERROR(VLOOKUP(E1530,ABBR!C:F,1,FALSE))),"")</f>
        <v/>
      </c>
    </row>
    <row r="1531" spans="1:17" ht="25" hidden="1" x14ac:dyDescent="0.25">
      <c r="A1531" s="16" t="s">
        <v>509</v>
      </c>
      <c r="B1531" s="40"/>
      <c r="C1531" s="16" t="s">
        <v>3114</v>
      </c>
      <c r="D1531" s="17"/>
      <c r="E1531" s="17" t="s">
        <v>608</v>
      </c>
      <c r="F1531" s="18" t="s">
        <v>3115</v>
      </c>
      <c r="G1531" s="49" t="s">
        <v>3116</v>
      </c>
      <c r="H1531" s="17">
        <v>6</v>
      </c>
      <c r="J1531" s="62" t="s">
        <v>478</v>
      </c>
      <c r="K1531" s="62"/>
      <c r="M1531" s="62"/>
      <c r="N1531" s="62"/>
      <c r="O1531" s="62" t="str">
        <f>IF(E1531="PA",IF(K1531&lt;&gt;"",ISERROR(VLOOKUP(K1531,ABBR!A:D,1,FALSE)),ISERROR(VLOOKUP(C1531,ABBR!A:D,1,FALSE))),"")</f>
        <v/>
      </c>
      <c r="P1531" t="str">
        <f>VLOOKUP(A1531,Groups!A:L,5,FALSE)</f>
        <v>LOCA</v>
      </c>
      <c r="Q1531" s="62" t="str">
        <f>IF(G1531="PA",IF(M1531&lt;&gt;"",ISERROR(VLOOKUP(M1531,ABBR!C:F,1,FALSE)),ISERROR(VLOOKUP(E1531,ABBR!C:F,1,FALSE))),"")</f>
        <v/>
      </c>
    </row>
    <row r="1532" spans="1:17" ht="50" hidden="1" x14ac:dyDescent="0.25">
      <c r="A1532" s="38" t="s">
        <v>509</v>
      </c>
      <c r="B1532" s="17"/>
      <c r="C1532" s="16" t="s">
        <v>3117</v>
      </c>
      <c r="D1532" s="17"/>
      <c r="E1532" s="17" t="s">
        <v>608</v>
      </c>
      <c r="F1532" s="18" t="s">
        <v>3118</v>
      </c>
      <c r="G1532" s="49" t="s">
        <v>3119</v>
      </c>
      <c r="H1532" s="17">
        <v>7</v>
      </c>
      <c r="J1532" s="62" t="s">
        <v>478</v>
      </c>
      <c r="K1532" s="62"/>
      <c r="M1532" s="62"/>
      <c r="N1532" s="62"/>
      <c r="O1532" s="62" t="str">
        <f>IF(E1532="PA",IF(K1532&lt;&gt;"",ISERROR(VLOOKUP(K1532,ABBR!A:D,1,FALSE)),ISERROR(VLOOKUP(C1532,ABBR!A:D,1,FALSE))),"")</f>
        <v/>
      </c>
      <c r="P1532" t="str">
        <f>VLOOKUP(A1532,Groups!A:L,5,FALSE)</f>
        <v>LOCA</v>
      </c>
      <c r="Q1532" s="62" t="str">
        <f>IF(G1532="PA",IF(M1532&lt;&gt;"",ISERROR(VLOOKUP(M1532,ABBR!C:F,1,FALSE)),ISERROR(VLOOKUP(E1532,ABBR!C:F,1,FALSE))),"")</f>
        <v/>
      </c>
    </row>
    <row r="1533" spans="1:17" ht="37.5" hidden="1" x14ac:dyDescent="0.25">
      <c r="A1533" s="38" t="s">
        <v>509</v>
      </c>
      <c r="B1533" s="17"/>
      <c r="C1533" s="16" t="s">
        <v>3120</v>
      </c>
      <c r="D1533" s="17"/>
      <c r="E1533" s="17" t="s">
        <v>608</v>
      </c>
      <c r="F1533" s="18" t="s">
        <v>3121</v>
      </c>
      <c r="G1533" s="49" t="s">
        <v>3122</v>
      </c>
      <c r="H1533" s="17">
        <v>8</v>
      </c>
      <c r="J1533" s="62" t="s">
        <v>478</v>
      </c>
      <c r="K1533" s="62"/>
      <c r="M1533" s="62"/>
      <c r="N1533" s="62"/>
      <c r="O1533" s="62" t="str">
        <f>IF(E1533="PA",IF(K1533&lt;&gt;"",ISERROR(VLOOKUP(K1533,ABBR!A:D,1,FALSE)),ISERROR(VLOOKUP(C1533,ABBR!A:D,1,FALSE))),"")</f>
        <v/>
      </c>
      <c r="P1533" t="str">
        <f>VLOOKUP(A1533,Groups!A:L,5,FALSE)</f>
        <v>LOCA</v>
      </c>
      <c r="Q1533" s="62" t="str">
        <f>IF(G1533="PA",IF(M1533&lt;&gt;"",ISERROR(VLOOKUP(M1533,ABBR!C:F,1,FALSE)),ISERROR(VLOOKUP(E1533,ABBR!C:F,1,FALSE))),"")</f>
        <v/>
      </c>
    </row>
    <row r="1534" spans="1:17" hidden="1" x14ac:dyDescent="0.25">
      <c r="A1534" s="38" t="s">
        <v>509</v>
      </c>
      <c r="B1534" s="17"/>
      <c r="C1534" s="16" t="s">
        <v>3123</v>
      </c>
      <c r="D1534" s="17"/>
      <c r="E1534" s="17" t="s">
        <v>767</v>
      </c>
      <c r="F1534" s="18" t="s">
        <v>3124</v>
      </c>
      <c r="G1534" s="49" t="s">
        <v>1114</v>
      </c>
      <c r="H1534" s="17">
        <v>9</v>
      </c>
      <c r="J1534" s="62" t="s">
        <v>478</v>
      </c>
      <c r="K1534" s="62"/>
      <c r="M1534" s="62"/>
      <c r="N1534" s="62"/>
      <c r="O1534" s="62" t="str">
        <f>IF(E1534="PA",IF(K1534&lt;&gt;"",ISERROR(VLOOKUP(K1534,ABBR!A:D,1,FALSE)),ISERROR(VLOOKUP(C1534,ABBR!A:D,1,FALSE))),"")</f>
        <v/>
      </c>
      <c r="P1534" t="str">
        <f>VLOOKUP(A1534,Groups!A:L,5,FALSE)</f>
        <v>LOCA</v>
      </c>
      <c r="Q1534" s="62" t="str">
        <f>IF(G1534="PA",IF(M1534&lt;&gt;"",ISERROR(VLOOKUP(M1534,ABBR!C:F,1,FALSE)),ISERROR(VLOOKUP(E1534,ABBR!C:F,1,FALSE))),"")</f>
        <v/>
      </c>
    </row>
    <row r="1535" spans="1:17" ht="25" hidden="1" x14ac:dyDescent="0.25">
      <c r="A1535" s="38" t="s">
        <v>509</v>
      </c>
      <c r="B1535" s="17"/>
      <c r="C1535" s="16" t="s">
        <v>3125</v>
      </c>
      <c r="D1535" s="17"/>
      <c r="E1535" s="17" t="s">
        <v>608</v>
      </c>
      <c r="F1535" s="18" t="s">
        <v>642</v>
      </c>
      <c r="G1535" s="49" t="s">
        <v>2274</v>
      </c>
      <c r="H1535" s="17">
        <v>10</v>
      </c>
      <c r="J1535" s="62" t="s">
        <v>478</v>
      </c>
      <c r="K1535" s="62"/>
      <c r="M1535" s="62"/>
      <c r="N1535" s="62"/>
      <c r="O1535" s="62" t="str">
        <f>IF(E1535="PA",IF(K1535&lt;&gt;"",ISERROR(VLOOKUP(K1535,ABBR!A:D,1,FALSE)),ISERROR(VLOOKUP(C1535,ABBR!A:D,1,FALSE))),"")</f>
        <v/>
      </c>
      <c r="P1535" t="str">
        <f>VLOOKUP(A1535,Groups!A:L,5,FALSE)</f>
        <v>LOCA</v>
      </c>
      <c r="Q1535" s="62" t="str">
        <f>IF(G1535="PA",IF(M1535&lt;&gt;"",ISERROR(VLOOKUP(M1535,ABBR!C:F,1,FALSE)),ISERROR(VLOOKUP(E1535,ABBR!C:F,1,FALSE))),"")</f>
        <v/>
      </c>
    </row>
    <row r="1536" spans="1:17" hidden="1" x14ac:dyDescent="0.25">
      <c r="A1536" s="38" t="s">
        <v>509</v>
      </c>
      <c r="B1536" s="17"/>
      <c r="C1536" s="16" t="s">
        <v>3126</v>
      </c>
      <c r="D1536" s="17"/>
      <c r="E1536" s="17" t="s">
        <v>608</v>
      </c>
      <c r="F1536" s="18" t="s">
        <v>918</v>
      </c>
      <c r="G1536" s="49" t="s">
        <v>3127</v>
      </c>
      <c r="H1536" s="17">
        <v>11</v>
      </c>
      <c r="J1536" s="62" t="s">
        <v>478</v>
      </c>
      <c r="K1536" s="62"/>
      <c r="M1536" s="62"/>
      <c r="N1536" s="62"/>
      <c r="O1536" s="62" t="str">
        <f>IF(E1536="PA",IF(K1536&lt;&gt;"",ISERROR(VLOOKUP(K1536,ABBR!A:D,1,FALSE)),ISERROR(VLOOKUP(C1536,ABBR!A:D,1,FALSE))),"")</f>
        <v/>
      </c>
      <c r="P1536" t="str">
        <f>VLOOKUP(A1536,Groups!A:L,5,FALSE)</f>
        <v>LOCA</v>
      </c>
      <c r="Q1536" s="62" t="str">
        <f>IF(G1536="PA",IF(M1536&lt;&gt;"",ISERROR(VLOOKUP(M1536,ABBR!C:F,1,FALSE)),ISERROR(VLOOKUP(E1536,ABBR!C:F,1,FALSE))),"")</f>
        <v/>
      </c>
    </row>
    <row r="1537" spans="1:17" hidden="1" x14ac:dyDescent="0.25">
      <c r="A1537" s="38" t="s">
        <v>509</v>
      </c>
      <c r="B1537" s="17"/>
      <c r="C1537" s="16" t="s">
        <v>936</v>
      </c>
      <c r="D1537" s="17"/>
      <c r="E1537" s="17" t="s">
        <v>608</v>
      </c>
      <c r="F1537" s="18" t="s">
        <v>937</v>
      </c>
      <c r="G1537" s="49" t="s">
        <v>938</v>
      </c>
      <c r="H1537" s="17">
        <v>12</v>
      </c>
      <c r="J1537" s="62" t="s">
        <v>478</v>
      </c>
      <c r="K1537" s="62"/>
      <c r="M1537" s="62"/>
      <c r="N1537" s="62"/>
      <c r="O1537" s="62" t="str">
        <f>IF(E1537="PA",IF(K1537&lt;&gt;"",ISERROR(VLOOKUP(K1537,ABBR!A:D,1,FALSE)),ISERROR(VLOOKUP(C1537,ABBR!A:D,1,FALSE))),"")</f>
        <v/>
      </c>
      <c r="P1537" t="str">
        <f>VLOOKUP(A1537,Groups!A:L,5,FALSE)</f>
        <v>LOCA</v>
      </c>
      <c r="Q1537" s="62" t="str">
        <f>IF(G1537="PA",IF(M1537&lt;&gt;"",ISERROR(VLOOKUP(M1537,ABBR!C:F,1,FALSE)),ISERROR(VLOOKUP(E1537,ABBR!C:F,1,FALSE))),"")</f>
        <v/>
      </c>
    </row>
    <row r="1538" spans="1:17" ht="25" hidden="1" x14ac:dyDescent="0.25">
      <c r="A1538" s="38" t="s">
        <v>509</v>
      </c>
      <c r="B1538" s="17"/>
      <c r="C1538" s="16" t="s">
        <v>3128</v>
      </c>
      <c r="D1538" s="17"/>
      <c r="E1538" s="17" t="s">
        <v>608</v>
      </c>
      <c r="F1538" s="18" t="s">
        <v>3129</v>
      </c>
      <c r="G1538" s="49" t="s">
        <v>935</v>
      </c>
      <c r="H1538" s="17">
        <v>13</v>
      </c>
      <c r="J1538" s="62" t="s">
        <v>478</v>
      </c>
      <c r="K1538" s="62"/>
      <c r="M1538" s="62"/>
      <c r="N1538" s="62"/>
      <c r="O1538" s="62" t="str">
        <f>IF(E1538="PA",IF(K1538&lt;&gt;"",ISERROR(VLOOKUP(K1538,ABBR!A:D,1,FALSE)),ISERROR(VLOOKUP(C1538,ABBR!A:D,1,FALSE))),"")</f>
        <v/>
      </c>
      <c r="P1538" t="str">
        <f>VLOOKUP(A1538,Groups!A:L,5,FALSE)</f>
        <v>LOCA</v>
      </c>
      <c r="Q1538" s="62" t="str">
        <f>IF(G1538="PA",IF(M1538&lt;&gt;"",ISERROR(VLOOKUP(M1538,ABBR!C:F,1,FALSE)),ISERROR(VLOOKUP(E1538,ABBR!C:F,1,FALSE))),"")</f>
        <v/>
      </c>
    </row>
    <row r="1539" spans="1:17" hidden="1" x14ac:dyDescent="0.25">
      <c r="A1539" s="38" t="s">
        <v>509</v>
      </c>
      <c r="B1539" s="17"/>
      <c r="C1539" s="16" t="s">
        <v>629</v>
      </c>
      <c r="D1539" s="17"/>
      <c r="E1539" s="17" t="s">
        <v>608</v>
      </c>
      <c r="F1539" s="18" t="s">
        <v>3130</v>
      </c>
      <c r="G1539" s="49" t="s">
        <v>631</v>
      </c>
      <c r="H1539" s="17">
        <v>14</v>
      </c>
      <c r="J1539" s="62" t="s">
        <v>478</v>
      </c>
      <c r="K1539" s="62"/>
      <c r="M1539" s="62"/>
      <c r="N1539" s="62"/>
      <c r="O1539" s="62" t="str">
        <f>IF(E1539="PA",IF(K1539&lt;&gt;"",ISERROR(VLOOKUP(K1539,ABBR!A:D,1,FALSE)),ISERROR(VLOOKUP(C1539,ABBR!A:D,1,FALSE))),"")</f>
        <v/>
      </c>
      <c r="P1539" t="str">
        <f>VLOOKUP(A1539,Groups!A:L,5,FALSE)</f>
        <v>LOCA</v>
      </c>
      <c r="Q1539" s="62" t="str">
        <f>IF(G1539="PA",IF(M1539&lt;&gt;"",ISERROR(VLOOKUP(M1539,ABBR!C:F,1,FALSE)),ISERROR(VLOOKUP(E1539,ABBR!C:F,1,FALSE))),"")</f>
        <v/>
      </c>
    </row>
    <row r="1540" spans="1:17" hidden="1" x14ac:dyDescent="0.25">
      <c r="A1540" s="38" t="s">
        <v>509</v>
      </c>
      <c r="B1540" s="17"/>
      <c r="C1540" s="16" t="s">
        <v>643</v>
      </c>
      <c r="D1540" s="17"/>
      <c r="E1540" s="17" t="s">
        <v>608</v>
      </c>
      <c r="F1540" s="18" t="s">
        <v>1714</v>
      </c>
      <c r="G1540" s="49" t="s">
        <v>3131</v>
      </c>
      <c r="H1540" s="17">
        <v>15</v>
      </c>
      <c r="J1540" s="62" t="s">
        <v>478</v>
      </c>
      <c r="K1540" s="62"/>
      <c r="M1540" s="62"/>
      <c r="N1540" s="62"/>
      <c r="O1540" s="62" t="str">
        <f>IF(E1540="PA",IF(K1540&lt;&gt;"",ISERROR(VLOOKUP(K1540,ABBR!A:D,1,FALSE)),ISERROR(VLOOKUP(C1540,ABBR!A:D,1,FALSE))),"")</f>
        <v/>
      </c>
      <c r="P1540" t="str">
        <f>VLOOKUP(A1540,Groups!A:L,5,FALSE)</f>
        <v>LOCA</v>
      </c>
      <c r="Q1540" s="62" t="str">
        <f>IF(G1540="PA",IF(M1540&lt;&gt;"",ISERROR(VLOOKUP(M1540,ABBR!C:F,1,FALSE)),ISERROR(VLOOKUP(E1540,ABBR!C:F,1,FALSE))),"")</f>
        <v/>
      </c>
    </row>
    <row r="1541" spans="1:17" hidden="1" x14ac:dyDescent="0.25">
      <c r="A1541" s="38" t="s">
        <v>509</v>
      </c>
      <c r="B1541" s="17"/>
      <c r="C1541" s="9" t="s">
        <v>3132</v>
      </c>
      <c r="D1541" s="46"/>
      <c r="E1541" s="46" t="s">
        <v>608</v>
      </c>
      <c r="F1541" s="93" t="s">
        <v>1952</v>
      </c>
      <c r="G1541" s="179" t="s">
        <v>876</v>
      </c>
      <c r="H1541" s="46">
        <v>16</v>
      </c>
      <c r="I1541" s="180"/>
      <c r="J1541" s="62" t="s">
        <v>473</v>
      </c>
      <c r="K1541" s="62"/>
      <c r="M1541" s="62"/>
      <c r="N1541" s="62"/>
      <c r="O1541" s="62" t="str">
        <f>IF(E1541="PA",IF(K1541&lt;&gt;"",ISERROR(VLOOKUP(K1541,ABBR!A:D,1,FALSE)),ISERROR(VLOOKUP(C1541,ABBR!A:D,1,FALSE))),"")</f>
        <v/>
      </c>
      <c r="P1541" t="str">
        <f>VLOOKUP(A1541,Groups!A:L,5,FALSE)</f>
        <v>LOCA</v>
      </c>
      <c r="Q1541" s="62" t="str">
        <f>IF(G1541="PA",IF(M1541&lt;&gt;"",ISERROR(VLOOKUP(M1541,ABBR!C:F,1,FALSE)),ISERROR(VLOOKUP(E1541,ABBR!C:F,1,FALSE))),"")</f>
        <v/>
      </c>
    </row>
    <row r="1542" spans="1:17" hidden="1" x14ac:dyDescent="0.25">
      <c r="A1542" s="38" t="s">
        <v>223</v>
      </c>
      <c r="B1542" s="17" t="s">
        <v>594</v>
      </c>
      <c r="C1542" s="16" t="s">
        <v>595</v>
      </c>
      <c r="D1542" s="17"/>
      <c r="E1542" s="17" t="s">
        <v>596</v>
      </c>
      <c r="F1542" s="18" t="s">
        <v>597</v>
      </c>
      <c r="G1542" s="49" t="s">
        <v>598</v>
      </c>
      <c r="H1542" s="17">
        <v>1</v>
      </c>
      <c r="O1542" s="62" t="str">
        <f>IF(E1542="PA",IF(K1542&lt;&gt;"",ISERROR(VLOOKUP(K1542,ABBR!A:D,1,FALSE)),ISERROR(VLOOKUP(C1542,ABBR!A:D,1,FALSE))),"")</f>
        <v/>
      </c>
      <c r="P1542" t="str">
        <f>VLOOKUP(A1542,Groups!A:L,5,FALSE)</f>
        <v>LOCA</v>
      </c>
      <c r="Q1542" s="62" t="str">
        <f>IF(G1542="PA",IF(M1542&lt;&gt;"",ISERROR(VLOOKUP(M1542,ABBR!C:F,1,FALSE)),ISERROR(VLOOKUP(E1542,ABBR!C:F,1,FALSE))),"")</f>
        <v/>
      </c>
    </row>
    <row r="1543" spans="1:17" hidden="1" x14ac:dyDescent="0.25">
      <c r="A1543" s="38" t="s">
        <v>223</v>
      </c>
      <c r="B1543" s="17" t="s">
        <v>594</v>
      </c>
      <c r="C1543" s="16" t="s">
        <v>3133</v>
      </c>
      <c r="D1543" s="17" t="s">
        <v>600</v>
      </c>
      <c r="E1543" s="17" t="s">
        <v>601</v>
      </c>
      <c r="F1543" s="18" t="s">
        <v>3134</v>
      </c>
      <c r="G1543" s="49" t="s">
        <v>2184</v>
      </c>
      <c r="H1543" s="17">
        <v>2</v>
      </c>
      <c r="O1543" s="62" t="str">
        <f>IF(E1543="PA",IF(K1543&lt;&gt;"",ISERROR(VLOOKUP(K1543,ABBR!A:D,1,FALSE)),ISERROR(VLOOKUP(C1543,ABBR!A:D,1,FALSE))),"")</f>
        <v/>
      </c>
      <c r="P1543" t="str">
        <f>VLOOKUP(A1543,Groups!A:L,5,FALSE)</f>
        <v>LOCA</v>
      </c>
      <c r="Q1543" s="62" t="str">
        <f>IF(G1543="PA",IF(M1543&lt;&gt;"",ISERROR(VLOOKUP(M1543,ABBR!C:F,1,FALSE)),ISERROR(VLOOKUP(E1543,ABBR!C:F,1,FALSE))),"")</f>
        <v/>
      </c>
    </row>
    <row r="1544" spans="1:17" hidden="1" x14ac:dyDescent="0.25">
      <c r="A1544" s="38" t="s">
        <v>223</v>
      </c>
      <c r="B1544" s="17" t="s">
        <v>594</v>
      </c>
      <c r="C1544" s="16" t="s">
        <v>3135</v>
      </c>
      <c r="D1544" s="17"/>
      <c r="E1544" s="17" t="s">
        <v>608</v>
      </c>
      <c r="F1544" s="18" t="s">
        <v>1323</v>
      </c>
      <c r="G1544" s="49" t="s">
        <v>1229</v>
      </c>
      <c r="H1544" s="17">
        <v>3</v>
      </c>
      <c r="O1544" s="62" t="str">
        <f>IF(E1544="PA",IF(K1544&lt;&gt;"",ISERROR(VLOOKUP(K1544,ABBR!A:D,1,FALSE)),ISERROR(VLOOKUP(C1544,ABBR!A:D,1,FALSE))),"")</f>
        <v/>
      </c>
      <c r="P1544" t="str">
        <f>VLOOKUP(A1544,Groups!A:L,5,FALSE)</f>
        <v>LOCA</v>
      </c>
      <c r="Q1544" s="62" t="str">
        <f>IF(G1544="PA",IF(M1544&lt;&gt;"",ISERROR(VLOOKUP(M1544,ABBR!C:F,1,FALSE)),ISERROR(VLOOKUP(E1544,ABBR!C:F,1,FALSE))),"")</f>
        <v/>
      </c>
    </row>
    <row r="1545" spans="1:17" ht="25" hidden="1" x14ac:dyDescent="0.25">
      <c r="A1545" s="38" t="s">
        <v>223</v>
      </c>
      <c r="B1545" s="17"/>
      <c r="C1545" s="16" t="s">
        <v>3136</v>
      </c>
      <c r="D1545" s="17" t="s">
        <v>1421</v>
      </c>
      <c r="E1545" s="17" t="s">
        <v>925</v>
      </c>
      <c r="F1545" s="18" t="s">
        <v>1922</v>
      </c>
      <c r="G1545" s="49" t="s">
        <v>3137</v>
      </c>
      <c r="H1545" s="17">
        <v>4</v>
      </c>
      <c r="J1545" s="62" t="s">
        <v>1279</v>
      </c>
      <c r="K1545" s="62"/>
      <c r="M1545" s="62"/>
      <c r="N1545" s="62"/>
      <c r="O1545" s="62" t="str">
        <f>IF(E1545="PA",IF(K1545&lt;&gt;"",ISERROR(VLOOKUP(K1545,ABBR!A:D,1,FALSE)),ISERROR(VLOOKUP(C1545,ABBR!A:D,1,FALSE))),"")</f>
        <v/>
      </c>
      <c r="P1545" t="str">
        <f>VLOOKUP(A1545,Groups!A:L,5,FALSE)</f>
        <v>LOCA</v>
      </c>
      <c r="Q1545" s="62" t="str">
        <f>IF(G1545="PA",IF(M1545&lt;&gt;"",ISERROR(VLOOKUP(M1545,ABBR!C:F,1,FALSE)),ISERROR(VLOOKUP(E1545,ABBR!C:F,1,FALSE))),"")</f>
        <v/>
      </c>
    </row>
    <row r="1546" spans="1:17" hidden="1" x14ac:dyDescent="0.25">
      <c r="A1546" s="38" t="s">
        <v>223</v>
      </c>
      <c r="B1546" s="17"/>
      <c r="C1546" s="16" t="s">
        <v>3138</v>
      </c>
      <c r="D1546" s="17"/>
      <c r="E1546" s="17" t="s">
        <v>618</v>
      </c>
      <c r="F1546" s="18" t="s">
        <v>3139</v>
      </c>
      <c r="G1546" s="49" t="s">
        <v>3140</v>
      </c>
      <c r="H1546" s="17">
        <v>5</v>
      </c>
      <c r="O1546" s="62" t="b">
        <f>IF(E1546="PA",IF(K1546&lt;&gt;"",ISERROR(VLOOKUP(K1546,ABBR!A:D,1,FALSE)),ISERROR(VLOOKUP(C1546,ABBR!A:D,1,FALSE))),"")</f>
        <v>0</v>
      </c>
      <c r="P1546" t="str">
        <f>VLOOKUP(A1546,Groups!A:L,5,FALSE)</f>
        <v>LOCA</v>
      </c>
      <c r="Q1546" s="62" t="str">
        <f>IF(G1546="PA",IF(M1546&lt;&gt;"",ISERROR(VLOOKUP(M1546,ABBR!C:F,1,FALSE)),ISERROR(VLOOKUP(E1546,ABBR!C:F,1,FALSE))),"")</f>
        <v/>
      </c>
    </row>
    <row r="1547" spans="1:17" ht="25" hidden="1" x14ac:dyDescent="0.25">
      <c r="A1547" s="38" t="s">
        <v>223</v>
      </c>
      <c r="B1547" s="17"/>
      <c r="C1547" s="16" t="s">
        <v>3141</v>
      </c>
      <c r="D1547" s="17" t="s">
        <v>1077</v>
      </c>
      <c r="E1547" s="17" t="s">
        <v>601</v>
      </c>
      <c r="F1547" s="18" t="s">
        <v>3142</v>
      </c>
      <c r="G1547" s="49" t="s">
        <v>3143</v>
      </c>
      <c r="H1547" s="17">
        <v>6</v>
      </c>
      <c r="O1547" s="62" t="str">
        <f>IF(E1547="PA",IF(K1547&lt;&gt;"",ISERROR(VLOOKUP(K1547,ABBR!A:D,1,FALSE)),ISERROR(VLOOKUP(C1547,ABBR!A:D,1,FALSE))),"")</f>
        <v/>
      </c>
      <c r="P1547" t="str">
        <f>VLOOKUP(A1547,Groups!A:L,5,FALSE)</f>
        <v>LOCA</v>
      </c>
      <c r="Q1547" s="62" t="str">
        <f>IF(G1547="PA",IF(M1547&lt;&gt;"",ISERROR(VLOOKUP(M1547,ABBR!C:F,1,FALSE)),ISERROR(VLOOKUP(E1547,ABBR!C:F,1,FALSE))),"")</f>
        <v/>
      </c>
    </row>
    <row r="1548" spans="1:17" ht="25" hidden="1" x14ac:dyDescent="0.25">
      <c r="A1548" s="38" t="s">
        <v>223</v>
      </c>
      <c r="B1548" s="17"/>
      <c r="C1548" s="16" t="s">
        <v>3144</v>
      </c>
      <c r="D1548" s="17" t="s">
        <v>766</v>
      </c>
      <c r="E1548" s="17" t="s">
        <v>608</v>
      </c>
      <c r="F1548" s="18" t="s">
        <v>3145</v>
      </c>
      <c r="G1548" s="49" t="s">
        <v>3146</v>
      </c>
      <c r="H1548" s="17">
        <v>7</v>
      </c>
      <c r="O1548" s="62" t="str">
        <f>IF(E1548="PA",IF(K1548&lt;&gt;"",ISERROR(VLOOKUP(K1548,ABBR!A:D,1,FALSE)),ISERROR(VLOOKUP(C1548,ABBR!A:D,1,FALSE))),"")</f>
        <v/>
      </c>
      <c r="P1548" t="str">
        <f>VLOOKUP(A1548,Groups!A:L,5,FALSE)</f>
        <v>LOCA</v>
      </c>
      <c r="Q1548" s="62" t="str">
        <f>IF(G1548="PA",IF(M1548&lt;&gt;"",ISERROR(VLOOKUP(M1548,ABBR!C:F,1,FALSE)),ISERROR(VLOOKUP(E1548,ABBR!C:F,1,FALSE))),"")</f>
        <v/>
      </c>
    </row>
    <row r="1549" spans="1:17" hidden="1" x14ac:dyDescent="0.25">
      <c r="A1549" s="38" t="s">
        <v>223</v>
      </c>
      <c r="B1549" s="17"/>
      <c r="C1549" s="16" t="s">
        <v>3147</v>
      </c>
      <c r="D1549" s="17" t="s">
        <v>766</v>
      </c>
      <c r="E1549" s="17" t="s">
        <v>882</v>
      </c>
      <c r="F1549" s="18" t="s">
        <v>1281</v>
      </c>
      <c r="G1549" s="49" t="s">
        <v>1282</v>
      </c>
      <c r="H1549" s="39">
        <v>8</v>
      </c>
      <c r="O1549" s="62" t="str">
        <f>IF(E1549="PA",IF(K1549&lt;&gt;"",ISERROR(VLOOKUP(K1549,ABBR!A:D,1,FALSE)),ISERROR(VLOOKUP(C1549,ABBR!A:D,1,FALSE))),"")</f>
        <v/>
      </c>
      <c r="P1549" t="str">
        <f>VLOOKUP(A1549,Groups!A:L,5,FALSE)</f>
        <v>LOCA</v>
      </c>
      <c r="Q1549" s="62" t="str">
        <f>IF(G1549="PA",IF(M1549&lt;&gt;"",ISERROR(VLOOKUP(M1549,ABBR!C:F,1,FALSE)),ISERROR(VLOOKUP(E1549,ABBR!C:F,1,FALSE))),"")</f>
        <v/>
      </c>
    </row>
    <row r="1550" spans="1:17" hidden="1" x14ac:dyDescent="0.25">
      <c r="A1550" s="38" t="s">
        <v>223</v>
      </c>
      <c r="B1550" s="17"/>
      <c r="C1550" s="16" t="s">
        <v>3148</v>
      </c>
      <c r="D1550" s="17"/>
      <c r="E1550" s="17" t="s">
        <v>608</v>
      </c>
      <c r="F1550" s="18" t="s">
        <v>1284</v>
      </c>
      <c r="G1550" s="49" t="s">
        <v>1285</v>
      </c>
      <c r="H1550" s="39">
        <v>9</v>
      </c>
      <c r="O1550" s="62" t="str">
        <f>IF(E1550="PA",IF(K1550&lt;&gt;"",ISERROR(VLOOKUP(K1550,ABBR!A:D,1,FALSE)),ISERROR(VLOOKUP(C1550,ABBR!A:D,1,FALSE))),"")</f>
        <v/>
      </c>
      <c r="P1550" t="str">
        <f>VLOOKUP(A1550,Groups!A:L,5,FALSE)</f>
        <v>LOCA</v>
      </c>
      <c r="Q1550" s="62" t="str">
        <f>IF(G1550="PA",IF(M1550&lt;&gt;"",ISERROR(VLOOKUP(M1550,ABBR!C:F,1,FALSE)),ISERROR(VLOOKUP(E1550,ABBR!C:F,1,FALSE))),"")</f>
        <v/>
      </c>
    </row>
    <row r="1551" spans="1:17" ht="25" hidden="1" x14ac:dyDescent="0.25">
      <c r="A1551" s="16" t="s">
        <v>223</v>
      </c>
      <c r="B1551" s="17"/>
      <c r="C1551" s="16" t="s">
        <v>3149</v>
      </c>
      <c r="D1551" s="17"/>
      <c r="E1551" s="17" t="s">
        <v>608</v>
      </c>
      <c r="F1551" s="18" t="s">
        <v>642</v>
      </c>
      <c r="G1551" s="49" t="s">
        <v>3150</v>
      </c>
      <c r="H1551" s="17">
        <v>10</v>
      </c>
      <c r="O1551" s="62" t="str">
        <f>IF(E1551="PA",IF(K1551&lt;&gt;"",ISERROR(VLOOKUP(K1551,ABBR!A:D,1,FALSE)),ISERROR(VLOOKUP(C1551,ABBR!A:D,1,FALSE))),"")</f>
        <v/>
      </c>
      <c r="P1551" t="str">
        <f>VLOOKUP(A1551,Groups!A:L,5,FALSE)</f>
        <v>LOCA</v>
      </c>
      <c r="Q1551" s="62" t="str">
        <f>IF(G1551="PA",IF(M1551&lt;&gt;"",ISERROR(VLOOKUP(M1551,ABBR!C:F,1,FALSE)),ISERROR(VLOOKUP(E1551,ABBR!C:F,1,FALSE))),"")</f>
        <v/>
      </c>
    </row>
    <row r="1552" spans="1:17" ht="25" hidden="1" x14ac:dyDescent="0.25">
      <c r="A1552" s="16" t="s">
        <v>223</v>
      </c>
      <c r="B1552" s="17"/>
      <c r="C1552" s="16" t="s">
        <v>3151</v>
      </c>
      <c r="D1552" s="17"/>
      <c r="E1552" s="17" t="s">
        <v>608</v>
      </c>
      <c r="F1552" s="18" t="s">
        <v>1938</v>
      </c>
      <c r="G1552" s="49" t="s">
        <v>3152</v>
      </c>
      <c r="H1552" s="17">
        <v>11</v>
      </c>
      <c r="O1552" s="62" t="str">
        <f>IF(E1552="PA",IF(K1552&lt;&gt;"",ISERROR(VLOOKUP(K1552,ABBR!A:D,1,FALSE)),ISERROR(VLOOKUP(C1552,ABBR!A:D,1,FALSE))),"")</f>
        <v/>
      </c>
      <c r="P1552" t="str">
        <f>VLOOKUP(A1552,Groups!A:L,5,FALSE)</f>
        <v>LOCA</v>
      </c>
      <c r="Q1552" s="62" t="str">
        <f>IF(G1552="PA",IF(M1552&lt;&gt;"",ISERROR(VLOOKUP(M1552,ABBR!C:F,1,FALSE)),ISERROR(VLOOKUP(E1552,ABBR!C:F,1,FALSE))),"")</f>
        <v/>
      </c>
    </row>
    <row r="1553" spans="1:17" hidden="1" x14ac:dyDescent="0.25">
      <c r="A1553" s="16" t="s">
        <v>223</v>
      </c>
      <c r="B1553" s="17"/>
      <c r="C1553" s="16" t="s">
        <v>3153</v>
      </c>
      <c r="D1553" s="17"/>
      <c r="E1553" s="17" t="s">
        <v>608</v>
      </c>
      <c r="F1553" s="18" t="s">
        <v>918</v>
      </c>
      <c r="G1553" s="49" t="s">
        <v>3154</v>
      </c>
      <c r="H1553" s="17">
        <v>12</v>
      </c>
      <c r="O1553" s="62" t="str">
        <f>IF(E1553="PA",IF(K1553&lt;&gt;"",ISERROR(VLOOKUP(K1553,ABBR!A:D,1,FALSE)),ISERROR(VLOOKUP(C1553,ABBR!A:D,1,FALSE))),"")</f>
        <v/>
      </c>
      <c r="P1553" t="str">
        <f>VLOOKUP(A1553,Groups!A:L,5,FALSE)</f>
        <v>LOCA</v>
      </c>
      <c r="Q1553" s="62" t="str">
        <f>IF(G1553="PA",IF(M1553&lt;&gt;"",ISERROR(VLOOKUP(M1553,ABBR!C:F,1,FALSE)),ISERROR(VLOOKUP(E1553,ABBR!C:F,1,FALSE))),"")</f>
        <v/>
      </c>
    </row>
    <row r="1554" spans="1:17" ht="25" hidden="1" x14ac:dyDescent="0.25">
      <c r="A1554" s="16" t="s">
        <v>223</v>
      </c>
      <c r="B1554" s="17"/>
      <c r="C1554" s="16" t="s">
        <v>3155</v>
      </c>
      <c r="D1554" s="17"/>
      <c r="E1554" s="17" t="s">
        <v>608</v>
      </c>
      <c r="F1554" s="18" t="s">
        <v>1943</v>
      </c>
      <c r="G1554" s="49" t="s">
        <v>1944</v>
      </c>
      <c r="H1554" s="17">
        <v>13</v>
      </c>
      <c r="O1554" s="62" t="str">
        <f>IF(E1554="PA",IF(K1554&lt;&gt;"",ISERROR(VLOOKUP(K1554,ABBR!A:D,1,FALSE)),ISERROR(VLOOKUP(C1554,ABBR!A:D,1,FALSE))),"")</f>
        <v/>
      </c>
      <c r="P1554" t="str">
        <f>VLOOKUP(A1554,Groups!A:L,5,FALSE)</f>
        <v>LOCA</v>
      </c>
      <c r="Q1554" s="62" t="str">
        <f>IF(G1554="PA",IF(M1554&lt;&gt;"",ISERROR(VLOOKUP(M1554,ABBR!C:F,1,FALSE)),ISERROR(VLOOKUP(E1554,ABBR!C:F,1,FALSE))),"")</f>
        <v/>
      </c>
    </row>
    <row r="1555" spans="1:17" ht="25" hidden="1" x14ac:dyDescent="0.25">
      <c r="A1555" s="16" t="s">
        <v>223</v>
      </c>
      <c r="B1555" s="17"/>
      <c r="C1555" s="16" t="s">
        <v>3156</v>
      </c>
      <c r="D1555" s="17"/>
      <c r="E1555" s="17" t="s">
        <v>608</v>
      </c>
      <c r="F1555" s="18" t="s">
        <v>934</v>
      </c>
      <c r="G1555" s="8" t="s">
        <v>953</v>
      </c>
      <c r="H1555" s="17">
        <v>14</v>
      </c>
      <c r="O1555" s="62" t="str">
        <f>IF(E1555="PA",IF(K1555&lt;&gt;"",ISERROR(VLOOKUP(K1555,ABBR!A:D,1,FALSE)),ISERROR(VLOOKUP(C1555,ABBR!A:D,1,FALSE))),"")</f>
        <v/>
      </c>
      <c r="P1555" t="str">
        <f>VLOOKUP(A1555,Groups!A:L,5,FALSE)</f>
        <v>LOCA</v>
      </c>
      <c r="Q1555" s="62" t="str">
        <f>IF(G1555="PA",IF(M1555&lt;&gt;"",ISERROR(VLOOKUP(M1555,ABBR!C:F,1,FALSE)),ISERROR(VLOOKUP(E1555,ABBR!C:F,1,FALSE))),"")</f>
        <v/>
      </c>
    </row>
    <row r="1556" spans="1:17" hidden="1" x14ac:dyDescent="0.25">
      <c r="A1556" s="16" t="s">
        <v>223</v>
      </c>
      <c r="B1556" s="17"/>
      <c r="C1556" s="16" t="s">
        <v>936</v>
      </c>
      <c r="D1556" s="17"/>
      <c r="E1556" s="22" t="s">
        <v>608</v>
      </c>
      <c r="F1556" s="18" t="s">
        <v>937</v>
      </c>
      <c r="G1556" s="49" t="s">
        <v>938</v>
      </c>
      <c r="H1556" s="17">
        <v>15</v>
      </c>
      <c r="O1556" s="62" t="str">
        <f>IF(E1556="PA",IF(K1556&lt;&gt;"",ISERROR(VLOOKUP(K1556,ABBR!A:D,1,FALSE)),ISERROR(VLOOKUP(C1556,ABBR!A:D,1,FALSE))),"")</f>
        <v/>
      </c>
      <c r="P1556" t="str">
        <f>VLOOKUP(A1556,Groups!A:L,5,FALSE)</f>
        <v>LOCA</v>
      </c>
      <c r="Q1556" s="62" t="str">
        <f>IF(G1556="PA",IF(M1556&lt;&gt;"",ISERROR(VLOOKUP(M1556,ABBR!C:F,1,FALSE)),ISERROR(VLOOKUP(E1556,ABBR!C:F,1,FALSE))),"")</f>
        <v/>
      </c>
    </row>
    <row r="1557" spans="1:17" hidden="1" x14ac:dyDescent="0.25">
      <c r="A1557" s="16" t="s">
        <v>223</v>
      </c>
      <c r="B1557" s="17"/>
      <c r="C1557" s="16" t="s">
        <v>629</v>
      </c>
      <c r="D1557" s="17"/>
      <c r="E1557" s="17" t="s">
        <v>608</v>
      </c>
      <c r="F1557" s="18" t="s">
        <v>630</v>
      </c>
      <c r="G1557" s="49" t="s">
        <v>631</v>
      </c>
      <c r="H1557" s="17">
        <v>16</v>
      </c>
      <c r="O1557" s="62" t="str">
        <f>IF(E1557="PA",IF(K1557&lt;&gt;"",ISERROR(VLOOKUP(K1557,ABBR!A:D,1,FALSE)),ISERROR(VLOOKUP(C1557,ABBR!A:D,1,FALSE))),"")</f>
        <v/>
      </c>
      <c r="P1557" t="str">
        <f>VLOOKUP(A1557,Groups!A:L,5,FALSE)</f>
        <v>LOCA</v>
      </c>
      <c r="Q1557" s="62" t="str">
        <f>IF(G1557="PA",IF(M1557&lt;&gt;"",ISERROR(VLOOKUP(M1557,ABBR!C:F,1,FALSE)),ISERROR(VLOOKUP(E1557,ABBR!C:F,1,FALSE))),"")</f>
        <v/>
      </c>
    </row>
    <row r="1558" spans="1:17" hidden="1" x14ac:dyDescent="0.25">
      <c r="A1558" s="16" t="s">
        <v>223</v>
      </c>
      <c r="B1558" s="17"/>
      <c r="C1558" s="16" t="s">
        <v>643</v>
      </c>
      <c r="D1558" s="17"/>
      <c r="E1558" s="17" t="s">
        <v>608</v>
      </c>
      <c r="F1558" s="18" t="s">
        <v>954</v>
      </c>
      <c r="G1558" s="49" t="s">
        <v>2368</v>
      </c>
      <c r="H1558" s="17">
        <v>17</v>
      </c>
      <c r="O1558" s="62" t="str">
        <f>IF(E1558="PA",IF(K1558&lt;&gt;"",ISERROR(VLOOKUP(K1558,ABBR!A:D,1,FALSE)),ISERROR(VLOOKUP(C1558,ABBR!A:D,1,FALSE))),"")</f>
        <v/>
      </c>
      <c r="P1558" t="str">
        <f>VLOOKUP(A1558,Groups!A:L,5,FALSE)</f>
        <v>LOCA</v>
      </c>
      <c r="Q1558" s="62" t="str">
        <f>IF(G1558="PA",IF(M1558&lt;&gt;"",ISERROR(VLOOKUP(M1558,ABBR!C:F,1,FALSE)),ISERROR(VLOOKUP(E1558,ABBR!C:F,1,FALSE))),"")</f>
        <v/>
      </c>
    </row>
    <row r="1559" spans="1:17" hidden="1" x14ac:dyDescent="0.25">
      <c r="A1559" s="16" t="s">
        <v>223</v>
      </c>
      <c r="B1559" s="17"/>
      <c r="C1559" s="16" t="s">
        <v>3157</v>
      </c>
      <c r="D1559" s="17" t="s">
        <v>1077</v>
      </c>
      <c r="E1559" s="17" t="s">
        <v>601</v>
      </c>
      <c r="F1559" s="18" t="s">
        <v>3158</v>
      </c>
      <c r="G1559" s="49" t="s">
        <v>3143</v>
      </c>
      <c r="H1559" s="17">
        <v>18</v>
      </c>
      <c r="J1559" s="62" t="s">
        <v>478</v>
      </c>
      <c r="K1559" s="62"/>
      <c r="M1559" s="62"/>
      <c r="N1559" s="62"/>
      <c r="O1559" s="62" t="str">
        <f>IF(E1559="PA",IF(K1559&lt;&gt;"",ISERROR(VLOOKUP(K1559,ABBR!A:D,1,FALSE)),ISERROR(VLOOKUP(C1559,ABBR!A:D,1,FALSE))),"")</f>
        <v/>
      </c>
      <c r="P1559" t="str">
        <f>VLOOKUP(A1559,Groups!A:L,5,FALSE)</f>
        <v>LOCA</v>
      </c>
      <c r="Q1559" s="62" t="str">
        <f>IF(G1559="PA",IF(M1559&lt;&gt;"",ISERROR(VLOOKUP(M1559,ABBR!C:F,1,FALSE)),ISERROR(VLOOKUP(E1559,ABBR!C:F,1,FALSE))),"")</f>
        <v/>
      </c>
    </row>
    <row r="1560" spans="1:17" hidden="1" x14ac:dyDescent="0.25">
      <c r="A1560" s="16" t="s">
        <v>223</v>
      </c>
      <c r="B1560" s="17"/>
      <c r="C1560" s="16" t="s">
        <v>3159</v>
      </c>
      <c r="D1560" s="17"/>
      <c r="E1560" s="17" t="s">
        <v>608</v>
      </c>
      <c r="F1560" s="18" t="s">
        <v>3160</v>
      </c>
      <c r="G1560" s="49" t="s">
        <v>1492</v>
      </c>
      <c r="H1560" s="17">
        <v>19</v>
      </c>
      <c r="J1560" s="62" t="s">
        <v>478</v>
      </c>
      <c r="K1560" s="62"/>
      <c r="M1560" s="62"/>
      <c r="N1560" s="62"/>
      <c r="O1560" s="62" t="str">
        <f>IF(E1560="PA",IF(K1560&lt;&gt;"",ISERROR(VLOOKUP(K1560,ABBR!A:D,1,FALSE)),ISERROR(VLOOKUP(C1560,ABBR!A:D,1,FALSE))),"")</f>
        <v/>
      </c>
      <c r="P1560" t="str">
        <f>VLOOKUP(A1560,Groups!A:L,5,FALSE)</f>
        <v>LOCA</v>
      </c>
      <c r="Q1560" s="62" t="str">
        <f>IF(G1560="PA",IF(M1560&lt;&gt;"",ISERROR(VLOOKUP(M1560,ABBR!C:F,1,FALSE)),ISERROR(VLOOKUP(E1560,ABBR!C:F,1,FALSE))),"")</f>
        <v/>
      </c>
    </row>
    <row r="1561" spans="1:17" hidden="1" x14ac:dyDescent="0.25">
      <c r="A1561" s="16" t="s">
        <v>223</v>
      </c>
      <c r="B1561" s="17"/>
      <c r="C1561" s="16" t="s">
        <v>3161</v>
      </c>
      <c r="D1561" s="17" t="s">
        <v>600</v>
      </c>
      <c r="E1561" s="17" t="s">
        <v>601</v>
      </c>
      <c r="F1561" s="18" t="s">
        <v>3162</v>
      </c>
      <c r="G1561" s="49" t="s">
        <v>3163</v>
      </c>
      <c r="H1561" s="17">
        <v>20</v>
      </c>
      <c r="J1561" s="62" t="s">
        <v>478</v>
      </c>
      <c r="K1561" s="62"/>
      <c r="M1561" s="62"/>
      <c r="N1561" s="62"/>
      <c r="O1561" s="62" t="str">
        <f>IF(E1561="PA",IF(K1561&lt;&gt;"",ISERROR(VLOOKUP(K1561,ABBR!A:D,1,FALSE)),ISERROR(VLOOKUP(C1561,ABBR!A:D,1,FALSE))),"")</f>
        <v/>
      </c>
      <c r="P1561" t="str">
        <f>VLOOKUP(A1561,Groups!A:L,5,FALSE)</f>
        <v>LOCA</v>
      </c>
      <c r="Q1561" s="62" t="str">
        <f>IF(G1561="PA",IF(M1561&lt;&gt;"",ISERROR(VLOOKUP(M1561,ABBR!C:F,1,FALSE)),ISERROR(VLOOKUP(E1561,ABBR!C:F,1,FALSE))),"")</f>
        <v/>
      </c>
    </row>
    <row r="1562" spans="1:17" hidden="1" x14ac:dyDescent="0.25">
      <c r="A1562" s="16" t="s">
        <v>223</v>
      </c>
      <c r="B1562" s="17"/>
      <c r="C1562" s="16" t="s">
        <v>3164</v>
      </c>
      <c r="D1562" s="17" t="s">
        <v>766</v>
      </c>
      <c r="E1562" s="17" t="s">
        <v>723</v>
      </c>
      <c r="F1562" s="18" t="s">
        <v>3165</v>
      </c>
      <c r="G1562" s="49" t="s">
        <v>725</v>
      </c>
      <c r="H1562" s="17">
        <v>21</v>
      </c>
      <c r="J1562" s="62" t="s">
        <v>478</v>
      </c>
      <c r="K1562" s="62"/>
      <c r="M1562" s="62"/>
      <c r="N1562" s="62"/>
      <c r="O1562" s="62" t="str">
        <f>IF(E1562="PA",IF(K1562&lt;&gt;"",ISERROR(VLOOKUP(K1562,ABBR!A:D,1,FALSE)),ISERROR(VLOOKUP(C1562,ABBR!A:D,1,FALSE))),"")</f>
        <v/>
      </c>
      <c r="P1562" t="str">
        <f>VLOOKUP(A1562,Groups!A:L,5,FALSE)</f>
        <v>LOCA</v>
      </c>
      <c r="Q1562" s="62" t="str">
        <f>IF(G1562="PA",IF(M1562&lt;&gt;"",ISERROR(VLOOKUP(M1562,ABBR!C:F,1,FALSE)),ISERROR(VLOOKUP(E1562,ABBR!C:F,1,FALSE))),"")</f>
        <v/>
      </c>
    </row>
    <row r="1563" spans="1:17" hidden="1" x14ac:dyDescent="0.25">
      <c r="A1563" s="16" t="s">
        <v>223</v>
      </c>
      <c r="B1563" s="17"/>
      <c r="C1563" s="16" t="s">
        <v>3166</v>
      </c>
      <c r="D1563" s="17" t="s">
        <v>1077</v>
      </c>
      <c r="E1563" s="17" t="s">
        <v>601</v>
      </c>
      <c r="F1563" s="18" t="s">
        <v>3167</v>
      </c>
      <c r="G1563" s="49" t="s">
        <v>3143</v>
      </c>
      <c r="H1563" s="17">
        <v>22</v>
      </c>
      <c r="J1563" s="62" t="s">
        <v>478</v>
      </c>
      <c r="K1563" s="62"/>
      <c r="M1563" s="62"/>
      <c r="N1563" s="62"/>
      <c r="O1563" s="62" t="str">
        <f>IF(E1563="PA",IF(K1563&lt;&gt;"",ISERROR(VLOOKUP(K1563,ABBR!A:D,1,FALSE)),ISERROR(VLOOKUP(C1563,ABBR!A:D,1,FALSE))),"")</f>
        <v/>
      </c>
      <c r="P1563" t="str">
        <f>VLOOKUP(A1563,Groups!A:L,5,FALSE)</f>
        <v>LOCA</v>
      </c>
      <c r="Q1563" s="62" t="str">
        <f>IF(G1563="PA",IF(M1563&lt;&gt;"",ISERROR(VLOOKUP(M1563,ABBR!C:F,1,FALSE)),ISERROR(VLOOKUP(E1563,ABBR!C:F,1,FALSE))),"")</f>
        <v/>
      </c>
    </row>
    <row r="1564" spans="1:17" hidden="1" x14ac:dyDescent="0.25">
      <c r="A1564" s="16" t="s">
        <v>223</v>
      </c>
      <c r="B1564" s="17"/>
      <c r="C1564" s="16" t="s">
        <v>3168</v>
      </c>
      <c r="D1564" s="17" t="s">
        <v>722</v>
      </c>
      <c r="E1564" s="17" t="s">
        <v>723</v>
      </c>
      <c r="F1564" s="18" t="s">
        <v>3169</v>
      </c>
      <c r="G1564" s="49" t="s">
        <v>2323</v>
      </c>
      <c r="H1564" s="17">
        <v>23</v>
      </c>
      <c r="J1564" s="62" t="s">
        <v>478</v>
      </c>
      <c r="K1564" s="62"/>
      <c r="M1564" s="62"/>
      <c r="N1564" s="62"/>
      <c r="O1564" s="62" t="str">
        <f>IF(E1564="PA",IF(K1564&lt;&gt;"",ISERROR(VLOOKUP(K1564,ABBR!A:D,1,FALSE)),ISERROR(VLOOKUP(C1564,ABBR!A:D,1,FALSE))),"")</f>
        <v/>
      </c>
      <c r="P1564" t="str">
        <f>VLOOKUP(A1564,Groups!A:L,5,FALSE)</f>
        <v>LOCA</v>
      </c>
      <c r="Q1564" s="62" t="str">
        <f>IF(G1564="PA",IF(M1564&lt;&gt;"",ISERROR(VLOOKUP(M1564,ABBR!C:F,1,FALSE)),ISERROR(VLOOKUP(E1564,ABBR!C:F,1,FALSE))),"")</f>
        <v/>
      </c>
    </row>
    <row r="1565" spans="1:17" hidden="1" x14ac:dyDescent="0.25">
      <c r="A1565" s="16" t="s">
        <v>223</v>
      </c>
      <c r="B1565" s="17"/>
      <c r="C1565" s="9" t="s">
        <v>3170</v>
      </c>
      <c r="D1565" s="46"/>
      <c r="E1565" s="46" t="s">
        <v>608</v>
      </c>
      <c r="F1565" s="93" t="s">
        <v>1952</v>
      </c>
      <c r="G1565" s="179" t="s">
        <v>876</v>
      </c>
      <c r="H1565" s="46">
        <v>24</v>
      </c>
      <c r="I1565" s="180"/>
      <c r="J1565" s="62" t="s">
        <v>473</v>
      </c>
      <c r="K1565" s="62"/>
      <c r="M1565" s="62"/>
      <c r="N1565" s="62"/>
      <c r="O1565" s="62" t="str">
        <f>IF(E1565="PA",IF(K1565&lt;&gt;"",ISERROR(VLOOKUP(K1565,ABBR!A:D,1,FALSE)),ISERROR(VLOOKUP(C1565,ABBR!A:D,1,FALSE))),"")</f>
        <v/>
      </c>
      <c r="P1565" t="str">
        <f>VLOOKUP(A1565,Groups!A:L,5,FALSE)</f>
        <v>LOCA</v>
      </c>
      <c r="Q1565" s="62" t="str">
        <f>IF(G1565="PA",IF(M1565&lt;&gt;"",ISERROR(VLOOKUP(M1565,ABBR!C:F,1,FALSE)),ISERROR(VLOOKUP(E1565,ABBR!C:F,1,FALSE))),"")</f>
        <v/>
      </c>
    </row>
    <row r="1566" spans="1:17" hidden="1" x14ac:dyDescent="0.25">
      <c r="A1566" s="16" t="s">
        <v>511</v>
      </c>
      <c r="B1566" s="17" t="s">
        <v>594</v>
      </c>
      <c r="C1566" s="16" t="s">
        <v>595</v>
      </c>
      <c r="D1566" s="17"/>
      <c r="E1566" s="17" t="s">
        <v>596</v>
      </c>
      <c r="F1566" s="18" t="s">
        <v>1953</v>
      </c>
      <c r="G1566" s="49" t="s">
        <v>598</v>
      </c>
      <c r="H1566" s="17">
        <v>1</v>
      </c>
      <c r="J1566" s="62" t="s">
        <v>478</v>
      </c>
      <c r="K1566" s="62"/>
      <c r="M1566" s="62"/>
      <c r="N1566" s="62"/>
      <c r="O1566" s="62" t="str">
        <f>IF(E1566="PA",IF(K1566&lt;&gt;"",ISERROR(VLOOKUP(K1566,ABBR!A:D,1,FALSE)),ISERROR(VLOOKUP(C1566,ABBR!A:D,1,FALSE))),"")</f>
        <v/>
      </c>
      <c r="P1566" t="str">
        <f>VLOOKUP(A1566,Groups!A:L,5,FALSE)</f>
        <v>IDEN</v>
      </c>
      <c r="Q1566" s="62" t="str">
        <f>IF(G1566="PA",IF(M1566&lt;&gt;"",ISERROR(VLOOKUP(M1566,ABBR!C:F,1,FALSE)),ISERROR(VLOOKUP(E1566,ABBR!C:F,1,FALSE))),"")</f>
        <v/>
      </c>
    </row>
    <row r="1567" spans="1:17" hidden="1" x14ac:dyDescent="0.25">
      <c r="A1567" s="16" t="s">
        <v>511</v>
      </c>
      <c r="B1567" s="17" t="s">
        <v>594</v>
      </c>
      <c r="C1567" s="16" t="s">
        <v>3133</v>
      </c>
      <c r="D1567" s="17" t="s">
        <v>600</v>
      </c>
      <c r="E1567" s="17" t="s">
        <v>601</v>
      </c>
      <c r="F1567" s="18" t="s">
        <v>3134</v>
      </c>
      <c r="G1567" s="49" t="s">
        <v>2184</v>
      </c>
      <c r="H1567" s="17">
        <v>2</v>
      </c>
      <c r="J1567" s="62" t="s">
        <v>478</v>
      </c>
      <c r="K1567" s="62"/>
      <c r="M1567" s="62"/>
      <c r="N1567" s="62"/>
      <c r="O1567" s="62" t="str">
        <f>IF(E1567="PA",IF(K1567&lt;&gt;"",ISERROR(VLOOKUP(K1567,ABBR!A:D,1,FALSE)),ISERROR(VLOOKUP(C1567,ABBR!A:D,1,FALSE))),"")</f>
        <v/>
      </c>
      <c r="P1567" t="str">
        <f>VLOOKUP(A1567,Groups!A:L,5,FALSE)</f>
        <v>IDEN</v>
      </c>
      <c r="Q1567" s="62" t="str">
        <f>IF(G1567="PA",IF(M1567&lt;&gt;"",ISERROR(VLOOKUP(M1567,ABBR!C:F,1,FALSE)),ISERROR(VLOOKUP(E1567,ABBR!C:F,1,FALSE))),"")</f>
        <v/>
      </c>
    </row>
    <row r="1568" spans="1:17" hidden="1" x14ac:dyDescent="0.25">
      <c r="A1568" s="16" t="s">
        <v>511</v>
      </c>
      <c r="B1568" s="17" t="s">
        <v>594</v>
      </c>
      <c r="C1568" s="16" t="s">
        <v>3135</v>
      </c>
      <c r="D1568" s="17"/>
      <c r="E1568" s="17" t="s">
        <v>608</v>
      </c>
      <c r="F1568" s="18" t="s">
        <v>1313</v>
      </c>
      <c r="G1568" s="49" t="s">
        <v>1229</v>
      </c>
      <c r="H1568" s="17">
        <v>3</v>
      </c>
      <c r="J1568" s="62" t="s">
        <v>478</v>
      </c>
      <c r="K1568" s="62"/>
      <c r="M1568" s="62"/>
      <c r="N1568" s="62"/>
      <c r="O1568" s="62" t="str">
        <f>IF(E1568="PA",IF(K1568&lt;&gt;"",ISERROR(VLOOKUP(K1568,ABBR!A:D,1,FALSE)),ISERROR(VLOOKUP(C1568,ABBR!A:D,1,FALSE))),"")</f>
        <v/>
      </c>
      <c r="P1568" t="str">
        <f>VLOOKUP(A1568,Groups!A:L,5,FALSE)</f>
        <v>IDEN</v>
      </c>
      <c r="Q1568" s="62" t="str">
        <f>IF(G1568="PA",IF(M1568&lt;&gt;"",ISERROR(VLOOKUP(M1568,ABBR!C:F,1,FALSE)),ISERROR(VLOOKUP(E1568,ABBR!C:F,1,FALSE))),"")</f>
        <v/>
      </c>
    </row>
    <row r="1569" spans="1:17" hidden="1" x14ac:dyDescent="0.25">
      <c r="A1569" s="16" t="s">
        <v>511</v>
      </c>
      <c r="B1569" s="17" t="s">
        <v>594</v>
      </c>
      <c r="C1569" s="16" t="s">
        <v>3171</v>
      </c>
      <c r="D1569" s="17" t="s">
        <v>600</v>
      </c>
      <c r="E1569" s="17" t="s">
        <v>601</v>
      </c>
      <c r="F1569" s="18" t="s">
        <v>3172</v>
      </c>
      <c r="G1569" s="49" t="s">
        <v>3173</v>
      </c>
      <c r="H1569" s="17">
        <v>4</v>
      </c>
      <c r="J1569" s="62" t="s">
        <v>478</v>
      </c>
      <c r="K1569" s="62"/>
      <c r="M1569" s="62"/>
      <c r="N1569" s="62"/>
      <c r="O1569" s="62" t="str">
        <f>IF(E1569="PA",IF(K1569&lt;&gt;"",ISERROR(VLOOKUP(K1569,ABBR!A:D,1,FALSE)),ISERROR(VLOOKUP(C1569,ABBR!A:D,1,FALSE))),"")</f>
        <v/>
      </c>
      <c r="P1569" t="str">
        <f>VLOOKUP(A1569,Groups!A:L,5,FALSE)</f>
        <v>IDEN</v>
      </c>
      <c r="Q1569" s="62" t="str">
        <f>IF(G1569="PA",IF(M1569&lt;&gt;"",ISERROR(VLOOKUP(M1569,ABBR!C:F,1,FALSE)),ISERROR(VLOOKUP(E1569,ABBR!C:F,1,FALSE))),"")</f>
        <v/>
      </c>
    </row>
    <row r="1570" spans="1:17" hidden="1" x14ac:dyDescent="0.25">
      <c r="A1570" s="16" t="s">
        <v>511</v>
      </c>
      <c r="B1570" s="17"/>
      <c r="C1570" s="16" t="s">
        <v>3174</v>
      </c>
      <c r="D1570" s="17" t="s">
        <v>1077</v>
      </c>
      <c r="E1570" s="17" t="s">
        <v>601</v>
      </c>
      <c r="F1570" s="18" t="s">
        <v>3175</v>
      </c>
      <c r="G1570" s="49" t="s">
        <v>3143</v>
      </c>
      <c r="H1570" s="17">
        <v>5</v>
      </c>
      <c r="J1570" s="62" t="s">
        <v>478</v>
      </c>
      <c r="K1570" s="62"/>
      <c r="M1570" s="62"/>
      <c r="N1570" s="62"/>
      <c r="O1570" s="62" t="str">
        <f>IF(E1570="PA",IF(K1570&lt;&gt;"",ISERROR(VLOOKUP(K1570,ABBR!A:D,1,FALSE)),ISERROR(VLOOKUP(C1570,ABBR!A:D,1,FALSE))),"")</f>
        <v/>
      </c>
      <c r="P1570" t="str">
        <f>VLOOKUP(A1570,Groups!A:L,5,FALSE)</f>
        <v>IDEN</v>
      </c>
      <c r="Q1570" s="62" t="str">
        <f>IF(G1570="PA",IF(M1570&lt;&gt;"",ISERROR(VLOOKUP(M1570,ABBR!C:F,1,FALSE)),ISERROR(VLOOKUP(E1570,ABBR!C:F,1,FALSE))),"")</f>
        <v/>
      </c>
    </row>
    <row r="1571" spans="1:17" ht="25" hidden="1" x14ac:dyDescent="0.25">
      <c r="A1571" s="16" t="s">
        <v>511</v>
      </c>
      <c r="B1571" s="17"/>
      <c r="C1571" s="16" t="s">
        <v>3176</v>
      </c>
      <c r="D1571" s="17"/>
      <c r="E1571" s="17" t="s">
        <v>608</v>
      </c>
      <c r="F1571" s="18" t="s">
        <v>1965</v>
      </c>
      <c r="G1571" s="49" t="s">
        <v>2274</v>
      </c>
      <c r="H1571" s="17">
        <v>6</v>
      </c>
      <c r="J1571" s="62" t="s">
        <v>478</v>
      </c>
      <c r="K1571" s="62"/>
      <c r="M1571" s="62"/>
      <c r="N1571" s="62"/>
      <c r="O1571" s="62" t="str">
        <f>IF(E1571="PA",IF(K1571&lt;&gt;"",ISERROR(VLOOKUP(K1571,ABBR!A:D,1,FALSE)),ISERROR(VLOOKUP(C1571,ABBR!A:D,1,FALSE))),"")</f>
        <v/>
      </c>
      <c r="P1571" t="str">
        <f>VLOOKUP(A1571,Groups!A:L,5,FALSE)</f>
        <v>IDEN</v>
      </c>
      <c r="Q1571" s="62" t="str">
        <f>IF(G1571="PA",IF(M1571&lt;&gt;"",ISERROR(VLOOKUP(M1571,ABBR!C:F,1,FALSE)),ISERROR(VLOOKUP(E1571,ABBR!C:F,1,FALSE))),"")</f>
        <v/>
      </c>
    </row>
    <row r="1572" spans="1:17" hidden="1" x14ac:dyDescent="0.25">
      <c r="A1572" s="16" t="s">
        <v>226</v>
      </c>
      <c r="B1572" s="17" t="s">
        <v>594</v>
      </c>
      <c r="C1572" s="16" t="s">
        <v>595</v>
      </c>
      <c r="D1572" s="17"/>
      <c r="E1572" s="17" t="s">
        <v>596</v>
      </c>
      <c r="F1572" s="18" t="s">
        <v>597</v>
      </c>
      <c r="G1572" s="49" t="s">
        <v>598</v>
      </c>
      <c r="H1572" s="17">
        <v>1</v>
      </c>
      <c r="O1572" s="62" t="str">
        <f>IF(E1572="PA",IF(K1572&lt;&gt;"",ISERROR(VLOOKUP(K1572,ABBR!A:D,1,FALSE)),ISERROR(VLOOKUP(C1572,ABBR!A:D,1,FALSE))),"")</f>
        <v/>
      </c>
      <c r="P1572" t="str">
        <f>VLOOKUP(A1572,Groups!A:L,5,FALSE)</f>
        <v>LOCA</v>
      </c>
      <c r="Q1572" s="62" t="str">
        <f>IF(G1572="PA",IF(M1572&lt;&gt;"",ISERROR(VLOOKUP(M1572,ABBR!C:F,1,FALSE)),ISERROR(VLOOKUP(E1572,ABBR!C:F,1,FALSE))),"")</f>
        <v/>
      </c>
    </row>
    <row r="1573" spans="1:17" hidden="1" x14ac:dyDescent="0.25">
      <c r="A1573" s="16" t="s">
        <v>226</v>
      </c>
      <c r="B1573" s="17" t="s">
        <v>594</v>
      </c>
      <c r="C1573" s="16" t="s">
        <v>3177</v>
      </c>
      <c r="D1573" s="17" t="s">
        <v>600</v>
      </c>
      <c r="E1573" s="17" t="s">
        <v>601</v>
      </c>
      <c r="F1573" s="18" t="s">
        <v>3178</v>
      </c>
      <c r="G1573" s="49" t="s">
        <v>1956</v>
      </c>
      <c r="H1573" s="17">
        <v>2</v>
      </c>
      <c r="O1573" s="62" t="str">
        <f>IF(E1573="PA",IF(K1573&lt;&gt;"",ISERROR(VLOOKUP(K1573,ABBR!A:D,1,FALSE)),ISERROR(VLOOKUP(C1573,ABBR!A:D,1,FALSE))),"")</f>
        <v/>
      </c>
      <c r="P1573" t="str">
        <f>VLOOKUP(A1573,Groups!A:L,5,FALSE)</f>
        <v>LOCA</v>
      </c>
      <c r="Q1573" s="62" t="str">
        <f>IF(G1573="PA",IF(M1573&lt;&gt;"",ISERROR(VLOOKUP(M1573,ABBR!C:F,1,FALSE)),ISERROR(VLOOKUP(E1573,ABBR!C:F,1,FALSE))),"")</f>
        <v/>
      </c>
    </row>
    <row r="1574" spans="1:17" hidden="1" x14ac:dyDescent="0.25">
      <c r="A1574" s="16" t="s">
        <v>226</v>
      </c>
      <c r="B1574" s="17" t="s">
        <v>594</v>
      </c>
      <c r="C1574" s="16" t="s">
        <v>3179</v>
      </c>
      <c r="D1574" s="17"/>
      <c r="E1574" s="17" t="s">
        <v>608</v>
      </c>
      <c r="F1574" s="18" t="s">
        <v>1323</v>
      </c>
      <c r="G1574" s="49" t="s">
        <v>1229</v>
      </c>
      <c r="H1574" s="17">
        <v>3</v>
      </c>
      <c r="O1574" s="62" t="str">
        <f>IF(E1574="PA",IF(K1574&lt;&gt;"",ISERROR(VLOOKUP(K1574,ABBR!A:D,1,FALSE)),ISERROR(VLOOKUP(C1574,ABBR!A:D,1,FALSE))),"")</f>
        <v/>
      </c>
      <c r="P1574" t="str">
        <f>VLOOKUP(A1574,Groups!A:L,5,FALSE)</f>
        <v>LOCA</v>
      </c>
      <c r="Q1574" s="62" t="str">
        <f>IF(G1574="PA",IF(M1574&lt;&gt;"",ISERROR(VLOOKUP(M1574,ABBR!C:F,1,FALSE)),ISERROR(VLOOKUP(E1574,ABBR!C:F,1,FALSE))),"")</f>
        <v/>
      </c>
    </row>
    <row r="1575" spans="1:17" hidden="1" x14ac:dyDescent="0.25">
      <c r="A1575" s="16" t="s">
        <v>226</v>
      </c>
      <c r="B1575" s="17"/>
      <c r="C1575" s="16" t="s">
        <v>3180</v>
      </c>
      <c r="D1575" s="17" t="s">
        <v>924</v>
      </c>
      <c r="E1575" s="17" t="s">
        <v>925</v>
      </c>
      <c r="F1575" s="18" t="s">
        <v>1922</v>
      </c>
      <c r="G1575" s="49" t="s">
        <v>3181</v>
      </c>
      <c r="H1575" s="17">
        <v>4</v>
      </c>
      <c r="O1575" s="62" t="str">
        <f>IF(E1575="PA",IF(K1575&lt;&gt;"",ISERROR(VLOOKUP(K1575,ABBR!A:D,1,FALSE)),ISERROR(VLOOKUP(C1575,ABBR!A:D,1,FALSE))),"")</f>
        <v/>
      </c>
      <c r="P1575" t="str">
        <f>VLOOKUP(A1575,Groups!A:L,5,FALSE)</f>
        <v>LOCA</v>
      </c>
      <c r="Q1575" s="62" t="str">
        <f>IF(G1575="PA",IF(M1575&lt;&gt;"",ISERROR(VLOOKUP(M1575,ABBR!C:F,1,FALSE)),ISERROR(VLOOKUP(E1575,ABBR!C:F,1,FALSE))),"")</f>
        <v/>
      </c>
    </row>
    <row r="1576" spans="1:17" hidden="1" x14ac:dyDescent="0.25">
      <c r="A1576" s="16" t="s">
        <v>226</v>
      </c>
      <c r="B1576" s="17"/>
      <c r="C1576" s="16" t="s">
        <v>3182</v>
      </c>
      <c r="D1576" s="17" t="s">
        <v>3183</v>
      </c>
      <c r="E1576" s="17" t="s">
        <v>1391</v>
      </c>
      <c r="F1576" s="18" t="s">
        <v>3184</v>
      </c>
      <c r="G1576" s="49" t="s">
        <v>910</v>
      </c>
      <c r="H1576" s="17">
        <v>5</v>
      </c>
      <c r="O1576" s="62" t="str">
        <f>IF(E1576="PA",IF(K1576&lt;&gt;"",ISERROR(VLOOKUP(K1576,ABBR!A:D,1,FALSE)),ISERROR(VLOOKUP(C1576,ABBR!A:D,1,FALSE))),"")</f>
        <v/>
      </c>
      <c r="P1576" t="str">
        <f>VLOOKUP(A1576,Groups!A:L,5,FALSE)</f>
        <v>LOCA</v>
      </c>
      <c r="Q1576" s="62" t="str">
        <f>IF(G1576="PA",IF(M1576&lt;&gt;"",ISERROR(VLOOKUP(M1576,ABBR!C:F,1,FALSE)),ISERROR(VLOOKUP(E1576,ABBR!C:F,1,FALSE))),"")</f>
        <v/>
      </c>
    </row>
    <row r="1577" spans="1:17" hidden="1" x14ac:dyDescent="0.25">
      <c r="A1577" s="16" t="s">
        <v>226</v>
      </c>
      <c r="B1577" s="17"/>
      <c r="C1577" s="16" t="s">
        <v>3185</v>
      </c>
      <c r="D1577" s="17"/>
      <c r="E1577" s="17" t="s">
        <v>608</v>
      </c>
      <c r="F1577" s="18" t="s">
        <v>2858</v>
      </c>
      <c r="G1577" s="49" t="s">
        <v>16</v>
      </c>
      <c r="H1577" s="17">
        <v>6</v>
      </c>
      <c r="M1577" s="101"/>
      <c r="O1577" s="62" t="str">
        <f>IF(E1577="PA",IF(K1577&lt;&gt;"",ISERROR(VLOOKUP(K1577,ABBR!A:D,1,FALSE)),ISERROR(VLOOKUP(C1577,ABBR!A:D,1,FALSE))),"")</f>
        <v/>
      </c>
      <c r="P1577" t="str">
        <f>VLOOKUP(A1577,Groups!A:L,5,FALSE)</f>
        <v>LOCA</v>
      </c>
      <c r="Q1577" s="62" t="str">
        <f>IF(G1577="PA",IF(M1577&lt;&gt;"",ISERROR(VLOOKUP(M1577,ABBR!C:F,1,FALSE)),ISERROR(VLOOKUP(E1577,ABBR!C:F,1,FALSE))),"")</f>
        <v/>
      </c>
    </row>
    <row r="1578" spans="1:17" ht="25" hidden="1" x14ac:dyDescent="0.25">
      <c r="A1578" s="16" t="s">
        <v>226</v>
      </c>
      <c r="B1578" s="17"/>
      <c r="C1578" s="16" t="s">
        <v>3186</v>
      </c>
      <c r="D1578" s="17"/>
      <c r="E1578" s="17" t="s">
        <v>608</v>
      </c>
      <c r="F1578" s="18" t="s">
        <v>1938</v>
      </c>
      <c r="G1578" s="49" t="s">
        <v>3187</v>
      </c>
      <c r="H1578" s="17">
        <v>7</v>
      </c>
      <c r="O1578" s="62" t="str">
        <f>IF(E1578="PA",IF(K1578&lt;&gt;"",ISERROR(VLOOKUP(K1578,ABBR!A:D,1,FALSE)),ISERROR(VLOOKUP(C1578,ABBR!A:D,1,FALSE))),"")</f>
        <v/>
      </c>
      <c r="P1578" t="str">
        <f>VLOOKUP(A1578,Groups!A:L,5,FALSE)</f>
        <v>LOCA</v>
      </c>
      <c r="Q1578" s="62" t="str">
        <f>IF(G1578="PA",IF(M1578&lt;&gt;"",ISERROR(VLOOKUP(M1578,ABBR!C:F,1,FALSE)),ISERROR(VLOOKUP(E1578,ABBR!C:F,1,FALSE))),"")</f>
        <v/>
      </c>
    </row>
    <row r="1579" spans="1:17" ht="25" hidden="1" x14ac:dyDescent="0.25">
      <c r="A1579" s="16" t="s">
        <v>226</v>
      </c>
      <c r="B1579" s="17"/>
      <c r="C1579" s="16" t="s">
        <v>3188</v>
      </c>
      <c r="D1579" s="17"/>
      <c r="E1579" s="17" t="s">
        <v>608</v>
      </c>
      <c r="F1579" s="18" t="s">
        <v>3189</v>
      </c>
      <c r="G1579" s="49" t="s">
        <v>3190</v>
      </c>
      <c r="H1579" s="17">
        <v>8</v>
      </c>
      <c r="O1579" s="62" t="str">
        <f>IF(E1579="PA",IF(K1579&lt;&gt;"",ISERROR(VLOOKUP(K1579,ABBR!A:D,1,FALSE)),ISERROR(VLOOKUP(C1579,ABBR!A:D,1,FALSE))),"")</f>
        <v/>
      </c>
      <c r="P1579" t="str">
        <f>VLOOKUP(A1579,Groups!A:L,5,FALSE)</f>
        <v>LOCA</v>
      </c>
      <c r="Q1579" s="62" t="str">
        <f>IF(G1579="PA",IF(M1579&lt;&gt;"",ISERROR(VLOOKUP(M1579,ABBR!C:F,1,FALSE)),ISERROR(VLOOKUP(E1579,ABBR!C:F,1,FALSE))),"")</f>
        <v/>
      </c>
    </row>
    <row r="1580" spans="1:17" ht="25" hidden="1" x14ac:dyDescent="0.25">
      <c r="A1580" s="16" t="s">
        <v>226</v>
      </c>
      <c r="B1580" s="17"/>
      <c r="C1580" s="16" t="s">
        <v>3191</v>
      </c>
      <c r="D1580" s="17"/>
      <c r="E1580" s="17" t="s">
        <v>608</v>
      </c>
      <c r="F1580" s="18" t="s">
        <v>1943</v>
      </c>
      <c r="G1580" s="49" t="s">
        <v>1944</v>
      </c>
      <c r="H1580" s="17">
        <v>9</v>
      </c>
      <c r="O1580" s="62" t="str">
        <f>IF(E1580="PA",IF(K1580&lt;&gt;"",ISERROR(VLOOKUP(K1580,ABBR!A:D,1,FALSE)),ISERROR(VLOOKUP(C1580,ABBR!A:D,1,FALSE))),"")</f>
        <v/>
      </c>
      <c r="P1580" t="str">
        <f>VLOOKUP(A1580,Groups!A:L,5,FALSE)</f>
        <v>LOCA</v>
      </c>
      <c r="Q1580" s="62" t="str">
        <f>IF(G1580="PA",IF(M1580&lt;&gt;"",ISERROR(VLOOKUP(M1580,ABBR!C:F,1,FALSE)),ISERROR(VLOOKUP(E1580,ABBR!C:F,1,FALSE))),"")</f>
        <v/>
      </c>
    </row>
    <row r="1581" spans="1:17" ht="25" hidden="1" x14ac:dyDescent="0.25">
      <c r="A1581" s="16" t="s">
        <v>226</v>
      </c>
      <c r="B1581" s="17"/>
      <c r="C1581" s="16" t="s">
        <v>3192</v>
      </c>
      <c r="D1581" s="17"/>
      <c r="E1581" s="17" t="s">
        <v>608</v>
      </c>
      <c r="F1581" s="18" t="s">
        <v>934</v>
      </c>
      <c r="G1581" s="49" t="s">
        <v>953</v>
      </c>
      <c r="H1581" s="17">
        <v>10</v>
      </c>
      <c r="O1581" s="62" t="str">
        <f>IF(E1581="PA",IF(K1581&lt;&gt;"",ISERROR(VLOOKUP(K1581,ABBR!A:D,1,FALSE)),ISERROR(VLOOKUP(C1581,ABBR!A:D,1,FALSE))),"")</f>
        <v/>
      </c>
      <c r="P1581" t="str">
        <f>VLOOKUP(A1581,Groups!A:L,5,FALSE)</f>
        <v>LOCA</v>
      </c>
      <c r="Q1581" s="62" t="str">
        <f>IF(G1581="PA",IF(M1581&lt;&gt;"",ISERROR(VLOOKUP(M1581,ABBR!C:F,1,FALSE)),ISERROR(VLOOKUP(E1581,ABBR!C:F,1,FALSE))),"")</f>
        <v/>
      </c>
    </row>
    <row r="1582" spans="1:17" hidden="1" x14ac:dyDescent="0.25">
      <c r="A1582" s="16" t="s">
        <v>226</v>
      </c>
      <c r="B1582" s="17"/>
      <c r="C1582" s="16" t="s">
        <v>936</v>
      </c>
      <c r="D1582" s="17"/>
      <c r="E1582" s="22" t="s">
        <v>608</v>
      </c>
      <c r="F1582" s="18" t="s">
        <v>937</v>
      </c>
      <c r="G1582" s="49" t="s">
        <v>938</v>
      </c>
      <c r="H1582" s="17">
        <v>11</v>
      </c>
      <c r="O1582" s="62" t="str">
        <f>IF(E1582="PA",IF(K1582&lt;&gt;"",ISERROR(VLOOKUP(K1582,ABBR!A:D,1,FALSE)),ISERROR(VLOOKUP(C1582,ABBR!A:D,1,FALSE))),"")</f>
        <v/>
      </c>
      <c r="P1582" t="str">
        <f>VLOOKUP(A1582,Groups!A:L,5,FALSE)</f>
        <v>LOCA</v>
      </c>
      <c r="Q1582" s="62" t="str">
        <f>IF(G1582="PA",IF(M1582&lt;&gt;"",ISERROR(VLOOKUP(M1582,ABBR!C:F,1,FALSE)),ISERROR(VLOOKUP(E1582,ABBR!C:F,1,FALSE))),"")</f>
        <v/>
      </c>
    </row>
    <row r="1583" spans="1:17" hidden="1" x14ac:dyDescent="0.25">
      <c r="A1583" s="16" t="s">
        <v>226</v>
      </c>
      <c r="B1583" s="17"/>
      <c r="C1583" s="16" t="s">
        <v>629</v>
      </c>
      <c r="D1583" s="17"/>
      <c r="E1583" s="17" t="s">
        <v>608</v>
      </c>
      <c r="F1583" s="18" t="s">
        <v>630</v>
      </c>
      <c r="G1583" s="49" t="s">
        <v>631</v>
      </c>
      <c r="H1583" s="17">
        <v>12</v>
      </c>
      <c r="O1583" s="62" t="str">
        <f>IF(E1583="PA",IF(K1583&lt;&gt;"",ISERROR(VLOOKUP(K1583,ABBR!A:D,1,FALSE)),ISERROR(VLOOKUP(C1583,ABBR!A:D,1,FALSE))),"")</f>
        <v/>
      </c>
      <c r="P1583" t="str">
        <f>VLOOKUP(A1583,Groups!A:L,5,FALSE)</f>
        <v>LOCA</v>
      </c>
      <c r="Q1583" s="62" t="str">
        <f>IF(G1583="PA",IF(M1583&lt;&gt;"",ISERROR(VLOOKUP(M1583,ABBR!C:F,1,FALSE)),ISERROR(VLOOKUP(E1583,ABBR!C:F,1,FALSE))),"")</f>
        <v/>
      </c>
    </row>
    <row r="1584" spans="1:17" hidden="1" x14ac:dyDescent="0.25">
      <c r="A1584" s="16" t="s">
        <v>226</v>
      </c>
      <c r="B1584" s="17"/>
      <c r="C1584" s="16" t="s">
        <v>643</v>
      </c>
      <c r="D1584" s="17"/>
      <c r="E1584" s="17" t="s">
        <v>608</v>
      </c>
      <c r="F1584" s="18" t="s">
        <v>954</v>
      </c>
      <c r="G1584" s="49" t="s">
        <v>1477</v>
      </c>
      <c r="H1584" s="17">
        <v>13</v>
      </c>
      <c r="O1584" s="62" t="str">
        <f>IF(E1584="PA",IF(K1584&lt;&gt;"",ISERROR(VLOOKUP(K1584,ABBR!A:D,1,FALSE)),ISERROR(VLOOKUP(C1584,ABBR!A:D,1,FALSE))),"")</f>
        <v/>
      </c>
      <c r="P1584" t="str">
        <f>VLOOKUP(A1584,Groups!A:L,5,FALSE)</f>
        <v>LOCA</v>
      </c>
      <c r="Q1584" s="62" t="str">
        <f>IF(G1584="PA",IF(M1584&lt;&gt;"",ISERROR(VLOOKUP(M1584,ABBR!C:F,1,FALSE)),ISERROR(VLOOKUP(E1584,ABBR!C:F,1,FALSE))),"")</f>
        <v/>
      </c>
    </row>
    <row r="1585" spans="1:17" hidden="1" x14ac:dyDescent="0.25">
      <c r="A1585" s="16" t="s">
        <v>226</v>
      </c>
      <c r="B1585" s="17"/>
      <c r="C1585" s="9" t="s">
        <v>3193</v>
      </c>
      <c r="D1585" s="46"/>
      <c r="E1585" s="46" t="s">
        <v>608</v>
      </c>
      <c r="F1585" s="93" t="s">
        <v>1952</v>
      </c>
      <c r="G1585" s="179" t="s">
        <v>876</v>
      </c>
      <c r="H1585" s="46">
        <v>14</v>
      </c>
      <c r="I1585" s="180"/>
      <c r="J1585" s="62" t="s">
        <v>473</v>
      </c>
      <c r="O1585" s="62" t="str">
        <f>IF(E1585="PA",IF(K1585&lt;&gt;"",ISERROR(VLOOKUP(K1585,ABBR!A:D,1,FALSE)),ISERROR(VLOOKUP(C1585,ABBR!A:D,1,FALSE))),"")</f>
        <v/>
      </c>
      <c r="P1585" t="str">
        <f>VLOOKUP(A1585,Groups!A:L,5,FALSE)</f>
        <v>LOCA</v>
      </c>
      <c r="Q1585" s="62" t="str">
        <f>IF(G1585="PA",IF(M1585&lt;&gt;"",ISERROR(VLOOKUP(M1585,ABBR!C:F,1,FALSE)),ISERROR(VLOOKUP(E1585,ABBR!C:F,1,FALSE))),"")</f>
        <v/>
      </c>
    </row>
    <row r="1586" spans="1:17" hidden="1" x14ac:dyDescent="0.25">
      <c r="A1586" s="16" t="s">
        <v>513</v>
      </c>
      <c r="B1586" s="17" t="s">
        <v>594</v>
      </c>
      <c r="C1586" s="16" t="s">
        <v>595</v>
      </c>
      <c r="D1586" s="17"/>
      <c r="E1586" s="17" t="s">
        <v>596</v>
      </c>
      <c r="F1586" s="18" t="s">
        <v>1953</v>
      </c>
      <c r="G1586" s="49" t="s">
        <v>598</v>
      </c>
      <c r="H1586" s="17">
        <v>1</v>
      </c>
      <c r="J1586" s="62" t="s">
        <v>478</v>
      </c>
      <c r="K1586" s="62"/>
      <c r="M1586" s="62"/>
      <c r="N1586" s="62"/>
      <c r="O1586" s="62" t="str">
        <f>IF(E1586="PA",IF(K1586&lt;&gt;"",ISERROR(VLOOKUP(K1586,ABBR!A:D,1,FALSE)),ISERROR(VLOOKUP(C1586,ABBR!A:D,1,FALSE))),"")</f>
        <v/>
      </c>
      <c r="P1586" t="str">
        <f>VLOOKUP(A1586,Groups!A:L,5,FALSE)</f>
        <v>LOCA</v>
      </c>
      <c r="Q1586" s="62" t="str">
        <f>IF(G1586="PA",IF(M1586&lt;&gt;"",ISERROR(VLOOKUP(M1586,ABBR!C:F,1,FALSE)),ISERROR(VLOOKUP(E1586,ABBR!C:F,1,FALSE))),"")</f>
        <v/>
      </c>
    </row>
    <row r="1587" spans="1:17" hidden="1" x14ac:dyDescent="0.25">
      <c r="A1587" s="16" t="s">
        <v>513</v>
      </c>
      <c r="B1587" s="17" t="s">
        <v>594</v>
      </c>
      <c r="C1587" s="16" t="s">
        <v>3194</v>
      </c>
      <c r="D1587" s="17" t="s">
        <v>600</v>
      </c>
      <c r="E1587" s="17" t="s">
        <v>601</v>
      </c>
      <c r="F1587" s="18" t="s">
        <v>3195</v>
      </c>
      <c r="G1587" s="49" t="s">
        <v>1956</v>
      </c>
      <c r="H1587" s="17">
        <v>2</v>
      </c>
      <c r="J1587" s="62" t="s">
        <v>478</v>
      </c>
      <c r="K1587" s="62"/>
      <c r="M1587" s="62"/>
      <c r="N1587" s="62"/>
      <c r="O1587" s="62" t="str">
        <f>IF(E1587="PA",IF(K1587&lt;&gt;"",ISERROR(VLOOKUP(K1587,ABBR!A:D,1,FALSE)),ISERROR(VLOOKUP(C1587,ABBR!A:D,1,FALSE))),"")</f>
        <v/>
      </c>
      <c r="P1587" t="str">
        <f>VLOOKUP(A1587,Groups!A:L,5,FALSE)</f>
        <v>LOCA</v>
      </c>
      <c r="Q1587" s="62" t="str">
        <f>IF(G1587="PA",IF(M1587&lt;&gt;"",ISERROR(VLOOKUP(M1587,ABBR!C:F,1,FALSE)),ISERROR(VLOOKUP(E1587,ABBR!C:F,1,FALSE))),"")</f>
        <v/>
      </c>
    </row>
    <row r="1588" spans="1:17" hidden="1" x14ac:dyDescent="0.25">
      <c r="A1588" s="16" t="s">
        <v>513</v>
      </c>
      <c r="B1588" s="17" t="s">
        <v>594</v>
      </c>
      <c r="C1588" s="16" t="s">
        <v>3196</v>
      </c>
      <c r="D1588" s="17" t="s">
        <v>600</v>
      </c>
      <c r="E1588" s="17" t="s">
        <v>601</v>
      </c>
      <c r="F1588" s="18" t="s">
        <v>3197</v>
      </c>
      <c r="G1588" s="49" t="s">
        <v>1319</v>
      </c>
      <c r="H1588" s="17">
        <v>3</v>
      </c>
      <c r="J1588" s="62" t="s">
        <v>478</v>
      </c>
      <c r="K1588" s="62"/>
      <c r="M1588" s="62"/>
      <c r="N1588" s="62"/>
      <c r="O1588" s="62" t="str">
        <f>IF(E1588="PA",IF(K1588&lt;&gt;"",ISERROR(VLOOKUP(K1588,ABBR!A:D,1,FALSE)),ISERROR(VLOOKUP(C1588,ABBR!A:D,1,FALSE))),"")</f>
        <v/>
      </c>
      <c r="P1588" t="str">
        <f>VLOOKUP(A1588,Groups!A:L,5,FALSE)</f>
        <v>LOCA</v>
      </c>
      <c r="Q1588" s="62" t="str">
        <f>IF(G1588="PA",IF(M1588&lt;&gt;"",ISERROR(VLOOKUP(M1588,ABBR!C:F,1,FALSE)),ISERROR(VLOOKUP(E1588,ABBR!C:F,1,FALSE))),"")</f>
        <v/>
      </c>
    </row>
    <row r="1589" spans="1:17" hidden="1" x14ac:dyDescent="0.25">
      <c r="A1589" s="16" t="s">
        <v>513</v>
      </c>
      <c r="B1589" s="17" t="s">
        <v>594</v>
      </c>
      <c r="C1589" s="16" t="s">
        <v>3198</v>
      </c>
      <c r="D1589" s="17"/>
      <c r="E1589" s="17" t="s">
        <v>608</v>
      </c>
      <c r="F1589" s="18" t="s">
        <v>3199</v>
      </c>
      <c r="G1589" s="49" t="s">
        <v>3200</v>
      </c>
      <c r="H1589" s="17">
        <v>4</v>
      </c>
      <c r="J1589" s="62" t="s">
        <v>478</v>
      </c>
      <c r="K1589" s="62"/>
      <c r="M1589" s="62"/>
      <c r="N1589" s="62"/>
      <c r="O1589" s="62" t="str">
        <f>IF(E1589="PA",IF(K1589&lt;&gt;"",ISERROR(VLOOKUP(K1589,ABBR!A:D,1,FALSE)),ISERROR(VLOOKUP(C1589,ABBR!A:D,1,FALSE))),"")</f>
        <v/>
      </c>
      <c r="P1589" t="str">
        <f>VLOOKUP(A1589,Groups!A:L,5,FALSE)</f>
        <v>LOCA</v>
      </c>
      <c r="Q1589" s="62" t="str">
        <f>IF(G1589="PA",IF(M1589&lt;&gt;"",ISERROR(VLOOKUP(M1589,ABBR!C:F,1,FALSE)),ISERROR(VLOOKUP(E1589,ABBR!C:F,1,FALSE))),"")</f>
        <v/>
      </c>
    </row>
    <row r="1590" spans="1:17" hidden="1" x14ac:dyDescent="0.25">
      <c r="A1590" s="16" t="s">
        <v>513</v>
      </c>
      <c r="B1590" s="17" t="s">
        <v>594</v>
      </c>
      <c r="C1590" s="16" t="s">
        <v>3201</v>
      </c>
      <c r="D1590" s="17"/>
      <c r="E1590" s="17" t="s">
        <v>608</v>
      </c>
      <c r="F1590" s="18" t="s">
        <v>3202</v>
      </c>
      <c r="G1590" s="49" t="s">
        <v>3203</v>
      </c>
      <c r="H1590" s="17">
        <v>5</v>
      </c>
      <c r="J1590" s="62" t="s">
        <v>478</v>
      </c>
      <c r="K1590" s="62"/>
      <c r="M1590" s="62"/>
      <c r="N1590" s="62"/>
      <c r="O1590" s="62" t="str">
        <f>IF(E1590="PA",IF(K1590&lt;&gt;"",ISERROR(VLOOKUP(K1590,ABBR!A:D,1,FALSE)),ISERROR(VLOOKUP(C1590,ABBR!A:D,1,FALSE))),"")</f>
        <v/>
      </c>
      <c r="P1590" t="str">
        <f>VLOOKUP(A1590,Groups!A:L,5,FALSE)</f>
        <v>LOCA</v>
      </c>
      <c r="Q1590" s="62" t="str">
        <f>IF(G1590="PA",IF(M1590&lt;&gt;"",ISERROR(VLOOKUP(M1590,ABBR!C:F,1,FALSE)),ISERROR(VLOOKUP(E1590,ABBR!C:F,1,FALSE))),"")</f>
        <v/>
      </c>
    </row>
    <row r="1591" spans="1:17" ht="25" hidden="1" x14ac:dyDescent="0.25">
      <c r="A1591" s="16" t="s">
        <v>513</v>
      </c>
      <c r="B1591" s="17"/>
      <c r="C1591" s="16" t="s">
        <v>3204</v>
      </c>
      <c r="D1591" s="17" t="s">
        <v>3205</v>
      </c>
      <c r="E1591" s="17" t="s">
        <v>723</v>
      </c>
      <c r="F1591" s="18" t="s">
        <v>3206</v>
      </c>
      <c r="G1591" s="49" t="s">
        <v>3207</v>
      </c>
      <c r="H1591" s="17">
        <v>6</v>
      </c>
      <c r="J1591" s="62" t="s">
        <v>478</v>
      </c>
      <c r="K1591" s="62"/>
      <c r="M1591" s="62"/>
      <c r="N1591" s="62"/>
      <c r="O1591" s="62" t="str">
        <f>IF(E1591="PA",IF(K1591&lt;&gt;"",ISERROR(VLOOKUP(K1591,ABBR!A:D,1,FALSE)),ISERROR(VLOOKUP(C1591,ABBR!A:D,1,FALSE))),"")</f>
        <v/>
      </c>
      <c r="P1591" t="str">
        <f>VLOOKUP(A1591,Groups!A:L,5,FALSE)</f>
        <v>LOCA</v>
      </c>
      <c r="Q1591" s="62" t="str">
        <f>IF(G1591="PA",IF(M1591&lt;&gt;"",ISERROR(VLOOKUP(M1591,ABBR!C:F,1,FALSE)),ISERROR(VLOOKUP(E1591,ABBR!C:F,1,FALSE))),"")</f>
        <v/>
      </c>
    </row>
    <row r="1592" spans="1:17" ht="25" hidden="1" x14ac:dyDescent="0.25">
      <c r="A1592" s="16" t="s">
        <v>513</v>
      </c>
      <c r="B1592" s="17"/>
      <c r="C1592" s="16" t="s">
        <v>3208</v>
      </c>
      <c r="D1592" s="17"/>
      <c r="E1592" s="17" t="s">
        <v>608</v>
      </c>
      <c r="F1592" s="18" t="s">
        <v>589</v>
      </c>
      <c r="G1592" s="49" t="s">
        <v>3209</v>
      </c>
      <c r="H1592" s="17">
        <v>7</v>
      </c>
      <c r="J1592" s="62" t="s">
        <v>478</v>
      </c>
      <c r="K1592" s="62"/>
      <c r="M1592" s="62"/>
      <c r="N1592" s="62"/>
      <c r="O1592" s="62" t="str">
        <f>IF(E1592="PA",IF(K1592&lt;&gt;"",ISERROR(VLOOKUP(K1592,ABBR!A:D,1,FALSE)),ISERROR(VLOOKUP(C1592,ABBR!A:D,1,FALSE))),"")</f>
        <v/>
      </c>
      <c r="P1592" t="str">
        <f>VLOOKUP(A1592,Groups!A:L,5,FALSE)</f>
        <v>LOCA</v>
      </c>
      <c r="Q1592" s="62" t="str">
        <f>IF(G1592="PA",IF(M1592&lt;&gt;"",ISERROR(VLOOKUP(M1592,ABBR!C:F,1,FALSE)),ISERROR(VLOOKUP(E1592,ABBR!C:F,1,FALSE))),"")</f>
        <v/>
      </c>
    </row>
    <row r="1593" spans="1:17" hidden="1" x14ac:dyDescent="0.25">
      <c r="A1593" s="16" t="s">
        <v>513</v>
      </c>
      <c r="B1593" s="17"/>
      <c r="C1593" s="16" t="s">
        <v>3210</v>
      </c>
      <c r="D1593" s="17"/>
      <c r="E1593" s="17" t="s">
        <v>608</v>
      </c>
      <c r="F1593" s="18" t="s">
        <v>1965</v>
      </c>
      <c r="G1593" s="49" t="s">
        <v>3211</v>
      </c>
      <c r="H1593" s="17">
        <v>8</v>
      </c>
      <c r="J1593" s="62" t="s">
        <v>478</v>
      </c>
      <c r="K1593" s="62"/>
      <c r="M1593" s="62"/>
      <c r="N1593" s="62"/>
      <c r="O1593" s="62" t="str">
        <f>IF(E1593="PA",IF(K1593&lt;&gt;"",ISERROR(VLOOKUP(K1593,ABBR!A:D,1,FALSE)),ISERROR(VLOOKUP(C1593,ABBR!A:D,1,FALSE))),"")</f>
        <v/>
      </c>
      <c r="P1593" t="str">
        <f>VLOOKUP(A1593,Groups!A:L,5,FALSE)</f>
        <v>LOCA</v>
      </c>
      <c r="Q1593" s="62" t="str">
        <f>IF(G1593="PA",IF(M1593&lt;&gt;"",ISERROR(VLOOKUP(M1593,ABBR!C:F,1,FALSE)),ISERROR(VLOOKUP(E1593,ABBR!C:F,1,FALSE))),"")</f>
        <v/>
      </c>
    </row>
    <row r="1594" spans="1:17" ht="25" hidden="1" x14ac:dyDescent="0.25">
      <c r="A1594" s="16" t="s">
        <v>513</v>
      </c>
      <c r="B1594" s="17"/>
      <c r="C1594" s="16" t="s">
        <v>3212</v>
      </c>
      <c r="D1594" s="17" t="s">
        <v>1718</v>
      </c>
      <c r="E1594" s="17" t="s">
        <v>925</v>
      </c>
      <c r="F1594" s="18" t="s">
        <v>3213</v>
      </c>
      <c r="G1594" s="49" t="s">
        <v>927</v>
      </c>
      <c r="H1594" s="17">
        <v>9</v>
      </c>
      <c r="J1594" s="62" t="s">
        <v>478</v>
      </c>
      <c r="K1594" s="62"/>
      <c r="M1594" s="62"/>
      <c r="N1594" s="62"/>
      <c r="O1594" s="62" t="str">
        <f>IF(E1594="PA",IF(K1594&lt;&gt;"",ISERROR(VLOOKUP(K1594,ABBR!A:D,1,FALSE)),ISERROR(VLOOKUP(C1594,ABBR!A:D,1,FALSE))),"")</f>
        <v/>
      </c>
      <c r="P1594" t="str">
        <f>VLOOKUP(A1594,Groups!A:L,5,FALSE)</f>
        <v>LOCA</v>
      </c>
      <c r="Q1594" s="62" t="str">
        <f>IF(G1594="PA",IF(M1594&lt;&gt;"",ISERROR(VLOOKUP(M1594,ABBR!C:F,1,FALSE)),ISERROR(VLOOKUP(E1594,ABBR!C:F,1,FALSE))),"")</f>
        <v/>
      </c>
    </row>
    <row r="1595" spans="1:17" hidden="1" x14ac:dyDescent="0.25">
      <c r="A1595" s="16" t="s">
        <v>513</v>
      </c>
      <c r="B1595" s="17"/>
      <c r="C1595" s="16" t="s">
        <v>3214</v>
      </c>
      <c r="D1595" s="17"/>
      <c r="E1595" s="17" t="s">
        <v>608</v>
      </c>
      <c r="F1595" s="18" t="s">
        <v>3215</v>
      </c>
      <c r="G1595" s="49" t="s">
        <v>876</v>
      </c>
      <c r="H1595" s="17">
        <v>10</v>
      </c>
      <c r="J1595" s="62" t="s">
        <v>478</v>
      </c>
      <c r="K1595" s="62"/>
      <c r="M1595" s="62"/>
      <c r="N1595" s="62"/>
      <c r="O1595" s="62" t="str">
        <f>IF(E1595="PA",IF(K1595&lt;&gt;"",ISERROR(VLOOKUP(K1595,ABBR!A:D,1,FALSE)),ISERROR(VLOOKUP(C1595,ABBR!A:D,1,FALSE))),"")</f>
        <v/>
      </c>
      <c r="P1595" t="str">
        <f>VLOOKUP(A1595,Groups!A:L,5,FALSE)</f>
        <v>LOCA</v>
      </c>
      <c r="Q1595" s="62" t="str">
        <f>IF(G1595="PA",IF(M1595&lt;&gt;"",ISERROR(VLOOKUP(M1595,ABBR!C:F,1,FALSE)),ISERROR(VLOOKUP(E1595,ABBR!C:F,1,FALSE))),"")</f>
        <v/>
      </c>
    </row>
    <row r="1596" spans="1:17" hidden="1" x14ac:dyDescent="0.25">
      <c r="A1596" s="16" t="s">
        <v>513</v>
      </c>
      <c r="B1596" s="17"/>
      <c r="C1596" s="16" t="s">
        <v>629</v>
      </c>
      <c r="D1596" s="17"/>
      <c r="E1596" s="17" t="s">
        <v>608</v>
      </c>
      <c r="F1596" s="18" t="s">
        <v>630</v>
      </c>
      <c r="G1596" s="49" t="s">
        <v>2187</v>
      </c>
      <c r="H1596" s="17">
        <v>11</v>
      </c>
      <c r="J1596" s="62" t="s">
        <v>478</v>
      </c>
      <c r="K1596" s="62"/>
      <c r="M1596" s="62"/>
      <c r="N1596" s="62"/>
      <c r="O1596" s="62" t="str">
        <f>IF(E1596="PA",IF(K1596&lt;&gt;"",ISERROR(VLOOKUP(K1596,ABBR!A:D,1,FALSE)),ISERROR(VLOOKUP(C1596,ABBR!A:D,1,FALSE))),"")</f>
        <v/>
      </c>
      <c r="P1596" t="str">
        <f>VLOOKUP(A1596,Groups!A:L,5,FALSE)</f>
        <v>LOCA</v>
      </c>
      <c r="Q1596" s="62" t="str">
        <f>IF(G1596="PA",IF(M1596&lt;&gt;"",ISERROR(VLOOKUP(M1596,ABBR!C:F,1,FALSE)),ISERROR(VLOOKUP(E1596,ABBR!C:F,1,FALSE))),"")</f>
        <v/>
      </c>
    </row>
    <row r="1597" spans="1:17" hidden="1" x14ac:dyDescent="0.25">
      <c r="A1597" s="16" t="s">
        <v>513</v>
      </c>
      <c r="B1597" s="17"/>
      <c r="C1597" s="16" t="s">
        <v>643</v>
      </c>
      <c r="D1597" s="17"/>
      <c r="E1597" s="17" t="s">
        <v>608</v>
      </c>
      <c r="F1597" s="18" t="s">
        <v>1714</v>
      </c>
      <c r="G1597" s="49" t="s">
        <v>3131</v>
      </c>
      <c r="H1597" s="17">
        <v>12</v>
      </c>
      <c r="J1597" s="62" t="s">
        <v>478</v>
      </c>
      <c r="K1597" s="62"/>
      <c r="M1597" s="62"/>
      <c r="N1597" s="62"/>
      <c r="O1597" s="62" t="str">
        <f>IF(E1597="PA",IF(K1597&lt;&gt;"",ISERROR(VLOOKUP(K1597,ABBR!A:D,1,FALSE)),ISERROR(VLOOKUP(C1597,ABBR!A:D,1,FALSE))),"")</f>
        <v/>
      </c>
      <c r="P1597" t="str">
        <f>VLOOKUP(A1597,Groups!A:L,5,FALSE)</f>
        <v>LOCA</v>
      </c>
      <c r="Q1597" s="62" t="str">
        <f>IF(G1597="PA",IF(M1597&lt;&gt;"",ISERROR(VLOOKUP(M1597,ABBR!C:F,1,FALSE)),ISERROR(VLOOKUP(E1597,ABBR!C:F,1,FALSE))),"")</f>
        <v/>
      </c>
    </row>
    <row r="1598" spans="1:17" hidden="1" x14ac:dyDescent="0.25">
      <c r="A1598" s="16" t="s">
        <v>8917</v>
      </c>
      <c r="B1598" s="17" t="s">
        <v>594</v>
      </c>
      <c r="C1598" s="16" t="s">
        <v>595</v>
      </c>
      <c r="D1598" s="17"/>
      <c r="E1598" s="17" t="s">
        <v>596</v>
      </c>
      <c r="F1598" s="18" t="s">
        <v>597</v>
      </c>
      <c r="G1598" s="49" t="s">
        <v>598</v>
      </c>
      <c r="H1598" s="17">
        <v>1</v>
      </c>
      <c r="J1598" s="62" t="s">
        <v>473</v>
      </c>
      <c r="O1598" s="62" t="str">
        <f>IF(E1598="PA",IF(K1598&lt;&gt;"",ISERROR(VLOOKUP(K1598,ABBR!A:D,1,FALSE)),ISERROR(VLOOKUP(C1598,ABBR!A:D,1,FALSE))),"")</f>
        <v/>
      </c>
      <c r="P1598" t="str">
        <f>VLOOKUP(A1598,Groups!A:L,5,FALSE)</f>
        <v>LOCA</v>
      </c>
      <c r="Q1598" s="62" t="str">
        <f>IF(G1598="PA",IF(M1598&lt;&gt;"",ISERROR(VLOOKUP(M1598,ABBR!C:F,1,FALSE)),ISERROR(VLOOKUP(E1598,ABBR!C:F,1,FALSE))),"")</f>
        <v/>
      </c>
    </row>
    <row r="1599" spans="1:17" hidden="1" x14ac:dyDescent="0.25">
      <c r="A1599" s="16" t="s">
        <v>8917</v>
      </c>
      <c r="B1599" s="17" t="s">
        <v>594</v>
      </c>
      <c r="C1599" s="16" t="s">
        <v>8918</v>
      </c>
      <c r="D1599" s="17" t="s">
        <v>600</v>
      </c>
      <c r="E1599" s="17" t="s">
        <v>601</v>
      </c>
      <c r="F1599" s="18" t="s">
        <v>3178</v>
      </c>
      <c r="G1599" s="49" t="s">
        <v>1956</v>
      </c>
      <c r="H1599" s="17">
        <f t="shared" ref="H1599:H1614" si="6">H1598+1</f>
        <v>2</v>
      </c>
      <c r="J1599" s="62" t="s">
        <v>473</v>
      </c>
      <c r="O1599" s="62" t="str">
        <f>IF(E1599="PA",IF(K1599&lt;&gt;"",ISERROR(VLOOKUP(K1599,ABBR!A:D,1,FALSE)),ISERROR(VLOOKUP(C1599,ABBR!A:D,1,FALSE))),"")</f>
        <v/>
      </c>
      <c r="P1599" t="str">
        <f>VLOOKUP(A1599,Groups!A:L,5,FALSE)</f>
        <v>LOCA</v>
      </c>
      <c r="Q1599" s="62" t="str">
        <f>IF(G1599="PA",IF(M1599&lt;&gt;"",ISERROR(VLOOKUP(M1599,ABBR!C:F,1,FALSE)),ISERROR(VLOOKUP(E1599,ABBR!C:F,1,FALSE))),"")</f>
        <v/>
      </c>
    </row>
    <row r="1600" spans="1:17" hidden="1" x14ac:dyDescent="0.25">
      <c r="A1600" s="16" t="s">
        <v>8917</v>
      </c>
      <c r="B1600" s="17" t="s">
        <v>594</v>
      </c>
      <c r="C1600" s="16" t="s">
        <v>8919</v>
      </c>
      <c r="D1600" s="17"/>
      <c r="E1600" s="17" t="s">
        <v>608</v>
      </c>
      <c r="F1600" s="18" t="s">
        <v>1323</v>
      </c>
      <c r="G1600" s="49" t="s">
        <v>1507</v>
      </c>
      <c r="H1600" s="17">
        <f t="shared" si="6"/>
        <v>3</v>
      </c>
      <c r="J1600" s="62" t="s">
        <v>473</v>
      </c>
      <c r="O1600" s="62" t="str">
        <f>IF(E1600="PA",IF(K1600&lt;&gt;"",ISERROR(VLOOKUP(K1600,ABBR!A:D,1,FALSE)),ISERROR(VLOOKUP(C1600,ABBR!A:D,1,FALSE))),"")</f>
        <v/>
      </c>
      <c r="P1600" t="str">
        <f>VLOOKUP(A1600,Groups!A:L,5,FALSE)</f>
        <v>LOCA</v>
      </c>
      <c r="Q1600" s="62" t="str">
        <f>IF(G1600="PA",IF(M1600&lt;&gt;"",ISERROR(VLOOKUP(M1600,ABBR!C:F,1,FALSE)),ISERROR(VLOOKUP(E1600,ABBR!C:F,1,FALSE))),"")</f>
        <v/>
      </c>
    </row>
    <row r="1601" spans="1:17" hidden="1" x14ac:dyDescent="0.25">
      <c r="A1601" s="16" t="s">
        <v>8917</v>
      </c>
      <c r="B1601" s="17" t="s">
        <v>960</v>
      </c>
      <c r="C1601" s="25" t="s">
        <v>8928</v>
      </c>
      <c r="D1601" s="17"/>
      <c r="E1601" s="17" t="s">
        <v>618</v>
      </c>
      <c r="F1601" s="26" t="s">
        <v>2842</v>
      </c>
      <c r="G1601" s="55" t="s">
        <v>2843</v>
      </c>
      <c r="H1601" s="17">
        <f t="shared" si="6"/>
        <v>4</v>
      </c>
      <c r="J1601" s="62" t="s">
        <v>473</v>
      </c>
      <c r="O1601" s="62" t="b">
        <f>IF(E1601="PA",IF(K1601&lt;&gt;"",ISERROR(VLOOKUP(K1601,ABBR!A:D,1,FALSE)),ISERROR(VLOOKUP(C1601,ABBR!A:D,1,FALSE))),"")</f>
        <v>0</v>
      </c>
      <c r="P1601" t="str">
        <f>VLOOKUP(A1601,Groups!A:L,5,FALSE)</f>
        <v>LOCA</v>
      </c>
      <c r="Q1601" s="62" t="str">
        <f>IF(G1601="PA",IF(M1601&lt;&gt;"",ISERROR(VLOOKUP(M1601,ABBR!C:F,1,FALSE)),ISERROR(VLOOKUP(E1601,ABBR!C:F,1,FALSE))),"")</f>
        <v/>
      </c>
    </row>
    <row r="1602" spans="1:17" hidden="1" x14ac:dyDescent="0.25">
      <c r="A1602" s="16" t="s">
        <v>8917</v>
      </c>
      <c r="B1602" s="17"/>
      <c r="C1602" s="16" t="s">
        <v>8929</v>
      </c>
      <c r="D1602" s="17"/>
      <c r="E1602" s="17" t="s">
        <v>859</v>
      </c>
      <c r="F1602" s="18" t="s">
        <v>2849</v>
      </c>
      <c r="G1602" s="49" t="s">
        <v>2850</v>
      </c>
      <c r="H1602" s="17">
        <f t="shared" si="6"/>
        <v>5</v>
      </c>
      <c r="J1602" s="62" t="s">
        <v>473</v>
      </c>
      <c r="O1602" s="62" t="str">
        <f>IF(E1602="PA",IF(K1602&lt;&gt;"",ISERROR(VLOOKUP(K1602,ABBR!A:D,1,FALSE)),ISERROR(VLOOKUP(C1602,ABBR!A:D,1,FALSE))),"")</f>
        <v/>
      </c>
      <c r="P1602" t="str">
        <f>VLOOKUP(A1602,Groups!A:L,5,FALSE)</f>
        <v>LOCA</v>
      </c>
      <c r="Q1602" s="62" t="str">
        <f>IF(G1602="PA",IF(M1602&lt;&gt;"",ISERROR(VLOOKUP(M1602,ABBR!C:F,1,FALSE)),ISERROR(VLOOKUP(E1602,ABBR!C:F,1,FALSE))),"")</f>
        <v/>
      </c>
    </row>
    <row r="1603" spans="1:17" hidden="1" x14ac:dyDescent="0.25">
      <c r="A1603" s="16" t="s">
        <v>8917</v>
      </c>
      <c r="B1603" s="22" t="s">
        <v>966</v>
      </c>
      <c r="C1603" s="16" t="s">
        <v>8930</v>
      </c>
      <c r="D1603" s="17"/>
      <c r="E1603" s="17" t="s">
        <v>2004</v>
      </c>
      <c r="F1603" s="18" t="s">
        <v>2852</v>
      </c>
      <c r="G1603" s="49" t="s">
        <v>2458</v>
      </c>
      <c r="H1603" s="17">
        <f t="shared" si="6"/>
        <v>6</v>
      </c>
      <c r="J1603" s="62" t="s">
        <v>473</v>
      </c>
      <c r="O1603" s="62" t="str">
        <f>IF(E1603="PA",IF(K1603&lt;&gt;"",ISERROR(VLOOKUP(K1603,ABBR!A:D,1,FALSE)),ISERROR(VLOOKUP(C1603,ABBR!A:D,1,FALSE))),"")</f>
        <v/>
      </c>
      <c r="P1603" t="str">
        <f>VLOOKUP(A1603,Groups!A:L,5,FALSE)</f>
        <v>LOCA</v>
      </c>
      <c r="Q1603" s="62" t="str">
        <f>IF(G1603="PA",IF(M1603&lt;&gt;"",ISERROR(VLOOKUP(M1603,ABBR!C:F,1,FALSE)),ISERROR(VLOOKUP(E1603,ABBR!C:F,1,FALSE))),"")</f>
        <v/>
      </c>
    </row>
    <row r="1604" spans="1:17" ht="25" hidden="1" x14ac:dyDescent="0.25">
      <c r="A1604" s="16" t="s">
        <v>8917</v>
      </c>
      <c r="B1604" s="17"/>
      <c r="C1604" s="16" t="s">
        <v>8920</v>
      </c>
      <c r="D1604" s="17" t="s">
        <v>2876</v>
      </c>
      <c r="E1604" s="17" t="s">
        <v>925</v>
      </c>
      <c r="F1604" s="18" t="s">
        <v>1922</v>
      </c>
      <c r="G1604" s="49" t="s">
        <v>8931</v>
      </c>
      <c r="H1604" s="17">
        <f t="shared" si="6"/>
        <v>7</v>
      </c>
      <c r="J1604" s="62" t="s">
        <v>473</v>
      </c>
      <c r="O1604" s="62" t="str">
        <f>IF(E1604="PA",IF(K1604&lt;&gt;"",ISERROR(VLOOKUP(K1604,ABBR!A:D,1,FALSE)),ISERROR(VLOOKUP(C1604,ABBR!A:D,1,FALSE))),"")</f>
        <v/>
      </c>
      <c r="P1604" t="str">
        <f>VLOOKUP(A1604,Groups!A:L,5,FALSE)</f>
        <v>LOCA</v>
      </c>
      <c r="Q1604" s="62" t="str">
        <f>IF(G1604="PA",IF(M1604&lt;&gt;"",ISERROR(VLOOKUP(M1604,ABBR!C:F,1,FALSE)),ISERROR(VLOOKUP(E1604,ABBR!C:F,1,FALSE))),"")</f>
        <v/>
      </c>
    </row>
    <row r="1605" spans="1:17" hidden="1" x14ac:dyDescent="0.25">
      <c r="A1605" s="16" t="s">
        <v>8917</v>
      </c>
      <c r="B1605" s="17"/>
      <c r="C1605" s="16" t="s">
        <v>8921</v>
      </c>
      <c r="D1605" s="17"/>
      <c r="E1605" s="17" t="s">
        <v>608</v>
      </c>
      <c r="F1605" s="18" t="s">
        <v>869</v>
      </c>
      <c r="G1605" s="49" t="s">
        <v>2059</v>
      </c>
      <c r="H1605" s="17">
        <f t="shared" si="6"/>
        <v>8</v>
      </c>
      <c r="J1605" s="62" t="s">
        <v>473</v>
      </c>
      <c r="O1605" s="62" t="str">
        <f>IF(E1605="PA",IF(K1605&lt;&gt;"",ISERROR(VLOOKUP(K1605,ABBR!A:D,1,FALSE)),ISERROR(VLOOKUP(C1605,ABBR!A:D,1,FALSE))),"")</f>
        <v/>
      </c>
      <c r="P1605" t="str">
        <f>VLOOKUP(A1605,Groups!A:L,5,FALSE)</f>
        <v>LOCA</v>
      </c>
      <c r="Q1605" s="62" t="str">
        <f>IF(G1605="PA",IF(M1605&lt;&gt;"",ISERROR(VLOOKUP(M1605,ABBR!C:F,1,FALSE)),ISERROR(VLOOKUP(E1605,ABBR!C:F,1,FALSE))),"")</f>
        <v/>
      </c>
    </row>
    <row r="1606" spans="1:17" hidden="1" x14ac:dyDescent="0.25">
      <c r="A1606" s="16" t="s">
        <v>8917</v>
      </c>
      <c r="B1606" s="17"/>
      <c r="C1606" s="16" t="s">
        <v>8922</v>
      </c>
      <c r="D1606" s="17"/>
      <c r="E1606" s="17" t="s">
        <v>608</v>
      </c>
      <c r="F1606" s="18" t="s">
        <v>2858</v>
      </c>
      <c r="G1606" s="49" t="s">
        <v>16</v>
      </c>
      <c r="H1606" s="17">
        <f t="shared" si="6"/>
        <v>9</v>
      </c>
      <c r="J1606" s="62" t="s">
        <v>473</v>
      </c>
      <c r="O1606" s="62" t="str">
        <f>IF(E1606="PA",IF(K1606&lt;&gt;"",ISERROR(VLOOKUP(K1606,ABBR!A:D,1,FALSE)),ISERROR(VLOOKUP(C1606,ABBR!A:D,1,FALSE))),"")</f>
        <v/>
      </c>
      <c r="P1606" t="str">
        <f>VLOOKUP(A1606,Groups!A:L,5,FALSE)</f>
        <v>LOCA</v>
      </c>
      <c r="Q1606" s="62" t="str">
        <f>IF(G1606="PA",IF(M1606&lt;&gt;"",ISERROR(VLOOKUP(M1606,ABBR!C:F,1,FALSE)),ISERROR(VLOOKUP(E1606,ABBR!C:F,1,FALSE))),"")</f>
        <v/>
      </c>
    </row>
    <row r="1607" spans="1:17" ht="25" hidden="1" x14ac:dyDescent="0.25">
      <c r="A1607" s="16" t="s">
        <v>8917</v>
      </c>
      <c r="B1607" s="17"/>
      <c r="C1607" s="16" t="s">
        <v>8923</v>
      </c>
      <c r="D1607" s="17"/>
      <c r="E1607" s="17" t="s">
        <v>608</v>
      </c>
      <c r="F1607" s="18" t="s">
        <v>1938</v>
      </c>
      <c r="G1607" s="49" t="s">
        <v>3220</v>
      </c>
      <c r="H1607" s="17">
        <f t="shared" si="6"/>
        <v>10</v>
      </c>
      <c r="J1607" s="62" t="s">
        <v>473</v>
      </c>
      <c r="O1607" s="62" t="str">
        <f>IF(E1607="PA",IF(K1607&lt;&gt;"",ISERROR(VLOOKUP(K1607,ABBR!A:D,1,FALSE)),ISERROR(VLOOKUP(C1607,ABBR!A:D,1,FALSE))),"")</f>
        <v/>
      </c>
      <c r="P1607" t="str">
        <f>VLOOKUP(A1607,Groups!A:L,5,FALSE)</f>
        <v>LOCA</v>
      </c>
      <c r="Q1607" s="62" t="str">
        <f>IF(G1607="PA",IF(M1607&lt;&gt;"",ISERROR(VLOOKUP(M1607,ABBR!C:F,1,FALSE)),ISERROR(VLOOKUP(E1607,ABBR!C:F,1,FALSE))),"")</f>
        <v/>
      </c>
    </row>
    <row r="1608" spans="1:17" hidden="1" x14ac:dyDescent="0.25">
      <c r="A1608" s="16" t="s">
        <v>8917</v>
      </c>
      <c r="B1608" s="17"/>
      <c r="C1608" s="16" t="s">
        <v>8924</v>
      </c>
      <c r="D1608" s="17"/>
      <c r="E1608" s="17" t="s">
        <v>608</v>
      </c>
      <c r="F1608" s="18" t="s">
        <v>3221</v>
      </c>
      <c r="G1608" s="49"/>
      <c r="H1608" s="17">
        <f t="shared" si="6"/>
        <v>11</v>
      </c>
      <c r="J1608" s="62" t="s">
        <v>473</v>
      </c>
      <c r="O1608" s="62" t="str">
        <f>IF(E1608="PA",IF(K1608&lt;&gt;"",ISERROR(VLOOKUP(K1608,ABBR!A:D,1,FALSE)),ISERROR(VLOOKUP(C1608,ABBR!A:D,1,FALSE))),"")</f>
        <v/>
      </c>
      <c r="P1608" t="str">
        <f>VLOOKUP(A1608,Groups!A:L,5,FALSE)</f>
        <v>LOCA</v>
      </c>
      <c r="Q1608" s="62" t="str">
        <f>IF(G1608="PA",IF(M1608&lt;&gt;"",ISERROR(VLOOKUP(M1608,ABBR!C:F,1,FALSE)),ISERROR(VLOOKUP(E1608,ABBR!C:F,1,FALSE))),"")</f>
        <v/>
      </c>
    </row>
    <row r="1609" spans="1:17" hidden="1" x14ac:dyDescent="0.25">
      <c r="A1609" s="16" t="s">
        <v>8917</v>
      </c>
      <c r="B1609" s="17"/>
      <c r="C1609" s="9" t="s">
        <v>8925</v>
      </c>
      <c r="D1609" s="46"/>
      <c r="E1609" s="46" t="s">
        <v>608</v>
      </c>
      <c r="F1609" s="93" t="s">
        <v>1952</v>
      </c>
      <c r="G1609" s="179" t="s">
        <v>876</v>
      </c>
      <c r="H1609" s="17">
        <f t="shared" si="6"/>
        <v>12</v>
      </c>
      <c r="I1609" s="180"/>
      <c r="J1609" s="62" t="s">
        <v>473</v>
      </c>
      <c r="O1609" s="62" t="str">
        <f>IF(E1609="PA",IF(K1609&lt;&gt;"",ISERROR(VLOOKUP(K1609,ABBR!A:D,1,FALSE)),ISERROR(VLOOKUP(C1609,ABBR!A:D,1,FALSE))),"")</f>
        <v/>
      </c>
      <c r="P1609" t="str">
        <f>VLOOKUP(A1609,Groups!A:L,5,FALSE)</f>
        <v>LOCA</v>
      </c>
      <c r="Q1609" s="62" t="str">
        <f>IF(G1609="PA",IF(M1609&lt;&gt;"",ISERROR(VLOOKUP(M1609,ABBR!C:F,1,FALSE)),ISERROR(VLOOKUP(E1609,ABBR!C:F,1,FALSE))),"")</f>
        <v/>
      </c>
    </row>
    <row r="1610" spans="1:17" ht="25" hidden="1" x14ac:dyDescent="0.25">
      <c r="A1610" s="16" t="s">
        <v>8917</v>
      </c>
      <c r="B1610" s="17"/>
      <c r="C1610" s="16" t="s">
        <v>8926</v>
      </c>
      <c r="D1610" s="17"/>
      <c r="E1610" s="17" t="s">
        <v>608</v>
      </c>
      <c r="F1610" s="18" t="s">
        <v>1943</v>
      </c>
      <c r="G1610" s="49" t="s">
        <v>1944</v>
      </c>
      <c r="H1610" s="17">
        <f t="shared" si="6"/>
        <v>13</v>
      </c>
      <c r="J1610" s="62" t="s">
        <v>473</v>
      </c>
      <c r="O1610" s="62" t="str">
        <f>IF(E1610="PA",IF(K1610&lt;&gt;"",ISERROR(VLOOKUP(K1610,ABBR!A:D,1,FALSE)),ISERROR(VLOOKUP(C1610,ABBR!A:D,1,FALSE))),"")</f>
        <v/>
      </c>
      <c r="P1610" t="str">
        <f>VLOOKUP(A1610,Groups!A:L,5,FALSE)</f>
        <v>LOCA</v>
      </c>
      <c r="Q1610" s="62" t="str">
        <f>IF(G1610="PA",IF(M1610&lt;&gt;"",ISERROR(VLOOKUP(M1610,ABBR!C:F,1,FALSE)),ISERROR(VLOOKUP(E1610,ABBR!C:F,1,FALSE))),"")</f>
        <v/>
      </c>
    </row>
    <row r="1611" spans="1:17" ht="25" hidden="1" x14ac:dyDescent="0.25">
      <c r="A1611" s="16" t="s">
        <v>8917</v>
      </c>
      <c r="B1611" s="17"/>
      <c r="C1611" s="16" t="s">
        <v>8927</v>
      </c>
      <c r="D1611" s="17"/>
      <c r="E1611" s="17" t="s">
        <v>608</v>
      </c>
      <c r="F1611" s="18" t="s">
        <v>934</v>
      </c>
      <c r="G1611" s="49" t="s">
        <v>953</v>
      </c>
      <c r="H1611" s="17">
        <f t="shared" si="6"/>
        <v>14</v>
      </c>
      <c r="J1611" s="62" t="s">
        <v>473</v>
      </c>
      <c r="O1611" s="62" t="str">
        <f>IF(E1611="PA",IF(K1611&lt;&gt;"",ISERROR(VLOOKUP(K1611,ABBR!A:D,1,FALSE)),ISERROR(VLOOKUP(C1611,ABBR!A:D,1,FALSE))),"")</f>
        <v/>
      </c>
      <c r="P1611" t="str">
        <f>VLOOKUP(A1611,Groups!A:L,5,FALSE)</f>
        <v>LOCA</v>
      </c>
      <c r="Q1611" s="62" t="str">
        <f>IF(G1611="PA",IF(M1611&lt;&gt;"",ISERROR(VLOOKUP(M1611,ABBR!C:F,1,FALSE)),ISERROR(VLOOKUP(E1611,ABBR!C:F,1,FALSE))),"")</f>
        <v/>
      </c>
    </row>
    <row r="1612" spans="1:17" hidden="1" x14ac:dyDescent="0.25">
      <c r="A1612" s="16" t="s">
        <v>8917</v>
      </c>
      <c r="B1612" s="17"/>
      <c r="C1612" s="16" t="s">
        <v>936</v>
      </c>
      <c r="D1612" s="17"/>
      <c r="E1612" s="17" t="s">
        <v>608</v>
      </c>
      <c r="F1612" s="18" t="s">
        <v>937</v>
      </c>
      <c r="G1612" s="49" t="s">
        <v>938</v>
      </c>
      <c r="H1612" s="17">
        <f t="shared" si="6"/>
        <v>15</v>
      </c>
      <c r="J1612" s="62" t="s">
        <v>473</v>
      </c>
      <c r="O1612" s="62" t="str">
        <f>IF(E1612="PA",IF(K1612&lt;&gt;"",ISERROR(VLOOKUP(K1612,ABBR!A:D,1,FALSE)),ISERROR(VLOOKUP(C1612,ABBR!A:D,1,FALSE))),"")</f>
        <v/>
      </c>
      <c r="P1612" t="str">
        <f>VLOOKUP(A1612,Groups!A:L,5,FALSE)</f>
        <v>LOCA</v>
      </c>
      <c r="Q1612" s="62" t="str">
        <f>IF(G1612="PA",IF(M1612&lt;&gt;"",ISERROR(VLOOKUP(M1612,ABBR!C:F,1,FALSE)),ISERROR(VLOOKUP(E1612,ABBR!C:F,1,FALSE))),"")</f>
        <v/>
      </c>
    </row>
    <row r="1613" spans="1:17" hidden="1" x14ac:dyDescent="0.25">
      <c r="A1613" s="16" t="s">
        <v>8917</v>
      </c>
      <c r="B1613" s="17"/>
      <c r="C1613" s="16" t="s">
        <v>629</v>
      </c>
      <c r="D1613" s="17"/>
      <c r="E1613" s="17" t="s">
        <v>608</v>
      </c>
      <c r="F1613" s="18" t="s">
        <v>630</v>
      </c>
      <c r="G1613" s="49" t="s">
        <v>631</v>
      </c>
      <c r="H1613" s="17">
        <f t="shared" si="6"/>
        <v>16</v>
      </c>
      <c r="J1613" s="62" t="s">
        <v>473</v>
      </c>
      <c r="O1613" s="62" t="str">
        <f>IF(E1613="PA",IF(K1613&lt;&gt;"",ISERROR(VLOOKUP(K1613,ABBR!A:D,1,FALSE)),ISERROR(VLOOKUP(C1613,ABBR!A:D,1,FALSE))),"")</f>
        <v/>
      </c>
      <c r="P1613" t="str">
        <f>VLOOKUP(A1613,Groups!A:L,5,FALSE)</f>
        <v>LOCA</v>
      </c>
      <c r="Q1613" s="62" t="str">
        <f>IF(G1613="PA",IF(M1613&lt;&gt;"",ISERROR(VLOOKUP(M1613,ABBR!C:F,1,FALSE)),ISERROR(VLOOKUP(E1613,ABBR!C:F,1,FALSE))),"")</f>
        <v/>
      </c>
    </row>
    <row r="1614" spans="1:17" hidden="1" x14ac:dyDescent="0.25">
      <c r="A1614" s="16" t="s">
        <v>8917</v>
      </c>
      <c r="B1614" s="17"/>
      <c r="C1614" s="16" t="s">
        <v>643</v>
      </c>
      <c r="D1614" s="17"/>
      <c r="E1614" s="17" t="s">
        <v>608</v>
      </c>
      <c r="F1614" s="18" t="s">
        <v>954</v>
      </c>
      <c r="G1614" s="49" t="s">
        <v>3222</v>
      </c>
      <c r="H1614" s="17">
        <f t="shared" si="6"/>
        <v>17</v>
      </c>
      <c r="J1614" s="62" t="s">
        <v>473</v>
      </c>
      <c r="O1614" s="62" t="str">
        <f>IF(E1614="PA",IF(K1614&lt;&gt;"",ISERROR(VLOOKUP(K1614,ABBR!A:D,1,FALSE)),ISERROR(VLOOKUP(C1614,ABBR!A:D,1,FALSE))),"")</f>
        <v/>
      </c>
      <c r="P1614" t="str">
        <f>VLOOKUP(A1614,Groups!A:L,5,FALSE)</f>
        <v>LOCA</v>
      </c>
      <c r="Q1614" s="62" t="str">
        <f>IF(G1614="PA",IF(M1614&lt;&gt;"",ISERROR(VLOOKUP(M1614,ABBR!C:F,1,FALSE)),ISERROR(VLOOKUP(E1614,ABBR!C:F,1,FALSE))),"")</f>
        <v/>
      </c>
    </row>
    <row r="1615" spans="1:17" hidden="1" x14ac:dyDescent="0.25">
      <c r="A1615" s="16" t="s">
        <v>231</v>
      </c>
      <c r="B1615" s="17" t="s">
        <v>594</v>
      </c>
      <c r="C1615" s="16" t="s">
        <v>595</v>
      </c>
      <c r="D1615" s="17"/>
      <c r="E1615" s="17" t="s">
        <v>596</v>
      </c>
      <c r="F1615" s="18" t="s">
        <v>597</v>
      </c>
      <c r="G1615" s="49" t="s">
        <v>598</v>
      </c>
      <c r="H1615" s="17">
        <v>1</v>
      </c>
      <c r="O1615" s="62" t="str">
        <f>IF(E1615="PA",IF(K1615&lt;&gt;"",ISERROR(VLOOKUP(K1615,ABBR!A:D,1,FALSE)),ISERROR(VLOOKUP(C1615,ABBR!A:D,1,FALSE))),"")</f>
        <v/>
      </c>
      <c r="P1615" t="str">
        <f>VLOOKUP(A1615,Groups!A:L,5,FALSE)</f>
        <v>LOCA</v>
      </c>
      <c r="Q1615" s="62" t="str">
        <f>IF(G1615="PA",IF(M1615&lt;&gt;"",ISERROR(VLOOKUP(M1615,ABBR!C:F,1,FALSE)),ISERROR(VLOOKUP(E1615,ABBR!C:F,1,FALSE))),"")</f>
        <v/>
      </c>
    </row>
    <row r="1616" spans="1:17" hidden="1" x14ac:dyDescent="0.25">
      <c r="A1616" s="16" t="s">
        <v>231</v>
      </c>
      <c r="B1616" s="17" t="s">
        <v>594</v>
      </c>
      <c r="C1616" s="16" t="s">
        <v>3223</v>
      </c>
      <c r="D1616" s="17" t="s">
        <v>600</v>
      </c>
      <c r="E1616" s="17" t="s">
        <v>601</v>
      </c>
      <c r="F1616" s="18" t="s">
        <v>3224</v>
      </c>
      <c r="G1616" s="49" t="s">
        <v>3225</v>
      </c>
      <c r="H1616" s="17">
        <v>2</v>
      </c>
      <c r="O1616" s="62" t="str">
        <f>IF(E1616="PA",IF(K1616&lt;&gt;"",ISERROR(VLOOKUP(K1616,ABBR!A:D,1,FALSE)),ISERROR(VLOOKUP(C1616,ABBR!A:D,1,FALSE))),"")</f>
        <v/>
      </c>
      <c r="P1616" t="str">
        <f>VLOOKUP(A1616,Groups!A:L,5,FALSE)</f>
        <v>LOCA</v>
      </c>
      <c r="Q1616" s="62" t="str">
        <f>IF(G1616="PA",IF(M1616&lt;&gt;"",ISERROR(VLOOKUP(M1616,ABBR!C:F,1,FALSE)),ISERROR(VLOOKUP(E1616,ABBR!C:F,1,FALSE))),"")</f>
        <v/>
      </c>
    </row>
    <row r="1617" spans="1:17" hidden="1" x14ac:dyDescent="0.25">
      <c r="A1617" s="16" t="s">
        <v>231</v>
      </c>
      <c r="B1617" s="17" t="s">
        <v>594</v>
      </c>
      <c r="C1617" s="16" t="s">
        <v>3226</v>
      </c>
      <c r="D1617" s="17"/>
      <c r="E1617" s="17" t="s">
        <v>608</v>
      </c>
      <c r="F1617" s="18" t="s">
        <v>1323</v>
      </c>
      <c r="G1617" s="49" t="s">
        <v>1229</v>
      </c>
      <c r="H1617" s="17">
        <v>3</v>
      </c>
      <c r="O1617" s="62" t="str">
        <f>IF(E1617="PA",IF(K1617&lt;&gt;"",ISERROR(VLOOKUP(K1617,ABBR!A:D,1,FALSE)),ISERROR(VLOOKUP(C1617,ABBR!A:D,1,FALSE))),"")</f>
        <v/>
      </c>
      <c r="P1617" t="str">
        <f>VLOOKUP(A1617,Groups!A:L,5,FALSE)</f>
        <v>LOCA</v>
      </c>
      <c r="Q1617" s="62" t="str">
        <f>IF(G1617="PA",IF(M1617&lt;&gt;"",ISERROR(VLOOKUP(M1617,ABBR!C:F,1,FALSE)),ISERROR(VLOOKUP(E1617,ABBR!C:F,1,FALSE))),"")</f>
        <v/>
      </c>
    </row>
    <row r="1618" spans="1:17" hidden="1" x14ac:dyDescent="0.25">
      <c r="A1618" s="16" t="s">
        <v>231</v>
      </c>
      <c r="B1618" s="17"/>
      <c r="C1618" s="16" t="s">
        <v>3227</v>
      </c>
      <c r="D1618" s="17" t="s">
        <v>1345</v>
      </c>
      <c r="E1618" s="17" t="s">
        <v>1391</v>
      </c>
      <c r="F1618" s="18" t="s">
        <v>3228</v>
      </c>
      <c r="G1618" s="49" t="s">
        <v>3229</v>
      </c>
      <c r="H1618" s="17">
        <v>4</v>
      </c>
      <c r="O1618" s="62" t="str">
        <f>IF(E1618="PA",IF(K1618&lt;&gt;"",ISERROR(VLOOKUP(K1618,ABBR!A:D,1,FALSE)),ISERROR(VLOOKUP(C1618,ABBR!A:D,1,FALSE))),"")</f>
        <v/>
      </c>
      <c r="P1618" t="str">
        <f>VLOOKUP(A1618,Groups!A:L,5,FALSE)</f>
        <v>LOCA</v>
      </c>
      <c r="Q1618" s="62" t="str">
        <f>IF(G1618="PA",IF(M1618&lt;&gt;"",ISERROR(VLOOKUP(M1618,ABBR!C:F,1,FALSE)),ISERROR(VLOOKUP(E1618,ABBR!C:F,1,FALSE))),"")</f>
        <v/>
      </c>
    </row>
    <row r="1619" spans="1:17" hidden="1" x14ac:dyDescent="0.25">
      <c r="A1619" s="16" t="s">
        <v>231</v>
      </c>
      <c r="B1619" s="17"/>
      <c r="C1619" s="16" t="s">
        <v>3230</v>
      </c>
      <c r="D1619" s="17" t="s">
        <v>924</v>
      </c>
      <c r="E1619" s="17" t="s">
        <v>925</v>
      </c>
      <c r="F1619" s="18" t="s">
        <v>1922</v>
      </c>
      <c r="G1619" s="49" t="s">
        <v>3231</v>
      </c>
      <c r="H1619" s="17">
        <v>5</v>
      </c>
      <c r="O1619" s="62" t="str">
        <f>IF(E1619="PA",IF(K1619&lt;&gt;"",ISERROR(VLOOKUP(K1619,ABBR!A:D,1,FALSE)),ISERROR(VLOOKUP(C1619,ABBR!A:D,1,FALSE))),"")</f>
        <v/>
      </c>
      <c r="P1619" t="str">
        <f>VLOOKUP(A1619,Groups!A:L,5,FALSE)</f>
        <v>LOCA</v>
      </c>
      <c r="Q1619" s="62" t="str">
        <f>IF(G1619="PA",IF(M1619&lt;&gt;"",ISERROR(VLOOKUP(M1619,ABBR!C:F,1,FALSE)),ISERROR(VLOOKUP(E1619,ABBR!C:F,1,FALSE))),"")</f>
        <v/>
      </c>
    </row>
    <row r="1620" spans="1:17" hidden="1" x14ac:dyDescent="0.25">
      <c r="A1620" s="16" t="s">
        <v>231</v>
      </c>
      <c r="B1620" s="17"/>
      <c r="C1620" s="16" t="s">
        <v>3232</v>
      </c>
      <c r="D1620" s="17"/>
      <c r="E1620" s="17" t="s">
        <v>608</v>
      </c>
      <c r="F1620" s="18" t="s">
        <v>2858</v>
      </c>
      <c r="G1620" s="49" t="s">
        <v>16</v>
      </c>
      <c r="H1620" s="17">
        <v>6</v>
      </c>
      <c r="M1620" s="101"/>
      <c r="O1620" s="62" t="str">
        <f>IF(E1620="PA",IF(K1620&lt;&gt;"",ISERROR(VLOOKUP(K1620,ABBR!A:D,1,FALSE)),ISERROR(VLOOKUP(C1620,ABBR!A:D,1,FALSE))),"")</f>
        <v/>
      </c>
      <c r="P1620" t="str">
        <f>VLOOKUP(A1620,Groups!A:L,5,FALSE)</f>
        <v>LOCA</v>
      </c>
      <c r="Q1620" s="62" t="str">
        <f>IF(G1620="PA",IF(M1620&lt;&gt;"",ISERROR(VLOOKUP(M1620,ABBR!C:F,1,FALSE)),ISERROR(VLOOKUP(E1620,ABBR!C:F,1,FALSE))),"")</f>
        <v/>
      </c>
    </row>
    <row r="1621" spans="1:17" ht="25" hidden="1" x14ac:dyDescent="0.25">
      <c r="A1621" s="16" t="s">
        <v>231</v>
      </c>
      <c r="B1621" s="17"/>
      <c r="C1621" s="16" t="s">
        <v>3233</v>
      </c>
      <c r="D1621" s="17"/>
      <c r="E1621" s="17" t="s">
        <v>608</v>
      </c>
      <c r="F1621" s="18" t="s">
        <v>1938</v>
      </c>
      <c r="G1621" s="49" t="s">
        <v>3234</v>
      </c>
      <c r="H1621" s="17">
        <v>7</v>
      </c>
      <c r="O1621" s="62" t="str">
        <f>IF(E1621="PA",IF(K1621&lt;&gt;"",ISERROR(VLOOKUP(K1621,ABBR!A:D,1,FALSE)),ISERROR(VLOOKUP(C1621,ABBR!A:D,1,FALSE))),"")</f>
        <v/>
      </c>
      <c r="P1621" t="str">
        <f>VLOOKUP(A1621,Groups!A:L,5,FALSE)</f>
        <v>LOCA</v>
      </c>
      <c r="Q1621" s="62" t="str">
        <f>IF(G1621="PA",IF(M1621&lt;&gt;"",ISERROR(VLOOKUP(M1621,ABBR!C:F,1,FALSE)),ISERROR(VLOOKUP(E1621,ABBR!C:F,1,FALSE))),"")</f>
        <v/>
      </c>
    </row>
    <row r="1622" spans="1:17" hidden="1" x14ac:dyDescent="0.25">
      <c r="A1622" s="16" t="s">
        <v>231</v>
      </c>
      <c r="B1622" s="17"/>
      <c r="C1622" s="16" t="s">
        <v>3235</v>
      </c>
      <c r="D1622" s="17"/>
      <c r="E1622" s="17" t="s">
        <v>608</v>
      </c>
      <c r="F1622" s="18" t="s">
        <v>918</v>
      </c>
      <c r="G1622" s="49" t="s">
        <v>3154</v>
      </c>
      <c r="H1622" s="17">
        <v>8</v>
      </c>
      <c r="O1622" s="62" t="str">
        <f>IF(E1622="PA",IF(K1622&lt;&gt;"",ISERROR(VLOOKUP(K1622,ABBR!A:D,1,FALSE)),ISERROR(VLOOKUP(C1622,ABBR!A:D,1,FALSE))),"")</f>
        <v/>
      </c>
      <c r="P1622" t="str">
        <f>VLOOKUP(A1622,Groups!A:L,5,FALSE)</f>
        <v>LOCA</v>
      </c>
      <c r="Q1622" s="62" t="str">
        <f>IF(G1622="PA",IF(M1622&lt;&gt;"",ISERROR(VLOOKUP(M1622,ABBR!C:F,1,FALSE)),ISERROR(VLOOKUP(E1622,ABBR!C:F,1,FALSE))),"")</f>
        <v/>
      </c>
    </row>
    <row r="1623" spans="1:17" ht="25" hidden="1" x14ac:dyDescent="0.25">
      <c r="A1623" s="16" t="s">
        <v>231</v>
      </c>
      <c r="B1623" s="17"/>
      <c r="C1623" s="16" t="s">
        <v>3236</v>
      </c>
      <c r="D1623" s="17"/>
      <c r="E1623" s="17" t="s">
        <v>608</v>
      </c>
      <c r="F1623" s="18" t="s">
        <v>1943</v>
      </c>
      <c r="G1623" s="49" t="s">
        <v>1944</v>
      </c>
      <c r="H1623" s="17">
        <v>9</v>
      </c>
      <c r="O1623" s="62" t="str">
        <f>IF(E1623="PA",IF(K1623&lt;&gt;"",ISERROR(VLOOKUP(K1623,ABBR!A:D,1,FALSE)),ISERROR(VLOOKUP(C1623,ABBR!A:D,1,FALSE))),"")</f>
        <v/>
      </c>
      <c r="P1623" t="str">
        <f>VLOOKUP(A1623,Groups!A:L,5,FALSE)</f>
        <v>LOCA</v>
      </c>
      <c r="Q1623" s="62" t="str">
        <f>IF(G1623="PA",IF(M1623&lt;&gt;"",ISERROR(VLOOKUP(M1623,ABBR!C:F,1,FALSE)),ISERROR(VLOOKUP(E1623,ABBR!C:F,1,FALSE))),"")</f>
        <v/>
      </c>
    </row>
    <row r="1624" spans="1:17" ht="25" hidden="1" x14ac:dyDescent="0.25">
      <c r="A1624" s="16" t="s">
        <v>231</v>
      </c>
      <c r="B1624" s="17"/>
      <c r="C1624" s="16" t="s">
        <v>3237</v>
      </c>
      <c r="D1624" s="17"/>
      <c r="E1624" s="17" t="s">
        <v>608</v>
      </c>
      <c r="F1624" s="18" t="s">
        <v>934</v>
      </c>
      <c r="G1624" s="8" t="s">
        <v>953</v>
      </c>
      <c r="H1624" s="17">
        <v>10</v>
      </c>
      <c r="O1624" s="62" t="str">
        <f>IF(E1624="PA",IF(K1624&lt;&gt;"",ISERROR(VLOOKUP(K1624,ABBR!A:D,1,FALSE)),ISERROR(VLOOKUP(C1624,ABBR!A:D,1,FALSE))),"")</f>
        <v/>
      </c>
      <c r="P1624" t="str">
        <f>VLOOKUP(A1624,Groups!A:L,5,FALSE)</f>
        <v>LOCA</v>
      </c>
      <c r="Q1624" s="62" t="str">
        <f>IF(G1624="PA",IF(M1624&lt;&gt;"",ISERROR(VLOOKUP(M1624,ABBR!C:F,1,FALSE)),ISERROR(VLOOKUP(E1624,ABBR!C:F,1,FALSE))),"")</f>
        <v/>
      </c>
    </row>
    <row r="1625" spans="1:17" hidden="1" x14ac:dyDescent="0.25">
      <c r="A1625" s="16" t="s">
        <v>231</v>
      </c>
      <c r="B1625" s="17"/>
      <c r="C1625" s="16" t="s">
        <v>936</v>
      </c>
      <c r="D1625" s="17"/>
      <c r="E1625" s="17" t="s">
        <v>608</v>
      </c>
      <c r="F1625" s="18" t="s">
        <v>937</v>
      </c>
      <c r="G1625" s="8" t="s">
        <v>938</v>
      </c>
      <c r="H1625" s="17">
        <v>11</v>
      </c>
      <c r="O1625" s="62" t="str">
        <f>IF(E1625="PA",IF(K1625&lt;&gt;"",ISERROR(VLOOKUP(K1625,ABBR!A:D,1,FALSE)),ISERROR(VLOOKUP(C1625,ABBR!A:D,1,FALSE))),"")</f>
        <v/>
      </c>
      <c r="P1625" t="str">
        <f>VLOOKUP(A1625,Groups!A:L,5,FALSE)</f>
        <v>LOCA</v>
      </c>
      <c r="Q1625" s="62" t="str">
        <f>IF(G1625="PA",IF(M1625&lt;&gt;"",ISERROR(VLOOKUP(M1625,ABBR!C:F,1,FALSE)),ISERROR(VLOOKUP(E1625,ABBR!C:F,1,FALSE))),"")</f>
        <v/>
      </c>
    </row>
    <row r="1626" spans="1:17" hidden="1" x14ac:dyDescent="0.25">
      <c r="A1626" s="16" t="s">
        <v>231</v>
      </c>
      <c r="B1626" s="17"/>
      <c r="C1626" s="16" t="s">
        <v>629</v>
      </c>
      <c r="D1626" s="17"/>
      <c r="E1626" s="17" t="s">
        <v>608</v>
      </c>
      <c r="F1626" s="18" t="s">
        <v>630</v>
      </c>
      <c r="G1626" s="49" t="s">
        <v>631</v>
      </c>
      <c r="H1626" s="17">
        <v>12</v>
      </c>
      <c r="O1626" s="62" t="str">
        <f>IF(E1626="PA",IF(K1626&lt;&gt;"",ISERROR(VLOOKUP(K1626,ABBR!A:D,1,FALSE)),ISERROR(VLOOKUP(C1626,ABBR!A:D,1,FALSE))),"")</f>
        <v/>
      </c>
      <c r="P1626" t="str">
        <f>VLOOKUP(A1626,Groups!A:L,5,FALSE)</f>
        <v>LOCA</v>
      </c>
      <c r="Q1626" s="62" t="str">
        <f>IF(G1626="PA",IF(M1626&lt;&gt;"",ISERROR(VLOOKUP(M1626,ABBR!C:F,1,FALSE)),ISERROR(VLOOKUP(E1626,ABBR!C:F,1,FALSE))),"")</f>
        <v/>
      </c>
    </row>
    <row r="1627" spans="1:17" hidden="1" x14ac:dyDescent="0.25">
      <c r="A1627" s="16" t="s">
        <v>231</v>
      </c>
      <c r="B1627" s="17"/>
      <c r="C1627" s="16" t="s">
        <v>643</v>
      </c>
      <c r="D1627" s="17"/>
      <c r="E1627" s="17" t="s">
        <v>608</v>
      </c>
      <c r="F1627" s="18" t="s">
        <v>954</v>
      </c>
      <c r="G1627" s="49" t="s">
        <v>3238</v>
      </c>
      <c r="H1627" s="17">
        <v>13</v>
      </c>
      <c r="O1627" s="62" t="str">
        <f>IF(E1627="PA",IF(K1627&lt;&gt;"",ISERROR(VLOOKUP(K1627,ABBR!A:D,1,FALSE)),ISERROR(VLOOKUP(C1627,ABBR!A:D,1,FALSE))),"")</f>
        <v/>
      </c>
      <c r="P1627" t="str">
        <f>VLOOKUP(A1627,Groups!A:L,5,FALSE)</f>
        <v>LOCA</v>
      </c>
      <c r="Q1627" s="62" t="str">
        <f>IF(G1627="PA",IF(M1627&lt;&gt;"",ISERROR(VLOOKUP(M1627,ABBR!C:F,1,FALSE)),ISERROR(VLOOKUP(E1627,ABBR!C:F,1,FALSE))),"")</f>
        <v/>
      </c>
    </row>
    <row r="1628" spans="1:17" hidden="1" x14ac:dyDescent="0.25">
      <c r="A1628" s="16" t="s">
        <v>231</v>
      </c>
      <c r="B1628" s="17"/>
      <c r="C1628" s="16" t="s">
        <v>3239</v>
      </c>
      <c r="D1628" s="17" t="s">
        <v>1345</v>
      </c>
      <c r="E1628" s="17" t="s">
        <v>1391</v>
      </c>
      <c r="F1628" s="18" t="s">
        <v>3240</v>
      </c>
      <c r="G1628" s="49" t="s">
        <v>3241</v>
      </c>
      <c r="H1628" s="17">
        <v>14</v>
      </c>
      <c r="J1628" s="62" t="s">
        <v>473</v>
      </c>
      <c r="K1628" s="62"/>
      <c r="M1628" s="62"/>
      <c r="N1628" s="62"/>
      <c r="O1628" s="62" t="str">
        <f>IF(E1628="PA",IF(K1628&lt;&gt;"",ISERROR(VLOOKUP(K1628,ABBR!A:D,1,FALSE)),ISERROR(VLOOKUP(C1628,ABBR!A:D,1,FALSE))),"")</f>
        <v/>
      </c>
      <c r="P1628" t="str">
        <f>VLOOKUP(A1628,Groups!A:L,5,FALSE)</f>
        <v>LOCA</v>
      </c>
      <c r="Q1628" s="62" t="str">
        <f>IF(G1628="PA",IF(M1628&lt;&gt;"",ISERROR(VLOOKUP(M1628,ABBR!C:F,1,FALSE)),ISERROR(VLOOKUP(E1628,ABBR!C:F,1,FALSE))),"")</f>
        <v/>
      </c>
    </row>
    <row r="1629" spans="1:17" hidden="1" x14ac:dyDescent="0.25">
      <c r="A1629" s="16" t="s">
        <v>231</v>
      </c>
      <c r="B1629" s="17"/>
      <c r="C1629" s="16" t="s">
        <v>3242</v>
      </c>
      <c r="D1629" s="17" t="s">
        <v>1345</v>
      </c>
      <c r="E1629" s="17" t="s">
        <v>1391</v>
      </c>
      <c r="F1629" s="18" t="s">
        <v>3243</v>
      </c>
      <c r="G1629" s="49" t="s">
        <v>3244</v>
      </c>
      <c r="H1629" s="17">
        <v>15</v>
      </c>
      <c r="J1629" s="62" t="s">
        <v>473</v>
      </c>
      <c r="K1629" s="62"/>
      <c r="M1629" s="62"/>
      <c r="N1629" s="62"/>
      <c r="O1629" s="62" t="str">
        <f>IF(E1629="PA",IF(K1629&lt;&gt;"",ISERROR(VLOOKUP(K1629,ABBR!A:D,1,FALSE)),ISERROR(VLOOKUP(C1629,ABBR!A:D,1,FALSE))),"")</f>
        <v/>
      </c>
      <c r="P1629" t="str">
        <f>VLOOKUP(A1629,Groups!A:L,5,FALSE)</f>
        <v>LOCA</v>
      </c>
      <c r="Q1629" s="62" t="str">
        <f>IF(G1629="PA",IF(M1629&lt;&gt;"",ISERROR(VLOOKUP(M1629,ABBR!C:F,1,FALSE)),ISERROR(VLOOKUP(E1629,ABBR!C:F,1,FALSE))),"")</f>
        <v/>
      </c>
    </row>
    <row r="1630" spans="1:17" hidden="1" x14ac:dyDescent="0.25">
      <c r="A1630" s="16" t="s">
        <v>231</v>
      </c>
      <c r="B1630" s="17"/>
      <c r="C1630" s="9" t="s">
        <v>3245</v>
      </c>
      <c r="D1630" s="46"/>
      <c r="E1630" s="46" t="s">
        <v>608</v>
      </c>
      <c r="F1630" s="93" t="s">
        <v>1952</v>
      </c>
      <c r="G1630" s="179" t="s">
        <v>876</v>
      </c>
      <c r="H1630" s="46">
        <v>16</v>
      </c>
      <c r="I1630" s="180"/>
      <c r="J1630" s="62" t="s">
        <v>473</v>
      </c>
      <c r="K1630" s="62"/>
      <c r="M1630" s="62"/>
      <c r="N1630" s="62"/>
      <c r="O1630" s="62" t="str">
        <f>IF(E1630="PA",IF(K1630&lt;&gt;"",ISERROR(VLOOKUP(K1630,ABBR!A:D,1,FALSE)),ISERROR(VLOOKUP(C1630,ABBR!A:D,1,FALSE))),"")</f>
        <v/>
      </c>
      <c r="P1630" t="str">
        <f>VLOOKUP(A1630,Groups!A:L,5,FALSE)</f>
        <v>LOCA</v>
      </c>
      <c r="Q1630" s="62" t="str">
        <f>IF(G1630="PA",IF(M1630&lt;&gt;"",ISERROR(VLOOKUP(M1630,ABBR!C:F,1,FALSE)),ISERROR(VLOOKUP(E1630,ABBR!C:F,1,FALSE))),"")</f>
        <v/>
      </c>
    </row>
    <row r="1631" spans="1:17" hidden="1" x14ac:dyDescent="0.25">
      <c r="A1631" s="16" t="s">
        <v>235</v>
      </c>
      <c r="B1631" s="17" t="s">
        <v>594</v>
      </c>
      <c r="C1631" s="16" t="s">
        <v>595</v>
      </c>
      <c r="D1631" s="17"/>
      <c r="E1631" s="17" t="s">
        <v>596</v>
      </c>
      <c r="F1631" s="18" t="s">
        <v>597</v>
      </c>
      <c r="G1631" s="49" t="s">
        <v>598</v>
      </c>
      <c r="H1631" s="17">
        <v>1</v>
      </c>
      <c r="O1631" s="62" t="str">
        <f>IF(E1631="PA",IF(K1631&lt;&gt;"",ISERROR(VLOOKUP(K1631,ABBR!A:D,1,FALSE)),ISERROR(VLOOKUP(C1631,ABBR!A:D,1,FALSE))),"")</f>
        <v/>
      </c>
      <c r="P1631" t="str">
        <f>VLOOKUP(A1631,Groups!A:L,5,FALSE)</f>
        <v>LOCA</v>
      </c>
      <c r="Q1631" s="62" t="str">
        <f>IF(G1631="PA",IF(M1631&lt;&gt;"",ISERROR(VLOOKUP(M1631,ABBR!C:F,1,FALSE)),ISERROR(VLOOKUP(E1631,ABBR!C:F,1,FALSE))),"")</f>
        <v/>
      </c>
    </row>
    <row r="1632" spans="1:17" hidden="1" x14ac:dyDescent="0.25">
      <c r="A1632" s="16" t="s">
        <v>235</v>
      </c>
      <c r="B1632" s="17" t="s">
        <v>594</v>
      </c>
      <c r="C1632" s="16" t="s">
        <v>3246</v>
      </c>
      <c r="D1632" s="17" t="s">
        <v>600</v>
      </c>
      <c r="E1632" s="17" t="s">
        <v>601</v>
      </c>
      <c r="F1632" s="18" t="s">
        <v>3178</v>
      </c>
      <c r="G1632" s="49" t="s">
        <v>1956</v>
      </c>
      <c r="H1632" s="17">
        <v>2</v>
      </c>
      <c r="O1632" s="62" t="str">
        <f>IF(E1632="PA",IF(K1632&lt;&gt;"",ISERROR(VLOOKUP(K1632,ABBR!A:D,1,FALSE)),ISERROR(VLOOKUP(C1632,ABBR!A:D,1,FALSE))),"")</f>
        <v/>
      </c>
      <c r="P1632" t="str">
        <f>VLOOKUP(A1632,Groups!A:L,5,FALSE)</f>
        <v>LOCA</v>
      </c>
      <c r="Q1632" s="62" t="str">
        <f>IF(G1632="PA",IF(M1632&lt;&gt;"",ISERROR(VLOOKUP(M1632,ABBR!C:F,1,FALSE)),ISERROR(VLOOKUP(E1632,ABBR!C:F,1,FALSE))),"")</f>
        <v/>
      </c>
    </row>
    <row r="1633" spans="1:17" hidden="1" x14ac:dyDescent="0.25">
      <c r="A1633" s="16" t="s">
        <v>235</v>
      </c>
      <c r="B1633" s="17" t="s">
        <v>594</v>
      </c>
      <c r="C1633" s="16" t="s">
        <v>3247</v>
      </c>
      <c r="D1633" s="17"/>
      <c r="E1633" s="17" t="s">
        <v>608</v>
      </c>
      <c r="F1633" s="18" t="s">
        <v>1323</v>
      </c>
      <c r="G1633" s="49" t="s">
        <v>1507</v>
      </c>
      <c r="H1633" s="17">
        <v>3</v>
      </c>
      <c r="O1633" s="62" t="str">
        <f>IF(E1633="PA",IF(K1633&lt;&gt;"",ISERROR(VLOOKUP(K1633,ABBR!A:D,1,FALSE)),ISERROR(VLOOKUP(C1633,ABBR!A:D,1,FALSE))),"")</f>
        <v/>
      </c>
      <c r="P1633" t="str">
        <f>VLOOKUP(A1633,Groups!A:L,5,FALSE)</f>
        <v>LOCA</v>
      </c>
      <c r="Q1633" s="62" t="str">
        <f>IF(G1633="PA",IF(M1633&lt;&gt;"",ISERROR(VLOOKUP(M1633,ABBR!C:F,1,FALSE)),ISERROR(VLOOKUP(E1633,ABBR!C:F,1,FALSE))),"")</f>
        <v/>
      </c>
    </row>
    <row r="1634" spans="1:17" hidden="1" x14ac:dyDescent="0.25">
      <c r="A1634" s="16" t="s">
        <v>235</v>
      </c>
      <c r="B1634" s="17"/>
      <c r="C1634" s="16" t="s">
        <v>3248</v>
      </c>
      <c r="D1634" s="17" t="s">
        <v>924</v>
      </c>
      <c r="E1634" s="17" t="s">
        <v>925</v>
      </c>
      <c r="F1634" s="18" t="s">
        <v>1922</v>
      </c>
      <c r="G1634" s="49" t="s">
        <v>3181</v>
      </c>
      <c r="H1634" s="17">
        <v>4</v>
      </c>
      <c r="O1634" s="62" t="str">
        <f>IF(E1634="PA",IF(K1634&lt;&gt;"",ISERROR(VLOOKUP(K1634,ABBR!A:D,1,FALSE)),ISERROR(VLOOKUP(C1634,ABBR!A:D,1,FALSE))),"")</f>
        <v/>
      </c>
      <c r="P1634" t="str">
        <f>VLOOKUP(A1634,Groups!A:L,5,FALSE)</f>
        <v>LOCA</v>
      </c>
      <c r="Q1634" s="62" t="str">
        <f>IF(G1634="PA",IF(M1634&lt;&gt;"",ISERROR(VLOOKUP(M1634,ABBR!C:F,1,FALSE)),ISERROR(VLOOKUP(E1634,ABBR!C:F,1,FALSE))),"")</f>
        <v/>
      </c>
    </row>
    <row r="1635" spans="1:17" hidden="1" x14ac:dyDescent="0.25">
      <c r="A1635" s="16" t="s">
        <v>235</v>
      </c>
      <c r="B1635" s="17"/>
      <c r="C1635" s="16" t="s">
        <v>3249</v>
      </c>
      <c r="D1635" s="17" t="s">
        <v>1590</v>
      </c>
      <c r="E1635" s="17" t="s">
        <v>723</v>
      </c>
      <c r="F1635" s="18" t="s">
        <v>3250</v>
      </c>
      <c r="G1635" s="49" t="s">
        <v>1226</v>
      </c>
      <c r="H1635" s="17">
        <v>5</v>
      </c>
      <c r="O1635" s="62" t="str">
        <f>IF(E1635="PA",IF(K1635&lt;&gt;"",ISERROR(VLOOKUP(K1635,ABBR!A:D,1,FALSE)),ISERROR(VLOOKUP(C1635,ABBR!A:D,1,FALSE))),"")</f>
        <v/>
      </c>
      <c r="P1635" t="str">
        <f>VLOOKUP(A1635,Groups!A:L,5,FALSE)</f>
        <v>LOCA</v>
      </c>
      <c r="Q1635" s="62" t="str">
        <f>IF(G1635="PA",IF(M1635&lt;&gt;"",ISERROR(VLOOKUP(M1635,ABBR!C:F,1,FALSE)),ISERROR(VLOOKUP(E1635,ABBR!C:F,1,FALSE))),"")</f>
        <v/>
      </c>
    </row>
    <row r="1636" spans="1:17" hidden="1" x14ac:dyDescent="0.25">
      <c r="A1636" s="16" t="s">
        <v>235</v>
      </c>
      <c r="B1636" s="17"/>
      <c r="C1636" s="16" t="s">
        <v>3251</v>
      </c>
      <c r="D1636" s="17" t="s">
        <v>3183</v>
      </c>
      <c r="E1636" s="17" t="s">
        <v>1391</v>
      </c>
      <c r="F1636" s="18" t="s">
        <v>3252</v>
      </c>
      <c r="G1636" s="49" t="s">
        <v>2775</v>
      </c>
      <c r="H1636" s="17">
        <v>6</v>
      </c>
      <c r="O1636" s="62" t="str">
        <f>IF(E1636="PA",IF(K1636&lt;&gt;"",ISERROR(VLOOKUP(K1636,ABBR!A:D,1,FALSE)),ISERROR(VLOOKUP(C1636,ABBR!A:D,1,FALSE))),"")</f>
        <v/>
      </c>
      <c r="P1636" t="str">
        <f>VLOOKUP(A1636,Groups!A:L,5,FALSE)</f>
        <v>LOCA</v>
      </c>
      <c r="Q1636" s="62" t="str">
        <f>IF(G1636="PA",IF(M1636&lt;&gt;"",ISERROR(VLOOKUP(M1636,ABBR!C:F,1,FALSE)),ISERROR(VLOOKUP(E1636,ABBR!C:F,1,FALSE))),"")</f>
        <v/>
      </c>
    </row>
    <row r="1637" spans="1:17" hidden="1" x14ac:dyDescent="0.25">
      <c r="A1637" s="16" t="s">
        <v>235</v>
      </c>
      <c r="B1637" s="17"/>
      <c r="C1637" s="16" t="s">
        <v>3253</v>
      </c>
      <c r="D1637" s="17"/>
      <c r="E1637" s="17" t="s">
        <v>608</v>
      </c>
      <c r="F1637" s="18" t="s">
        <v>2858</v>
      </c>
      <c r="G1637" s="49" t="s">
        <v>16</v>
      </c>
      <c r="H1637" s="17">
        <v>7</v>
      </c>
      <c r="M1637" s="101"/>
      <c r="O1637" s="62" t="str">
        <f>IF(E1637="PA",IF(K1637&lt;&gt;"",ISERROR(VLOOKUP(K1637,ABBR!A:D,1,FALSE)),ISERROR(VLOOKUP(C1637,ABBR!A:D,1,FALSE))),"")</f>
        <v/>
      </c>
      <c r="P1637" t="str">
        <f>VLOOKUP(A1637,Groups!A:L,5,FALSE)</f>
        <v>LOCA</v>
      </c>
      <c r="Q1637" s="62" t="str">
        <f>IF(G1637="PA",IF(M1637&lt;&gt;"",ISERROR(VLOOKUP(M1637,ABBR!C:F,1,FALSE)),ISERROR(VLOOKUP(E1637,ABBR!C:F,1,FALSE))),"")</f>
        <v/>
      </c>
    </row>
    <row r="1638" spans="1:17" ht="25" hidden="1" x14ac:dyDescent="0.25">
      <c r="A1638" s="16" t="s">
        <v>235</v>
      </c>
      <c r="B1638" s="17"/>
      <c r="C1638" s="16" t="s">
        <v>3254</v>
      </c>
      <c r="D1638" s="17"/>
      <c r="E1638" s="17" t="s">
        <v>608</v>
      </c>
      <c r="F1638" s="18" t="s">
        <v>1938</v>
      </c>
      <c r="G1638" s="49" t="s">
        <v>3220</v>
      </c>
      <c r="H1638" s="17">
        <v>8</v>
      </c>
      <c r="O1638" s="62" t="str">
        <f>IF(E1638="PA",IF(K1638&lt;&gt;"",ISERROR(VLOOKUP(K1638,ABBR!A:D,1,FALSE)),ISERROR(VLOOKUP(C1638,ABBR!A:D,1,FALSE))),"")</f>
        <v/>
      </c>
      <c r="P1638" t="str">
        <f>VLOOKUP(A1638,Groups!A:L,5,FALSE)</f>
        <v>LOCA</v>
      </c>
      <c r="Q1638" s="62" t="str">
        <f>IF(G1638="PA",IF(M1638&lt;&gt;"",ISERROR(VLOOKUP(M1638,ABBR!C:F,1,FALSE)),ISERROR(VLOOKUP(E1638,ABBR!C:F,1,FALSE))),"")</f>
        <v/>
      </c>
    </row>
    <row r="1639" spans="1:17" ht="62.5" hidden="1" x14ac:dyDescent="0.25">
      <c r="A1639" s="16" t="s">
        <v>235</v>
      </c>
      <c r="B1639" s="17"/>
      <c r="C1639" s="16" t="s">
        <v>3255</v>
      </c>
      <c r="D1639" s="17"/>
      <c r="E1639" s="17" t="s">
        <v>608</v>
      </c>
      <c r="F1639" s="18" t="s">
        <v>3256</v>
      </c>
      <c r="G1639" s="49" t="s">
        <v>3257</v>
      </c>
      <c r="H1639" s="17">
        <v>9</v>
      </c>
      <c r="O1639" s="62" t="str">
        <f>IF(E1639="PA",IF(K1639&lt;&gt;"",ISERROR(VLOOKUP(K1639,ABBR!A:D,1,FALSE)),ISERROR(VLOOKUP(C1639,ABBR!A:D,1,FALSE))),"")</f>
        <v/>
      </c>
      <c r="P1639" t="str">
        <f>VLOOKUP(A1639,Groups!A:L,5,FALSE)</f>
        <v>LOCA</v>
      </c>
      <c r="Q1639" s="62" t="str">
        <f>IF(G1639="PA",IF(M1639&lt;&gt;"",ISERROR(VLOOKUP(M1639,ABBR!C:F,1,FALSE)),ISERROR(VLOOKUP(E1639,ABBR!C:F,1,FALSE))),"")</f>
        <v/>
      </c>
    </row>
    <row r="1640" spans="1:17" ht="25" hidden="1" x14ac:dyDescent="0.25">
      <c r="A1640" s="16" t="s">
        <v>235</v>
      </c>
      <c r="B1640" s="17"/>
      <c r="C1640" s="16" t="s">
        <v>3258</v>
      </c>
      <c r="D1640" s="17"/>
      <c r="E1640" s="17" t="s">
        <v>608</v>
      </c>
      <c r="F1640" s="18" t="s">
        <v>1943</v>
      </c>
      <c r="G1640" s="49" t="s">
        <v>1944</v>
      </c>
      <c r="H1640" s="17">
        <v>10</v>
      </c>
      <c r="O1640" s="62" t="str">
        <f>IF(E1640="PA",IF(K1640&lt;&gt;"",ISERROR(VLOOKUP(K1640,ABBR!A:D,1,FALSE)),ISERROR(VLOOKUP(C1640,ABBR!A:D,1,FALSE))),"")</f>
        <v/>
      </c>
      <c r="P1640" t="str">
        <f>VLOOKUP(A1640,Groups!A:L,5,FALSE)</f>
        <v>LOCA</v>
      </c>
      <c r="Q1640" s="62" t="str">
        <f>IF(G1640="PA",IF(M1640&lt;&gt;"",ISERROR(VLOOKUP(M1640,ABBR!C:F,1,FALSE)),ISERROR(VLOOKUP(E1640,ABBR!C:F,1,FALSE))),"")</f>
        <v/>
      </c>
    </row>
    <row r="1641" spans="1:17" ht="25" hidden="1" x14ac:dyDescent="0.25">
      <c r="A1641" s="16" t="s">
        <v>235</v>
      </c>
      <c r="B1641" s="17"/>
      <c r="C1641" s="16" t="s">
        <v>3259</v>
      </c>
      <c r="D1641" s="17"/>
      <c r="E1641" s="17" t="s">
        <v>608</v>
      </c>
      <c r="F1641" s="18" t="s">
        <v>934</v>
      </c>
      <c r="G1641" s="49" t="s">
        <v>953</v>
      </c>
      <c r="H1641" s="17">
        <v>11</v>
      </c>
      <c r="O1641" s="62" t="str">
        <f>IF(E1641="PA",IF(K1641&lt;&gt;"",ISERROR(VLOOKUP(K1641,ABBR!A:D,1,FALSE)),ISERROR(VLOOKUP(C1641,ABBR!A:D,1,FALSE))),"")</f>
        <v/>
      </c>
      <c r="P1641" t="str">
        <f>VLOOKUP(A1641,Groups!A:L,5,FALSE)</f>
        <v>LOCA</v>
      </c>
      <c r="Q1641" s="62" t="str">
        <f>IF(G1641="PA",IF(M1641&lt;&gt;"",ISERROR(VLOOKUP(M1641,ABBR!C:F,1,FALSE)),ISERROR(VLOOKUP(E1641,ABBR!C:F,1,FALSE))),"")</f>
        <v/>
      </c>
    </row>
    <row r="1642" spans="1:17" hidden="1" x14ac:dyDescent="0.25">
      <c r="A1642" s="16" t="s">
        <v>235</v>
      </c>
      <c r="B1642" s="17"/>
      <c r="C1642" s="16" t="s">
        <v>936</v>
      </c>
      <c r="D1642" s="17"/>
      <c r="E1642" s="22" t="s">
        <v>608</v>
      </c>
      <c r="F1642" s="18" t="s">
        <v>937</v>
      </c>
      <c r="G1642" s="49" t="s">
        <v>938</v>
      </c>
      <c r="H1642" s="17">
        <v>12</v>
      </c>
      <c r="O1642" s="62" t="str">
        <f>IF(E1642="PA",IF(K1642&lt;&gt;"",ISERROR(VLOOKUP(K1642,ABBR!A:D,1,FALSE)),ISERROR(VLOOKUP(C1642,ABBR!A:D,1,FALSE))),"")</f>
        <v/>
      </c>
      <c r="P1642" t="str">
        <f>VLOOKUP(A1642,Groups!A:L,5,FALSE)</f>
        <v>LOCA</v>
      </c>
      <c r="Q1642" s="62" t="str">
        <f>IF(G1642="PA",IF(M1642&lt;&gt;"",ISERROR(VLOOKUP(M1642,ABBR!C:F,1,FALSE)),ISERROR(VLOOKUP(E1642,ABBR!C:F,1,FALSE))),"")</f>
        <v/>
      </c>
    </row>
    <row r="1643" spans="1:17" hidden="1" x14ac:dyDescent="0.25">
      <c r="A1643" s="16" t="s">
        <v>235</v>
      </c>
      <c r="B1643" s="17"/>
      <c r="C1643" s="16" t="s">
        <v>629</v>
      </c>
      <c r="D1643" s="17"/>
      <c r="E1643" s="17" t="s">
        <v>608</v>
      </c>
      <c r="F1643" s="18" t="s">
        <v>630</v>
      </c>
      <c r="G1643" s="49" t="s">
        <v>631</v>
      </c>
      <c r="H1643" s="17">
        <v>13</v>
      </c>
      <c r="O1643" s="62" t="str">
        <f>IF(E1643="PA",IF(K1643&lt;&gt;"",ISERROR(VLOOKUP(K1643,ABBR!A:D,1,FALSE)),ISERROR(VLOOKUP(C1643,ABBR!A:D,1,FALSE))),"")</f>
        <v/>
      </c>
      <c r="P1643" t="str">
        <f>VLOOKUP(A1643,Groups!A:L,5,FALSE)</f>
        <v>LOCA</v>
      </c>
      <c r="Q1643" s="62" t="str">
        <f>IF(G1643="PA",IF(M1643&lt;&gt;"",ISERROR(VLOOKUP(M1643,ABBR!C:F,1,FALSE)),ISERROR(VLOOKUP(E1643,ABBR!C:F,1,FALSE))),"")</f>
        <v/>
      </c>
    </row>
    <row r="1644" spans="1:17" hidden="1" x14ac:dyDescent="0.25">
      <c r="A1644" s="16" t="s">
        <v>235</v>
      </c>
      <c r="B1644" s="17"/>
      <c r="C1644" s="16" t="s">
        <v>643</v>
      </c>
      <c r="D1644" s="17"/>
      <c r="E1644" s="17" t="s">
        <v>608</v>
      </c>
      <c r="F1644" s="18" t="s">
        <v>954</v>
      </c>
      <c r="G1644" s="49" t="s">
        <v>3222</v>
      </c>
      <c r="H1644" s="17">
        <v>14</v>
      </c>
      <c r="O1644" s="62" t="str">
        <f>IF(E1644="PA",IF(K1644&lt;&gt;"",ISERROR(VLOOKUP(K1644,ABBR!A:D,1,FALSE)),ISERROR(VLOOKUP(C1644,ABBR!A:D,1,FALSE))),"")</f>
        <v/>
      </c>
      <c r="P1644" t="str">
        <f>VLOOKUP(A1644,Groups!A:L,5,FALSE)</f>
        <v>LOCA</v>
      </c>
      <c r="Q1644" s="62" t="str">
        <f>IF(G1644="PA",IF(M1644&lt;&gt;"",ISERROR(VLOOKUP(M1644,ABBR!C:F,1,FALSE)),ISERROR(VLOOKUP(E1644,ABBR!C:F,1,FALSE))),"")</f>
        <v/>
      </c>
    </row>
    <row r="1645" spans="1:17" hidden="1" x14ac:dyDescent="0.25">
      <c r="A1645" s="16" t="s">
        <v>235</v>
      </c>
      <c r="B1645" s="17"/>
      <c r="C1645" s="9" t="s">
        <v>3260</v>
      </c>
      <c r="D1645" s="46"/>
      <c r="E1645" s="46" t="s">
        <v>608</v>
      </c>
      <c r="F1645" s="93" t="s">
        <v>1952</v>
      </c>
      <c r="G1645" s="179" t="s">
        <v>876</v>
      </c>
      <c r="H1645" s="46">
        <v>15</v>
      </c>
      <c r="I1645" s="180"/>
      <c r="J1645" s="62" t="s">
        <v>473</v>
      </c>
      <c r="O1645" s="62" t="str">
        <f>IF(E1645="PA",IF(K1645&lt;&gt;"",ISERROR(VLOOKUP(K1645,ABBR!A:D,1,FALSE)),ISERROR(VLOOKUP(C1645,ABBR!A:D,1,FALSE))),"")</f>
        <v/>
      </c>
      <c r="P1645" t="str">
        <f>VLOOKUP(A1645,Groups!A:L,5,FALSE)</f>
        <v>LOCA</v>
      </c>
      <c r="Q1645" s="62" t="str">
        <f>IF(G1645="PA",IF(M1645&lt;&gt;"",ISERROR(VLOOKUP(M1645,ABBR!C:F,1,FALSE)),ISERROR(VLOOKUP(E1645,ABBR!C:F,1,FALSE))),"")</f>
        <v/>
      </c>
    </row>
    <row r="1646" spans="1:17" hidden="1" x14ac:dyDescent="0.25">
      <c r="A1646" s="16" t="s">
        <v>577</v>
      </c>
      <c r="B1646" s="17" t="s">
        <v>594</v>
      </c>
      <c r="C1646" s="16" t="s">
        <v>595</v>
      </c>
      <c r="D1646" s="17"/>
      <c r="E1646" s="17" t="s">
        <v>596</v>
      </c>
      <c r="F1646" s="18" t="s">
        <v>597</v>
      </c>
      <c r="G1646" s="49" t="s">
        <v>598</v>
      </c>
      <c r="H1646" s="17">
        <v>1</v>
      </c>
      <c r="J1646" s="62" t="s">
        <v>473</v>
      </c>
      <c r="O1646" s="62" t="str">
        <f>IF(E1646="PA",IF(K1646&lt;&gt;"",ISERROR(VLOOKUP(K1646,ABBR!A:D,1,FALSE)),ISERROR(VLOOKUP(C1646,ABBR!A:D,1,FALSE))),"")</f>
        <v/>
      </c>
      <c r="P1646" t="str">
        <f>VLOOKUP(A1646,Groups!A:L,5,FALSE)</f>
        <v>LOCA</v>
      </c>
      <c r="Q1646" s="62" t="str">
        <f>IF(G1646="PA",IF(M1646&lt;&gt;"",ISERROR(VLOOKUP(M1646,ABBR!C:F,1,FALSE)),ISERROR(VLOOKUP(E1646,ABBR!C:F,1,FALSE))),"")</f>
        <v/>
      </c>
    </row>
    <row r="1647" spans="1:17" hidden="1" x14ac:dyDescent="0.25">
      <c r="A1647" s="16" t="s">
        <v>577</v>
      </c>
      <c r="B1647" s="17" t="s">
        <v>594</v>
      </c>
      <c r="C1647" s="16" t="s">
        <v>3261</v>
      </c>
      <c r="D1647" s="17" t="s">
        <v>600</v>
      </c>
      <c r="E1647" s="17" t="s">
        <v>601</v>
      </c>
      <c r="F1647" s="18" t="s">
        <v>3262</v>
      </c>
      <c r="G1647" s="49" t="s">
        <v>853</v>
      </c>
      <c r="H1647" s="17">
        <v>2</v>
      </c>
      <c r="J1647" s="62" t="s">
        <v>473</v>
      </c>
      <c r="O1647" s="62" t="str">
        <f>IF(E1647="PA",IF(K1647&lt;&gt;"",ISERROR(VLOOKUP(K1647,ABBR!A:D,1,FALSE)),ISERROR(VLOOKUP(C1647,ABBR!A:D,1,FALSE))),"")</f>
        <v/>
      </c>
      <c r="P1647" t="str">
        <f>VLOOKUP(A1647,Groups!A:L,5,FALSE)</f>
        <v>LOCA</v>
      </c>
      <c r="Q1647" s="62" t="str">
        <f>IF(G1647="PA",IF(M1647&lt;&gt;"",ISERROR(VLOOKUP(M1647,ABBR!C:F,1,FALSE)),ISERROR(VLOOKUP(E1647,ABBR!C:F,1,FALSE))),"")</f>
        <v/>
      </c>
    </row>
    <row r="1648" spans="1:17" hidden="1" x14ac:dyDescent="0.25">
      <c r="A1648" s="16" t="s">
        <v>577</v>
      </c>
      <c r="B1648" s="17" t="s">
        <v>594</v>
      </c>
      <c r="C1648" s="16" t="s">
        <v>3263</v>
      </c>
      <c r="D1648" s="17"/>
      <c r="E1648" s="17" t="s">
        <v>608</v>
      </c>
      <c r="F1648" s="20" t="s">
        <v>1323</v>
      </c>
      <c r="G1648" s="49" t="s">
        <v>941</v>
      </c>
      <c r="H1648" s="17">
        <f t="shared" ref="H1648:H1665" si="7">H1647+1</f>
        <v>3</v>
      </c>
      <c r="J1648" s="62" t="s">
        <v>473</v>
      </c>
      <c r="O1648" s="62" t="str">
        <f>IF(E1648="PA",IF(K1648&lt;&gt;"",ISERROR(VLOOKUP(K1648,ABBR!A:D,1,FALSE)),ISERROR(VLOOKUP(C1648,ABBR!A:D,1,FALSE))),"")</f>
        <v/>
      </c>
      <c r="P1648" t="str">
        <f>VLOOKUP(A1648,Groups!A:L,5,FALSE)</f>
        <v>LOCA</v>
      </c>
      <c r="Q1648" s="62" t="str">
        <f>IF(G1648="PA",IF(M1648&lt;&gt;"",ISERROR(VLOOKUP(M1648,ABBR!C:F,1,FALSE)),ISERROR(VLOOKUP(E1648,ABBR!C:F,1,FALSE))),"")</f>
        <v/>
      </c>
    </row>
    <row r="1649" spans="1:17" hidden="1" x14ac:dyDescent="0.25">
      <c r="A1649" s="16" t="s">
        <v>577</v>
      </c>
      <c r="B1649" s="17"/>
      <c r="C1649" s="16" t="s">
        <v>3264</v>
      </c>
      <c r="D1649" s="17"/>
      <c r="E1649" s="17" t="s">
        <v>608</v>
      </c>
      <c r="F1649" s="18" t="s">
        <v>869</v>
      </c>
      <c r="G1649" s="51" t="s">
        <v>3265</v>
      </c>
      <c r="H1649" s="17">
        <f t="shared" si="7"/>
        <v>4</v>
      </c>
      <c r="J1649" s="62" t="s">
        <v>473</v>
      </c>
      <c r="O1649" s="62" t="str">
        <f>IF(E1649="PA",IF(K1649&lt;&gt;"",ISERROR(VLOOKUP(K1649,ABBR!A:D,1,FALSE)),ISERROR(VLOOKUP(C1649,ABBR!A:D,1,FALSE))),"")</f>
        <v/>
      </c>
      <c r="P1649" t="str">
        <f>VLOOKUP(A1649,Groups!A:L,5,FALSE)</f>
        <v>LOCA</v>
      </c>
      <c r="Q1649" s="62" t="str">
        <f>IF(G1649="PA",IF(M1649&lt;&gt;"",ISERROR(VLOOKUP(M1649,ABBR!C:F,1,FALSE)),ISERROR(VLOOKUP(E1649,ABBR!C:F,1,FALSE))),"")</f>
        <v/>
      </c>
    </row>
    <row r="1650" spans="1:17" ht="25" hidden="1" x14ac:dyDescent="0.25">
      <c r="A1650" s="16" t="s">
        <v>577</v>
      </c>
      <c r="B1650" s="17"/>
      <c r="C1650" s="16" t="s">
        <v>3266</v>
      </c>
      <c r="D1650" s="17"/>
      <c r="E1650" s="17" t="s">
        <v>608</v>
      </c>
      <c r="F1650" s="18" t="s">
        <v>872</v>
      </c>
      <c r="G1650" s="49" t="s">
        <v>873</v>
      </c>
      <c r="H1650" s="17">
        <f t="shared" si="7"/>
        <v>5</v>
      </c>
      <c r="J1650" s="62" t="s">
        <v>473</v>
      </c>
      <c r="O1650" s="62" t="str">
        <f>IF(E1650="PA",IF(K1650&lt;&gt;"",ISERROR(VLOOKUP(K1650,ABBR!A:D,1,FALSE)),ISERROR(VLOOKUP(C1650,ABBR!A:D,1,FALSE))),"")</f>
        <v/>
      </c>
      <c r="P1650" t="str">
        <f>VLOOKUP(A1650,Groups!A:L,5,FALSE)</f>
        <v>LOCA</v>
      </c>
      <c r="Q1650" s="62" t="str">
        <f>IF(G1650="PA",IF(M1650&lt;&gt;"",ISERROR(VLOOKUP(M1650,ABBR!C:F,1,FALSE)),ISERROR(VLOOKUP(E1650,ABBR!C:F,1,FALSE))),"")</f>
        <v/>
      </c>
    </row>
    <row r="1651" spans="1:17" hidden="1" x14ac:dyDescent="0.25">
      <c r="A1651" s="16" t="s">
        <v>577</v>
      </c>
      <c r="B1651" s="17"/>
      <c r="C1651" s="16" t="s">
        <v>3267</v>
      </c>
      <c r="D1651" s="17"/>
      <c r="E1651" s="17" t="s">
        <v>618</v>
      </c>
      <c r="F1651" s="18" t="s">
        <v>3268</v>
      </c>
      <c r="G1651" s="49" t="s">
        <v>3269</v>
      </c>
      <c r="H1651" s="17">
        <f t="shared" si="7"/>
        <v>6</v>
      </c>
      <c r="J1651" s="62" t="s">
        <v>473</v>
      </c>
      <c r="K1651" s="62"/>
      <c r="L1651" s="62"/>
      <c r="M1651" s="62"/>
      <c r="N1651" s="62"/>
      <c r="O1651" s="62" t="b">
        <f>IF(E1651="PA",IF(K1651&lt;&gt;"",ISERROR(VLOOKUP(K1651,ABBR!A:D,1,FALSE)),ISERROR(VLOOKUP(C1651,ABBR!A:D,1,FALSE))),"")</f>
        <v>0</v>
      </c>
      <c r="P1651" t="str">
        <f>VLOOKUP(A1651,Groups!A:L,5,FALSE)</f>
        <v>LOCA</v>
      </c>
      <c r="Q1651" s="62" t="str">
        <f>IF(G1651="PA",IF(M1651&lt;&gt;"",ISERROR(VLOOKUP(M1651,ABBR!C:F,1,FALSE)),ISERROR(VLOOKUP(E1651,ABBR!C:F,1,FALSE))),"")</f>
        <v/>
      </c>
    </row>
    <row r="1652" spans="1:17" hidden="1" x14ac:dyDescent="0.25">
      <c r="A1652" s="16" t="s">
        <v>577</v>
      </c>
      <c r="B1652" s="17"/>
      <c r="C1652" s="16" t="s">
        <v>3270</v>
      </c>
      <c r="D1652" s="17"/>
      <c r="E1652" s="17" t="s">
        <v>618</v>
      </c>
      <c r="F1652" s="18" t="s">
        <v>3271</v>
      </c>
      <c r="G1652" s="49" t="s">
        <v>3272</v>
      </c>
      <c r="H1652" s="17">
        <f t="shared" si="7"/>
        <v>7</v>
      </c>
      <c r="J1652" s="62" t="s">
        <v>473</v>
      </c>
      <c r="O1652" s="62" t="b">
        <f>IF(E1652="PA",IF(K1652&lt;&gt;"",ISERROR(VLOOKUP(K1652,ABBR!A:D,1,FALSE)),ISERROR(VLOOKUP(C1652,ABBR!A:D,1,FALSE))),"")</f>
        <v>0</v>
      </c>
      <c r="P1652" t="str">
        <f>VLOOKUP(A1652,Groups!A:L,5,FALSE)</f>
        <v>LOCA</v>
      </c>
      <c r="Q1652" s="62" t="str">
        <f>IF(G1652="PA",IF(M1652&lt;&gt;"",ISERROR(VLOOKUP(M1652,ABBR!C:F,1,FALSE)),ISERROR(VLOOKUP(E1652,ABBR!C:F,1,FALSE))),"")</f>
        <v/>
      </c>
    </row>
    <row r="1653" spans="1:17" hidden="1" x14ac:dyDescent="0.25">
      <c r="A1653" s="16" t="s">
        <v>577</v>
      </c>
      <c r="B1653" s="17"/>
      <c r="C1653" s="16" t="s">
        <v>3273</v>
      </c>
      <c r="D1653" s="17" t="s">
        <v>1710</v>
      </c>
      <c r="E1653" s="17" t="s">
        <v>882</v>
      </c>
      <c r="F1653" s="18" t="s">
        <v>3274</v>
      </c>
      <c r="G1653" s="49" t="s">
        <v>3275</v>
      </c>
      <c r="H1653" s="17">
        <f t="shared" si="7"/>
        <v>8</v>
      </c>
      <c r="J1653" s="62" t="s">
        <v>473</v>
      </c>
      <c r="O1653" s="62" t="str">
        <f>IF(E1653="PA",IF(K1653&lt;&gt;"",ISERROR(VLOOKUP(K1653,ABBR!A:D,1,FALSE)),ISERROR(VLOOKUP(C1653,ABBR!A:D,1,FALSE))),"")</f>
        <v/>
      </c>
      <c r="P1653" t="str">
        <f>VLOOKUP(A1653,Groups!A:L,5,FALSE)</f>
        <v>LOCA</v>
      </c>
      <c r="Q1653" s="62" t="str">
        <f>IF(G1653="PA",IF(M1653&lt;&gt;"",ISERROR(VLOOKUP(M1653,ABBR!C:F,1,FALSE)),ISERROR(VLOOKUP(E1653,ABBR!C:F,1,FALSE))),"")</f>
        <v/>
      </c>
    </row>
    <row r="1654" spans="1:17" hidden="1" x14ac:dyDescent="0.25">
      <c r="A1654" s="16" t="s">
        <v>577</v>
      </c>
      <c r="B1654" s="17"/>
      <c r="C1654" s="16" t="s">
        <v>3276</v>
      </c>
      <c r="D1654" s="17" t="s">
        <v>1710</v>
      </c>
      <c r="E1654" s="17" t="s">
        <v>882</v>
      </c>
      <c r="F1654" s="18" t="s">
        <v>3277</v>
      </c>
      <c r="G1654" s="49" t="s">
        <v>3098</v>
      </c>
      <c r="H1654" s="17">
        <f t="shared" si="7"/>
        <v>9</v>
      </c>
      <c r="J1654" s="62" t="s">
        <v>473</v>
      </c>
      <c r="O1654" s="62" t="str">
        <f>IF(E1654="PA",IF(K1654&lt;&gt;"",ISERROR(VLOOKUP(K1654,ABBR!A:D,1,FALSE)),ISERROR(VLOOKUP(C1654,ABBR!A:D,1,FALSE))),"")</f>
        <v/>
      </c>
      <c r="P1654" t="str">
        <f>VLOOKUP(A1654,Groups!A:L,5,FALSE)</f>
        <v>LOCA</v>
      </c>
      <c r="Q1654" s="62" t="str">
        <f>IF(G1654="PA",IF(M1654&lt;&gt;"",ISERROR(VLOOKUP(M1654,ABBR!C:F,1,FALSE)),ISERROR(VLOOKUP(E1654,ABBR!C:F,1,FALSE))),"")</f>
        <v/>
      </c>
    </row>
    <row r="1655" spans="1:17" hidden="1" x14ac:dyDescent="0.25">
      <c r="A1655" s="16" t="s">
        <v>577</v>
      </c>
      <c r="B1655" s="17"/>
      <c r="C1655" s="16" t="s">
        <v>3278</v>
      </c>
      <c r="D1655" s="17"/>
      <c r="E1655" s="17" t="s">
        <v>767</v>
      </c>
      <c r="F1655" s="18" t="s">
        <v>3279</v>
      </c>
      <c r="G1655" s="49" t="s">
        <v>897</v>
      </c>
      <c r="H1655" s="17">
        <f t="shared" si="7"/>
        <v>10</v>
      </c>
      <c r="J1655" s="62" t="s">
        <v>473</v>
      </c>
      <c r="O1655" s="62" t="str">
        <f>IF(E1655="PA",IF(K1655&lt;&gt;"",ISERROR(VLOOKUP(K1655,ABBR!A:D,1,FALSE)),ISERROR(VLOOKUP(C1655,ABBR!A:D,1,FALSE))),"")</f>
        <v/>
      </c>
      <c r="P1655" t="str">
        <f>VLOOKUP(A1655,Groups!A:L,5,FALSE)</f>
        <v>LOCA</v>
      </c>
      <c r="Q1655" s="62" t="str">
        <f>IF(G1655="PA",IF(M1655&lt;&gt;"",ISERROR(VLOOKUP(M1655,ABBR!C:F,1,FALSE)),ISERROR(VLOOKUP(E1655,ABBR!C:F,1,FALSE))),"")</f>
        <v/>
      </c>
    </row>
    <row r="1656" spans="1:17" hidden="1" x14ac:dyDescent="0.25">
      <c r="A1656" s="16" t="s">
        <v>577</v>
      </c>
      <c r="B1656" s="17"/>
      <c r="C1656" s="16" t="s">
        <v>3280</v>
      </c>
      <c r="D1656" s="17"/>
      <c r="E1656" s="17" t="s">
        <v>608</v>
      </c>
      <c r="F1656" s="18" t="s">
        <v>642</v>
      </c>
      <c r="G1656" s="49" t="s">
        <v>3281</v>
      </c>
      <c r="H1656" s="17">
        <f t="shared" si="7"/>
        <v>11</v>
      </c>
      <c r="J1656" s="62" t="s">
        <v>473</v>
      </c>
      <c r="O1656" s="62" t="str">
        <f>IF(E1656="PA",IF(K1656&lt;&gt;"",ISERROR(VLOOKUP(K1656,ABBR!A:D,1,FALSE)),ISERROR(VLOOKUP(C1656,ABBR!A:D,1,FALSE))),"")</f>
        <v/>
      </c>
      <c r="P1656" t="str">
        <f>VLOOKUP(A1656,Groups!A:L,5,FALSE)</f>
        <v>LOCA</v>
      </c>
      <c r="Q1656" s="62" t="str">
        <f>IF(G1656="PA",IF(M1656&lt;&gt;"",ISERROR(VLOOKUP(M1656,ABBR!C:F,1,FALSE)),ISERROR(VLOOKUP(E1656,ABBR!C:F,1,FALSE))),"")</f>
        <v/>
      </c>
    </row>
    <row r="1657" spans="1:17" ht="87.5" hidden="1" x14ac:dyDescent="0.25">
      <c r="A1657" s="16" t="s">
        <v>577</v>
      </c>
      <c r="B1657" s="17"/>
      <c r="C1657" s="16" t="s">
        <v>3282</v>
      </c>
      <c r="D1657" s="17"/>
      <c r="E1657" s="17" t="s">
        <v>608</v>
      </c>
      <c r="F1657" s="18" t="s">
        <v>918</v>
      </c>
      <c r="G1657" s="49" t="s">
        <v>3283</v>
      </c>
      <c r="H1657" s="17">
        <f t="shared" si="7"/>
        <v>12</v>
      </c>
      <c r="J1657" s="62" t="s">
        <v>473</v>
      </c>
      <c r="O1657" s="62" t="str">
        <f>IF(E1657="PA",IF(K1657&lt;&gt;"",ISERROR(VLOOKUP(K1657,ABBR!A:D,1,FALSE)),ISERROR(VLOOKUP(C1657,ABBR!A:D,1,FALSE))),"")</f>
        <v/>
      </c>
      <c r="P1657" t="str">
        <f>VLOOKUP(A1657,Groups!A:L,5,FALSE)</f>
        <v>LOCA</v>
      </c>
      <c r="Q1657" s="62" t="str">
        <f>IF(G1657="PA",IF(M1657&lt;&gt;"",ISERROR(VLOOKUP(M1657,ABBR!C:F,1,FALSE)),ISERROR(VLOOKUP(E1657,ABBR!C:F,1,FALSE))),"")</f>
        <v/>
      </c>
    </row>
    <row r="1658" spans="1:17" hidden="1" x14ac:dyDescent="0.25">
      <c r="A1658" s="16" t="s">
        <v>577</v>
      </c>
      <c r="B1658" s="17"/>
      <c r="C1658" s="16" t="s">
        <v>3284</v>
      </c>
      <c r="D1658" s="17"/>
      <c r="E1658" s="17" t="s">
        <v>608</v>
      </c>
      <c r="F1658" s="18" t="s">
        <v>921</v>
      </c>
      <c r="G1658" s="94" t="s">
        <v>922</v>
      </c>
      <c r="H1658" s="17">
        <f t="shared" si="7"/>
        <v>13</v>
      </c>
      <c r="J1658" s="62" t="s">
        <v>473</v>
      </c>
      <c r="M1658" s="101"/>
      <c r="O1658" s="62" t="str">
        <f>IF(E1658="PA",IF(K1658&lt;&gt;"",ISERROR(VLOOKUP(K1658,ABBR!A:D,1,FALSE)),ISERROR(VLOOKUP(C1658,ABBR!A:D,1,FALSE))),"")</f>
        <v/>
      </c>
      <c r="P1658" t="str">
        <f>VLOOKUP(A1658,Groups!A:L,5,FALSE)</f>
        <v>LOCA</v>
      </c>
      <c r="Q1658" s="62" t="str">
        <f>IF(G1658="PA",IF(M1658&lt;&gt;"",ISERROR(VLOOKUP(M1658,ABBR!C:F,1,FALSE)),ISERROR(VLOOKUP(E1658,ABBR!C:F,1,FALSE))),"")</f>
        <v/>
      </c>
    </row>
    <row r="1659" spans="1:17" hidden="1" x14ac:dyDescent="0.25">
      <c r="A1659" s="16" t="s">
        <v>577</v>
      </c>
      <c r="B1659" s="17"/>
      <c r="C1659" s="16" t="s">
        <v>3285</v>
      </c>
      <c r="D1659" s="17" t="s">
        <v>924</v>
      </c>
      <c r="E1659" s="17" t="s">
        <v>925</v>
      </c>
      <c r="F1659" s="18" t="s">
        <v>926</v>
      </c>
      <c r="G1659" s="49" t="s">
        <v>927</v>
      </c>
      <c r="H1659" s="17">
        <f t="shared" si="7"/>
        <v>14</v>
      </c>
      <c r="J1659" s="62" t="s">
        <v>473</v>
      </c>
      <c r="K1659" s="62"/>
      <c r="L1659" s="62"/>
      <c r="M1659" s="62"/>
      <c r="N1659" s="62"/>
      <c r="O1659" s="62" t="str">
        <f>IF(E1659="PA",IF(K1659&lt;&gt;"",ISERROR(VLOOKUP(K1659,ABBR!A:D,1,FALSE)),ISERROR(VLOOKUP(C1659,ABBR!A:D,1,FALSE))),"")</f>
        <v/>
      </c>
      <c r="P1659" t="str">
        <f>VLOOKUP(A1659,Groups!A:L,5,FALSE)</f>
        <v>LOCA</v>
      </c>
      <c r="Q1659" s="62" t="str">
        <f>IF(G1659="PA",IF(M1659&lt;&gt;"",ISERROR(VLOOKUP(M1659,ABBR!C:F,1,FALSE)),ISERROR(VLOOKUP(E1659,ABBR!C:F,1,FALSE))),"")</f>
        <v/>
      </c>
    </row>
    <row r="1660" spans="1:17" hidden="1" x14ac:dyDescent="0.25">
      <c r="A1660" s="16" t="s">
        <v>577</v>
      </c>
      <c r="B1660" s="17"/>
      <c r="C1660" s="16" t="s">
        <v>3286</v>
      </c>
      <c r="D1660" s="17"/>
      <c r="E1660" s="17" t="s">
        <v>608</v>
      </c>
      <c r="F1660" s="93" t="s">
        <v>1952</v>
      </c>
      <c r="G1660" s="49" t="s">
        <v>876</v>
      </c>
      <c r="H1660" s="17">
        <f t="shared" si="7"/>
        <v>15</v>
      </c>
      <c r="J1660" s="62" t="s">
        <v>473</v>
      </c>
      <c r="K1660" s="62"/>
      <c r="L1660" s="62"/>
      <c r="M1660" s="62"/>
      <c r="N1660" s="62"/>
      <c r="O1660" s="62" t="str">
        <f>IF(E1660="PA",IF(K1660&lt;&gt;"",ISERROR(VLOOKUP(K1660,ABBR!A:D,1,FALSE)),ISERROR(VLOOKUP(C1660,ABBR!A:D,1,FALSE))),"")</f>
        <v/>
      </c>
      <c r="P1660" t="str">
        <f>VLOOKUP(A1660,Groups!A:L,5,FALSE)</f>
        <v>LOCA</v>
      </c>
      <c r="Q1660" s="62" t="str">
        <f>IF(G1660="PA",IF(M1660&lt;&gt;"",ISERROR(VLOOKUP(M1660,ABBR!C:F,1,FALSE)),ISERROR(VLOOKUP(E1660,ABBR!C:F,1,FALSE))),"")</f>
        <v/>
      </c>
    </row>
    <row r="1661" spans="1:17" hidden="1" x14ac:dyDescent="0.25">
      <c r="A1661" s="16" t="s">
        <v>577</v>
      </c>
      <c r="B1661" s="17"/>
      <c r="C1661" s="16" t="s">
        <v>3287</v>
      </c>
      <c r="D1661" s="17"/>
      <c r="E1661" s="17" t="s">
        <v>608</v>
      </c>
      <c r="F1661" s="45" t="s">
        <v>1943</v>
      </c>
      <c r="G1661" s="27" t="s">
        <v>951</v>
      </c>
      <c r="H1661" s="17">
        <f t="shared" si="7"/>
        <v>16</v>
      </c>
      <c r="J1661" s="62" t="s">
        <v>473</v>
      </c>
      <c r="O1661" s="62" t="str">
        <f>IF(E1661="PA",IF(K1661&lt;&gt;"",ISERROR(VLOOKUP(K1661,ABBR!A:D,1,FALSE)),ISERROR(VLOOKUP(C1661,ABBR!A:D,1,FALSE))),"")</f>
        <v/>
      </c>
      <c r="P1661" t="str">
        <f>VLOOKUP(A1661,Groups!A:L,5,FALSE)</f>
        <v>LOCA</v>
      </c>
      <c r="Q1661" s="62" t="str">
        <f>IF(G1661="PA",IF(M1661&lt;&gt;"",ISERROR(VLOOKUP(M1661,ABBR!C:F,1,FALSE)),ISERROR(VLOOKUP(E1661,ABBR!C:F,1,FALSE))),"")</f>
        <v/>
      </c>
    </row>
    <row r="1662" spans="1:17" ht="25" hidden="1" x14ac:dyDescent="0.25">
      <c r="A1662" s="16" t="s">
        <v>577</v>
      </c>
      <c r="B1662" s="17"/>
      <c r="C1662" s="16" t="s">
        <v>3288</v>
      </c>
      <c r="D1662" s="17"/>
      <c r="E1662" s="17" t="s">
        <v>608</v>
      </c>
      <c r="F1662" s="18" t="s">
        <v>934</v>
      </c>
      <c r="G1662" s="49" t="s">
        <v>953</v>
      </c>
      <c r="H1662" s="17">
        <f t="shared" si="7"/>
        <v>17</v>
      </c>
      <c r="J1662" s="62" t="s">
        <v>473</v>
      </c>
      <c r="O1662" s="62" t="str">
        <f>IF(E1662="PA",IF(K1662&lt;&gt;"",ISERROR(VLOOKUP(K1662,ABBR!A:D,1,FALSE)),ISERROR(VLOOKUP(C1662,ABBR!A:D,1,FALSE))),"")</f>
        <v/>
      </c>
      <c r="P1662" t="str">
        <f>VLOOKUP(A1662,Groups!A:L,5,FALSE)</f>
        <v>LOCA</v>
      </c>
      <c r="Q1662" s="62" t="str">
        <f>IF(G1662="PA",IF(M1662&lt;&gt;"",ISERROR(VLOOKUP(M1662,ABBR!C:F,1,FALSE)),ISERROR(VLOOKUP(E1662,ABBR!C:F,1,FALSE))),"")</f>
        <v/>
      </c>
    </row>
    <row r="1663" spans="1:17" hidden="1" x14ac:dyDescent="0.25">
      <c r="A1663" s="16" t="s">
        <v>577</v>
      </c>
      <c r="B1663" s="17"/>
      <c r="C1663" s="16" t="s">
        <v>936</v>
      </c>
      <c r="D1663" s="17"/>
      <c r="E1663" s="22" t="s">
        <v>608</v>
      </c>
      <c r="F1663" s="18" t="s">
        <v>937</v>
      </c>
      <c r="G1663" s="49" t="s">
        <v>938</v>
      </c>
      <c r="H1663" s="17">
        <f t="shared" si="7"/>
        <v>18</v>
      </c>
      <c r="J1663" s="62" t="s">
        <v>473</v>
      </c>
      <c r="O1663" s="62" t="str">
        <f>IF(E1663="PA",IF(K1663&lt;&gt;"",ISERROR(VLOOKUP(K1663,ABBR!A:D,1,FALSE)),ISERROR(VLOOKUP(C1663,ABBR!A:D,1,FALSE))),"")</f>
        <v/>
      </c>
      <c r="P1663" t="str">
        <f>VLOOKUP(A1663,Groups!A:L,5,FALSE)</f>
        <v>LOCA</v>
      </c>
      <c r="Q1663" s="62" t="str">
        <f>IF(G1663="PA",IF(M1663&lt;&gt;"",ISERROR(VLOOKUP(M1663,ABBR!C:F,1,FALSE)),ISERROR(VLOOKUP(E1663,ABBR!C:F,1,FALSE))),"")</f>
        <v/>
      </c>
    </row>
    <row r="1664" spans="1:17" hidden="1" x14ac:dyDescent="0.25">
      <c r="A1664" s="16" t="s">
        <v>577</v>
      </c>
      <c r="B1664" s="17"/>
      <c r="C1664" s="16" t="s">
        <v>629</v>
      </c>
      <c r="D1664" s="17"/>
      <c r="E1664" s="17" t="s">
        <v>608</v>
      </c>
      <c r="F1664" s="18" t="s">
        <v>630</v>
      </c>
      <c r="G1664" s="49" t="s">
        <v>631</v>
      </c>
      <c r="H1664" s="17">
        <f t="shared" si="7"/>
        <v>19</v>
      </c>
      <c r="J1664" s="62" t="s">
        <v>473</v>
      </c>
      <c r="O1664" s="62" t="str">
        <f>IF(E1664="PA",IF(K1664&lt;&gt;"",ISERROR(VLOOKUP(K1664,ABBR!A:D,1,FALSE)),ISERROR(VLOOKUP(C1664,ABBR!A:D,1,FALSE))),"")</f>
        <v/>
      </c>
      <c r="P1664" t="str">
        <f>VLOOKUP(A1664,Groups!A:L,5,FALSE)</f>
        <v>LOCA</v>
      </c>
      <c r="Q1664" s="62" t="str">
        <f>IF(G1664="PA",IF(M1664&lt;&gt;"",ISERROR(VLOOKUP(M1664,ABBR!C:F,1,FALSE)),ISERROR(VLOOKUP(E1664,ABBR!C:F,1,FALSE))),"")</f>
        <v/>
      </c>
    </row>
    <row r="1665" spans="1:17" hidden="1" x14ac:dyDescent="0.25">
      <c r="A1665" s="16" t="s">
        <v>577</v>
      </c>
      <c r="B1665" s="17"/>
      <c r="C1665" s="16" t="s">
        <v>643</v>
      </c>
      <c r="D1665" s="17"/>
      <c r="E1665" s="17" t="s">
        <v>608</v>
      </c>
      <c r="F1665" s="18" t="s">
        <v>954</v>
      </c>
      <c r="G1665" s="49" t="s">
        <v>940</v>
      </c>
      <c r="H1665" s="17">
        <f t="shared" si="7"/>
        <v>20</v>
      </c>
      <c r="J1665" s="62" t="s">
        <v>473</v>
      </c>
      <c r="O1665" s="62" t="str">
        <f>IF(E1665="PA",IF(K1665&lt;&gt;"",ISERROR(VLOOKUP(K1665,ABBR!A:D,1,FALSE)),ISERROR(VLOOKUP(C1665,ABBR!A:D,1,FALSE))),"")</f>
        <v/>
      </c>
      <c r="P1665" t="str">
        <f>VLOOKUP(A1665,Groups!A:L,5,FALSE)</f>
        <v>LOCA</v>
      </c>
      <c r="Q1665" s="62" t="str">
        <f>IF(G1665="PA",IF(M1665&lt;&gt;"",ISERROR(VLOOKUP(M1665,ABBR!C:F,1,FALSE)),ISERROR(VLOOKUP(E1665,ABBR!C:F,1,FALSE))),"")</f>
        <v/>
      </c>
    </row>
    <row r="1666" spans="1:17" hidden="1" x14ac:dyDescent="0.25">
      <c r="A1666" s="16" t="s">
        <v>239</v>
      </c>
      <c r="B1666" s="17" t="s">
        <v>594</v>
      </c>
      <c r="C1666" s="16" t="s">
        <v>595</v>
      </c>
      <c r="D1666" s="17"/>
      <c r="E1666" s="17" t="s">
        <v>596</v>
      </c>
      <c r="F1666" s="18" t="s">
        <v>597</v>
      </c>
      <c r="G1666" s="49" t="s">
        <v>598</v>
      </c>
      <c r="H1666" s="17">
        <v>1</v>
      </c>
      <c r="O1666" s="62" t="str">
        <f>IF(E1666="PA",IF(K1666&lt;&gt;"",ISERROR(VLOOKUP(K1666,ABBR!A:D,1,FALSE)),ISERROR(VLOOKUP(C1666,ABBR!A:D,1,FALSE))),"")</f>
        <v/>
      </c>
      <c r="P1666" t="str">
        <f>VLOOKUP(A1666,Groups!A:L,5,FALSE)</f>
        <v>LOCA</v>
      </c>
      <c r="Q1666" s="62" t="str">
        <f>IF(G1666="PA",IF(M1666&lt;&gt;"",ISERROR(VLOOKUP(M1666,ABBR!C:F,1,FALSE)),ISERROR(VLOOKUP(E1666,ABBR!C:F,1,FALSE))),"")</f>
        <v/>
      </c>
    </row>
    <row r="1667" spans="1:17" hidden="1" x14ac:dyDescent="0.25">
      <c r="A1667" s="16" t="s">
        <v>239</v>
      </c>
      <c r="B1667" s="17" t="s">
        <v>594</v>
      </c>
      <c r="C1667" s="16" t="s">
        <v>3289</v>
      </c>
      <c r="D1667" s="17" t="s">
        <v>600</v>
      </c>
      <c r="E1667" s="17" t="s">
        <v>601</v>
      </c>
      <c r="F1667" s="18" t="s">
        <v>3290</v>
      </c>
      <c r="G1667" s="49" t="s">
        <v>1956</v>
      </c>
      <c r="H1667" s="17">
        <v>2</v>
      </c>
      <c r="O1667" s="62" t="str">
        <f>IF(E1667="PA",IF(K1667&lt;&gt;"",ISERROR(VLOOKUP(K1667,ABBR!A:D,1,FALSE)),ISERROR(VLOOKUP(C1667,ABBR!A:D,1,FALSE))),"")</f>
        <v/>
      </c>
      <c r="P1667" t="str">
        <f>VLOOKUP(A1667,Groups!A:L,5,FALSE)</f>
        <v>LOCA</v>
      </c>
      <c r="Q1667" s="62" t="str">
        <f>IF(G1667="PA",IF(M1667&lt;&gt;"",ISERROR(VLOOKUP(M1667,ABBR!C:F,1,FALSE)),ISERROR(VLOOKUP(E1667,ABBR!C:F,1,FALSE))),"")</f>
        <v/>
      </c>
    </row>
    <row r="1668" spans="1:17" hidden="1" x14ac:dyDescent="0.25">
      <c r="A1668" s="16" t="s">
        <v>239</v>
      </c>
      <c r="B1668" s="17" t="s">
        <v>594</v>
      </c>
      <c r="C1668" s="16" t="s">
        <v>3291</v>
      </c>
      <c r="D1668" s="17"/>
      <c r="E1668" s="17" t="s">
        <v>608</v>
      </c>
      <c r="F1668" s="18" t="s">
        <v>1323</v>
      </c>
      <c r="G1668" s="49" t="s">
        <v>1229</v>
      </c>
      <c r="H1668" s="17">
        <v>3</v>
      </c>
      <c r="O1668" s="62" t="str">
        <f>IF(E1668="PA",IF(K1668&lt;&gt;"",ISERROR(VLOOKUP(K1668,ABBR!A:D,1,FALSE)),ISERROR(VLOOKUP(C1668,ABBR!A:D,1,FALSE))),"")</f>
        <v/>
      </c>
      <c r="P1668" t="str">
        <f>VLOOKUP(A1668,Groups!A:L,5,FALSE)</f>
        <v>LOCA</v>
      </c>
      <c r="Q1668" s="62" t="str">
        <f>IF(G1668="PA",IF(M1668&lt;&gt;"",ISERROR(VLOOKUP(M1668,ABBR!C:F,1,FALSE)),ISERROR(VLOOKUP(E1668,ABBR!C:F,1,FALSE))),"")</f>
        <v/>
      </c>
    </row>
    <row r="1669" spans="1:17" hidden="1" x14ac:dyDescent="0.25">
      <c r="A1669" s="16" t="s">
        <v>239</v>
      </c>
      <c r="B1669" s="17"/>
      <c r="C1669" s="16" t="s">
        <v>3292</v>
      </c>
      <c r="D1669" s="17" t="s">
        <v>924</v>
      </c>
      <c r="E1669" s="17" t="s">
        <v>925</v>
      </c>
      <c r="F1669" s="18" t="s">
        <v>1922</v>
      </c>
      <c r="G1669" s="49" t="s">
        <v>3293</v>
      </c>
      <c r="H1669" s="17">
        <v>4</v>
      </c>
      <c r="O1669" s="62" t="str">
        <f>IF(E1669="PA",IF(K1669&lt;&gt;"",ISERROR(VLOOKUP(K1669,ABBR!A:D,1,FALSE)),ISERROR(VLOOKUP(C1669,ABBR!A:D,1,FALSE))),"")</f>
        <v/>
      </c>
      <c r="P1669" t="str">
        <f>VLOOKUP(A1669,Groups!A:L,5,FALSE)</f>
        <v>LOCA</v>
      </c>
      <c r="Q1669" s="62" t="str">
        <f>IF(G1669="PA",IF(M1669&lt;&gt;"",ISERROR(VLOOKUP(M1669,ABBR!C:F,1,FALSE)),ISERROR(VLOOKUP(E1669,ABBR!C:F,1,FALSE))),"")</f>
        <v/>
      </c>
    </row>
    <row r="1670" spans="1:17" hidden="1" x14ac:dyDescent="0.25">
      <c r="A1670" s="16" t="s">
        <v>239</v>
      </c>
      <c r="B1670" s="17"/>
      <c r="C1670" s="16" t="s">
        <v>3294</v>
      </c>
      <c r="D1670" s="17"/>
      <c r="E1670" s="17" t="s">
        <v>723</v>
      </c>
      <c r="F1670" s="18" t="s">
        <v>3295</v>
      </c>
      <c r="G1670" s="49" t="s">
        <v>3296</v>
      </c>
      <c r="H1670" s="17">
        <v>5</v>
      </c>
      <c r="O1670" s="62" t="str">
        <f>IF(E1670="PA",IF(K1670&lt;&gt;"",ISERROR(VLOOKUP(K1670,ABBR!A:D,1,FALSE)),ISERROR(VLOOKUP(C1670,ABBR!A:D,1,FALSE))),"")</f>
        <v/>
      </c>
      <c r="P1670" t="str">
        <f>VLOOKUP(A1670,Groups!A:L,5,FALSE)</f>
        <v>LOCA</v>
      </c>
      <c r="Q1670" s="62" t="str">
        <f>IF(G1670="PA",IF(M1670&lt;&gt;"",ISERROR(VLOOKUP(M1670,ABBR!C:F,1,FALSE)),ISERROR(VLOOKUP(E1670,ABBR!C:F,1,FALSE))),"")</f>
        <v/>
      </c>
    </row>
    <row r="1671" spans="1:17" hidden="1" x14ac:dyDescent="0.25">
      <c r="A1671" s="16" t="s">
        <v>239</v>
      </c>
      <c r="B1671" s="17"/>
      <c r="C1671" s="16" t="s">
        <v>3297</v>
      </c>
      <c r="D1671" s="17"/>
      <c r="E1671" s="17" t="s">
        <v>767</v>
      </c>
      <c r="F1671" s="16" t="s">
        <v>3298</v>
      </c>
      <c r="G1671" s="49">
        <v>-50</v>
      </c>
      <c r="H1671" s="17">
        <v>6</v>
      </c>
      <c r="O1671" s="62" t="str">
        <f>IF(E1671="PA",IF(K1671&lt;&gt;"",ISERROR(VLOOKUP(K1671,ABBR!A:D,1,FALSE)),ISERROR(VLOOKUP(C1671,ABBR!A:D,1,FALSE))),"")</f>
        <v/>
      </c>
      <c r="P1671" t="str">
        <f>VLOOKUP(A1671,Groups!A:L,5,FALSE)</f>
        <v>LOCA</v>
      </c>
      <c r="Q1671" s="62" t="str">
        <f>IF(G1671="PA",IF(M1671&lt;&gt;"",ISERROR(VLOOKUP(M1671,ABBR!C:F,1,FALSE)),ISERROR(VLOOKUP(E1671,ABBR!C:F,1,FALSE))),"")</f>
        <v/>
      </c>
    </row>
    <row r="1672" spans="1:17" hidden="1" x14ac:dyDescent="0.25">
      <c r="A1672" s="16" t="s">
        <v>239</v>
      </c>
      <c r="B1672" s="17"/>
      <c r="C1672" s="16" t="s">
        <v>3299</v>
      </c>
      <c r="D1672" s="17" t="s">
        <v>3300</v>
      </c>
      <c r="E1672" s="17" t="s">
        <v>767</v>
      </c>
      <c r="F1672" s="16" t="s">
        <v>3301</v>
      </c>
      <c r="G1672" s="49">
        <v>400</v>
      </c>
      <c r="H1672" s="17">
        <v>7</v>
      </c>
      <c r="O1672" s="62" t="str">
        <f>IF(E1672="PA",IF(K1672&lt;&gt;"",ISERROR(VLOOKUP(K1672,ABBR!A:D,1,FALSE)),ISERROR(VLOOKUP(C1672,ABBR!A:D,1,FALSE))),"")</f>
        <v/>
      </c>
      <c r="P1672" t="str">
        <f>VLOOKUP(A1672,Groups!A:L,5,FALSE)</f>
        <v>LOCA</v>
      </c>
      <c r="Q1672" s="62" t="str">
        <f>IF(G1672="PA",IF(M1672&lt;&gt;"",ISERROR(VLOOKUP(M1672,ABBR!C:F,1,FALSE)),ISERROR(VLOOKUP(E1672,ABBR!C:F,1,FALSE))),"")</f>
        <v/>
      </c>
    </row>
    <row r="1673" spans="1:17" hidden="1" x14ac:dyDescent="0.25">
      <c r="A1673" s="16" t="s">
        <v>239</v>
      </c>
      <c r="B1673" s="17"/>
      <c r="C1673" s="16" t="s">
        <v>3302</v>
      </c>
      <c r="D1673" s="17"/>
      <c r="E1673" s="17" t="s">
        <v>608</v>
      </c>
      <c r="F1673" s="18" t="s">
        <v>3303</v>
      </c>
      <c r="G1673" s="49" t="s">
        <v>16</v>
      </c>
      <c r="H1673" s="17">
        <v>8</v>
      </c>
      <c r="M1673" s="101"/>
      <c r="O1673" s="62" t="str">
        <f>IF(E1673="PA",IF(K1673&lt;&gt;"",ISERROR(VLOOKUP(K1673,ABBR!A:D,1,FALSE)),ISERROR(VLOOKUP(C1673,ABBR!A:D,1,FALSE))),"")</f>
        <v/>
      </c>
      <c r="P1673" t="str">
        <f>VLOOKUP(A1673,Groups!A:L,5,FALSE)</f>
        <v>LOCA</v>
      </c>
      <c r="Q1673" s="62" t="str">
        <f>IF(G1673="PA",IF(M1673&lt;&gt;"",ISERROR(VLOOKUP(M1673,ABBR!C:F,1,FALSE)),ISERROR(VLOOKUP(E1673,ABBR!C:F,1,FALSE))),"")</f>
        <v/>
      </c>
    </row>
    <row r="1674" spans="1:17" ht="25" hidden="1" x14ac:dyDescent="0.25">
      <c r="A1674" s="16" t="s">
        <v>239</v>
      </c>
      <c r="B1674" s="17"/>
      <c r="C1674" s="16" t="s">
        <v>3304</v>
      </c>
      <c r="D1674" s="17"/>
      <c r="E1674" s="17" t="s">
        <v>608</v>
      </c>
      <c r="F1674" s="18" t="s">
        <v>1938</v>
      </c>
      <c r="G1674" s="49" t="s">
        <v>3220</v>
      </c>
      <c r="H1674" s="17">
        <v>9</v>
      </c>
      <c r="O1674" s="62" t="str">
        <f>IF(E1674="PA",IF(K1674&lt;&gt;"",ISERROR(VLOOKUP(K1674,ABBR!A:D,1,FALSE)),ISERROR(VLOOKUP(C1674,ABBR!A:D,1,FALSE))),"")</f>
        <v/>
      </c>
      <c r="P1674" t="str">
        <f>VLOOKUP(A1674,Groups!A:L,5,FALSE)</f>
        <v>LOCA</v>
      </c>
      <c r="Q1674" s="62" t="str">
        <f>IF(G1674="PA",IF(M1674&lt;&gt;"",ISERROR(VLOOKUP(M1674,ABBR!C:F,1,FALSE)),ISERROR(VLOOKUP(E1674,ABBR!C:F,1,FALSE))),"")</f>
        <v/>
      </c>
    </row>
    <row r="1675" spans="1:17" hidden="1" x14ac:dyDescent="0.25">
      <c r="A1675" s="16" t="s">
        <v>239</v>
      </c>
      <c r="B1675" s="17"/>
      <c r="C1675" s="16" t="s">
        <v>3305</v>
      </c>
      <c r="D1675" s="17"/>
      <c r="E1675" s="17" t="s">
        <v>608</v>
      </c>
      <c r="F1675" s="18" t="s">
        <v>918</v>
      </c>
      <c r="G1675" s="49"/>
      <c r="H1675" s="17">
        <v>10</v>
      </c>
      <c r="M1675" s="101" t="s">
        <v>1044</v>
      </c>
      <c r="O1675" s="62" t="str">
        <f>IF(E1675="PA",IF(K1675&lt;&gt;"",ISERROR(VLOOKUP(K1675,ABBR!A:D,1,FALSE)),ISERROR(VLOOKUP(C1675,ABBR!A:D,1,FALSE))),"")</f>
        <v/>
      </c>
      <c r="P1675" t="str">
        <f>VLOOKUP(A1675,Groups!A:L,5,FALSE)</f>
        <v>LOCA</v>
      </c>
      <c r="Q1675" s="62" t="str">
        <f>IF(G1675="PA",IF(M1675&lt;&gt;"",ISERROR(VLOOKUP(M1675,ABBR!C:F,1,FALSE)),ISERROR(VLOOKUP(E1675,ABBR!C:F,1,FALSE))),"")</f>
        <v/>
      </c>
    </row>
    <row r="1676" spans="1:17" ht="25" hidden="1" x14ac:dyDescent="0.25">
      <c r="A1676" s="16" t="s">
        <v>239</v>
      </c>
      <c r="B1676" s="17"/>
      <c r="C1676" s="16" t="s">
        <v>3306</v>
      </c>
      <c r="D1676" s="17"/>
      <c r="E1676" s="17" t="s">
        <v>608</v>
      </c>
      <c r="F1676" s="18" t="s">
        <v>1943</v>
      </c>
      <c r="G1676" s="49" t="s">
        <v>1944</v>
      </c>
      <c r="H1676" s="17">
        <v>11</v>
      </c>
      <c r="O1676" s="62" t="str">
        <f>IF(E1676="PA",IF(K1676&lt;&gt;"",ISERROR(VLOOKUP(K1676,ABBR!A:D,1,FALSE)),ISERROR(VLOOKUP(C1676,ABBR!A:D,1,FALSE))),"")</f>
        <v/>
      </c>
      <c r="P1676" t="str">
        <f>VLOOKUP(A1676,Groups!A:L,5,FALSE)</f>
        <v>LOCA</v>
      </c>
      <c r="Q1676" s="62" t="str">
        <f>IF(G1676="PA",IF(M1676&lt;&gt;"",ISERROR(VLOOKUP(M1676,ABBR!C:F,1,FALSE)),ISERROR(VLOOKUP(E1676,ABBR!C:F,1,FALSE))),"")</f>
        <v/>
      </c>
    </row>
    <row r="1677" spans="1:17" ht="25" hidden="1" x14ac:dyDescent="0.25">
      <c r="A1677" s="16" t="s">
        <v>239</v>
      </c>
      <c r="B1677" s="17"/>
      <c r="C1677" s="16" t="s">
        <v>3307</v>
      </c>
      <c r="D1677" s="17"/>
      <c r="E1677" s="17" t="s">
        <v>608</v>
      </c>
      <c r="F1677" s="18" t="s">
        <v>934</v>
      </c>
      <c r="G1677" s="8" t="s">
        <v>953</v>
      </c>
      <c r="H1677" s="17">
        <v>12</v>
      </c>
      <c r="O1677" s="62" t="str">
        <f>IF(E1677="PA",IF(K1677&lt;&gt;"",ISERROR(VLOOKUP(K1677,ABBR!A:D,1,FALSE)),ISERROR(VLOOKUP(C1677,ABBR!A:D,1,FALSE))),"")</f>
        <v/>
      </c>
      <c r="P1677" t="str">
        <f>VLOOKUP(A1677,Groups!A:L,5,FALSE)</f>
        <v>LOCA</v>
      </c>
      <c r="Q1677" s="62" t="str">
        <f>IF(G1677="PA",IF(M1677&lt;&gt;"",ISERROR(VLOOKUP(M1677,ABBR!C:F,1,FALSE)),ISERROR(VLOOKUP(E1677,ABBR!C:F,1,FALSE))),"")</f>
        <v/>
      </c>
    </row>
    <row r="1678" spans="1:17" hidden="1" x14ac:dyDescent="0.25">
      <c r="A1678" s="16" t="s">
        <v>239</v>
      </c>
      <c r="B1678" s="17"/>
      <c r="C1678" s="16" t="s">
        <v>936</v>
      </c>
      <c r="D1678" s="17"/>
      <c r="E1678" s="22" t="s">
        <v>608</v>
      </c>
      <c r="F1678" s="18" t="s">
        <v>937</v>
      </c>
      <c r="G1678" s="49" t="s">
        <v>938</v>
      </c>
      <c r="H1678" s="17">
        <v>13</v>
      </c>
      <c r="O1678" s="62" t="str">
        <f>IF(E1678="PA",IF(K1678&lt;&gt;"",ISERROR(VLOOKUP(K1678,ABBR!A:D,1,FALSE)),ISERROR(VLOOKUP(C1678,ABBR!A:D,1,FALSE))),"")</f>
        <v/>
      </c>
      <c r="P1678" t="str">
        <f>VLOOKUP(A1678,Groups!A:L,5,FALSE)</f>
        <v>LOCA</v>
      </c>
      <c r="Q1678" s="62" t="str">
        <f>IF(G1678="PA",IF(M1678&lt;&gt;"",ISERROR(VLOOKUP(M1678,ABBR!C:F,1,FALSE)),ISERROR(VLOOKUP(E1678,ABBR!C:F,1,FALSE))),"")</f>
        <v/>
      </c>
    </row>
    <row r="1679" spans="1:17" hidden="1" x14ac:dyDescent="0.25">
      <c r="A1679" s="16" t="s">
        <v>239</v>
      </c>
      <c r="B1679" s="17"/>
      <c r="C1679" s="16" t="s">
        <v>629</v>
      </c>
      <c r="D1679" s="17"/>
      <c r="E1679" s="17" t="s">
        <v>608</v>
      </c>
      <c r="F1679" s="18" t="s">
        <v>630</v>
      </c>
      <c r="G1679" s="49" t="s">
        <v>631</v>
      </c>
      <c r="H1679" s="17">
        <v>14</v>
      </c>
      <c r="O1679" s="62" t="str">
        <f>IF(E1679="PA",IF(K1679&lt;&gt;"",ISERROR(VLOOKUP(K1679,ABBR!A:D,1,FALSE)),ISERROR(VLOOKUP(C1679,ABBR!A:D,1,FALSE))),"")</f>
        <v/>
      </c>
      <c r="P1679" t="str">
        <f>VLOOKUP(A1679,Groups!A:L,5,FALSE)</f>
        <v>LOCA</v>
      </c>
      <c r="Q1679" s="62" t="str">
        <f>IF(G1679="PA",IF(M1679&lt;&gt;"",ISERROR(VLOOKUP(M1679,ABBR!C:F,1,FALSE)),ISERROR(VLOOKUP(E1679,ABBR!C:F,1,FALSE))),"")</f>
        <v/>
      </c>
    </row>
    <row r="1680" spans="1:17" hidden="1" x14ac:dyDescent="0.25">
      <c r="A1680" s="16" t="s">
        <v>239</v>
      </c>
      <c r="B1680" s="17"/>
      <c r="C1680" s="16" t="s">
        <v>643</v>
      </c>
      <c r="D1680" s="17"/>
      <c r="E1680" s="17" t="s">
        <v>608</v>
      </c>
      <c r="F1680" s="18" t="s">
        <v>954</v>
      </c>
      <c r="G1680" s="49" t="s">
        <v>1947</v>
      </c>
      <c r="H1680" s="17">
        <v>15</v>
      </c>
      <c r="O1680" s="62" t="str">
        <f>IF(E1680="PA",IF(K1680&lt;&gt;"",ISERROR(VLOOKUP(K1680,ABBR!A:D,1,FALSE)),ISERROR(VLOOKUP(C1680,ABBR!A:D,1,FALSE))),"")</f>
        <v/>
      </c>
      <c r="P1680" t="str">
        <f>VLOOKUP(A1680,Groups!A:L,5,FALSE)</f>
        <v>LOCA</v>
      </c>
      <c r="Q1680" s="62" t="str">
        <f>IF(G1680="PA",IF(M1680&lt;&gt;"",ISERROR(VLOOKUP(M1680,ABBR!C:F,1,FALSE)),ISERROR(VLOOKUP(E1680,ABBR!C:F,1,FALSE))),"")</f>
        <v/>
      </c>
    </row>
    <row r="1681" spans="1:17" hidden="1" x14ac:dyDescent="0.25">
      <c r="A1681" s="16" t="s">
        <v>239</v>
      </c>
      <c r="B1681" s="17"/>
      <c r="C1681" s="9" t="s">
        <v>3308</v>
      </c>
      <c r="D1681" s="46"/>
      <c r="E1681" s="46" t="s">
        <v>608</v>
      </c>
      <c r="F1681" s="93" t="s">
        <v>1952</v>
      </c>
      <c r="G1681" s="179" t="s">
        <v>876</v>
      </c>
      <c r="H1681" s="46">
        <v>16</v>
      </c>
      <c r="I1681" s="180"/>
      <c r="J1681" s="62" t="s">
        <v>473</v>
      </c>
      <c r="O1681" s="62" t="str">
        <f>IF(E1681="PA",IF(K1681&lt;&gt;"",ISERROR(VLOOKUP(K1681,ABBR!A:D,1,FALSE)),ISERROR(VLOOKUP(C1681,ABBR!A:D,1,FALSE))),"")</f>
        <v/>
      </c>
      <c r="P1681" t="str">
        <f>VLOOKUP(A1681,Groups!A:L,5,FALSE)</f>
        <v>LOCA</v>
      </c>
      <c r="Q1681" s="62" t="str">
        <f>IF(G1681="PA",IF(M1681&lt;&gt;"",ISERROR(VLOOKUP(M1681,ABBR!C:F,1,FALSE)),ISERROR(VLOOKUP(E1681,ABBR!C:F,1,FALSE))),"")</f>
        <v/>
      </c>
    </row>
    <row r="1682" spans="1:17" hidden="1" x14ac:dyDescent="0.25">
      <c r="A1682" s="16" t="s">
        <v>241</v>
      </c>
      <c r="B1682" s="17" t="s">
        <v>594</v>
      </c>
      <c r="C1682" s="16" t="s">
        <v>595</v>
      </c>
      <c r="D1682" s="17"/>
      <c r="E1682" s="17" t="s">
        <v>596</v>
      </c>
      <c r="F1682" s="18" t="s">
        <v>597</v>
      </c>
      <c r="G1682" s="49" t="s">
        <v>598</v>
      </c>
      <c r="H1682" s="17">
        <v>1</v>
      </c>
      <c r="O1682" s="62" t="str">
        <f>IF(E1682="PA",IF(K1682&lt;&gt;"",ISERROR(VLOOKUP(K1682,ABBR!A:D,1,FALSE)),ISERROR(VLOOKUP(C1682,ABBR!A:D,1,FALSE))),"")</f>
        <v/>
      </c>
      <c r="P1682" t="str">
        <f>VLOOKUP(A1682,Groups!A:L,5,FALSE)</f>
        <v>LOCA</v>
      </c>
      <c r="Q1682" s="62" t="str">
        <f>IF(G1682="PA",IF(M1682&lt;&gt;"",ISERROR(VLOOKUP(M1682,ABBR!C:F,1,FALSE)),ISERROR(VLOOKUP(E1682,ABBR!C:F,1,FALSE))),"")</f>
        <v/>
      </c>
    </row>
    <row r="1683" spans="1:17" hidden="1" x14ac:dyDescent="0.25">
      <c r="A1683" s="16" t="s">
        <v>241</v>
      </c>
      <c r="B1683" s="17" t="s">
        <v>594</v>
      </c>
      <c r="C1683" s="16" t="s">
        <v>3309</v>
      </c>
      <c r="D1683" s="17" t="s">
        <v>600</v>
      </c>
      <c r="E1683" s="17" t="s">
        <v>601</v>
      </c>
      <c r="F1683" s="18" t="s">
        <v>3310</v>
      </c>
      <c r="G1683" s="49" t="s">
        <v>1956</v>
      </c>
      <c r="H1683" s="17">
        <v>2</v>
      </c>
      <c r="O1683" s="62" t="str">
        <f>IF(E1683="PA",IF(K1683&lt;&gt;"",ISERROR(VLOOKUP(K1683,ABBR!A:D,1,FALSE)),ISERROR(VLOOKUP(C1683,ABBR!A:D,1,FALSE))),"")</f>
        <v/>
      </c>
      <c r="P1683" t="str">
        <f>VLOOKUP(A1683,Groups!A:L,5,FALSE)</f>
        <v>LOCA</v>
      </c>
      <c r="Q1683" s="62" t="str">
        <f>IF(G1683="PA",IF(M1683&lt;&gt;"",ISERROR(VLOOKUP(M1683,ABBR!C:F,1,FALSE)),ISERROR(VLOOKUP(E1683,ABBR!C:F,1,FALSE))),"")</f>
        <v/>
      </c>
    </row>
    <row r="1684" spans="1:17" hidden="1" x14ac:dyDescent="0.25">
      <c r="A1684" s="16" t="s">
        <v>241</v>
      </c>
      <c r="B1684" s="17" t="s">
        <v>594</v>
      </c>
      <c r="C1684" s="16" t="s">
        <v>3311</v>
      </c>
      <c r="D1684" s="17"/>
      <c r="E1684" s="17" t="s">
        <v>608</v>
      </c>
      <c r="F1684" s="18" t="s">
        <v>1323</v>
      </c>
      <c r="G1684" s="49" t="s">
        <v>631</v>
      </c>
      <c r="H1684" s="17">
        <v>3</v>
      </c>
      <c r="O1684" s="62" t="str">
        <f>IF(E1684="PA",IF(K1684&lt;&gt;"",ISERROR(VLOOKUP(K1684,ABBR!A:D,1,FALSE)),ISERROR(VLOOKUP(C1684,ABBR!A:D,1,FALSE))),"")</f>
        <v/>
      </c>
      <c r="P1684" t="str">
        <f>VLOOKUP(A1684,Groups!A:L,5,FALSE)</f>
        <v>LOCA</v>
      </c>
      <c r="Q1684" s="62" t="str">
        <f>IF(G1684="PA",IF(M1684&lt;&gt;"",ISERROR(VLOOKUP(M1684,ABBR!C:F,1,FALSE)),ISERROR(VLOOKUP(E1684,ABBR!C:F,1,FALSE))),"")</f>
        <v/>
      </c>
    </row>
    <row r="1685" spans="1:17" hidden="1" x14ac:dyDescent="0.25">
      <c r="A1685" s="16" t="s">
        <v>241</v>
      </c>
      <c r="B1685" s="17"/>
      <c r="C1685" s="16" t="s">
        <v>3312</v>
      </c>
      <c r="D1685" s="17" t="s">
        <v>600</v>
      </c>
      <c r="E1685" s="17" t="s">
        <v>601</v>
      </c>
      <c r="F1685" s="18" t="s">
        <v>3313</v>
      </c>
      <c r="G1685" s="49" t="s">
        <v>1319</v>
      </c>
      <c r="H1685" s="17">
        <v>4</v>
      </c>
      <c r="O1685" s="62" t="str">
        <f>IF(E1685="PA",IF(K1685&lt;&gt;"",ISERROR(VLOOKUP(K1685,ABBR!A:D,1,FALSE)),ISERROR(VLOOKUP(C1685,ABBR!A:D,1,FALSE))),"")</f>
        <v/>
      </c>
      <c r="P1685" t="str">
        <f>VLOOKUP(A1685,Groups!A:L,5,FALSE)</f>
        <v>LOCA</v>
      </c>
      <c r="Q1685" s="62" t="str">
        <f>IF(G1685="PA",IF(M1685&lt;&gt;"",ISERROR(VLOOKUP(M1685,ABBR!C:F,1,FALSE)),ISERROR(VLOOKUP(E1685,ABBR!C:F,1,FALSE))),"")</f>
        <v/>
      </c>
    </row>
    <row r="1686" spans="1:17" hidden="1" x14ac:dyDescent="0.25">
      <c r="A1686" s="16" t="s">
        <v>241</v>
      </c>
      <c r="B1686" s="17"/>
      <c r="C1686" s="16" t="s">
        <v>3314</v>
      </c>
      <c r="D1686" s="17"/>
      <c r="E1686" s="17" t="s">
        <v>618</v>
      </c>
      <c r="F1686" s="18" t="s">
        <v>3315</v>
      </c>
      <c r="G1686" s="49" t="s">
        <v>3316</v>
      </c>
      <c r="H1686" s="17">
        <v>5</v>
      </c>
      <c r="O1686" s="62" t="b">
        <f>IF(E1686="PA",IF(K1686&lt;&gt;"",ISERROR(VLOOKUP(K1686,ABBR!A:D,1,FALSE)),ISERROR(VLOOKUP(C1686,ABBR!A:D,1,FALSE))),"")</f>
        <v>0</v>
      </c>
      <c r="P1686" t="str">
        <f>VLOOKUP(A1686,Groups!A:L,5,FALSE)</f>
        <v>LOCA</v>
      </c>
      <c r="Q1686" s="62" t="str">
        <f>IF(G1686="PA",IF(M1686&lt;&gt;"",ISERROR(VLOOKUP(M1686,ABBR!C:F,1,FALSE)),ISERROR(VLOOKUP(E1686,ABBR!C:F,1,FALSE))),"")</f>
        <v/>
      </c>
    </row>
    <row r="1687" spans="1:17" hidden="1" x14ac:dyDescent="0.25">
      <c r="A1687" s="16" t="s">
        <v>241</v>
      </c>
      <c r="B1687" s="17"/>
      <c r="C1687" s="16" t="s">
        <v>3317</v>
      </c>
      <c r="D1687" s="17" t="s">
        <v>924</v>
      </c>
      <c r="E1687" s="17" t="s">
        <v>925</v>
      </c>
      <c r="F1687" s="18" t="s">
        <v>1922</v>
      </c>
      <c r="G1687" s="49" t="s">
        <v>1923</v>
      </c>
      <c r="H1687" s="17">
        <v>6</v>
      </c>
      <c r="O1687" s="62" t="str">
        <f>IF(E1687="PA",IF(K1687&lt;&gt;"",ISERROR(VLOOKUP(K1687,ABBR!A:D,1,FALSE)),ISERROR(VLOOKUP(C1687,ABBR!A:D,1,FALSE))),"")</f>
        <v/>
      </c>
      <c r="P1687" t="str">
        <f>VLOOKUP(A1687,Groups!A:L,5,FALSE)</f>
        <v>LOCA</v>
      </c>
      <c r="Q1687" s="62" t="str">
        <f>IF(G1687="PA",IF(M1687&lt;&gt;"",ISERROR(VLOOKUP(M1687,ABBR!C:F,1,FALSE)),ISERROR(VLOOKUP(E1687,ABBR!C:F,1,FALSE))),"")</f>
        <v/>
      </c>
    </row>
    <row r="1688" spans="1:17" hidden="1" x14ac:dyDescent="0.25">
      <c r="A1688" s="16" t="s">
        <v>241</v>
      </c>
      <c r="B1688" s="17"/>
      <c r="C1688" s="16" t="s">
        <v>3318</v>
      </c>
      <c r="D1688" s="17" t="s">
        <v>3319</v>
      </c>
      <c r="E1688" s="17" t="s">
        <v>882</v>
      </c>
      <c r="F1688" s="18" t="s">
        <v>3320</v>
      </c>
      <c r="G1688" s="49" t="s">
        <v>3321</v>
      </c>
      <c r="H1688" s="17">
        <v>7</v>
      </c>
      <c r="O1688" s="62" t="str">
        <f>IF(E1688="PA",IF(K1688&lt;&gt;"",ISERROR(VLOOKUP(K1688,ABBR!A:D,1,FALSE)),ISERROR(VLOOKUP(C1688,ABBR!A:D,1,FALSE))),"")</f>
        <v/>
      </c>
      <c r="P1688" t="str">
        <f>VLOOKUP(A1688,Groups!A:L,5,FALSE)</f>
        <v>LOCA</v>
      </c>
      <c r="Q1688" s="62" t="str">
        <f>IF(G1688="PA",IF(M1688&lt;&gt;"",ISERROR(VLOOKUP(M1688,ABBR!C:F,1,FALSE)),ISERROR(VLOOKUP(E1688,ABBR!C:F,1,FALSE))),"")</f>
        <v/>
      </c>
    </row>
    <row r="1689" spans="1:17" ht="25" hidden="1" x14ac:dyDescent="0.25">
      <c r="A1689" s="16" t="s">
        <v>241</v>
      </c>
      <c r="B1689" s="17"/>
      <c r="C1689" s="16" t="s">
        <v>3322</v>
      </c>
      <c r="D1689" s="17" t="s">
        <v>3319</v>
      </c>
      <c r="E1689" s="17" t="s">
        <v>882</v>
      </c>
      <c r="F1689" s="18" t="s">
        <v>3323</v>
      </c>
      <c r="G1689" s="49" t="s">
        <v>3324</v>
      </c>
      <c r="H1689" s="17">
        <v>8</v>
      </c>
      <c r="O1689" s="62" t="str">
        <f>IF(E1689="PA",IF(K1689&lt;&gt;"",ISERROR(VLOOKUP(K1689,ABBR!A:D,1,FALSE)),ISERROR(VLOOKUP(C1689,ABBR!A:D,1,FALSE))),"")</f>
        <v/>
      </c>
      <c r="P1689" t="str">
        <f>VLOOKUP(A1689,Groups!A:L,5,FALSE)</f>
        <v>LOCA</v>
      </c>
      <c r="Q1689" s="62" t="str">
        <f>IF(G1689="PA",IF(M1689&lt;&gt;"",ISERROR(VLOOKUP(M1689,ABBR!C:F,1,FALSE)),ISERROR(VLOOKUP(E1689,ABBR!C:F,1,FALSE))),"")</f>
        <v/>
      </c>
    </row>
    <row r="1690" spans="1:17" ht="25" hidden="1" x14ac:dyDescent="0.25">
      <c r="A1690" s="16" t="s">
        <v>241</v>
      </c>
      <c r="B1690" s="17"/>
      <c r="C1690" s="16" t="s">
        <v>3325</v>
      </c>
      <c r="D1690" s="17" t="s">
        <v>3319</v>
      </c>
      <c r="E1690" s="17" t="s">
        <v>882</v>
      </c>
      <c r="F1690" s="18" t="s">
        <v>3326</v>
      </c>
      <c r="G1690" s="49" t="s">
        <v>910</v>
      </c>
      <c r="H1690" s="17">
        <v>9</v>
      </c>
      <c r="O1690" s="62" t="str">
        <f>IF(E1690="PA",IF(K1690&lt;&gt;"",ISERROR(VLOOKUP(K1690,ABBR!A:D,1,FALSE)),ISERROR(VLOOKUP(C1690,ABBR!A:D,1,FALSE))),"")</f>
        <v/>
      </c>
      <c r="P1690" t="str">
        <f>VLOOKUP(A1690,Groups!A:L,5,FALSE)</f>
        <v>LOCA</v>
      </c>
      <c r="Q1690" s="62" t="str">
        <f>IF(G1690="PA",IF(M1690&lt;&gt;"",ISERROR(VLOOKUP(M1690,ABBR!C:F,1,FALSE)),ISERROR(VLOOKUP(E1690,ABBR!C:F,1,FALSE))),"")</f>
        <v/>
      </c>
    </row>
    <row r="1691" spans="1:17" hidden="1" x14ac:dyDescent="0.25">
      <c r="A1691" s="16" t="s">
        <v>241</v>
      </c>
      <c r="B1691" s="17"/>
      <c r="C1691" s="16" t="s">
        <v>3327</v>
      </c>
      <c r="D1691" s="17"/>
      <c r="E1691" s="17" t="s">
        <v>608</v>
      </c>
      <c r="F1691" s="18" t="s">
        <v>3328</v>
      </c>
      <c r="G1691" s="49" t="s">
        <v>16</v>
      </c>
      <c r="H1691" s="17">
        <v>10</v>
      </c>
      <c r="M1691" s="101"/>
      <c r="O1691" s="62" t="str">
        <f>IF(E1691="PA",IF(K1691&lt;&gt;"",ISERROR(VLOOKUP(K1691,ABBR!A:D,1,FALSE)),ISERROR(VLOOKUP(C1691,ABBR!A:D,1,FALSE))),"")</f>
        <v/>
      </c>
      <c r="P1691" t="str">
        <f>VLOOKUP(A1691,Groups!A:L,5,FALSE)</f>
        <v>LOCA</v>
      </c>
      <c r="Q1691" s="62" t="str">
        <f>IF(G1691="PA",IF(M1691&lt;&gt;"",ISERROR(VLOOKUP(M1691,ABBR!C:F,1,FALSE)),ISERROR(VLOOKUP(E1691,ABBR!C:F,1,FALSE))),"")</f>
        <v/>
      </c>
    </row>
    <row r="1692" spans="1:17" ht="25" hidden="1" x14ac:dyDescent="0.25">
      <c r="A1692" s="16" t="s">
        <v>241</v>
      </c>
      <c r="B1692" s="17"/>
      <c r="C1692" s="16" t="s">
        <v>3329</v>
      </c>
      <c r="D1692" s="17"/>
      <c r="E1692" s="17" t="s">
        <v>608</v>
      </c>
      <c r="F1692" s="18" t="s">
        <v>1938</v>
      </c>
      <c r="G1692" s="49" t="s">
        <v>3330</v>
      </c>
      <c r="H1692" s="17">
        <v>11</v>
      </c>
      <c r="O1692" s="62" t="str">
        <f>IF(E1692="PA",IF(K1692&lt;&gt;"",ISERROR(VLOOKUP(K1692,ABBR!A:D,1,FALSE)),ISERROR(VLOOKUP(C1692,ABBR!A:D,1,FALSE))),"")</f>
        <v/>
      </c>
      <c r="P1692" t="str">
        <f>VLOOKUP(A1692,Groups!A:L,5,FALSE)</f>
        <v>LOCA</v>
      </c>
      <c r="Q1692" s="62" t="str">
        <f>IF(G1692="PA",IF(M1692&lt;&gt;"",ISERROR(VLOOKUP(M1692,ABBR!C:F,1,FALSE)),ISERROR(VLOOKUP(E1692,ABBR!C:F,1,FALSE))),"")</f>
        <v/>
      </c>
    </row>
    <row r="1693" spans="1:17" hidden="1" x14ac:dyDescent="0.25">
      <c r="A1693" s="16" t="s">
        <v>241</v>
      </c>
      <c r="B1693" s="17"/>
      <c r="C1693" s="16" t="s">
        <v>3331</v>
      </c>
      <c r="D1693" s="17"/>
      <c r="E1693" s="17" t="s">
        <v>608</v>
      </c>
      <c r="F1693" s="18" t="s">
        <v>918</v>
      </c>
      <c r="G1693" s="49" t="s">
        <v>3154</v>
      </c>
      <c r="H1693" s="17">
        <v>12</v>
      </c>
      <c r="O1693" s="62" t="str">
        <f>IF(E1693="PA",IF(K1693&lt;&gt;"",ISERROR(VLOOKUP(K1693,ABBR!A:D,1,FALSE)),ISERROR(VLOOKUP(C1693,ABBR!A:D,1,FALSE))),"")</f>
        <v/>
      </c>
      <c r="P1693" t="str">
        <f>VLOOKUP(A1693,Groups!A:L,5,FALSE)</f>
        <v>LOCA</v>
      </c>
      <c r="Q1693" s="62" t="str">
        <f>IF(G1693="PA",IF(M1693&lt;&gt;"",ISERROR(VLOOKUP(M1693,ABBR!C:F,1,FALSE)),ISERROR(VLOOKUP(E1693,ABBR!C:F,1,FALSE))),"")</f>
        <v/>
      </c>
    </row>
    <row r="1694" spans="1:17" ht="25" hidden="1" x14ac:dyDescent="0.25">
      <c r="A1694" s="16" t="s">
        <v>241</v>
      </c>
      <c r="B1694" s="17"/>
      <c r="C1694" s="16" t="s">
        <v>3332</v>
      </c>
      <c r="D1694" s="17"/>
      <c r="E1694" s="17" t="s">
        <v>608</v>
      </c>
      <c r="F1694" s="18" t="s">
        <v>1943</v>
      </c>
      <c r="G1694" s="49" t="s">
        <v>1944</v>
      </c>
      <c r="H1694" s="17">
        <v>13</v>
      </c>
      <c r="O1694" s="62" t="str">
        <f>IF(E1694="PA",IF(K1694&lt;&gt;"",ISERROR(VLOOKUP(K1694,ABBR!A:D,1,FALSE)),ISERROR(VLOOKUP(C1694,ABBR!A:D,1,FALSE))),"")</f>
        <v/>
      </c>
      <c r="P1694" t="str">
        <f>VLOOKUP(A1694,Groups!A:L,5,FALSE)</f>
        <v>LOCA</v>
      </c>
      <c r="Q1694" s="62" t="str">
        <f>IF(G1694="PA",IF(M1694&lt;&gt;"",ISERROR(VLOOKUP(M1694,ABBR!C:F,1,FALSE)),ISERROR(VLOOKUP(E1694,ABBR!C:F,1,FALSE))),"")</f>
        <v/>
      </c>
    </row>
    <row r="1695" spans="1:17" ht="25" hidden="1" x14ac:dyDescent="0.25">
      <c r="A1695" s="16" t="s">
        <v>241</v>
      </c>
      <c r="B1695" s="17"/>
      <c r="C1695" s="16" t="s">
        <v>3333</v>
      </c>
      <c r="D1695" s="17"/>
      <c r="E1695" s="17" t="s">
        <v>608</v>
      </c>
      <c r="F1695" s="18" t="s">
        <v>934</v>
      </c>
      <c r="G1695" s="8" t="s">
        <v>953</v>
      </c>
      <c r="H1695" s="17">
        <v>14</v>
      </c>
      <c r="O1695" s="62" t="str">
        <f>IF(E1695="PA",IF(K1695&lt;&gt;"",ISERROR(VLOOKUP(K1695,ABBR!A:D,1,FALSE)),ISERROR(VLOOKUP(C1695,ABBR!A:D,1,FALSE))),"")</f>
        <v/>
      </c>
      <c r="P1695" t="str">
        <f>VLOOKUP(A1695,Groups!A:L,5,FALSE)</f>
        <v>LOCA</v>
      </c>
      <c r="Q1695" s="62" t="str">
        <f>IF(G1695="PA",IF(M1695&lt;&gt;"",ISERROR(VLOOKUP(M1695,ABBR!C:F,1,FALSE)),ISERROR(VLOOKUP(E1695,ABBR!C:F,1,FALSE))),"")</f>
        <v/>
      </c>
    </row>
    <row r="1696" spans="1:17" hidden="1" x14ac:dyDescent="0.25">
      <c r="A1696" s="16" t="s">
        <v>241</v>
      </c>
      <c r="B1696" s="17"/>
      <c r="C1696" s="16" t="s">
        <v>936</v>
      </c>
      <c r="D1696" s="17"/>
      <c r="E1696" s="22" t="s">
        <v>608</v>
      </c>
      <c r="F1696" s="18" t="s">
        <v>937</v>
      </c>
      <c r="G1696" s="49" t="s">
        <v>938</v>
      </c>
      <c r="H1696" s="17">
        <v>15</v>
      </c>
      <c r="O1696" s="62" t="str">
        <f>IF(E1696="PA",IF(K1696&lt;&gt;"",ISERROR(VLOOKUP(K1696,ABBR!A:D,1,FALSE)),ISERROR(VLOOKUP(C1696,ABBR!A:D,1,FALSE))),"")</f>
        <v/>
      </c>
      <c r="P1696" t="str">
        <f>VLOOKUP(A1696,Groups!A:L,5,FALSE)</f>
        <v>LOCA</v>
      </c>
      <c r="Q1696" s="62" t="str">
        <f>IF(G1696="PA",IF(M1696&lt;&gt;"",ISERROR(VLOOKUP(M1696,ABBR!C:F,1,FALSE)),ISERROR(VLOOKUP(E1696,ABBR!C:F,1,FALSE))),"")</f>
        <v/>
      </c>
    </row>
    <row r="1697" spans="1:17" hidden="1" x14ac:dyDescent="0.25">
      <c r="A1697" s="16" t="s">
        <v>241</v>
      </c>
      <c r="B1697" s="17"/>
      <c r="C1697" s="16" t="s">
        <v>629</v>
      </c>
      <c r="D1697" s="17"/>
      <c r="E1697" s="17" t="s">
        <v>608</v>
      </c>
      <c r="F1697" s="18" t="s">
        <v>630</v>
      </c>
      <c r="G1697" s="49" t="s">
        <v>631</v>
      </c>
      <c r="H1697" s="17">
        <v>16</v>
      </c>
      <c r="O1697" s="62" t="str">
        <f>IF(E1697="PA",IF(K1697&lt;&gt;"",ISERROR(VLOOKUP(K1697,ABBR!A:D,1,FALSE)),ISERROR(VLOOKUP(C1697,ABBR!A:D,1,FALSE))),"")</f>
        <v/>
      </c>
      <c r="P1697" t="str">
        <f>VLOOKUP(A1697,Groups!A:L,5,FALSE)</f>
        <v>LOCA</v>
      </c>
      <c r="Q1697" s="62" t="str">
        <f>IF(G1697="PA",IF(M1697&lt;&gt;"",ISERROR(VLOOKUP(M1697,ABBR!C:F,1,FALSE)),ISERROR(VLOOKUP(E1697,ABBR!C:F,1,FALSE))),"")</f>
        <v/>
      </c>
    </row>
    <row r="1698" spans="1:17" hidden="1" x14ac:dyDescent="0.25">
      <c r="A1698" s="16" t="s">
        <v>241</v>
      </c>
      <c r="B1698" s="17"/>
      <c r="C1698" s="16" t="s">
        <v>643</v>
      </c>
      <c r="D1698" s="17"/>
      <c r="E1698" s="17" t="s">
        <v>608</v>
      </c>
      <c r="F1698" s="18" t="s">
        <v>954</v>
      </c>
      <c r="G1698" s="49" t="s">
        <v>1947</v>
      </c>
      <c r="H1698" s="17">
        <v>17</v>
      </c>
      <c r="O1698" s="62" t="str">
        <f>IF(E1698="PA",IF(K1698&lt;&gt;"",ISERROR(VLOOKUP(K1698,ABBR!A:D,1,FALSE)),ISERROR(VLOOKUP(C1698,ABBR!A:D,1,FALSE))),"")</f>
        <v/>
      </c>
      <c r="P1698" t="str">
        <f>VLOOKUP(A1698,Groups!A:L,5,FALSE)</f>
        <v>LOCA</v>
      </c>
      <c r="Q1698" s="62" t="str">
        <f>IF(G1698="PA",IF(M1698&lt;&gt;"",ISERROR(VLOOKUP(M1698,ABBR!C:F,1,FALSE)),ISERROR(VLOOKUP(E1698,ABBR!C:F,1,FALSE))),"")</f>
        <v/>
      </c>
    </row>
    <row r="1699" spans="1:17" hidden="1" x14ac:dyDescent="0.25">
      <c r="A1699" s="16" t="s">
        <v>241</v>
      </c>
      <c r="B1699" s="17"/>
      <c r="C1699" s="9" t="s">
        <v>3334</v>
      </c>
      <c r="D1699" s="46"/>
      <c r="E1699" s="46" t="s">
        <v>608</v>
      </c>
      <c r="F1699" s="93" t="s">
        <v>1952</v>
      </c>
      <c r="G1699" s="179" t="s">
        <v>876</v>
      </c>
      <c r="H1699" s="46">
        <v>18</v>
      </c>
      <c r="I1699" s="180"/>
      <c r="J1699" s="62" t="s">
        <v>473</v>
      </c>
      <c r="O1699" s="62" t="str">
        <f>IF(E1699="PA",IF(K1699&lt;&gt;"",ISERROR(VLOOKUP(K1699,ABBR!A:D,1,FALSE)),ISERROR(VLOOKUP(C1699,ABBR!A:D,1,FALSE))),"")</f>
        <v/>
      </c>
      <c r="P1699" t="str">
        <f>VLOOKUP(A1699,Groups!A:L,5,FALSE)</f>
        <v>LOCA</v>
      </c>
      <c r="Q1699" s="62" t="str">
        <f>IF(G1699="PA",IF(M1699&lt;&gt;"",ISERROR(VLOOKUP(M1699,ABBR!C:F,1,FALSE)),ISERROR(VLOOKUP(E1699,ABBR!C:F,1,FALSE))),"")</f>
        <v/>
      </c>
    </row>
    <row r="1700" spans="1:17" hidden="1" x14ac:dyDescent="0.25">
      <c r="A1700" s="16" t="s">
        <v>243</v>
      </c>
      <c r="B1700" s="17" t="s">
        <v>594</v>
      </c>
      <c r="C1700" s="16" t="s">
        <v>595</v>
      </c>
      <c r="D1700" s="17"/>
      <c r="E1700" s="17" t="s">
        <v>596</v>
      </c>
      <c r="F1700" s="18" t="s">
        <v>597</v>
      </c>
      <c r="G1700" s="49" t="s">
        <v>598</v>
      </c>
      <c r="H1700" s="17">
        <v>1</v>
      </c>
      <c r="O1700" s="62" t="str">
        <f>IF(E1700="PA",IF(K1700&lt;&gt;"",ISERROR(VLOOKUP(K1700,ABBR!A:D,1,FALSE)),ISERROR(VLOOKUP(C1700,ABBR!A:D,1,FALSE))),"")</f>
        <v/>
      </c>
      <c r="P1700" t="str">
        <f>VLOOKUP(A1700,Groups!A:L,5,FALSE)</f>
        <v>LOCA</v>
      </c>
      <c r="Q1700" s="62" t="str">
        <f>IF(G1700="PA",IF(M1700&lt;&gt;"",ISERROR(VLOOKUP(M1700,ABBR!C:F,1,FALSE)),ISERROR(VLOOKUP(E1700,ABBR!C:F,1,FALSE))),"")</f>
        <v/>
      </c>
    </row>
    <row r="1701" spans="1:17" hidden="1" x14ac:dyDescent="0.25">
      <c r="A1701" s="16" t="s">
        <v>243</v>
      </c>
      <c r="B1701" s="17" t="s">
        <v>594</v>
      </c>
      <c r="C1701" s="16" t="s">
        <v>3335</v>
      </c>
      <c r="D1701" s="17"/>
      <c r="E1701" s="17" t="s">
        <v>608</v>
      </c>
      <c r="F1701" s="18" t="s">
        <v>1323</v>
      </c>
      <c r="G1701" s="49" t="s">
        <v>631</v>
      </c>
      <c r="H1701" s="17">
        <v>2</v>
      </c>
      <c r="O1701" s="62" t="str">
        <f>IF(E1701="PA",IF(K1701&lt;&gt;"",ISERROR(VLOOKUP(K1701,ABBR!A:D,1,FALSE)),ISERROR(VLOOKUP(C1701,ABBR!A:D,1,FALSE))),"")</f>
        <v/>
      </c>
      <c r="P1701" t="str">
        <f>VLOOKUP(A1701,Groups!A:L,5,FALSE)</f>
        <v>LOCA</v>
      </c>
      <c r="Q1701" s="62" t="str">
        <f>IF(G1701="PA",IF(M1701&lt;&gt;"",ISERROR(VLOOKUP(M1701,ABBR!C:F,1,FALSE)),ISERROR(VLOOKUP(E1701,ABBR!C:F,1,FALSE))),"")</f>
        <v/>
      </c>
    </row>
    <row r="1702" spans="1:17" hidden="1" x14ac:dyDescent="0.25">
      <c r="A1702" s="16" t="s">
        <v>243</v>
      </c>
      <c r="B1702" s="17"/>
      <c r="C1702" s="16" t="s">
        <v>3336</v>
      </c>
      <c r="D1702" s="17" t="s">
        <v>924</v>
      </c>
      <c r="E1702" s="17" t="s">
        <v>925</v>
      </c>
      <c r="F1702" s="18" t="s">
        <v>1922</v>
      </c>
      <c r="G1702" s="49" t="s">
        <v>3337</v>
      </c>
      <c r="H1702" s="17">
        <v>3</v>
      </c>
      <c r="O1702" s="62" t="str">
        <f>IF(E1702="PA",IF(K1702&lt;&gt;"",ISERROR(VLOOKUP(K1702,ABBR!A:D,1,FALSE)),ISERROR(VLOOKUP(C1702,ABBR!A:D,1,FALSE))),"")</f>
        <v/>
      </c>
      <c r="P1702" t="str">
        <f>VLOOKUP(A1702,Groups!A:L,5,FALSE)</f>
        <v>LOCA</v>
      </c>
      <c r="Q1702" s="62" t="str">
        <f>IF(G1702="PA",IF(M1702&lt;&gt;"",ISERROR(VLOOKUP(M1702,ABBR!C:F,1,FALSE)),ISERROR(VLOOKUP(E1702,ABBR!C:F,1,FALSE))),"")</f>
        <v/>
      </c>
    </row>
    <row r="1703" spans="1:17" hidden="1" x14ac:dyDescent="0.25">
      <c r="A1703" s="16" t="s">
        <v>243</v>
      </c>
      <c r="B1703" s="17"/>
      <c r="C1703" s="16" t="s">
        <v>3338</v>
      </c>
      <c r="D1703" s="17" t="s">
        <v>1416</v>
      </c>
      <c r="E1703" s="17" t="s">
        <v>1417</v>
      </c>
      <c r="F1703" s="18" t="s">
        <v>3339</v>
      </c>
      <c r="G1703" s="49" t="s">
        <v>3340</v>
      </c>
      <c r="H1703" s="17">
        <v>4</v>
      </c>
      <c r="O1703" s="62" t="str">
        <f>IF(E1703="PA",IF(K1703&lt;&gt;"",ISERROR(VLOOKUP(K1703,ABBR!A:D,1,FALSE)),ISERROR(VLOOKUP(C1703,ABBR!A:D,1,FALSE))),"")</f>
        <v/>
      </c>
      <c r="P1703" t="str">
        <f>VLOOKUP(A1703,Groups!A:L,5,FALSE)</f>
        <v>LOCA</v>
      </c>
      <c r="Q1703" s="62" t="str">
        <f>IF(G1703="PA",IF(M1703&lt;&gt;"",ISERROR(VLOOKUP(M1703,ABBR!C:F,1,FALSE)),ISERROR(VLOOKUP(E1703,ABBR!C:F,1,FALSE))),"")</f>
        <v/>
      </c>
    </row>
    <row r="1704" spans="1:17" hidden="1" x14ac:dyDescent="0.25">
      <c r="A1704" s="16" t="s">
        <v>243</v>
      </c>
      <c r="B1704" s="17"/>
      <c r="C1704" s="16" t="s">
        <v>3341</v>
      </c>
      <c r="D1704" s="17" t="s">
        <v>600</v>
      </c>
      <c r="E1704" s="17" t="s">
        <v>601</v>
      </c>
      <c r="F1704" s="18" t="s">
        <v>3342</v>
      </c>
      <c r="G1704" s="49" t="s">
        <v>1319</v>
      </c>
      <c r="H1704" s="17">
        <v>5</v>
      </c>
      <c r="O1704" s="62" t="str">
        <f>IF(E1704="PA",IF(K1704&lt;&gt;"",ISERROR(VLOOKUP(K1704,ABBR!A:D,1,FALSE)),ISERROR(VLOOKUP(C1704,ABBR!A:D,1,FALSE))),"")</f>
        <v/>
      </c>
      <c r="P1704" t="str">
        <f>VLOOKUP(A1704,Groups!A:L,5,FALSE)</f>
        <v>LOCA</v>
      </c>
      <c r="Q1704" s="62" t="str">
        <f>IF(G1704="PA",IF(M1704&lt;&gt;"",ISERROR(VLOOKUP(M1704,ABBR!C:F,1,FALSE)),ISERROR(VLOOKUP(E1704,ABBR!C:F,1,FALSE))),"")</f>
        <v/>
      </c>
    </row>
    <row r="1705" spans="1:17" hidden="1" x14ac:dyDescent="0.25">
      <c r="A1705" s="16" t="s">
        <v>243</v>
      </c>
      <c r="B1705" s="17"/>
      <c r="C1705" s="16" t="s">
        <v>3343</v>
      </c>
      <c r="D1705" s="17" t="s">
        <v>600</v>
      </c>
      <c r="E1705" s="17" t="s">
        <v>601</v>
      </c>
      <c r="F1705" s="18" t="s">
        <v>3344</v>
      </c>
      <c r="G1705" s="49" t="s">
        <v>1956</v>
      </c>
      <c r="H1705" s="17">
        <v>6</v>
      </c>
      <c r="O1705" s="62" t="str">
        <f>IF(E1705="PA",IF(K1705&lt;&gt;"",ISERROR(VLOOKUP(K1705,ABBR!A:D,1,FALSE)),ISERROR(VLOOKUP(C1705,ABBR!A:D,1,FALSE))),"")</f>
        <v/>
      </c>
      <c r="P1705" t="str">
        <f>VLOOKUP(A1705,Groups!A:L,5,FALSE)</f>
        <v>LOCA</v>
      </c>
      <c r="Q1705" s="62" t="str">
        <f>IF(G1705="PA",IF(M1705&lt;&gt;"",ISERROR(VLOOKUP(M1705,ABBR!C:F,1,FALSE)),ISERROR(VLOOKUP(E1705,ABBR!C:F,1,FALSE))),"")</f>
        <v/>
      </c>
    </row>
    <row r="1706" spans="1:17" hidden="1" x14ac:dyDescent="0.25">
      <c r="A1706" s="16" t="s">
        <v>243</v>
      </c>
      <c r="B1706" s="17"/>
      <c r="C1706" s="16" t="s">
        <v>3345</v>
      </c>
      <c r="D1706" s="17" t="s">
        <v>600</v>
      </c>
      <c r="E1706" s="17" t="s">
        <v>601</v>
      </c>
      <c r="F1706" s="18" t="s">
        <v>3346</v>
      </c>
      <c r="G1706" s="49" t="s">
        <v>3347</v>
      </c>
      <c r="H1706" s="17">
        <v>7</v>
      </c>
      <c r="O1706" s="62" t="str">
        <f>IF(E1706="PA",IF(K1706&lt;&gt;"",ISERROR(VLOOKUP(K1706,ABBR!A:D,1,FALSE)),ISERROR(VLOOKUP(C1706,ABBR!A:D,1,FALSE))),"")</f>
        <v/>
      </c>
      <c r="P1706" t="str">
        <f>VLOOKUP(A1706,Groups!A:L,5,FALSE)</f>
        <v>LOCA</v>
      </c>
      <c r="Q1706" s="62" t="str">
        <f>IF(G1706="PA",IF(M1706&lt;&gt;"",ISERROR(VLOOKUP(M1706,ABBR!C:F,1,FALSE)),ISERROR(VLOOKUP(E1706,ABBR!C:F,1,FALSE))),"")</f>
        <v/>
      </c>
    </row>
    <row r="1707" spans="1:17" hidden="1" x14ac:dyDescent="0.25">
      <c r="A1707" s="16" t="s">
        <v>243</v>
      </c>
      <c r="B1707" s="17"/>
      <c r="C1707" s="16" t="s">
        <v>3348</v>
      </c>
      <c r="D1707" s="17" t="s">
        <v>600</v>
      </c>
      <c r="E1707" s="17" t="s">
        <v>601</v>
      </c>
      <c r="F1707" s="18" t="s">
        <v>3349</v>
      </c>
      <c r="G1707" s="49" t="s">
        <v>3350</v>
      </c>
      <c r="H1707" s="17">
        <v>8</v>
      </c>
      <c r="O1707" s="62" t="str">
        <f>IF(E1707="PA",IF(K1707&lt;&gt;"",ISERROR(VLOOKUP(K1707,ABBR!A:D,1,FALSE)),ISERROR(VLOOKUP(C1707,ABBR!A:D,1,FALSE))),"")</f>
        <v/>
      </c>
      <c r="P1707" t="str">
        <f>VLOOKUP(A1707,Groups!A:L,5,FALSE)</f>
        <v>LOCA</v>
      </c>
      <c r="Q1707" s="62" t="str">
        <f>IF(G1707="PA",IF(M1707&lt;&gt;"",ISERROR(VLOOKUP(M1707,ABBR!C:F,1,FALSE)),ISERROR(VLOOKUP(E1707,ABBR!C:F,1,FALSE))),"")</f>
        <v/>
      </c>
    </row>
    <row r="1708" spans="1:17" hidden="1" x14ac:dyDescent="0.25">
      <c r="A1708" s="16" t="s">
        <v>243</v>
      </c>
      <c r="B1708" s="17"/>
      <c r="C1708" s="16" t="s">
        <v>3351</v>
      </c>
      <c r="D1708" s="17" t="s">
        <v>600</v>
      </c>
      <c r="E1708" s="17" t="s">
        <v>601</v>
      </c>
      <c r="F1708" s="18" t="s">
        <v>3352</v>
      </c>
      <c r="G1708" s="49" t="s">
        <v>3350</v>
      </c>
      <c r="H1708" s="17">
        <v>9</v>
      </c>
      <c r="O1708" s="62" t="str">
        <f>IF(E1708="PA",IF(K1708&lt;&gt;"",ISERROR(VLOOKUP(K1708,ABBR!A:D,1,FALSE)),ISERROR(VLOOKUP(C1708,ABBR!A:D,1,FALSE))),"")</f>
        <v/>
      </c>
      <c r="P1708" t="str">
        <f>VLOOKUP(A1708,Groups!A:L,5,FALSE)</f>
        <v>LOCA</v>
      </c>
      <c r="Q1708" s="62" t="str">
        <f>IF(G1708="PA",IF(M1708&lt;&gt;"",ISERROR(VLOOKUP(M1708,ABBR!C:F,1,FALSE)),ISERROR(VLOOKUP(E1708,ABBR!C:F,1,FALSE))),"")</f>
        <v/>
      </c>
    </row>
    <row r="1709" spans="1:17" ht="50" hidden="1" x14ac:dyDescent="0.25">
      <c r="A1709" s="16" t="s">
        <v>243</v>
      </c>
      <c r="B1709" s="17"/>
      <c r="C1709" s="16" t="s">
        <v>3353</v>
      </c>
      <c r="D1709" s="17"/>
      <c r="E1709" s="17" t="s">
        <v>608</v>
      </c>
      <c r="F1709" s="18" t="s">
        <v>3354</v>
      </c>
      <c r="G1709" s="49" t="s">
        <v>3355</v>
      </c>
      <c r="H1709" s="17">
        <v>10</v>
      </c>
      <c r="O1709" s="62" t="str">
        <f>IF(E1709="PA",IF(K1709&lt;&gt;"",ISERROR(VLOOKUP(K1709,ABBR!A:D,1,FALSE)),ISERROR(VLOOKUP(C1709,ABBR!A:D,1,FALSE))),"")</f>
        <v/>
      </c>
      <c r="P1709" t="str">
        <f>VLOOKUP(A1709,Groups!A:L,5,FALSE)</f>
        <v>LOCA</v>
      </c>
      <c r="Q1709" s="62" t="str">
        <f>IF(G1709="PA",IF(M1709&lt;&gt;"",ISERROR(VLOOKUP(M1709,ABBR!C:F,1,FALSE)),ISERROR(VLOOKUP(E1709,ABBR!C:F,1,FALSE))),"")</f>
        <v/>
      </c>
    </row>
    <row r="1710" spans="1:17" hidden="1" x14ac:dyDescent="0.25">
      <c r="A1710" s="16" t="s">
        <v>243</v>
      </c>
      <c r="B1710" s="17"/>
      <c r="C1710" s="16" t="s">
        <v>3356</v>
      </c>
      <c r="D1710" s="17"/>
      <c r="E1710" s="17" t="s">
        <v>3357</v>
      </c>
      <c r="F1710" s="18" t="s">
        <v>3358</v>
      </c>
      <c r="G1710" s="49" t="s">
        <v>3359</v>
      </c>
      <c r="H1710" s="17">
        <v>11</v>
      </c>
      <c r="O1710" s="62" t="str">
        <f>IF(E1710="PA",IF(K1710&lt;&gt;"",ISERROR(VLOOKUP(K1710,ABBR!A:D,1,FALSE)),ISERROR(VLOOKUP(C1710,ABBR!A:D,1,FALSE))),"")</f>
        <v/>
      </c>
      <c r="P1710" t="str">
        <f>VLOOKUP(A1710,Groups!A:L,5,FALSE)</f>
        <v>LOCA</v>
      </c>
      <c r="Q1710" s="62" t="str">
        <f>IF(G1710="PA",IF(M1710&lt;&gt;"",ISERROR(VLOOKUP(M1710,ABBR!C:F,1,FALSE)),ISERROR(VLOOKUP(E1710,ABBR!C:F,1,FALSE))),"")</f>
        <v/>
      </c>
    </row>
    <row r="1711" spans="1:17" hidden="1" x14ac:dyDescent="0.25">
      <c r="A1711" s="16" t="s">
        <v>243</v>
      </c>
      <c r="B1711" s="17"/>
      <c r="C1711" s="16" t="s">
        <v>3360</v>
      </c>
      <c r="D1711" s="17" t="s">
        <v>766</v>
      </c>
      <c r="E1711" s="17" t="s">
        <v>767</v>
      </c>
      <c r="F1711" s="18" t="s">
        <v>3361</v>
      </c>
      <c r="G1711" s="49" t="s">
        <v>910</v>
      </c>
      <c r="H1711" s="17">
        <v>12</v>
      </c>
      <c r="O1711" s="62" t="str">
        <f>IF(E1711="PA",IF(K1711&lt;&gt;"",ISERROR(VLOOKUP(K1711,ABBR!A:D,1,FALSE)),ISERROR(VLOOKUP(C1711,ABBR!A:D,1,FALSE))),"")</f>
        <v/>
      </c>
      <c r="P1711" t="str">
        <f>VLOOKUP(A1711,Groups!A:L,5,FALSE)</f>
        <v>LOCA</v>
      </c>
      <c r="Q1711" s="62" t="str">
        <f>IF(G1711="PA",IF(M1711&lt;&gt;"",ISERROR(VLOOKUP(M1711,ABBR!C:F,1,FALSE)),ISERROR(VLOOKUP(E1711,ABBR!C:F,1,FALSE))),"")</f>
        <v/>
      </c>
    </row>
    <row r="1712" spans="1:17" ht="50" hidden="1" x14ac:dyDescent="0.25">
      <c r="A1712" s="16" t="s">
        <v>243</v>
      </c>
      <c r="B1712" s="17"/>
      <c r="C1712" s="16" t="s">
        <v>3362</v>
      </c>
      <c r="D1712" s="17"/>
      <c r="E1712" s="17" t="s">
        <v>608</v>
      </c>
      <c r="F1712" s="18" t="s">
        <v>642</v>
      </c>
      <c r="G1712" s="49" t="s">
        <v>3363</v>
      </c>
      <c r="H1712" s="17">
        <v>13</v>
      </c>
      <c r="O1712" s="62" t="str">
        <f>IF(E1712="PA",IF(K1712&lt;&gt;"",ISERROR(VLOOKUP(K1712,ABBR!A:D,1,FALSE)),ISERROR(VLOOKUP(C1712,ABBR!A:D,1,FALSE))),"")</f>
        <v/>
      </c>
      <c r="P1712" t="str">
        <f>VLOOKUP(A1712,Groups!A:L,5,FALSE)</f>
        <v>LOCA</v>
      </c>
      <c r="Q1712" s="62" t="str">
        <f>IF(G1712="PA",IF(M1712&lt;&gt;"",ISERROR(VLOOKUP(M1712,ABBR!C:F,1,FALSE)),ISERROR(VLOOKUP(E1712,ABBR!C:F,1,FALSE))),"")</f>
        <v/>
      </c>
    </row>
    <row r="1713" spans="1:17" ht="25" hidden="1" x14ac:dyDescent="0.25">
      <c r="A1713" s="16" t="s">
        <v>243</v>
      </c>
      <c r="B1713" s="17"/>
      <c r="C1713" s="16" t="s">
        <v>3364</v>
      </c>
      <c r="D1713" s="17"/>
      <c r="E1713" s="17" t="s">
        <v>608</v>
      </c>
      <c r="F1713" s="18" t="s">
        <v>1938</v>
      </c>
      <c r="G1713" s="49" t="s">
        <v>3365</v>
      </c>
      <c r="H1713" s="17">
        <v>14</v>
      </c>
      <c r="O1713" s="62" t="str">
        <f>IF(E1713="PA",IF(K1713&lt;&gt;"",ISERROR(VLOOKUP(K1713,ABBR!A:D,1,FALSE)),ISERROR(VLOOKUP(C1713,ABBR!A:D,1,FALSE))),"")</f>
        <v/>
      </c>
      <c r="P1713" t="str">
        <f>VLOOKUP(A1713,Groups!A:L,5,FALSE)</f>
        <v>LOCA</v>
      </c>
      <c r="Q1713" s="62" t="str">
        <f>IF(G1713="PA",IF(M1713&lt;&gt;"",ISERROR(VLOOKUP(M1713,ABBR!C:F,1,FALSE)),ISERROR(VLOOKUP(E1713,ABBR!C:F,1,FALSE))),"")</f>
        <v/>
      </c>
    </row>
    <row r="1714" spans="1:17" hidden="1" x14ac:dyDescent="0.25">
      <c r="A1714" s="16" t="s">
        <v>243</v>
      </c>
      <c r="B1714" s="17"/>
      <c r="C1714" s="16" t="s">
        <v>3366</v>
      </c>
      <c r="D1714" s="17"/>
      <c r="E1714" s="17" t="s">
        <v>608</v>
      </c>
      <c r="F1714" s="18" t="s">
        <v>918</v>
      </c>
      <c r="G1714" s="49" t="s">
        <v>3367</v>
      </c>
      <c r="H1714" s="17">
        <v>15</v>
      </c>
      <c r="O1714" s="62" t="str">
        <f>IF(E1714="PA",IF(K1714&lt;&gt;"",ISERROR(VLOOKUP(K1714,ABBR!A:D,1,FALSE)),ISERROR(VLOOKUP(C1714,ABBR!A:D,1,FALSE))),"")</f>
        <v/>
      </c>
      <c r="P1714" t="str">
        <f>VLOOKUP(A1714,Groups!A:L,5,FALSE)</f>
        <v>LOCA</v>
      </c>
      <c r="Q1714" s="62" t="str">
        <f>IF(G1714="PA",IF(M1714&lt;&gt;"",ISERROR(VLOOKUP(M1714,ABBR!C:F,1,FALSE)),ISERROR(VLOOKUP(E1714,ABBR!C:F,1,FALSE))),"")</f>
        <v/>
      </c>
    </row>
    <row r="1715" spans="1:17" ht="25" hidden="1" x14ac:dyDescent="0.25">
      <c r="A1715" s="16" t="s">
        <v>243</v>
      </c>
      <c r="B1715" s="17"/>
      <c r="C1715" s="16" t="s">
        <v>3368</v>
      </c>
      <c r="D1715" s="17"/>
      <c r="E1715" s="17" t="s">
        <v>608</v>
      </c>
      <c r="F1715" s="18" t="s">
        <v>1943</v>
      </c>
      <c r="G1715" s="49" t="s">
        <v>1944</v>
      </c>
      <c r="H1715" s="17">
        <v>16</v>
      </c>
      <c r="O1715" s="62" t="str">
        <f>IF(E1715="PA",IF(K1715&lt;&gt;"",ISERROR(VLOOKUP(K1715,ABBR!A:D,1,FALSE)),ISERROR(VLOOKUP(C1715,ABBR!A:D,1,FALSE))),"")</f>
        <v/>
      </c>
      <c r="P1715" t="str">
        <f>VLOOKUP(A1715,Groups!A:L,5,FALSE)</f>
        <v>LOCA</v>
      </c>
      <c r="Q1715" s="62" t="str">
        <f>IF(G1715="PA",IF(M1715&lt;&gt;"",ISERROR(VLOOKUP(M1715,ABBR!C:F,1,FALSE)),ISERROR(VLOOKUP(E1715,ABBR!C:F,1,FALSE))),"")</f>
        <v/>
      </c>
    </row>
    <row r="1716" spans="1:17" ht="25" hidden="1" x14ac:dyDescent="0.25">
      <c r="A1716" s="16" t="s">
        <v>243</v>
      </c>
      <c r="B1716" s="17"/>
      <c r="C1716" s="16" t="s">
        <v>3369</v>
      </c>
      <c r="D1716" s="17"/>
      <c r="E1716" s="17" t="s">
        <v>608</v>
      </c>
      <c r="F1716" s="18" t="s">
        <v>934</v>
      </c>
      <c r="G1716" s="49" t="s">
        <v>953</v>
      </c>
      <c r="H1716" s="17">
        <v>17</v>
      </c>
      <c r="O1716" s="62" t="str">
        <f>IF(E1716="PA",IF(K1716&lt;&gt;"",ISERROR(VLOOKUP(K1716,ABBR!A:D,1,FALSE)),ISERROR(VLOOKUP(C1716,ABBR!A:D,1,FALSE))),"")</f>
        <v/>
      </c>
      <c r="P1716" t="str">
        <f>VLOOKUP(A1716,Groups!A:L,5,FALSE)</f>
        <v>LOCA</v>
      </c>
      <c r="Q1716" s="62" t="str">
        <f>IF(G1716="PA",IF(M1716&lt;&gt;"",ISERROR(VLOOKUP(M1716,ABBR!C:F,1,FALSE)),ISERROR(VLOOKUP(E1716,ABBR!C:F,1,FALSE))),"")</f>
        <v/>
      </c>
    </row>
    <row r="1717" spans="1:17" hidden="1" x14ac:dyDescent="0.25">
      <c r="A1717" s="16" t="s">
        <v>243</v>
      </c>
      <c r="B1717" s="17"/>
      <c r="C1717" s="16" t="s">
        <v>936</v>
      </c>
      <c r="D1717" s="17"/>
      <c r="E1717" s="22" t="s">
        <v>608</v>
      </c>
      <c r="F1717" s="18" t="s">
        <v>937</v>
      </c>
      <c r="G1717" s="49" t="s">
        <v>938</v>
      </c>
      <c r="H1717" s="17">
        <v>18</v>
      </c>
      <c r="O1717" s="62" t="str">
        <f>IF(E1717="PA",IF(K1717&lt;&gt;"",ISERROR(VLOOKUP(K1717,ABBR!A:D,1,FALSE)),ISERROR(VLOOKUP(C1717,ABBR!A:D,1,FALSE))),"")</f>
        <v/>
      </c>
      <c r="P1717" t="str">
        <f>VLOOKUP(A1717,Groups!A:L,5,FALSE)</f>
        <v>LOCA</v>
      </c>
      <c r="Q1717" s="62" t="str">
        <f>IF(G1717="PA",IF(M1717&lt;&gt;"",ISERROR(VLOOKUP(M1717,ABBR!C:F,1,FALSE)),ISERROR(VLOOKUP(E1717,ABBR!C:F,1,FALSE))),"")</f>
        <v/>
      </c>
    </row>
    <row r="1718" spans="1:17" hidden="1" x14ac:dyDescent="0.25">
      <c r="A1718" s="16" t="s">
        <v>243</v>
      </c>
      <c r="B1718" s="17"/>
      <c r="C1718" s="16" t="s">
        <v>643</v>
      </c>
      <c r="D1718" s="17"/>
      <c r="E1718" s="17" t="s">
        <v>608</v>
      </c>
      <c r="F1718" s="18" t="s">
        <v>1294</v>
      </c>
      <c r="G1718" s="49" t="s">
        <v>3238</v>
      </c>
      <c r="H1718" s="17">
        <v>19</v>
      </c>
      <c r="O1718" s="62" t="str">
        <f>IF(E1718="PA",IF(K1718&lt;&gt;"",ISERROR(VLOOKUP(K1718,ABBR!A:D,1,FALSE)),ISERROR(VLOOKUP(C1718,ABBR!A:D,1,FALSE))),"")</f>
        <v/>
      </c>
      <c r="P1718" t="str">
        <f>VLOOKUP(A1718,Groups!A:L,5,FALSE)</f>
        <v>LOCA</v>
      </c>
      <c r="Q1718" s="62" t="str">
        <f>IF(G1718="PA",IF(M1718&lt;&gt;"",ISERROR(VLOOKUP(M1718,ABBR!C:F,1,FALSE)),ISERROR(VLOOKUP(E1718,ABBR!C:F,1,FALSE))),"")</f>
        <v/>
      </c>
    </row>
    <row r="1719" spans="1:17" hidden="1" x14ac:dyDescent="0.25">
      <c r="A1719" s="16" t="s">
        <v>243</v>
      </c>
      <c r="B1719" s="17"/>
      <c r="C1719" s="16" t="s">
        <v>3370</v>
      </c>
      <c r="D1719" s="17"/>
      <c r="E1719" s="17" t="s">
        <v>608</v>
      </c>
      <c r="F1719" s="18" t="s">
        <v>3371</v>
      </c>
      <c r="G1719" s="49" t="s">
        <v>876</v>
      </c>
      <c r="H1719" s="17">
        <v>20</v>
      </c>
      <c r="I1719" s="30" t="s">
        <v>955</v>
      </c>
      <c r="J1719" s="80">
        <v>4.0999999999999996</v>
      </c>
      <c r="O1719" s="62" t="str">
        <f>IF(E1719="PA",IF(K1719&lt;&gt;"",ISERROR(VLOOKUP(K1719,ABBR!A:D,1,FALSE)),ISERROR(VLOOKUP(C1719,ABBR!A:D,1,FALSE))),"")</f>
        <v/>
      </c>
      <c r="P1719" t="str">
        <f>VLOOKUP(A1719,Groups!A:L,5,FALSE)</f>
        <v>LOCA</v>
      </c>
      <c r="Q1719" s="62" t="str">
        <f>IF(G1719="PA",IF(M1719&lt;&gt;"",ISERROR(VLOOKUP(M1719,ABBR!C:F,1,FALSE)),ISERROR(VLOOKUP(E1719,ABBR!C:F,1,FALSE))),"")</f>
        <v/>
      </c>
    </row>
    <row r="1720" spans="1:17" hidden="1" x14ac:dyDescent="0.25">
      <c r="A1720" s="16" t="s">
        <v>243</v>
      </c>
      <c r="B1720" s="17"/>
      <c r="C1720" s="16" t="s">
        <v>3372</v>
      </c>
      <c r="D1720" s="17" t="s">
        <v>722</v>
      </c>
      <c r="E1720" s="17" t="s">
        <v>723</v>
      </c>
      <c r="F1720" s="18" t="s">
        <v>3373</v>
      </c>
      <c r="G1720" s="49" t="s">
        <v>2339</v>
      </c>
      <c r="H1720" s="17">
        <v>21</v>
      </c>
      <c r="J1720" s="62" t="s">
        <v>478</v>
      </c>
      <c r="K1720" s="62"/>
      <c r="M1720" s="62"/>
      <c r="N1720" s="62"/>
      <c r="O1720" s="62" t="str">
        <f>IF(E1720="PA",IF(K1720&lt;&gt;"",ISERROR(VLOOKUP(K1720,ABBR!A:D,1,FALSE)),ISERROR(VLOOKUP(C1720,ABBR!A:D,1,FALSE))),"")</f>
        <v/>
      </c>
      <c r="P1720" t="str">
        <f>VLOOKUP(A1720,Groups!A:L,5,FALSE)</f>
        <v>LOCA</v>
      </c>
      <c r="Q1720" s="62" t="str">
        <f>IF(G1720="PA",IF(M1720&lt;&gt;"",ISERROR(VLOOKUP(M1720,ABBR!C:F,1,FALSE)),ISERROR(VLOOKUP(E1720,ABBR!C:F,1,FALSE))),"")</f>
        <v/>
      </c>
    </row>
    <row r="1721" spans="1:17" hidden="1" x14ac:dyDescent="0.25">
      <c r="A1721" s="16" t="s">
        <v>243</v>
      </c>
      <c r="B1721" s="17"/>
      <c r="C1721" s="16" t="s">
        <v>3374</v>
      </c>
      <c r="D1721" s="17" t="s">
        <v>722</v>
      </c>
      <c r="E1721" s="17" t="s">
        <v>723</v>
      </c>
      <c r="F1721" s="18" t="s">
        <v>3375</v>
      </c>
      <c r="G1721" s="49" t="s">
        <v>3376</v>
      </c>
      <c r="H1721" s="17">
        <v>22</v>
      </c>
      <c r="J1721" s="62" t="s">
        <v>478</v>
      </c>
      <c r="K1721" s="62"/>
      <c r="M1721" s="62"/>
      <c r="N1721" s="62"/>
      <c r="O1721" s="62" t="str">
        <f>IF(E1721="PA",IF(K1721&lt;&gt;"",ISERROR(VLOOKUP(K1721,ABBR!A:D,1,FALSE)),ISERROR(VLOOKUP(C1721,ABBR!A:D,1,FALSE))),"")</f>
        <v/>
      </c>
      <c r="P1721" t="str">
        <f>VLOOKUP(A1721,Groups!A:L,5,FALSE)</f>
        <v>LOCA</v>
      </c>
      <c r="Q1721" s="62" t="str">
        <f>IF(G1721="PA",IF(M1721&lt;&gt;"",ISERROR(VLOOKUP(M1721,ABBR!C:F,1,FALSE)),ISERROR(VLOOKUP(E1721,ABBR!C:F,1,FALSE))),"")</f>
        <v/>
      </c>
    </row>
    <row r="1722" spans="1:17" hidden="1" x14ac:dyDescent="0.25">
      <c r="A1722" s="16" t="s">
        <v>243</v>
      </c>
      <c r="B1722" s="17"/>
      <c r="C1722" s="16" t="s">
        <v>3377</v>
      </c>
      <c r="D1722" s="17"/>
      <c r="E1722" s="17" t="s">
        <v>608</v>
      </c>
      <c r="F1722" s="18" t="s">
        <v>3378</v>
      </c>
      <c r="G1722" s="49" t="s">
        <v>3379</v>
      </c>
      <c r="H1722" s="17">
        <v>23</v>
      </c>
      <c r="J1722" s="62" t="s">
        <v>478</v>
      </c>
      <c r="K1722" s="62"/>
      <c r="M1722" s="62"/>
      <c r="N1722" s="62"/>
      <c r="O1722" s="62" t="str">
        <f>IF(E1722="PA",IF(K1722&lt;&gt;"",ISERROR(VLOOKUP(K1722,ABBR!A:D,1,FALSE)),ISERROR(VLOOKUP(C1722,ABBR!A:D,1,FALSE))),"")</f>
        <v/>
      </c>
      <c r="P1722" t="str">
        <f>VLOOKUP(A1722,Groups!A:L,5,FALSE)</f>
        <v>LOCA</v>
      </c>
      <c r="Q1722" s="62" t="str">
        <f>IF(G1722="PA",IF(M1722&lt;&gt;"",ISERROR(VLOOKUP(M1722,ABBR!C:F,1,FALSE)),ISERROR(VLOOKUP(E1722,ABBR!C:F,1,FALSE))),"")</f>
        <v/>
      </c>
    </row>
    <row r="1723" spans="1:17" ht="25" hidden="1" x14ac:dyDescent="0.25">
      <c r="A1723" s="16" t="s">
        <v>243</v>
      </c>
      <c r="B1723" s="17"/>
      <c r="C1723" s="16" t="s">
        <v>3380</v>
      </c>
      <c r="D1723" s="17"/>
      <c r="E1723" s="17" t="s">
        <v>608</v>
      </c>
      <c r="F1723" s="18" t="s">
        <v>3381</v>
      </c>
      <c r="G1723" s="49" t="s">
        <v>3379</v>
      </c>
      <c r="H1723" s="17">
        <v>24</v>
      </c>
      <c r="J1723" s="62" t="s">
        <v>478</v>
      </c>
      <c r="K1723" s="62"/>
      <c r="M1723" s="62"/>
      <c r="N1723" s="62"/>
      <c r="O1723" s="62" t="str">
        <f>IF(E1723="PA",IF(K1723&lt;&gt;"",ISERROR(VLOOKUP(K1723,ABBR!A:D,1,FALSE)),ISERROR(VLOOKUP(C1723,ABBR!A:D,1,FALSE))),"")</f>
        <v/>
      </c>
      <c r="P1723" t="str">
        <f>VLOOKUP(A1723,Groups!A:L,5,FALSE)</f>
        <v>LOCA</v>
      </c>
      <c r="Q1723" s="62" t="str">
        <f>IF(G1723="PA",IF(M1723&lt;&gt;"",ISERROR(VLOOKUP(M1723,ABBR!C:F,1,FALSE)),ISERROR(VLOOKUP(E1723,ABBR!C:F,1,FALSE))),"")</f>
        <v/>
      </c>
    </row>
    <row r="1724" spans="1:17" hidden="1" x14ac:dyDescent="0.25">
      <c r="A1724" s="16" t="s">
        <v>245</v>
      </c>
      <c r="B1724" s="17" t="s">
        <v>594</v>
      </c>
      <c r="C1724" s="16" t="s">
        <v>595</v>
      </c>
      <c r="D1724" s="17"/>
      <c r="E1724" s="17" t="s">
        <v>596</v>
      </c>
      <c r="F1724" s="18" t="s">
        <v>597</v>
      </c>
      <c r="G1724" s="49" t="s">
        <v>598</v>
      </c>
      <c r="H1724" s="17">
        <v>1</v>
      </c>
      <c r="O1724" s="62" t="str">
        <f>IF(E1724="PA",IF(K1724&lt;&gt;"",ISERROR(VLOOKUP(K1724,ABBR!A:D,1,FALSE)),ISERROR(VLOOKUP(C1724,ABBR!A:D,1,FALSE))),"")</f>
        <v/>
      </c>
      <c r="P1724" t="str">
        <f>VLOOKUP(A1724,Groups!A:L,5,FALSE)</f>
        <v>ISAG</v>
      </c>
      <c r="Q1724" s="62" t="str">
        <f>IF(G1724="PA",IF(M1724&lt;&gt;"",ISERROR(VLOOKUP(M1724,ABBR!C:F,1,FALSE)),ISERROR(VLOOKUP(E1724,ABBR!C:F,1,FALSE))),"")</f>
        <v/>
      </c>
    </row>
    <row r="1725" spans="1:17" hidden="1" x14ac:dyDescent="0.25">
      <c r="A1725" s="16" t="s">
        <v>245</v>
      </c>
      <c r="B1725" s="17" t="s">
        <v>594</v>
      </c>
      <c r="C1725" s="16" t="s">
        <v>3335</v>
      </c>
      <c r="D1725" s="17"/>
      <c r="E1725" s="17" t="s">
        <v>608</v>
      </c>
      <c r="F1725" s="18" t="s">
        <v>1323</v>
      </c>
      <c r="G1725" s="49" t="s">
        <v>631</v>
      </c>
      <c r="H1725" s="17">
        <v>2</v>
      </c>
      <c r="O1725" s="62" t="str">
        <f>IF(E1725="PA",IF(K1725&lt;&gt;"",ISERROR(VLOOKUP(K1725,ABBR!A:D,1,FALSE)),ISERROR(VLOOKUP(C1725,ABBR!A:D,1,FALSE))),"")</f>
        <v/>
      </c>
      <c r="P1725" t="str">
        <f>VLOOKUP(A1725,Groups!A:L,5,FALSE)</f>
        <v>ISAG</v>
      </c>
      <c r="Q1725" s="62" t="str">
        <f>IF(G1725="PA",IF(M1725&lt;&gt;"",ISERROR(VLOOKUP(M1725,ABBR!C:F,1,FALSE)),ISERROR(VLOOKUP(E1725,ABBR!C:F,1,FALSE))),"")</f>
        <v/>
      </c>
    </row>
    <row r="1726" spans="1:17" hidden="1" x14ac:dyDescent="0.25">
      <c r="A1726" s="16" t="s">
        <v>245</v>
      </c>
      <c r="B1726" s="17" t="s">
        <v>594</v>
      </c>
      <c r="C1726" s="16" t="s">
        <v>3382</v>
      </c>
      <c r="D1726" s="17" t="s">
        <v>1639</v>
      </c>
      <c r="E1726" s="17" t="s">
        <v>1417</v>
      </c>
      <c r="F1726" s="18" t="s">
        <v>3383</v>
      </c>
      <c r="G1726" s="49" t="s">
        <v>3384</v>
      </c>
      <c r="H1726" s="17">
        <v>3</v>
      </c>
      <c r="O1726" s="62" t="str">
        <f>IF(E1726="PA",IF(K1726&lt;&gt;"",ISERROR(VLOOKUP(K1726,ABBR!A:D,1,FALSE)),ISERROR(VLOOKUP(C1726,ABBR!A:D,1,FALSE))),"")</f>
        <v/>
      </c>
      <c r="P1726" t="str">
        <f>VLOOKUP(A1726,Groups!A:L,5,FALSE)</f>
        <v>ISAG</v>
      </c>
      <c r="Q1726" s="62" t="str">
        <f>IF(G1726="PA",IF(M1726&lt;&gt;"",ISERROR(VLOOKUP(M1726,ABBR!C:F,1,FALSE)),ISERROR(VLOOKUP(E1726,ABBR!C:F,1,FALSE))),"")</f>
        <v/>
      </c>
    </row>
    <row r="1727" spans="1:17" hidden="1" x14ac:dyDescent="0.25">
      <c r="A1727" s="16" t="s">
        <v>245</v>
      </c>
      <c r="B1727" s="17"/>
      <c r="C1727" s="16" t="s">
        <v>3385</v>
      </c>
      <c r="D1727" s="17" t="s">
        <v>600</v>
      </c>
      <c r="E1727" s="17" t="s">
        <v>601</v>
      </c>
      <c r="F1727" s="18" t="s">
        <v>3386</v>
      </c>
      <c r="G1727" s="49" t="s">
        <v>3387</v>
      </c>
      <c r="H1727" s="17">
        <v>4</v>
      </c>
      <c r="O1727" s="62" t="str">
        <f>IF(E1727="PA",IF(K1727&lt;&gt;"",ISERROR(VLOOKUP(K1727,ABBR!A:D,1,FALSE)),ISERROR(VLOOKUP(C1727,ABBR!A:D,1,FALSE))),"")</f>
        <v/>
      </c>
      <c r="P1727" t="str">
        <f>VLOOKUP(A1727,Groups!A:L,5,FALSE)</f>
        <v>ISAG</v>
      </c>
      <c r="Q1727" s="62" t="str">
        <f>IF(G1727="PA",IF(M1727&lt;&gt;"",ISERROR(VLOOKUP(M1727,ABBR!C:F,1,FALSE)),ISERROR(VLOOKUP(E1727,ABBR!C:F,1,FALSE))),"")</f>
        <v/>
      </c>
    </row>
    <row r="1728" spans="1:17" hidden="1" x14ac:dyDescent="0.25">
      <c r="A1728" s="16" t="s">
        <v>245</v>
      </c>
      <c r="B1728" s="17"/>
      <c r="C1728" s="16" t="s">
        <v>3388</v>
      </c>
      <c r="D1728" s="17"/>
      <c r="E1728" s="17" t="s">
        <v>608</v>
      </c>
      <c r="F1728" s="18" t="s">
        <v>3389</v>
      </c>
      <c r="G1728" s="49" t="s">
        <v>16</v>
      </c>
      <c r="H1728" s="17">
        <v>5</v>
      </c>
      <c r="M1728" s="101"/>
      <c r="O1728" s="62" t="str">
        <f>IF(E1728="PA",IF(K1728&lt;&gt;"",ISERROR(VLOOKUP(K1728,ABBR!A:D,1,FALSE)),ISERROR(VLOOKUP(C1728,ABBR!A:D,1,FALSE))),"")</f>
        <v/>
      </c>
      <c r="P1728" t="str">
        <f>VLOOKUP(A1728,Groups!A:L,5,FALSE)</f>
        <v>ISAG</v>
      </c>
      <c r="Q1728" s="62" t="str">
        <f>IF(G1728="PA",IF(M1728&lt;&gt;"",ISERROR(VLOOKUP(M1728,ABBR!C:F,1,FALSE)),ISERROR(VLOOKUP(E1728,ABBR!C:F,1,FALSE))),"")</f>
        <v/>
      </c>
    </row>
    <row r="1729" spans="1:17" hidden="1" x14ac:dyDescent="0.25">
      <c r="A1729" s="16" t="s">
        <v>245</v>
      </c>
      <c r="B1729" s="17"/>
      <c r="C1729" s="16" t="s">
        <v>643</v>
      </c>
      <c r="D1729" s="17"/>
      <c r="E1729" s="17" t="s">
        <v>608</v>
      </c>
      <c r="F1729" s="18" t="s">
        <v>954</v>
      </c>
      <c r="G1729" s="49" t="s">
        <v>3238</v>
      </c>
      <c r="H1729" s="17">
        <v>6</v>
      </c>
      <c r="O1729" s="62" t="str">
        <f>IF(E1729="PA",IF(K1729&lt;&gt;"",ISERROR(VLOOKUP(K1729,ABBR!A:D,1,FALSE)),ISERROR(VLOOKUP(C1729,ABBR!A:D,1,FALSE))),"")</f>
        <v/>
      </c>
      <c r="P1729" t="str">
        <f>VLOOKUP(A1729,Groups!A:L,5,FALSE)</f>
        <v>ISAG</v>
      </c>
      <c r="Q1729" s="62" t="str">
        <f>IF(G1729="PA",IF(M1729&lt;&gt;"",ISERROR(VLOOKUP(M1729,ABBR!C:F,1,FALSE)),ISERROR(VLOOKUP(E1729,ABBR!C:F,1,FALSE))),"")</f>
        <v/>
      </c>
    </row>
    <row r="1730" spans="1:17" hidden="1" x14ac:dyDescent="0.25">
      <c r="A1730" s="16" t="s">
        <v>247</v>
      </c>
      <c r="B1730" s="17" t="s">
        <v>594</v>
      </c>
      <c r="C1730" s="16" t="s">
        <v>595</v>
      </c>
      <c r="D1730" s="17"/>
      <c r="E1730" s="17" t="s">
        <v>596</v>
      </c>
      <c r="F1730" s="18" t="s">
        <v>597</v>
      </c>
      <c r="G1730" s="49" t="s">
        <v>598</v>
      </c>
      <c r="H1730" s="17">
        <v>1</v>
      </c>
      <c r="O1730" s="62" t="str">
        <f>IF(E1730="PA",IF(K1730&lt;&gt;"",ISERROR(VLOOKUP(K1730,ABBR!A:D,1,FALSE)),ISERROR(VLOOKUP(C1730,ABBR!A:D,1,FALSE))),"")</f>
        <v/>
      </c>
      <c r="P1730" t="str">
        <f>VLOOKUP(A1730,Groups!A:L,5,FALSE)</f>
        <v>LOCA</v>
      </c>
      <c r="Q1730" s="62" t="str">
        <f>IF(G1730="PA",IF(M1730&lt;&gt;"",ISERROR(VLOOKUP(M1730,ABBR!C:F,1,FALSE)),ISERROR(VLOOKUP(E1730,ABBR!C:F,1,FALSE))),"")</f>
        <v/>
      </c>
    </row>
    <row r="1731" spans="1:17" hidden="1" x14ac:dyDescent="0.25">
      <c r="A1731" s="16" t="s">
        <v>247</v>
      </c>
      <c r="B1731" s="17" t="s">
        <v>594</v>
      </c>
      <c r="C1731" s="16" t="s">
        <v>3390</v>
      </c>
      <c r="D1731" s="17" t="s">
        <v>600</v>
      </c>
      <c r="E1731" s="17" t="s">
        <v>601</v>
      </c>
      <c r="F1731" s="18" t="s">
        <v>3391</v>
      </c>
      <c r="G1731" s="49" t="s">
        <v>3225</v>
      </c>
      <c r="H1731" s="17">
        <v>2</v>
      </c>
      <c r="O1731" s="62" t="str">
        <f>IF(E1731="PA",IF(K1731&lt;&gt;"",ISERROR(VLOOKUP(K1731,ABBR!A:D,1,FALSE)),ISERROR(VLOOKUP(C1731,ABBR!A:D,1,FALSE))),"")</f>
        <v/>
      </c>
      <c r="P1731" t="str">
        <f>VLOOKUP(A1731,Groups!A:L,5,FALSE)</f>
        <v>LOCA</v>
      </c>
      <c r="Q1731" s="62" t="str">
        <f>IF(G1731="PA",IF(M1731&lt;&gt;"",ISERROR(VLOOKUP(M1731,ABBR!C:F,1,FALSE)),ISERROR(VLOOKUP(E1731,ABBR!C:F,1,FALSE))),"")</f>
        <v/>
      </c>
    </row>
    <row r="1732" spans="1:17" hidden="1" x14ac:dyDescent="0.25">
      <c r="A1732" s="16" t="s">
        <v>247</v>
      </c>
      <c r="B1732" s="17"/>
      <c r="C1732" s="16" t="s">
        <v>3392</v>
      </c>
      <c r="D1732" s="17"/>
      <c r="E1732" s="17" t="s">
        <v>767</v>
      </c>
      <c r="F1732" s="18" t="s">
        <v>3393</v>
      </c>
      <c r="G1732" s="49" t="s">
        <v>1030</v>
      </c>
      <c r="H1732" s="17">
        <v>3</v>
      </c>
      <c r="O1732" s="62" t="str">
        <f>IF(E1732="PA",IF(K1732&lt;&gt;"",ISERROR(VLOOKUP(K1732,ABBR!A:D,1,FALSE)),ISERROR(VLOOKUP(C1732,ABBR!A:D,1,FALSE))),"")</f>
        <v/>
      </c>
      <c r="P1732" t="str">
        <f>VLOOKUP(A1732,Groups!A:L,5,FALSE)</f>
        <v>LOCA</v>
      </c>
      <c r="Q1732" s="62" t="str">
        <f>IF(G1732="PA",IF(M1732&lt;&gt;"",ISERROR(VLOOKUP(M1732,ABBR!C:F,1,FALSE)),ISERROR(VLOOKUP(E1732,ABBR!C:F,1,FALSE))),"")</f>
        <v/>
      </c>
    </row>
    <row r="1733" spans="1:17" hidden="1" x14ac:dyDescent="0.25">
      <c r="A1733" s="16" t="s">
        <v>247</v>
      </c>
      <c r="B1733" s="17"/>
      <c r="C1733" s="16" t="s">
        <v>3394</v>
      </c>
      <c r="D1733" s="17"/>
      <c r="E1733" s="17" t="s">
        <v>767</v>
      </c>
      <c r="F1733" s="18" t="s">
        <v>3395</v>
      </c>
      <c r="G1733" s="49" t="s">
        <v>2360</v>
      </c>
      <c r="H1733" s="17">
        <v>4</v>
      </c>
      <c r="O1733" s="62" t="str">
        <f>IF(E1733="PA",IF(K1733&lt;&gt;"",ISERROR(VLOOKUP(K1733,ABBR!A:D,1,FALSE)),ISERROR(VLOOKUP(C1733,ABBR!A:D,1,FALSE))),"")</f>
        <v/>
      </c>
      <c r="P1733" t="str">
        <f>VLOOKUP(A1733,Groups!A:L,5,FALSE)</f>
        <v>LOCA</v>
      </c>
      <c r="Q1733" s="62" t="str">
        <f>IF(G1733="PA",IF(M1733&lt;&gt;"",ISERROR(VLOOKUP(M1733,ABBR!C:F,1,FALSE)),ISERROR(VLOOKUP(E1733,ABBR!C:F,1,FALSE))),"")</f>
        <v/>
      </c>
    </row>
    <row r="1734" spans="1:17" hidden="1" x14ac:dyDescent="0.25">
      <c r="A1734" s="16" t="s">
        <v>247</v>
      </c>
      <c r="B1734" s="17"/>
      <c r="C1734" s="16" t="s">
        <v>3396</v>
      </c>
      <c r="D1734" s="17" t="s">
        <v>722</v>
      </c>
      <c r="E1734" s="17" t="s">
        <v>767</v>
      </c>
      <c r="F1734" s="18" t="s">
        <v>3397</v>
      </c>
      <c r="G1734" s="49" t="s">
        <v>3398</v>
      </c>
      <c r="H1734" s="17">
        <v>5</v>
      </c>
      <c r="O1734" s="62" t="str">
        <f>IF(E1734="PA",IF(K1734&lt;&gt;"",ISERROR(VLOOKUP(K1734,ABBR!A:D,1,FALSE)),ISERROR(VLOOKUP(C1734,ABBR!A:D,1,FALSE))),"")</f>
        <v/>
      </c>
      <c r="P1734" t="str">
        <f>VLOOKUP(A1734,Groups!A:L,5,FALSE)</f>
        <v>LOCA</v>
      </c>
      <c r="Q1734" s="62" t="str">
        <f>IF(G1734="PA",IF(M1734&lt;&gt;"",ISERROR(VLOOKUP(M1734,ABBR!C:F,1,FALSE)),ISERROR(VLOOKUP(E1734,ABBR!C:F,1,FALSE))),"")</f>
        <v/>
      </c>
    </row>
    <row r="1735" spans="1:17" hidden="1" x14ac:dyDescent="0.25">
      <c r="A1735" s="16" t="s">
        <v>247</v>
      </c>
      <c r="B1735" s="17"/>
      <c r="C1735" s="16" t="s">
        <v>3399</v>
      </c>
      <c r="D1735" s="17"/>
      <c r="E1735" s="17" t="s">
        <v>767</v>
      </c>
      <c r="F1735" s="18" t="s">
        <v>3400</v>
      </c>
      <c r="G1735" s="49" t="s">
        <v>2360</v>
      </c>
      <c r="H1735" s="17">
        <v>6</v>
      </c>
      <c r="O1735" s="62" t="str">
        <f>IF(E1735="PA",IF(K1735&lt;&gt;"",ISERROR(VLOOKUP(K1735,ABBR!A:D,1,FALSE)),ISERROR(VLOOKUP(C1735,ABBR!A:D,1,FALSE))),"")</f>
        <v/>
      </c>
      <c r="P1735" t="str">
        <f>VLOOKUP(A1735,Groups!A:L,5,FALSE)</f>
        <v>LOCA</v>
      </c>
      <c r="Q1735" s="62" t="str">
        <f>IF(G1735="PA",IF(M1735&lt;&gt;"",ISERROR(VLOOKUP(M1735,ABBR!C:F,1,FALSE)),ISERROR(VLOOKUP(E1735,ABBR!C:F,1,FALSE))),"")</f>
        <v/>
      </c>
    </row>
    <row r="1736" spans="1:17" hidden="1" x14ac:dyDescent="0.25">
      <c r="A1736" s="16" t="s">
        <v>247</v>
      </c>
      <c r="B1736" s="17"/>
      <c r="C1736" s="16" t="s">
        <v>3401</v>
      </c>
      <c r="D1736" s="17"/>
      <c r="E1736" s="17" t="s">
        <v>608</v>
      </c>
      <c r="F1736" s="18" t="s">
        <v>3402</v>
      </c>
      <c r="G1736" s="49" t="s">
        <v>3403</v>
      </c>
      <c r="H1736" s="17">
        <v>7</v>
      </c>
      <c r="O1736" s="62" t="str">
        <f>IF(E1736="PA",IF(K1736&lt;&gt;"",ISERROR(VLOOKUP(K1736,ABBR!A:D,1,FALSE)),ISERROR(VLOOKUP(C1736,ABBR!A:D,1,FALSE))),"")</f>
        <v/>
      </c>
      <c r="P1736" t="str">
        <f>VLOOKUP(A1736,Groups!A:L,5,FALSE)</f>
        <v>LOCA</v>
      </c>
      <c r="Q1736" s="62" t="str">
        <f>IF(G1736="PA",IF(M1736&lt;&gt;"",ISERROR(VLOOKUP(M1736,ABBR!C:F,1,FALSE)),ISERROR(VLOOKUP(E1736,ABBR!C:F,1,FALSE))),"")</f>
        <v/>
      </c>
    </row>
    <row r="1737" spans="1:17" hidden="1" x14ac:dyDescent="0.25">
      <c r="A1737" s="16" t="s">
        <v>247</v>
      </c>
      <c r="B1737" s="17"/>
      <c r="C1737" s="16" t="s">
        <v>3404</v>
      </c>
      <c r="D1737" s="17" t="s">
        <v>600</v>
      </c>
      <c r="E1737" s="17" t="s">
        <v>601</v>
      </c>
      <c r="F1737" s="18" t="s">
        <v>3405</v>
      </c>
      <c r="G1737" s="49" t="s">
        <v>3406</v>
      </c>
      <c r="H1737" s="17">
        <v>8</v>
      </c>
      <c r="O1737" s="62" t="str">
        <f>IF(E1737="PA",IF(K1737&lt;&gt;"",ISERROR(VLOOKUP(K1737,ABBR!A:D,1,FALSE)),ISERROR(VLOOKUP(C1737,ABBR!A:D,1,FALSE))),"")</f>
        <v/>
      </c>
      <c r="P1737" t="str">
        <f>VLOOKUP(A1737,Groups!A:L,5,FALSE)</f>
        <v>LOCA</v>
      </c>
      <c r="Q1737" s="62" t="str">
        <f>IF(G1737="PA",IF(M1737&lt;&gt;"",ISERROR(VLOOKUP(M1737,ABBR!C:F,1,FALSE)),ISERROR(VLOOKUP(E1737,ABBR!C:F,1,FALSE))),"")</f>
        <v/>
      </c>
    </row>
    <row r="1738" spans="1:17" hidden="1" x14ac:dyDescent="0.25">
      <c r="A1738" s="16" t="s">
        <v>247</v>
      </c>
      <c r="B1738" s="17"/>
      <c r="C1738" s="16" t="s">
        <v>3407</v>
      </c>
      <c r="D1738" s="17" t="s">
        <v>600</v>
      </c>
      <c r="E1738" s="17" t="s">
        <v>1391</v>
      </c>
      <c r="F1738" s="18" t="s">
        <v>3408</v>
      </c>
      <c r="G1738" s="49" t="s">
        <v>3409</v>
      </c>
      <c r="H1738" s="17">
        <v>9</v>
      </c>
      <c r="O1738" s="62" t="str">
        <f>IF(E1738="PA",IF(K1738&lt;&gt;"",ISERROR(VLOOKUP(K1738,ABBR!A:D,1,FALSE)),ISERROR(VLOOKUP(C1738,ABBR!A:D,1,FALSE))),"")</f>
        <v/>
      </c>
      <c r="P1738" t="str">
        <f>VLOOKUP(A1738,Groups!A:L,5,FALSE)</f>
        <v>LOCA</v>
      </c>
      <c r="Q1738" s="62" t="str">
        <f>IF(G1738="PA",IF(M1738&lt;&gt;"",ISERROR(VLOOKUP(M1738,ABBR!C:F,1,FALSE)),ISERROR(VLOOKUP(E1738,ABBR!C:F,1,FALSE))),"")</f>
        <v/>
      </c>
    </row>
    <row r="1739" spans="1:17" hidden="1" x14ac:dyDescent="0.25">
      <c r="A1739" s="16" t="s">
        <v>247</v>
      </c>
      <c r="B1739" s="17"/>
      <c r="C1739" s="16" t="s">
        <v>3410</v>
      </c>
      <c r="D1739" s="17"/>
      <c r="E1739" s="17" t="s">
        <v>618</v>
      </c>
      <c r="F1739" s="18" t="s">
        <v>3411</v>
      </c>
      <c r="G1739" s="49" t="s">
        <v>3412</v>
      </c>
      <c r="H1739" s="17">
        <v>10</v>
      </c>
      <c r="O1739" s="62" t="b">
        <f>IF(E1739="PA",IF(K1739&lt;&gt;"",ISERROR(VLOOKUP(K1739,ABBR!A:D,1,FALSE)),ISERROR(VLOOKUP(C1739,ABBR!A:D,1,FALSE))),"")</f>
        <v>0</v>
      </c>
      <c r="P1739" t="str">
        <f>VLOOKUP(A1739,Groups!A:L,5,FALSE)</f>
        <v>LOCA</v>
      </c>
      <c r="Q1739" s="62" t="str">
        <f>IF(G1739="PA",IF(M1739&lt;&gt;"",ISERROR(VLOOKUP(M1739,ABBR!C:F,1,FALSE)),ISERROR(VLOOKUP(E1739,ABBR!C:F,1,FALSE))),"")</f>
        <v/>
      </c>
    </row>
    <row r="1740" spans="1:17" hidden="1" x14ac:dyDescent="0.25">
      <c r="A1740" s="16" t="s">
        <v>247</v>
      </c>
      <c r="B1740" s="17"/>
      <c r="C1740" s="16" t="s">
        <v>3413</v>
      </c>
      <c r="D1740" s="17"/>
      <c r="E1740" s="17" t="s">
        <v>608</v>
      </c>
      <c r="F1740" s="18" t="s">
        <v>3414</v>
      </c>
      <c r="G1740" s="49" t="s">
        <v>3415</v>
      </c>
      <c r="H1740" s="17">
        <v>11</v>
      </c>
      <c r="O1740" s="62" t="str">
        <f>IF(E1740="PA",IF(K1740&lt;&gt;"",ISERROR(VLOOKUP(K1740,ABBR!A:D,1,FALSE)),ISERROR(VLOOKUP(C1740,ABBR!A:D,1,FALSE))),"")</f>
        <v/>
      </c>
      <c r="P1740" t="str">
        <f>VLOOKUP(A1740,Groups!A:L,5,FALSE)</f>
        <v>LOCA</v>
      </c>
      <c r="Q1740" s="62" t="str">
        <f>IF(G1740="PA",IF(M1740&lt;&gt;"",ISERROR(VLOOKUP(M1740,ABBR!C:F,1,FALSE)),ISERROR(VLOOKUP(E1740,ABBR!C:F,1,FALSE))),"")</f>
        <v/>
      </c>
    </row>
    <row r="1741" spans="1:17" hidden="1" x14ac:dyDescent="0.25">
      <c r="A1741" s="16" t="s">
        <v>247</v>
      </c>
      <c r="B1741" s="17"/>
      <c r="C1741" s="16" t="s">
        <v>3416</v>
      </c>
      <c r="D1741" s="17" t="s">
        <v>766</v>
      </c>
      <c r="E1741" s="17" t="s">
        <v>767</v>
      </c>
      <c r="F1741" s="18" t="s">
        <v>3417</v>
      </c>
      <c r="G1741" s="49" t="s">
        <v>769</v>
      </c>
      <c r="H1741" s="17">
        <v>12</v>
      </c>
      <c r="O1741" s="62" t="str">
        <f>IF(E1741="PA",IF(K1741&lt;&gt;"",ISERROR(VLOOKUP(K1741,ABBR!A:D,1,FALSE)),ISERROR(VLOOKUP(C1741,ABBR!A:D,1,FALSE))),"")</f>
        <v/>
      </c>
      <c r="P1741" t="str">
        <f>VLOOKUP(A1741,Groups!A:L,5,FALSE)</f>
        <v>LOCA</v>
      </c>
      <c r="Q1741" s="62" t="str">
        <f>IF(G1741="PA",IF(M1741&lt;&gt;"",ISERROR(VLOOKUP(M1741,ABBR!C:F,1,FALSE)),ISERROR(VLOOKUP(E1741,ABBR!C:F,1,FALSE))),"")</f>
        <v/>
      </c>
    </row>
    <row r="1742" spans="1:17" hidden="1" x14ac:dyDescent="0.25">
      <c r="A1742" s="16" t="s">
        <v>247</v>
      </c>
      <c r="B1742" s="17"/>
      <c r="C1742" s="16" t="s">
        <v>3418</v>
      </c>
      <c r="D1742" s="17" t="s">
        <v>722</v>
      </c>
      <c r="E1742" s="17" t="s">
        <v>767</v>
      </c>
      <c r="F1742" s="18" t="s">
        <v>3419</v>
      </c>
      <c r="G1742" s="49" t="s">
        <v>2971</v>
      </c>
      <c r="H1742" s="17">
        <v>13</v>
      </c>
      <c r="O1742" s="62" t="str">
        <f>IF(E1742="PA",IF(K1742&lt;&gt;"",ISERROR(VLOOKUP(K1742,ABBR!A:D,1,FALSE)),ISERROR(VLOOKUP(C1742,ABBR!A:D,1,FALSE))),"")</f>
        <v/>
      </c>
      <c r="P1742" t="str">
        <f>VLOOKUP(A1742,Groups!A:L,5,FALSE)</f>
        <v>LOCA</v>
      </c>
      <c r="Q1742" s="62" t="str">
        <f>IF(G1742="PA",IF(M1742&lt;&gt;"",ISERROR(VLOOKUP(M1742,ABBR!C:F,1,FALSE)),ISERROR(VLOOKUP(E1742,ABBR!C:F,1,FALSE))),"")</f>
        <v/>
      </c>
    </row>
    <row r="1743" spans="1:17" hidden="1" x14ac:dyDescent="0.25">
      <c r="A1743" s="16" t="s">
        <v>247</v>
      </c>
      <c r="B1743" s="17"/>
      <c r="C1743" s="16" t="s">
        <v>3420</v>
      </c>
      <c r="D1743" s="17"/>
      <c r="E1743" s="17" t="s">
        <v>767</v>
      </c>
      <c r="F1743" s="18" t="s">
        <v>3421</v>
      </c>
      <c r="G1743" s="49" t="s">
        <v>3422</v>
      </c>
      <c r="H1743" s="17">
        <v>14</v>
      </c>
      <c r="O1743" s="62" t="str">
        <f>IF(E1743="PA",IF(K1743&lt;&gt;"",ISERROR(VLOOKUP(K1743,ABBR!A:D,1,FALSE)),ISERROR(VLOOKUP(C1743,ABBR!A:D,1,FALSE))),"")</f>
        <v/>
      </c>
      <c r="P1743" t="str">
        <f>VLOOKUP(A1743,Groups!A:L,5,FALSE)</f>
        <v>LOCA</v>
      </c>
      <c r="Q1743" s="62" t="str">
        <f>IF(G1743="PA",IF(M1743&lt;&gt;"",ISERROR(VLOOKUP(M1743,ABBR!C:F,1,FALSE)),ISERROR(VLOOKUP(E1743,ABBR!C:F,1,FALSE))),"")</f>
        <v/>
      </c>
    </row>
    <row r="1744" spans="1:17" hidden="1" x14ac:dyDescent="0.25">
      <c r="A1744" s="16" t="s">
        <v>247</v>
      </c>
      <c r="B1744" s="17"/>
      <c r="C1744" s="16" t="s">
        <v>3423</v>
      </c>
      <c r="D1744" s="17"/>
      <c r="E1744" s="17" t="s">
        <v>767</v>
      </c>
      <c r="F1744" s="18" t="s">
        <v>3424</v>
      </c>
      <c r="G1744" s="49" t="s">
        <v>1096</v>
      </c>
      <c r="H1744" s="17">
        <v>15</v>
      </c>
      <c r="O1744" s="62" t="str">
        <f>IF(E1744="PA",IF(K1744&lt;&gt;"",ISERROR(VLOOKUP(K1744,ABBR!A:D,1,FALSE)),ISERROR(VLOOKUP(C1744,ABBR!A:D,1,FALSE))),"")</f>
        <v/>
      </c>
      <c r="P1744" t="str">
        <f>VLOOKUP(A1744,Groups!A:L,5,FALSE)</f>
        <v>LOCA</v>
      </c>
      <c r="Q1744" s="62" t="str">
        <f>IF(G1744="PA",IF(M1744&lt;&gt;"",ISERROR(VLOOKUP(M1744,ABBR!C:F,1,FALSE)),ISERROR(VLOOKUP(E1744,ABBR!C:F,1,FALSE))),"")</f>
        <v/>
      </c>
    </row>
    <row r="1745" spans="1:17" hidden="1" x14ac:dyDescent="0.25">
      <c r="A1745" s="16" t="s">
        <v>247</v>
      </c>
      <c r="B1745" s="17"/>
      <c r="C1745" s="16" t="s">
        <v>3425</v>
      </c>
      <c r="D1745" s="17"/>
      <c r="E1745" s="17" t="s">
        <v>767</v>
      </c>
      <c r="F1745" s="18" t="s">
        <v>3426</v>
      </c>
      <c r="G1745" s="49" t="s">
        <v>1096</v>
      </c>
      <c r="H1745" s="17">
        <v>16</v>
      </c>
      <c r="O1745" s="62" t="str">
        <f>IF(E1745="PA",IF(K1745&lt;&gt;"",ISERROR(VLOOKUP(K1745,ABBR!A:D,1,FALSE)),ISERROR(VLOOKUP(C1745,ABBR!A:D,1,FALSE))),"")</f>
        <v/>
      </c>
      <c r="P1745" t="str">
        <f>VLOOKUP(A1745,Groups!A:L,5,FALSE)</f>
        <v>LOCA</v>
      </c>
      <c r="Q1745" s="62" t="str">
        <f>IF(G1745="PA",IF(M1745&lt;&gt;"",ISERROR(VLOOKUP(M1745,ABBR!C:F,1,FALSE)),ISERROR(VLOOKUP(E1745,ABBR!C:F,1,FALSE))),"")</f>
        <v/>
      </c>
    </row>
    <row r="1746" spans="1:17" hidden="1" x14ac:dyDescent="0.25">
      <c r="A1746" s="16" t="s">
        <v>247</v>
      </c>
      <c r="B1746" s="17"/>
      <c r="C1746" s="16" t="s">
        <v>3427</v>
      </c>
      <c r="D1746" s="17"/>
      <c r="E1746" s="17" t="s">
        <v>767</v>
      </c>
      <c r="F1746" s="18" t="s">
        <v>3428</v>
      </c>
      <c r="G1746" s="49" t="s">
        <v>1041</v>
      </c>
      <c r="H1746" s="17">
        <v>17</v>
      </c>
      <c r="O1746" s="62" t="str">
        <f>IF(E1746="PA",IF(K1746&lt;&gt;"",ISERROR(VLOOKUP(K1746,ABBR!A:D,1,FALSE)),ISERROR(VLOOKUP(C1746,ABBR!A:D,1,FALSE))),"")</f>
        <v/>
      </c>
      <c r="P1746" t="str">
        <f>VLOOKUP(A1746,Groups!A:L,5,FALSE)</f>
        <v>LOCA</v>
      </c>
      <c r="Q1746" s="62" t="str">
        <f>IF(G1746="PA",IF(M1746&lt;&gt;"",ISERROR(VLOOKUP(M1746,ABBR!C:F,1,FALSE)),ISERROR(VLOOKUP(E1746,ABBR!C:F,1,FALSE))),"")</f>
        <v/>
      </c>
    </row>
    <row r="1747" spans="1:17" hidden="1" x14ac:dyDescent="0.25">
      <c r="A1747" s="16" t="s">
        <v>247</v>
      </c>
      <c r="B1747" s="17"/>
      <c r="C1747" s="16" t="s">
        <v>3429</v>
      </c>
      <c r="D1747" s="17"/>
      <c r="E1747" s="17" t="s">
        <v>767</v>
      </c>
      <c r="F1747" s="18" t="s">
        <v>3430</v>
      </c>
      <c r="G1747" s="49" t="s">
        <v>1041</v>
      </c>
      <c r="H1747" s="17">
        <v>18</v>
      </c>
      <c r="O1747" s="62" t="str">
        <f>IF(E1747="PA",IF(K1747&lt;&gt;"",ISERROR(VLOOKUP(K1747,ABBR!A:D,1,FALSE)),ISERROR(VLOOKUP(C1747,ABBR!A:D,1,FALSE))),"")</f>
        <v/>
      </c>
      <c r="P1747" t="str">
        <f>VLOOKUP(A1747,Groups!A:L,5,FALSE)</f>
        <v>LOCA</v>
      </c>
      <c r="Q1747" s="62" t="str">
        <f>IF(G1747="PA",IF(M1747&lt;&gt;"",ISERROR(VLOOKUP(M1747,ABBR!C:F,1,FALSE)),ISERROR(VLOOKUP(E1747,ABBR!C:F,1,FALSE))),"")</f>
        <v/>
      </c>
    </row>
    <row r="1748" spans="1:17" hidden="1" x14ac:dyDescent="0.25">
      <c r="A1748" s="16" t="s">
        <v>247</v>
      </c>
      <c r="B1748" s="17"/>
      <c r="C1748" s="16" t="s">
        <v>3431</v>
      </c>
      <c r="D1748" s="17"/>
      <c r="E1748" s="17" t="s">
        <v>767</v>
      </c>
      <c r="F1748" s="18" t="s">
        <v>3432</v>
      </c>
      <c r="G1748" s="49" t="s">
        <v>1041</v>
      </c>
      <c r="H1748" s="17">
        <v>19</v>
      </c>
      <c r="O1748" s="62" t="str">
        <f>IF(E1748="PA",IF(K1748&lt;&gt;"",ISERROR(VLOOKUP(K1748,ABBR!A:D,1,FALSE)),ISERROR(VLOOKUP(C1748,ABBR!A:D,1,FALSE))),"")</f>
        <v/>
      </c>
      <c r="P1748" t="str">
        <f>VLOOKUP(A1748,Groups!A:L,5,FALSE)</f>
        <v>LOCA</v>
      </c>
      <c r="Q1748" s="62" t="str">
        <f>IF(G1748="PA",IF(M1748&lt;&gt;"",ISERROR(VLOOKUP(M1748,ABBR!C:F,1,FALSE)),ISERROR(VLOOKUP(E1748,ABBR!C:F,1,FALSE))),"")</f>
        <v/>
      </c>
    </row>
    <row r="1749" spans="1:17" hidden="1" x14ac:dyDescent="0.25">
      <c r="A1749" s="16" t="s">
        <v>247</v>
      </c>
      <c r="B1749" s="17"/>
      <c r="C1749" s="16" t="s">
        <v>3433</v>
      </c>
      <c r="D1749" s="17" t="s">
        <v>722</v>
      </c>
      <c r="E1749" s="17" t="s">
        <v>767</v>
      </c>
      <c r="F1749" s="18" t="s">
        <v>3434</v>
      </c>
      <c r="G1749" s="49" t="s">
        <v>1027</v>
      </c>
      <c r="H1749" s="17">
        <v>20</v>
      </c>
      <c r="O1749" s="62" t="str">
        <f>IF(E1749="PA",IF(K1749&lt;&gt;"",ISERROR(VLOOKUP(K1749,ABBR!A:D,1,FALSE)),ISERROR(VLOOKUP(C1749,ABBR!A:D,1,FALSE))),"")</f>
        <v/>
      </c>
      <c r="P1749" t="str">
        <f>VLOOKUP(A1749,Groups!A:L,5,FALSE)</f>
        <v>LOCA</v>
      </c>
      <c r="Q1749" s="62" t="str">
        <f>IF(G1749="PA",IF(M1749&lt;&gt;"",ISERROR(VLOOKUP(M1749,ABBR!C:F,1,FALSE)),ISERROR(VLOOKUP(E1749,ABBR!C:F,1,FALSE))),"")</f>
        <v/>
      </c>
    </row>
    <row r="1750" spans="1:17" hidden="1" x14ac:dyDescent="0.25">
      <c r="A1750" s="16" t="s">
        <v>247</v>
      </c>
      <c r="B1750" s="17"/>
      <c r="C1750" s="16" t="s">
        <v>3435</v>
      </c>
      <c r="D1750" s="17" t="s">
        <v>722</v>
      </c>
      <c r="E1750" s="17" t="s">
        <v>767</v>
      </c>
      <c r="F1750" s="18" t="s">
        <v>3436</v>
      </c>
      <c r="G1750" s="49" t="s">
        <v>1027</v>
      </c>
      <c r="H1750" s="17">
        <v>21</v>
      </c>
      <c r="O1750" s="62" t="str">
        <f>IF(E1750="PA",IF(K1750&lt;&gt;"",ISERROR(VLOOKUP(K1750,ABBR!A:D,1,FALSE)),ISERROR(VLOOKUP(C1750,ABBR!A:D,1,FALSE))),"")</f>
        <v/>
      </c>
      <c r="P1750" t="str">
        <f>VLOOKUP(A1750,Groups!A:L,5,FALSE)</f>
        <v>LOCA</v>
      </c>
      <c r="Q1750" s="62" t="str">
        <f>IF(G1750="PA",IF(M1750&lt;&gt;"",ISERROR(VLOOKUP(M1750,ABBR!C:F,1,FALSE)),ISERROR(VLOOKUP(E1750,ABBR!C:F,1,FALSE))),"")</f>
        <v/>
      </c>
    </row>
    <row r="1751" spans="1:17" hidden="1" x14ac:dyDescent="0.25">
      <c r="A1751" s="16" t="s">
        <v>247</v>
      </c>
      <c r="B1751" s="17"/>
      <c r="C1751" s="16" t="s">
        <v>3437</v>
      </c>
      <c r="D1751" s="17" t="s">
        <v>722</v>
      </c>
      <c r="E1751" s="17" t="s">
        <v>767</v>
      </c>
      <c r="F1751" s="18" t="s">
        <v>3438</v>
      </c>
      <c r="G1751" s="49" t="s">
        <v>1027</v>
      </c>
      <c r="H1751" s="17">
        <v>22</v>
      </c>
      <c r="O1751" s="62" t="str">
        <f>IF(E1751="PA",IF(K1751&lt;&gt;"",ISERROR(VLOOKUP(K1751,ABBR!A:D,1,FALSE)),ISERROR(VLOOKUP(C1751,ABBR!A:D,1,FALSE))),"")</f>
        <v/>
      </c>
      <c r="P1751" t="str">
        <f>VLOOKUP(A1751,Groups!A:L,5,FALSE)</f>
        <v>LOCA</v>
      </c>
      <c r="Q1751" s="62" t="str">
        <f>IF(G1751="PA",IF(M1751&lt;&gt;"",ISERROR(VLOOKUP(M1751,ABBR!C:F,1,FALSE)),ISERROR(VLOOKUP(E1751,ABBR!C:F,1,FALSE))),"")</f>
        <v/>
      </c>
    </row>
    <row r="1752" spans="1:17" hidden="1" x14ac:dyDescent="0.25">
      <c r="A1752" s="16" t="s">
        <v>247</v>
      </c>
      <c r="B1752" s="17"/>
      <c r="C1752" s="16" t="s">
        <v>3439</v>
      </c>
      <c r="D1752" s="17" t="s">
        <v>722</v>
      </c>
      <c r="E1752" s="17" t="s">
        <v>767</v>
      </c>
      <c r="F1752" s="18" t="s">
        <v>3440</v>
      </c>
      <c r="G1752" s="49" t="s">
        <v>1027</v>
      </c>
      <c r="H1752" s="17">
        <v>23</v>
      </c>
      <c r="O1752" s="62" t="str">
        <f>IF(E1752="PA",IF(K1752&lt;&gt;"",ISERROR(VLOOKUP(K1752,ABBR!A:D,1,FALSE)),ISERROR(VLOOKUP(C1752,ABBR!A:D,1,FALSE))),"")</f>
        <v/>
      </c>
      <c r="P1752" t="str">
        <f>VLOOKUP(A1752,Groups!A:L,5,FALSE)</f>
        <v>LOCA</v>
      </c>
      <c r="Q1752" s="62" t="str">
        <f>IF(G1752="PA",IF(M1752&lt;&gt;"",ISERROR(VLOOKUP(M1752,ABBR!C:F,1,FALSE)),ISERROR(VLOOKUP(E1752,ABBR!C:F,1,FALSE))),"")</f>
        <v/>
      </c>
    </row>
    <row r="1753" spans="1:17" hidden="1" x14ac:dyDescent="0.25">
      <c r="A1753" s="16" t="s">
        <v>247</v>
      </c>
      <c r="B1753" s="17"/>
      <c r="C1753" s="16" t="s">
        <v>3441</v>
      </c>
      <c r="D1753" s="17" t="s">
        <v>722</v>
      </c>
      <c r="E1753" s="17" t="s">
        <v>767</v>
      </c>
      <c r="F1753" s="18" t="s">
        <v>3442</v>
      </c>
      <c r="G1753" s="49" t="s">
        <v>1027</v>
      </c>
      <c r="H1753" s="17">
        <v>24</v>
      </c>
      <c r="O1753" s="62" t="str">
        <f>IF(E1753="PA",IF(K1753&lt;&gt;"",ISERROR(VLOOKUP(K1753,ABBR!A:D,1,FALSE)),ISERROR(VLOOKUP(C1753,ABBR!A:D,1,FALSE))),"")</f>
        <v/>
      </c>
      <c r="P1753" t="str">
        <f>VLOOKUP(A1753,Groups!A:L,5,FALSE)</f>
        <v>LOCA</v>
      </c>
      <c r="Q1753" s="62" t="str">
        <f>IF(G1753="PA",IF(M1753&lt;&gt;"",ISERROR(VLOOKUP(M1753,ABBR!C:F,1,FALSE)),ISERROR(VLOOKUP(E1753,ABBR!C:F,1,FALSE))),"")</f>
        <v/>
      </c>
    </row>
    <row r="1754" spans="1:17" hidden="1" x14ac:dyDescent="0.25">
      <c r="A1754" s="16" t="s">
        <v>247</v>
      </c>
      <c r="B1754" s="17"/>
      <c r="C1754" s="16" t="s">
        <v>3443</v>
      </c>
      <c r="D1754" s="17" t="s">
        <v>722</v>
      </c>
      <c r="E1754" s="17" t="s">
        <v>767</v>
      </c>
      <c r="F1754" s="18" t="s">
        <v>3444</v>
      </c>
      <c r="G1754" s="49" t="s">
        <v>1027</v>
      </c>
      <c r="H1754" s="17">
        <v>25</v>
      </c>
      <c r="O1754" s="62" t="str">
        <f>IF(E1754="PA",IF(K1754&lt;&gt;"",ISERROR(VLOOKUP(K1754,ABBR!A:D,1,FALSE)),ISERROR(VLOOKUP(C1754,ABBR!A:D,1,FALSE))),"")</f>
        <v/>
      </c>
      <c r="P1754" t="str">
        <f>VLOOKUP(A1754,Groups!A:L,5,FALSE)</f>
        <v>LOCA</v>
      </c>
      <c r="Q1754" s="62" t="str">
        <f>IF(G1754="PA",IF(M1754&lt;&gt;"",ISERROR(VLOOKUP(M1754,ABBR!C:F,1,FALSE)),ISERROR(VLOOKUP(E1754,ABBR!C:F,1,FALSE))),"")</f>
        <v/>
      </c>
    </row>
    <row r="1755" spans="1:17" hidden="1" x14ac:dyDescent="0.25">
      <c r="A1755" s="16" t="s">
        <v>247</v>
      </c>
      <c r="B1755" s="17"/>
      <c r="C1755" s="16" t="s">
        <v>3445</v>
      </c>
      <c r="D1755" s="17"/>
      <c r="E1755" s="17" t="s">
        <v>674</v>
      </c>
      <c r="F1755" s="18" t="s">
        <v>3446</v>
      </c>
      <c r="G1755" s="49" t="s">
        <v>676</v>
      </c>
      <c r="H1755" s="17">
        <v>26</v>
      </c>
      <c r="O1755" s="62" t="str">
        <f>IF(E1755="PA",IF(K1755&lt;&gt;"",ISERROR(VLOOKUP(K1755,ABBR!A:D,1,FALSE)),ISERROR(VLOOKUP(C1755,ABBR!A:D,1,FALSE))),"")</f>
        <v/>
      </c>
      <c r="P1755" t="str">
        <f>VLOOKUP(A1755,Groups!A:L,5,FALSE)</f>
        <v>LOCA</v>
      </c>
      <c r="Q1755" s="62" t="str">
        <f>IF(G1755="PA",IF(M1755&lt;&gt;"",ISERROR(VLOOKUP(M1755,ABBR!C:F,1,FALSE)),ISERROR(VLOOKUP(E1755,ABBR!C:F,1,FALSE))),"")</f>
        <v/>
      </c>
    </row>
    <row r="1756" spans="1:17" ht="25" hidden="1" x14ac:dyDescent="0.25">
      <c r="A1756" s="16" t="s">
        <v>247</v>
      </c>
      <c r="B1756" s="17"/>
      <c r="C1756" s="16" t="s">
        <v>3447</v>
      </c>
      <c r="D1756" s="17"/>
      <c r="E1756" s="17" t="s">
        <v>608</v>
      </c>
      <c r="F1756" s="18" t="s">
        <v>642</v>
      </c>
      <c r="G1756" s="49" t="s">
        <v>3448</v>
      </c>
      <c r="H1756" s="17">
        <v>27</v>
      </c>
      <c r="O1756" s="62" t="str">
        <f>IF(E1756="PA",IF(K1756&lt;&gt;"",ISERROR(VLOOKUP(K1756,ABBR!A:D,1,FALSE)),ISERROR(VLOOKUP(C1756,ABBR!A:D,1,FALSE))),"")</f>
        <v/>
      </c>
      <c r="P1756" t="str">
        <f>VLOOKUP(A1756,Groups!A:L,5,FALSE)</f>
        <v>LOCA</v>
      </c>
      <c r="Q1756" s="62" t="str">
        <f>IF(G1756="PA",IF(M1756&lt;&gt;"",ISERROR(VLOOKUP(M1756,ABBR!C:F,1,FALSE)),ISERROR(VLOOKUP(E1756,ABBR!C:F,1,FALSE))),"")</f>
        <v/>
      </c>
    </row>
    <row r="1757" spans="1:17" ht="25" hidden="1" x14ac:dyDescent="0.25">
      <c r="A1757" s="16" t="s">
        <v>247</v>
      </c>
      <c r="B1757" s="17"/>
      <c r="C1757" s="16" t="s">
        <v>3449</v>
      </c>
      <c r="D1757" s="17"/>
      <c r="E1757" s="17" t="s">
        <v>608</v>
      </c>
      <c r="F1757" s="18" t="s">
        <v>1938</v>
      </c>
      <c r="G1757" s="49" t="s">
        <v>3365</v>
      </c>
      <c r="H1757" s="17">
        <v>28</v>
      </c>
      <c r="O1757" s="62" t="str">
        <f>IF(E1757="PA",IF(K1757&lt;&gt;"",ISERROR(VLOOKUP(K1757,ABBR!A:D,1,FALSE)),ISERROR(VLOOKUP(C1757,ABBR!A:D,1,FALSE))),"")</f>
        <v/>
      </c>
      <c r="P1757" t="str">
        <f>VLOOKUP(A1757,Groups!A:L,5,FALSE)</f>
        <v>LOCA</v>
      </c>
      <c r="Q1757" s="62" t="str">
        <f>IF(G1757="PA",IF(M1757&lt;&gt;"",ISERROR(VLOOKUP(M1757,ABBR!C:F,1,FALSE)),ISERROR(VLOOKUP(E1757,ABBR!C:F,1,FALSE))),"")</f>
        <v/>
      </c>
    </row>
    <row r="1758" spans="1:17" ht="25" hidden="1" x14ac:dyDescent="0.25">
      <c r="A1758" s="16" t="s">
        <v>247</v>
      </c>
      <c r="B1758" s="17"/>
      <c r="C1758" s="16" t="s">
        <v>3450</v>
      </c>
      <c r="D1758" s="17"/>
      <c r="E1758" s="17" t="s">
        <v>608</v>
      </c>
      <c r="F1758" s="18" t="s">
        <v>918</v>
      </c>
      <c r="G1758" s="49" t="s">
        <v>3451</v>
      </c>
      <c r="H1758" s="17">
        <v>29</v>
      </c>
      <c r="O1758" s="62" t="str">
        <f>IF(E1758="PA",IF(K1758&lt;&gt;"",ISERROR(VLOOKUP(K1758,ABBR!A:D,1,FALSE)),ISERROR(VLOOKUP(C1758,ABBR!A:D,1,FALSE))),"")</f>
        <v/>
      </c>
      <c r="P1758" t="str">
        <f>VLOOKUP(A1758,Groups!A:L,5,FALSE)</f>
        <v>LOCA</v>
      </c>
      <c r="Q1758" s="62" t="str">
        <f>IF(G1758="PA",IF(M1758&lt;&gt;"",ISERROR(VLOOKUP(M1758,ABBR!C:F,1,FALSE)),ISERROR(VLOOKUP(E1758,ABBR!C:F,1,FALSE))),"")</f>
        <v/>
      </c>
    </row>
    <row r="1759" spans="1:17" ht="25" hidden="1" x14ac:dyDescent="0.25">
      <c r="A1759" s="16" t="s">
        <v>247</v>
      </c>
      <c r="B1759" s="17"/>
      <c r="C1759" s="16" t="s">
        <v>3452</v>
      </c>
      <c r="D1759" s="17"/>
      <c r="E1759" s="17" t="s">
        <v>608</v>
      </c>
      <c r="F1759" s="18" t="s">
        <v>934</v>
      </c>
      <c r="G1759" s="8" t="s">
        <v>953</v>
      </c>
      <c r="H1759" s="17">
        <v>30</v>
      </c>
      <c r="O1759" s="62" t="str">
        <f>IF(E1759="PA",IF(K1759&lt;&gt;"",ISERROR(VLOOKUP(K1759,ABBR!A:D,1,FALSE)),ISERROR(VLOOKUP(C1759,ABBR!A:D,1,FALSE))),"")</f>
        <v/>
      </c>
      <c r="P1759" t="str">
        <f>VLOOKUP(A1759,Groups!A:L,5,FALSE)</f>
        <v>LOCA</v>
      </c>
      <c r="Q1759" s="62" t="str">
        <f>IF(G1759="PA",IF(M1759&lt;&gt;"",ISERROR(VLOOKUP(M1759,ABBR!C:F,1,FALSE)),ISERROR(VLOOKUP(E1759,ABBR!C:F,1,FALSE))),"")</f>
        <v/>
      </c>
    </row>
    <row r="1760" spans="1:17" hidden="1" x14ac:dyDescent="0.25">
      <c r="A1760" s="16" t="s">
        <v>247</v>
      </c>
      <c r="B1760" s="17"/>
      <c r="C1760" s="16" t="s">
        <v>936</v>
      </c>
      <c r="D1760" s="17"/>
      <c r="E1760" s="22" t="s">
        <v>608</v>
      </c>
      <c r="F1760" s="18" t="s">
        <v>937</v>
      </c>
      <c r="G1760" s="49" t="s">
        <v>938</v>
      </c>
      <c r="H1760" s="17">
        <v>31</v>
      </c>
      <c r="O1760" s="62" t="str">
        <f>IF(E1760="PA",IF(K1760&lt;&gt;"",ISERROR(VLOOKUP(K1760,ABBR!A:D,1,FALSE)),ISERROR(VLOOKUP(C1760,ABBR!A:D,1,FALSE))),"")</f>
        <v/>
      </c>
      <c r="P1760" t="str">
        <f>VLOOKUP(A1760,Groups!A:L,5,FALSE)</f>
        <v>LOCA</v>
      </c>
      <c r="Q1760" s="62" t="str">
        <f>IF(G1760="PA",IF(M1760&lt;&gt;"",ISERROR(VLOOKUP(M1760,ABBR!C:F,1,FALSE)),ISERROR(VLOOKUP(E1760,ABBR!C:F,1,FALSE))),"")</f>
        <v/>
      </c>
    </row>
    <row r="1761" spans="1:17" hidden="1" x14ac:dyDescent="0.25">
      <c r="A1761" s="16" t="s">
        <v>247</v>
      </c>
      <c r="B1761" s="17"/>
      <c r="C1761" s="16" t="s">
        <v>643</v>
      </c>
      <c r="D1761" s="17"/>
      <c r="E1761" s="17" t="s">
        <v>608</v>
      </c>
      <c r="F1761" s="18" t="s">
        <v>954</v>
      </c>
      <c r="G1761" s="49" t="s">
        <v>3238</v>
      </c>
      <c r="H1761" s="17">
        <v>32</v>
      </c>
      <c r="O1761" s="62" t="str">
        <f>IF(E1761="PA",IF(K1761&lt;&gt;"",ISERROR(VLOOKUP(K1761,ABBR!A:D,1,FALSE)),ISERROR(VLOOKUP(C1761,ABBR!A:D,1,FALSE))),"")</f>
        <v/>
      </c>
      <c r="P1761" t="str">
        <f>VLOOKUP(A1761,Groups!A:L,5,FALSE)</f>
        <v>LOCA</v>
      </c>
      <c r="Q1761" s="62" t="str">
        <f>IF(G1761="PA",IF(M1761&lt;&gt;"",ISERROR(VLOOKUP(M1761,ABBR!C:F,1,FALSE)),ISERROR(VLOOKUP(E1761,ABBR!C:F,1,FALSE))),"")</f>
        <v/>
      </c>
    </row>
    <row r="1762" spans="1:17" hidden="1" x14ac:dyDescent="0.25">
      <c r="A1762" s="16" t="s">
        <v>247</v>
      </c>
      <c r="B1762" s="17"/>
      <c r="C1762" s="16" t="s">
        <v>3453</v>
      </c>
      <c r="D1762" s="17"/>
      <c r="E1762" s="17" t="s">
        <v>767</v>
      </c>
      <c r="F1762" s="18" t="s">
        <v>3454</v>
      </c>
      <c r="G1762" s="49" t="s">
        <v>2360</v>
      </c>
      <c r="H1762" s="17">
        <v>33</v>
      </c>
      <c r="O1762" s="62" t="str">
        <f>IF(E1762="PA",IF(K1762&lt;&gt;"",ISERROR(VLOOKUP(K1762,ABBR!A:D,1,FALSE)),ISERROR(VLOOKUP(C1762,ABBR!A:D,1,FALSE))),"")</f>
        <v/>
      </c>
      <c r="P1762" t="str">
        <f>VLOOKUP(A1762,Groups!A:L,5,FALSE)</f>
        <v>LOCA</v>
      </c>
      <c r="Q1762" s="62" t="str">
        <f>IF(G1762="PA",IF(M1762&lt;&gt;"",ISERROR(VLOOKUP(M1762,ABBR!C:F,1,FALSE)),ISERROR(VLOOKUP(E1762,ABBR!C:F,1,FALSE))),"")</f>
        <v/>
      </c>
    </row>
    <row r="1763" spans="1:17" hidden="1" x14ac:dyDescent="0.25">
      <c r="A1763" s="16" t="s">
        <v>247</v>
      </c>
      <c r="B1763" s="17"/>
      <c r="C1763" s="16" t="s">
        <v>3455</v>
      </c>
      <c r="D1763" s="17" t="s">
        <v>722</v>
      </c>
      <c r="E1763" s="17" t="s">
        <v>767</v>
      </c>
      <c r="F1763" s="18" t="s">
        <v>3456</v>
      </c>
      <c r="G1763" s="49" t="s">
        <v>897</v>
      </c>
      <c r="H1763" s="17">
        <v>34</v>
      </c>
      <c r="J1763" s="7" t="s">
        <v>478</v>
      </c>
      <c r="K1763" s="62"/>
      <c r="M1763" s="62"/>
      <c r="N1763" s="62"/>
      <c r="O1763" s="62" t="str">
        <f>IF(E1763="PA",IF(K1763&lt;&gt;"",ISERROR(VLOOKUP(K1763,ABBR!A:D,1,FALSE)),ISERROR(VLOOKUP(C1763,ABBR!A:D,1,FALSE))),"")</f>
        <v/>
      </c>
      <c r="P1763" t="str">
        <f>VLOOKUP(A1763,Groups!A:L,5,FALSE)</f>
        <v>LOCA</v>
      </c>
      <c r="Q1763" s="62" t="str">
        <f>IF(G1763="PA",IF(M1763&lt;&gt;"",ISERROR(VLOOKUP(M1763,ABBR!C:F,1,FALSE)),ISERROR(VLOOKUP(E1763,ABBR!C:F,1,FALSE))),"")</f>
        <v/>
      </c>
    </row>
    <row r="1764" spans="1:17" hidden="1" x14ac:dyDescent="0.25">
      <c r="A1764" s="16" t="s">
        <v>247</v>
      </c>
      <c r="B1764" s="17"/>
      <c r="C1764" s="16" t="s">
        <v>3457</v>
      </c>
      <c r="D1764" s="17" t="s">
        <v>722</v>
      </c>
      <c r="E1764" s="17" t="s">
        <v>767</v>
      </c>
      <c r="F1764" s="18" t="s">
        <v>3458</v>
      </c>
      <c r="G1764" s="49" t="s">
        <v>2067</v>
      </c>
      <c r="H1764" s="17">
        <v>35</v>
      </c>
      <c r="J1764" s="7" t="s">
        <v>478</v>
      </c>
      <c r="K1764" s="62"/>
      <c r="M1764" s="62"/>
      <c r="N1764" s="62"/>
      <c r="O1764" s="62" t="str">
        <f>IF(E1764="PA",IF(K1764&lt;&gt;"",ISERROR(VLOOKUP(K1764,ABBR!A:D,1,FALSE)),ISERROR(VLOOKUP(C1764,ABBR!A:D,1,FALSE))),"")</f>
        <v/>
      </c>
      <c r="P1764" t="str">
        <f>VLOOKUP(A1764,Groups!A:L,5,FALSE)</f>
        <v>LOCA</v>
      </c>
      <c r="Q1764" s="62" t="str">
        <f>IF(G1764="PA",IF(M1764&lt;&gt;"",ISERROR(VLOOKUP(M1764,ABBR!C:F,1,FALSE)),ISERROR(VLOOKUP(E1764,ABBR!C:F,1,FALSE))),"")</f>
        <v/>
      </c>
    </row>
    <row r="1765" spans="1:17" hidden="1" x14ac:dyDescent="0.25">
      <c r="A1765" s="16" t="s">
        <v>247</v>
      </c>
      <c r="B1765" s="17"/>
      <c r="C1765" s="16" t="s">
        <v>3459</v>
      </c>
      <c r="D1765" s="17"/>
      <c r="E1765" s="17" t="s">
        <v>674</v>
      </c>
      <c r="F1765" s="18" t="s">
        <v>3460</v>
      </c>
      <c r="G1765" s="49" t="s">
        <v>677</v>
      </c>
      <c r="H1765" s="17">
        <v>36</v>
      </c>
      <c r="J1765" s="7" t="s">
        <v>478</v>
      </c>
      <c r="K1765" s="62"/>
      <c r="M1765" s="62"/>
      <c r="N1765" s="62"/>
      <c r="O1765" s="62" t="str">
        <f>IF(E1765="PA",IF(K1765&lt;&gt;"",ISERROR(VLOOKUP(K1765,ABBR!A:D,1,FALSE)),ISERROR(VLOOKUP(C1765,ABBR!A:D,1,FALSE))),"")</f>
        <v/>
      </c>
      <c r="P1765" t="str">
        <f>VLOOKUP(A1765,Groups!A:L,5,FALSE)</f>
        <v>LOCA</v>
      </c>
      <c r="Q1765" s="62" t="str">
        <f>IF(G1765="PA",IF(M1765&lt;&gt;"",ISERROR(VLOOKUP(M1765,ABBR!C:F,1,FALSE)),ISERROR(VLOOKUP(E1765,ABBR!C:F,1,FALSE))),"")</f>
        <v/>
      </c>
    </row>
    <row r="1766" spans="1:17" hidden="1" x14ac:dyDescent="0.25">
      <c r="A1766" s="16" t="s">
        <v>247</v>
      </c>
      <c r="B1766" s="17"/>
      <c r="C1766" s="16" t="s">
        <v>3461</v>
      </c>
      <c r="D1766" s="17" t="s">
        <v>722</v>
      </c>
      <c r="E1766" s="17" t="s">
        <v>608</v>
      </c>
      <c r="F1766" s="18" t="s">
        <v>3462</v>
      </c>
      <c r="G1766" s="49" t="s">
        <v>3463</v>
      </c>
      <c r="H1766" s="17">
        <v>37</v>
      </c>
      <c r="J1766" s="7" t="s">
        <v>478</v>
      </c>
      <c r="K1766" s="62"/>
      <c r="M1766" s="62"/>
      <c r="N1766" s="62"/>
      <c r="O1766" s="62" t="str">
        <f>IF(E1766="PA",IF(K1766&lt;&gt;"",ISERROR(VLOOKUP(K1766,ABBR!A:D,1,FALSE)),ISERROR(VLOOKUP(C1766,ABBR!A:D,1,FALSE))),"")</f>
        <v/>
      </c>
      <c r="P1766" t="str">
        <f>VLOOKUP(A1766,Groups!A:L,5,FALSE)</f>
        <v>LOCA</v>
      </c>
      <c r="Q1766" s="62" t="str">
        <f>IF(G1766="PA",IF(M1766&lt;&gt;"",ISERROR(VLOOKUP(M1766,ABBR!C:F,1,FALSE)),ISERROR(VLOOKUP(E1766,ABBR!C:F,1,FALSE))),"")</f>
        <v/>
      </c>
    </row>
    <row r="1767" spans="1:17" ht="25" hidden="1" x14ac:dyDescent="0.25">
      <c r="A1767" s="16" t="s">
        <v>247</v>
      </c>
      <c r="B1767" s="17"/>
      <c r="C1767" s="16" t="s">
        <v>3464</v>
      </c>
      <c r="D1767" s="17" t="s">
        <v>600</v>
      </c>
      <c r="E1767" s="17" t="s">
        <v>1321</v>
      </c>
      <c r="F1767" s="18" t="s">
        <v>3465</v>
      </c>
      <c r="G1767" s="49" t="s">
        <v>3466</v>
      </c>
      <c r="H1767" s="17">
        <v>38</v>
      </c>
      <c r="J1767" s="62" t="s">
        <v>491</v>
      </c>
      <c r="K1767" s="62"/>
      <c r="M1767" s="62"/>
      <c r="N1767" s="62"/>
      <c r="O1767" s="62" t="str">
        <f>IF(E1767="PA",IF(K1767&lt;&gt;"",ISERROR(VLOOKUP(K1767,ABBR!A:D,1,FALSE)),ISERROR(VLOOKUP(C1767,ABBR!A:D,1,FALSE))),"")</f>
        <v/>
      </c>
      <c r="P1767" t="str">
        <f>VLOOKUP(A1767,Groups!A:L,5,FALSE)</f>
        <v>LOCA</v>
      </c>
      <c r="Q1767" s="62" t="str">
        <f>IF(G1767="PA",IF(M1767&lt;&gt;"",ISERROR(VLOOKUP(M1767,ABBR!C:F,1,FALSE)),ISERROR(VLOOKUP(E1767,ABBR!C:F,1,FALSE))),"")</f>
        <v/>
      </c>
    </row>
    <row r="1768" spans="1:17" hidden="1" x14ac:dyDescent="0.25">
      <c r="A1768" s="16" t="s">
        <v>247</v>
      </c>
      <c r="B1768" s="17"/>
      <c r="C1768" s="16" t="s">
        <v>3467</v>
      </c>
      <c r="D1768" s="17" t="s">
        <v>924</v>
      </c>
      <c r="E1768" s="17" t="s">
        <v>925</v>
      </c>
      <c r="F1768" s="18" t="s">
        <v>3468</v>
      </c>
      <c r="G1768" s="49" t="s">
        <v>3469</v>
      </c>
      <c r="H1768" s="17">
        <v>39</v>
      </c>
      <c r="J1768" s="62" t="s">
        <v>473</v>
      </c>
      <c r="K1768" s="62"/>
      <c r="M1768" s="62"/>
      <c r="N1768" s="62"/>
      <c r="O1768" s="62" t="str">
        <f>IF(E1768="PA",IF(K1768&lt;&gt;"",ISERROR(VLOOKUP(K1768,ABBR!A:D,1,FALSE)),ISERROR(VLOOKUP(C1768,ABBR!A:D,1,FALSE))),"")</f>
        <v/>
      </c>
      <c r="P1768" t="str">
        <f>VLOOKUP(A1768,Groups!A:L,5,FALSE)</f>
        <v>LOCA</v>
      </c>
      <c r="Q1768" s="62" t="str">
        <f>IF(G1768="PA",IF(M1768&lt;&gt;"",ISERROR(VLOOKUP(M1768,ABBR!C:F,1,FALSE)),ISERROR(VLOOKUP(E1768,ABBR!C:F,1,FALSE))),"")</f>
        <v/>
      </c>
    </row>
    <row r="1769" spans="1:17" hidden="1" x14ac:dyDescent="0.25">
      <c r="A1769" s="16" t="s">
        <v>247</v>
      </c>
      <c r="B1769" s="17"/>
      <c r="C1769" s="16" t="s">
        <v>3470</v>
      </c>
      <c r="D1769" s="17"/>
      <c r="E1769" s="17" t="s">
        <v>618</v>
      </c>
      <c r="F1769" s="18" t="s">
        <v>3471</v>
      </c>
      <c r="G1769" s="49" t="s">
        <v>3472</v>
      </c>
      <c r="H1769" s="17">
        <v>40</v>
      </c>
      <c r="J1769" s="62" t="s">
        <v>473</v>
      </c>
      <c r="K1769" s="62"/>
      <c r="M1769" s="62"/>
      <c r="N1769" s="62"/>
      <c r="O1769" s="62" t="b">
        <f>IF(E1769="PA",IF(K1769&lt;&gt;"",ISERROR(VLOOKUP(K1769,ABBR!A:D,1,FALSE)),ISERROR(VLOOKUP(C1769,ABBR!A:D,1,FALSE))),"")</f>
        <v>0</v>
      </c>
      <c r="P1769" t="str">
        <f>VLOOKUP(A1769,Groups!A:L,5,FALSE)</f>
        <v>LOCA</v>
      </c>
      <c r="Q1769" s="62" t="str">
        <f>IF(G1769="PA",IF(M1769&lt;&gt;"",ISERROR(VLOOKUP(M1769,ABBR!C:F,1,FALSE)),ISERROR(VLOOKUP(E1769,ABBR!C:F,1,FALSE))),"")</f>
        <v/>
      </c>
    </row>
    <row r="1770" spans="1:17" hidden="1" x14ac:dyDescent="0.25">
      <c r="A1770" s="16" t="s">
        <v>247</v>
      </c>
      <c r="B1770" s="17"/>
      <c r="C1770" s="16" t="s">
        <v>3473</v>
      </c>
      <c r="D1770" s="17"/>
      <c r="E1770" s="17" t="s">
        <v>608</v>
      </c>
      <c r="F1770" s="18" t="s">
        <v>3474</v>
      </c>
      <c r="G1770" s="49" t="s">
        <v>3475</v>
      </c>
      <c r="H1770" s="17">
        <v>41</v>
      </c>
      <c r="J1770" s="62" t="s">
        <v>473</v>
      </c>
      <c r="K1770" s="62"/>
      <c r="M1770" s="62"/>
      <c r="N1770" s="62"/>
      <c r="O1770" s="62" t="str">
        <f>IF(E1770="PA",IF(K1770&lt;&gt;"",ISERROR(VLOOKUP(K1770,ABBR!A:D,1,FALSE)),ISERROR(VLOOKUP(C1770,ABBR!A:D,1,FALSE))),"")</f>
        <v/>
      </c>
      <c r="P1770" t="str">
        <f>VLOOKUP(A1770,Groups!A:L,5,FALSE)</f>
        <v>LOCA</v>
      </c>
      <c r="Q1770" s="62" t="str">
        <f>IF(G1770="PA",IF(M1770&lt;&gt;"",ISERROR(VLOOKUP(M1770,ABBR!C:F,1,FALSE)),ISERROR(VLOOKUP(E1770,ABBR!C:F,1,FALSE))),"")</f>
        <v/>
      </c>
    </row>
    <row r="1771" spans="1:17" hidden="1" x14ac:dyDescent="0.25">
      <c r="A1771" s="16" t="s">
        <v>247</v>
      </c>
      <c r="B1771" s="17"/>
      <c r="C1771" s="16" t="s">
        <v>3476</v>
      </c>
      <c r="D1771" s="17"/>
      <c r="E1771" s="17" t="s">
        <v>608</v>
      </c>
      <c r="F1771" s="18" t="s">
        <v>642</v>
      </c>
      <c r="G1771" s="49" t="s">
        <v>3477</v>
      </c>
      <c r="H1771" s="17">
        <v>42</v>
      </c>
      <c r="J1771" s="62" t="s">
        <v>473</v>
      </c>
      <c r="K1771" s="62"/>
      <c r="M1771" s="62"/>
      <c r="N1771" s="62"/>
      <c r="O1771" s="62" t="str">
        <f>IF(E1771="PA",IF(K1771&lt;&gt;"",ISERROR(VLOOKUP(K1771,ABBR!A:D,1,FALSE)),ISERROR(VLOOKUP(C1771,ABBR!A:D,1,FALSE))),"")</f>
        <v/>
      </c>
      <c r="P1771" t="str">
        <f>VLOOKUP(A1771,Groups!A:L,5,FALSE)</f>
        <v>LOCA</v>
      </c>
      <c r="Q1771" s="62" t="str">
        <f>IF(G1771="PA",IF(M1771&lt;&gt;"",ISERROR(VLOOKUP(M1771,ABBR!C:F,1,FALSE)),ISERROR(VLOOKUP(E1771,ABBR!C:F,1,FALSE))),"")</f>
        <v/>
      </c>
    </row>
    <row r="1772" spans="1:17" hidden="1" x14ac:dyDescent="0.25">
      <c r="A1772" s="16" t="s">
        <v>515</v>
      </c>
      <c r="B1772" s="17" t="s">
        <v>594</v>
      </c>
      <c r="C1772" s="16" t="s">
        <v>595</v>
      </c>
      <c r="D1772" s="17"/>
      <c r="E1772" s="17" t="s">
        <v>596</v>
      </c>
      <c r="F1772" s="18" t="s">
        <v>597</v>
      </c>
      <c r="G1772" s="49" t="s">
        <v>598</v>
      </c>
      <c r="H1772" s="17">
        <v>1</v>
      </c>
      <c r="J1772" s="62" t="s">
        <v>517</v>
      </c>
      <c r="K1772" s="62"/>
      <c r="M1772" s="62"/>
      <c r="N1772" s="62"/>
      <c r="O1772" s="62" t="str">
        <f>IF(E1772="PA",IF(K1772&lt;&gt;"",ISERROR(VLOOKUP(K1772,ABBR!A:D,1,FALSE)),ISERROR(VLOOKUP(C1772,ABBR!A:D,1,FALSE))),"")</f>
        <v/>
      </c>
      <c r="P1772" t="str">
        <f>VLOOKUP(A1772,Groups!A:L,5,FALSE)</f>
        <v>LOCA</v>
      </c>
      <c r="Q1772" s="62" t="str">
        <f>IF(G1772="PA",IF(M1772&lt;&gt;"",ISERROR(VLOOKUP(M1772,ABBR!C:F,1,FALSE)),ISERROR(VLOOKUP(E1772,ABBR!C:F,1,FALSE))),"")</f>
        <v/>
      </c>
    </row>
    <row r="1773" spans="1:17" hidden="1" x14ac:dyDescent="0.25">
      <c r="A1773" s="16" t="s">
        <v>515</v>
      </c>
      <c r="B1773" s="17" t="s">
        <v>594</v>
      </c>
      <c r="C1773" s="16" t="s">
        <v>3478</v>
      </c>
      <c r="D1773" s="17" t="s">
        <v>600</v>
      </c>
      <c r="E1773" s="17" t="s">
        <v>601</v>
      </c>
      <c r="F1773" s="18" t="s">
        <v>3290</v>
      </c>
      <c r="G1773" s="49" t="s">
        <v>1956</v>
      </c>
      <c r="H1773" s="17">
        <v>2</v>
      </c>
      <c r="J1773" s="62" t="s">
        <v>517</v>
      </c>
      <c r="K1773" s="62"/>
      <c r="M1773" s="62"/>
      <c r="N1773" s="62"/>
      <c r="O1773" s="62" t="str">
        <f>IF(E1773="PA",IF(K1773&lt;&gt;"",ISERROR(VLOOKUP(K1773,ABBR!A:D,1,FALSE)),ISERROR(VLOOKUP(C1773,ABBR!A:D,1,FALSE))),"")</f>
        <v/>
      </c>
      <c r="P1773" t="str">
        <f>VLOOKUP(A1773,Groups!A:L,5,FALSE)</f>
        <v>LOCA</v>
      </c>
      <c r="Q1773" s="62" t="str">
        <f>IF(G1773="PA",IF(M1773&lt;&gt;"",ISERROR(VLOOKUP(M1773,ABBR!C:F,1,FALSE)),ISERROR(VLOOKUP(E1773,ABBR!C:F,1,FALSE))),"")</f>
        <v/>
      </c>
    </row>
    <row r="1774" spans="1:17" hidden="1" x14ac:dyDescent="0.25">
      <c r="A1774" s="16" t="s">
        <v>515</v>
      </c>
      <c r="B1774" s="17" t="s">
        <v>594</v>
      </c>
      <c r="C1774" s="16" t="s">
        <v>3479</v>
      </c>
      <c r="D1774" s="17"/>
      <c r="E1774" s="17" t="s">
        <v>608</v>
      </c>
      <c r="F1774" s="18" t="s">
        <v>1323</v>
      </c>
      <c r="G1774" s="49" t="s">
        <v>1229</v>
      </c>
      <c r="H1774" s="17">
        <v>3</v>
      </c>
      <c r="J1774" s="62" t="s">
        <v>517</v>
      </c>
      <c r="K1774" s="62"/>
      <c r="M1774" s="62"/>
      <c r="N1774" s="62"/>
      <c r="O1774" s="62" t="str">
        <f>IF(E1774="PA",IF(K1774&lt;&gt;"",ISERROR(VLOOKUP(K1774,ABBR!A:D,1,FALSE)),ISERROR(VLOOKUP(C1774,ABBR!A:D,1,FALSE))),"")</f>
        <v/>
      </c>
      <c r="P1774" t="str">
        <f>VLOOKUP(A1774,Groups!A:L,5,FALSE)</f>
        <v>LOCA</v>
      </c>
      <c r="Q1774" s="62" t="str">
        <f>IF(G1774="PA",IF(M1774&lt;&gt;"",ISERROR(VLOOKUP(M1774,ABBR!C:F,1,FALSE)),ISERROR(VLOOKUP(E1774,ABBR!C:F,1,FALSE))),"")</f>
        <v/>
      </c>
    </row>
    <row r="1775" spans="1:17" hidden="1" x14ac:dyDescent="0.25">
      <c r="A1775" s="16" t="s">
        <v>515</v>
      </c>
      <c r="B1775" s="17"/>
      <c r="C1775" s="16" t="s">
        <v>3480</v>
      </c>
      <c r="D1775" s="17" t="s">
        <v>924</v>
      </c>
      <c r="E1775" s="17" t="s">
        <v>925</v>
      </c>
      <c r="F1775" s="18" t="s">
        <v>1922</v>
      </c>
      <c r="G1775" s="49" t="s">
        <v>3293</v>
      </c>
      <c r="H1775" s="17">
        <v>4</v>
      </c>
      <c r="J1775" s="62" t="s">
        <v>517</v>
      </c>
      <c r="K1775" s="62"/>
      <c r="M1775" s="62"/>
      <c r="N1775" s="62"/>
      <c r="O1775" s="62" t="str">
        <f>IF(E1775="PA",IF(K1775&lt;&gt;"",ISERROR(VLOOKUP(K1775,ABBR!A:D,1,FALSE)),ISERROR(VLOOKUP(C1775,ABBR!A:D,1,FALSE))),"")</f>
        <v/>
      </c>
      <c r="P1775" t="str">
        <f>VLOOKUP(A1775,Groups!A:L,5,FALSE)</f>
        <v>LOCA</v>
      </c>
      <c r="Q1775" s="62" t="str">
        <f>IF(G1775="PA",IF(M1775&lt;&gt;"",ISERROR(VLOOKUP(M1775,ABBR!C:F,1,FALSE)),ISERROR(VLOOKUP(E1775,ABBR!C:F,1,FALSE))),"")</f>
        <v/>
      </c>
    </row>
    <row r="1776" spans="1:17" hidden="1" x14ac:dyDescent="0.25">
      <c r="A1776" s="16" t="s">
        <v>515</v>
      </c>
      <c r="B1776" s="17"/>
      <c r="C1776" s="16" t="s">
        <v>3481</v>
      </c>
      <c r="D1776" s="17" t="s">
        <v>3482</v>
      </c>
      <c r="E1776" s="17" t="s">
        <v>601</v>
      </c>
      <c r="F1776" s="18" t="s">
        <v>3483</v>
      </c>
      <c r="G1776" s="49" t="s">
        <v>3484</v>
      </c>
      <c r="H1776" s="17">
        <v>5</v>
      </c>
      <c r="J1776" s="62" t="s">
        <v>517</v>
      </c>
      <c r="K1776" s="62"/>
      <c r="M1776" s="62"/>
      <c r="N1776" s="62"/>
      <c r="O1776" s="62" t="str">
        <f>IF(E1776="PA",IF(K1776&lt;&gt;"",ISERROR(VLOOKUP(K1776,ABBR!A:D,1,FALSE)),ISERROR(VLOOKUP(C1776,ABBR!A:D,1,FALSE))),"")</f>
        <v/>
      </c>
      <c r="P1776" t="str">
        <f>VLOOKUP(A1776,Groups!A:L,5,FALSE)</f>
        <v>LOCA</v>
      </c>
      <c r="Q1776" s="62" t="str">
        <f>IF(G1776="PA",IF(M1776&lt;&gt;"",ISERROR(VLOOKUP(M1776,ABBR!C:F,1,FALSE)),ISERROR(VLOOKUP(E1776,ABBR!C:F,1,FALSE))),"")</f>
        <v/>
      </c>
    </row>
    <row r="1777" spans="1:17" hidden="1" x14ac:dyDescent="0.25">
      <c r="A1777" s="16" t="s">
        <v>515</v>
      </c>
      <c r="B1777" s="17"/>
      <c r="C1777" s="16" t="s">
        <v>3485</v>
      </c>
      <c r="D1777" s="17"/>
      <c r="E1777" s="17" t="s">
        <v>608</v>
      </c>
      <c r="F1777" s="18" t="s">
        <v>3486</v>
      </c>
      <c r="G1777" s="49" t="s">
        <v>16</v>
      </c>
      <c r="H1777" s="17">
        <v>6</v>
      </c>
      <c r="J1777" s="62" t="s">
        <v>517</v>
      </c>
      <c r="K1777" s="62"/>
      <c r="M1777" s="62"/>
      <c r="N1777" s="62"/>
      <c r="O1777" s="62" t="str">
        <f>IF(E1777="PA",IF(K1777&lt;&gt;"",ISERROR(VLOOKUP(K1777,ABBR!A:D,1,FALSE)),ISERROR(VLOOKUP(C1777,ABBR!A:D,1,FALSE))),"")</f>
        <v/>
      </c>
      <c r="P1777" t="str">
        <f>VLOOKUP(A1777,Groups!A:L,5,FALSE)</f>
        <v>LOCA</v>
      </c>
      <c r="Q1777" s="62" t="str">
        <f>IF(G1777="PA",IF(M1777&lt;&gt;"",ISERROR(VLOOKUP(M1777,ABBR!C:F,1,FALSE)),ISERROR(VLOOKUP(E1777,ABBR!C:F,1,FALSE))),"")</f>
        <v/>
      </c>
    </row>
    <row r="1778" spans="1:17" ht="25" hidden="1" x14ac:dyDescent="0.25">
      <c r="A1778" s="16" t="s">
        <v>515</v>
      </c>
      <c r="B1778" s="17"/>
      <c r="C1778" s="16" t="s">
        <v>3487</v>
      </c>
      <c r="D1778" s="17"/>
      <c r="E1778" s="17" t="s">
        <v>608</v>
      </c>
      <c r="F1778" s="18" t="s">
        <v>1938</v>
      </c>
      <c r="G1778" s="49" t="s">
        <v>3220</v>
      </c>
      <c r="H1778" s="17">
        <v>7</v>
      </c>
      <c r="J1778" s="62" t="s">
        <v>517</v>
      </c>
      <c r="K1778" s="62"/>
      <c r="M1778" s="62"/>
      <c r="N1778" s="62"/>
      <c r="O1778" s="62" t="str">
        <f>IF(E1778="PA",IF(K1778&lt;&gt;"",ISERROR(VLOOKUP(K1778,ABBR!A:D,1,FALSE)),ISERROR(VLOOKUP(C1778,ABBR!A:D,1,FALSE))),"")</f>
        <v/>
      </c>
      <c r="P1778" t="str">
        <f>VLOOKUP(A1778,Groups!A:L,5,FALSE)</f>
        <v>LOCA</v>
      </c>
      <c r="Q1778" s="62" t="str">
        <f>IF(G1778="PA",IF(M1778&lt;&gt;"",ISERROR(VLOOKUP(M1778,ABBR!C:F,1,FALSE)),ISERROR(VLOOKUP(E1778,ABBR!C:F,1,FALSE))),"")</f>
        <v/>
      </c>
    </row>
    <row r="1779" spans="1:17" hidden="1" x14ac:dyDescent="0.25">
      <c r="A1779" s="16" t="s">
        <v>515</v>
      </c>
      <c r="B1779" s="17"/>
      <c r="C1779" s="16" t="s">
        <v>3488</v>
      </c>
      <c r="D1779" s="17"/>
      <c r="E1779" s="17" t="s">
        <v>608</v>
      </c>
      <c r="F1779" s="18" t="s">
        <v>918</v>
      </c>
      <c r="G1779" s="49" t="s">
        <v>3489</v>
      </c>
      <c r="H1779" s="17">
        <v>8</v>
      </c>
      <c r="J1779" s="62" t="s">
        <v>517</v>
      </c>
      <c r="K1779" s="62"/>
      <c r="M1779" s="62"/>
      <c r="N1779" s="62"/>
      <c r="O1779" s="62" t="str">
        <f>IF(E1779="PA",IF(K1779&lt;&gt;"",ISERROR(VLOOKUP(K1779,ABBR!A:D,1,FALSE)),ISERROR(VLOOKUP(C1779,ABBR!A:D,1,FALSE))),"")</f>
        <v/>
      </c>
      <c r="P1779" t="str">
        <f>VLOOKUP(A1779,Groups!A:L,5,FALSE)</f>
        <v>LOCA</v>
      </c>
      <c r="Q1779" s="62" t="str">
        <f>IF(G1779="PA",IF(M1779&lt;&gt;"",ISERROR(VLOOKUP(M1779,ABBR!C:F,1,FALSE)),ISERROR(VLOOKUP(E1779,ABBR!C:F,1,FALSE))),"")</f>
        <v/>
      </c>
    </row>
    <row r="1780" spans="1:17" ht="25" hidden="1" x14ac:dyDescent="0.25">
      <c r="A1780" s="16" t="s">
        <v>515</v>
      </c>
      <c r="B1780" s="17"/>
      <c r="C1780" s="16" t="s">
        <v>3490</v>
      </c>
      <c r="D1780" s="17"/>
      <c r="E1780" s="17" t="s">
        <v>608</v>
      </c>
      <c r="F1780" s="18" t="s">
        <v>3491</v>
      </c>
      <c r="G1780" s="49" t="s">
        <v>1944</v>
      </c>
      <c r="H1780" s="17">
        <v>9</v>
      </c>
      <c r="J1780" s="62" t="s">
        <v>517</v>
      </c>
      <c r="K1780" s="62"/>
      <c r="M1780" s="62"/>
      <c r="N1780" s="62"/>
      <c r="O1780" s="62" t="str">
        <f>IF(E1780="PA",IF(K1780&lt;&gt;"",ISERROR(VLOOKUP(K1780,ABBR!A:D,1,FALSE)),ISERROR(VLOOKUP(C1780,ABBR!A:D,1,FALSE))),"")</f>
        <v/>
      </c>
      <c r="P1780" t="str">
        <f>VLOOKUP(A1780,Groups!A:L,5,FALSE)</f>
        <v>LOCA</v>
      </c>
      <c r="Q1780" s="62" t="str">
        <f>IF(G1780="PA",IF(M1780&lt;&gt;"",ISERROR(VLOOKUP(M1780,ABBR!C:F,1,FALSE)),ISERROR(VLOOKUP(E1780,ABBR!C:F,1,FALSE))),"")</f>
        <v/>
      </c>
    </row>
    <row r="1781" spans="1:17" ht="25" hidden="1" x14ac:dyDescent="0.25">
      <c r="A1781" s="16" t="s">
        <v>515</v>
      </c>
      <c r="B1781" s="17"/>
      <c r="C1781" s="16" t="s">
        <v>3492</v>
      </c>
      <c r="D1781" s="17"/>
      <c r="E1781" s="17" t="s">
        <v>608</v>
      </c>
      <c r="F1781" s="18" t="s">
        <v>934</v>
      </c>
      <c r="G1781" s="49" t="s">
        <v>953</v>
      </c>
      <c r="H1781" s="17">
        <v>10</v>
      </c>
      <c r="J1781" s="62" t="s">
        <v>517</v>
      </c>
      <c r="K1781" s="62"/>
      <c r="M1781" s="62"/>
      <c r="N1781" s="62"/>
      <c r="O1781" s="62" t="str">
        <f>IF(E1781="PA",IF(K1781&lt;&gt;"",ISERROR(VLOOKUP(K1781,ABBR!A:D,1,FALSE)),ISERROR(VLOOKUP(C1781,ABBR!A:D,1,FALSE))),"")</f>
        <v/>
      </c>
      <c r="P1781" t="str">
        <f>VLOOKUP(A1781,Groups!A:L,5,FALSE)</f>
        <v>LOCA</v>
      </c>
      <c r="Q1781" s="62" t="str">
        <f>IF(G1781="PA",IF(M1781&lt;&gt;"",ISERROR(VLOOKUP(M1781,ABBR!C:F,1,FALSE)),ISERROR(VLOOKUP(E1781,ABBR!C:F,1,FALSE))),"")</f>
        <v/>
      </c>
    </row>
    <row r="1782" spans="1:17" hidden="1" x14ac:dyDescent="0.25">
      <c r="A1782" s="16" t="s">
        <v>515</v>
      </c>
      <c r="B1782" s="17"/>
      <c r="C1782" s="16" t="s">
        <v>936</v>
      </c>
      <c r="D1782" s="17"/>
      <c r="E1782" s="17" t="s">
        <v>608</v>
      </c>
      <c r="F1782" s="18" t="s">
        <v>937</v>
      </c>
      <c r="G1782" s="49" t="s">
        <v>938</v>
      </c>
      <c r="H1782" s="17">
        <v>11</v>
      </c>
      <c r="J1782" s="62" t="s">
        <v>517</v>
      </c>
      <c r="K1782" s="62"/>
      <c r="M1782" s="62"/>
      <c r="N1782" s="62"/>
      <c r="O1782" s="62" t="str">
        <f>IF(E1782="PA",IF(K1782&lt;&gt;"",ISERROR(VLOOKUP(K1782,ABBR!A:D,1,FALSE)),ISERROR(VLOOKUP(C1782,ABBR!A:D,1,FALSE))),"")</f>
        <v/>
      </c>
      <c r="P1782" t="str">
        <f>VLOOKUP(A1782,Groups!A:L,5,FALSE)</f>
        <v>LOCA</v>
      </c>
      <c r="Q1782" s="62" t="str">
        <f>IF(G1782="PA",IF(M1782&lt;&gt;"",ISERROR(VLOOKUP(M1782,ABBR!C:F,1,FALSE)),ISERROR(VLOOKUP(E1782,ABBR!C:F,1,FALSE))),"")</f>
        <v/>
      </c>
    </row>
    <row r="1783" spans="1:17" hidden="1" x14ac:dyDescent="0.25">
      <c r="A1783" s="16" t="s">
        <v>515</v>
      </c>
      <c r="B1783" s="17"/>
      <c r="C1783" s="16" t="s">
        <v>629</v>
      </c>
      <c r="D1783" s="17"/>
      <c r="E1783" s="17" t="s">
        <v>608</v>
      </c>
      <c r="F1783" s="18" t="s">
        <v>630</v>
      </c>
      <c r="G1783" s="49" t="s">
        <v>631</v>
      </c>
      <c r="H1783" s="17">
        <v>12</v>
      </c>
      <c r="J1783" s="62" t="s">
        <v>517</v>
      </c>
      <c r="K1783" s="62"/>
      <c r="M1783" s="62"/>
      <c r="N1783" s="62"/>
      <c r="O1783" s="62" t="str">
        <f>IF(E1783="PA",IF(K1783&lt;&gt;"",ISERROR(VLOOKUP(K1783,ABBR!A:D,1,FALSE)),ISERROR(VLOOKUP(C1783,ABBR!A:D,1,FALSE))),"")</f>
        <v/>
      </c>
      <c r="P1783" t="str">
        <f>VLOOKUP(A1783,Groups!A:L,5,FALSE)</f>
        <v>LOCA</v>
      </c>
      <c r="Q1783" s="62" t="str">
        <f>IF(G1783="PA",IF(M1783&lt;&gt;"",ISERROR(VLOOKUP(M1783,ABBR!C:F,1,FALSE)),ISERROR(VLOOKUP(E1783,ABBR!C:F,1,FALSE))),"")</f>
        <v/>
      </c>
    </row>
    <row r="1784" spans="1:17" hidden="1" x14ac:dyDescent="0.25">
      <c r="A1784" s="16" t="s">
        <v>515</v>
      </c>
      <c r="B1784" s="17"/>
      <c r="C1784" s="16" t="s">
        <v>643</v>
      </c>
      <c r="D1784" s="17"/>
      <c r="E1784" s="17" t="s">
        <v>608</v>
      </c>
      <c r="F1784" s="18" t="s">
        <v>954</v>
      </c>
      <c r="G1784" s="49" t="s">
        <v>1947</v>
      </c>
      <c r="H1784" s="17">
        <v>13</v>
      </c>
      <c r="J1784" s="62" t="s">
        <v>517</v>
      </c>
      <c r="K1784" s="62"/>
      <c r="M1784" s="62"/>
      <c r="N1784" s="62"/>
      <c r="O1784" s="62" t="str">
        <f>IF(E1784="PA",IF(K1784&lt;&gt;"",ISERROR(VLOOKUP(K1784,ABBR!A:D,1,FALSE)),ISERROR(VLOOKUP(C1784,ABBR!A:D,1,FALSE))),"")</f>
        <v/>
      </c>
      <c r="P1784" t="str">
        <f>VLOOKUP(A1784,Groups!A:L,5,FALSE)</f>
        <v>LOCA</v>
      </c>
      <c r="Q1784" s="62" t="str">
        <f>IF(G1784="PA",IF(M1784&lt;&gt;"",ISERROR(VLOOKUP(M1784,ABBR!C:F,1,FALSE)),ISERROR(VLOOKUP(E1784,ABBR!C:F,1,FALSE))),"")</f>
        <v/>
      </c>
    </row>
    <row r="1785" spans="1:17" hidden="1" x14ac:dyDescent="0.25">
      <c r="A1785" s="16" t="s">
        <v>515</v>
      </c>
      <c r="B1785" s="17"/>
      <c r="C1785" s="9" t="s">
        <v>3493</v>
      </c>
      <c r="D1785" s="46"/>
      <c r="E1785" s="46" t="s">
        <v>608</v>
      </c>
      <c r="F1785" s="93" t="s">
        <v>1952</v>
      </c>
      <c r="G1785" s="179" t="s">
        <v>876</v>
      </c>
      <c r="H1785" s="46">
        <v>14</v>
      </c>
      <c r="I1785" s="180"/>
      <c r="J1785" s="62" t="s">
        <v>473</v>
      </c>
      <c r="K1785" s="62"/>
      <c r="M1785" s="62"/>
      <c r="N1785" s="62"/>
      <c r="O1785" s="62" t="str">
        <f>IF(E1785="PA",IF(K1785&lt;&gt;"",ISERROR(VLOOKUP(K1785,ABBR!A:D,1,FALSE)),ISERROR(VLOOKUP(C1785,ABBR!A:D,1,FALSE))),"")</f>
        <v/>
      </c>
      <c r="P1785" t="str">
        <f>VLOOKUP(A1785,Groups!A:L,5,FALSE)</f>
        <v>LOCA</v>
      </c>
      <c r="Q1785" s="62" t="str">
        <f>IF(G1785="PA",IF(M1785&lt;&gt;"",ISERROR(VLOOKUP(M1785,ABBR!C:F,1,FALSE)),ISERROR(VLOOKUP(E1785,ABBR!C:F,1,FALSE))),"")</f>
        <v/>
      </c>
    </row>
    <row r="1786" spans="1:17" hidden="1" x14ac:dyDescent="0.25">
      <c r="A1786" s="16" t="s">
        <v>252</v>
      </c>
      <c r="B1786" s="17" t="s">
        <v>594</v>
      </c>
      <c r="C1786" s="16" t="s">
        <v>595</v>
      </c>
      <c r="D1786" s="17"/>
      <c r="E1786" s="17" t="s">
        <v>596</v>
      </c>
      <c r="F1786" s="18" t="s">
        <v>597</v>
      </c>
      <c r="G1786" s="49" t="s">
        <v>598</v>
      </c>
      <c r="H1786" s="17">
        <v>1</v>
      </c>
      <c r="O1786" s="62" t="str">
        <f>IF(E1786="PA",IF(K1786&lt;&gt;"",ISERROR(VLOOKUP(K1786,ABBR!A:D,1,FALSE)),ISERROR(VLOOKUP(C1786,ABBR!A:D,1,FALSE))),"")</f>
        <v/>
      </c>
      <c r="P1786" t="str">
        <f>VLOOKUP(A1786,Groups!A:L,5,FALSE)</f>
        <v>LOCA</v>
      </c>
      <c r="Q1786" s="62" t="str">
        <f>IF(G1786="PA",IF(M1786&lt;&gt;"",ISERROR(VLOOKUP(M1786,ABBR!C:F,1,FALSE)),ISERROR(VLOOKUP(E1786,ABBR!C:F,1,FALSE))),"")</f>
        <v/>
      </c>
    </row>
    <row r="1787" spans="1:17" hidden="1" x14ac:dyDescent="0.25">
      <c r="A1787" s="16" t="s">
        <v>252</v>
      </c>
      <c r="B1787" s="17" t="s">
        <v>594</v>
      </c>
      <c r="C1787" s="16" t="s">
        <v>3494</v>
      </c>
      <c r="D1787" s="17" t="s">
        <v>600</v>
      </c>
      <c r="E1787" s="17" t="s">
        <v>601</v>
      </c>
      <c r="F1787" s="18" t="s">
        <v>3495</v>
      </c>
      <c r="G1787" s="49" t="s">
        <v>3225</v>
      </c>
      <c r="H1787" s="17">
        <v>2</v>
      </c>
      <c r="O1787" s="62" t="str">
        <f>IF(E1787="PA",IF(K1787&lt;&gt;"",ISERROR(VLOOKUP(K1787,ABBR!A:D,1,FALSE)),ISERROR(VLOOKUP(C1787,ABBR!A:D,1,FALSE))),"")</f>
        <v/>
      </c>
      <c r="P1787" t="str">
        <f>VLOOKUP(A1787,Groups!A:L,5,FALSE)</f>
        <v>LOCA</v>
      </c>
      <c r="Q1787" s="62" t="str">
        <f>IF(G1787="PA",IF(M1787&lt;&gt;"",ISERROR(VLOOKUP(M1787,ABBR!C:F,1,FALSE)),ISERROR(VLOOKUP(E1787,ABBR!C:F,1,FALSE))),"")</f>
        <v/>
      </c>
    </row>
    <row r="1788" spans="1:17" hidden="1" x14ac:dyDescent="0.25">
      <c r="A1788" s="16" t="s">
        <v>252</v>
      </c>
      <c r="B1788" s="17" t="s">
        <v>594</v>
      </c>
      <c r="C1788" s="16" t="s">
        <v>3496</v>
      </c>
      <c r="D1788" s="17"/>
      <c r="E1788" s="17" t="s">
        <v>608</v>
      </c>
      <c r="F1788" s="18" t="s">
        <v>1323</v>
      </c>
      <c r="G1788" s="49" t="s">
        <v>1229</v>
      </c>
      <c r="H1788" s="17">
        <v>3</v>
      </c>
      <c r="O1788" s="62" t="str">
        <f>IF(E1788="PA",IF(K1788&lt;&gt;"",ISERROR(VLOOKUP(K1788,ABBR!A:D,1,FALSE)),ISERROR(VLOOKUP(C1788,ABBR!A:D,1,FALSE))),"")</f>
        <v/>
      </c>
      <c r="P1788" t="str">
        <f>VLOOKUP(A1788,Groups!A:L,5,FALSE)</f>
        <v>LOCA</v>
      </c>
      <c r="Q1788" s="62" t="str">
        <f>IF(G1788="PA",IF(M1788&lt;&gt;"",ISERROR(VLOOKUP(M1788,ABBR!C:F,1,FALSE)),ISERROR(VLOOKUP(E1788,ABBR!C:F,1,FALSE))),"")</f>
        <v/>
      </c>
    </row>
    <row r="1789" spans="1:17" hidden="1" x14ac:dyDescent="0.25">
      <c r="A1789" s="16" t="s">
        <v>252</v>
      </c>
      <c r="B1789" s="17"/>
      <c r="C1789" s="16" t="s">
        <v>3497</v>
      </c>
      <c r="D1789" s="17"/>
      <c r="E1789" s="17" t="s">
        <v>618</v>
      </c>
      <c r="F1789" s="18" t="s">
        <v>3498</v>
      </c>
      <c r="G1789" s="49" t="s">
        <v>3499</v>
      </c>
      <c r="H1789" s="17">
        <v>4</v>
      </c>
      <c r="O1789" s="62" t="b">
        <f>IF(E1789="PA",IF(K1789&lt;&gt;"",ISERROR(VLOOKUP(K1789,ABBR!A:D,1,FALSE)),ISERROR(VLOOKUP(C1789,ABBR!A:D,1,FALSE))),"")</f>
        <v>0</v>
      </c>
      <c r="P1789" t="str">
        <f>VLOOKUP(A1789,Groups!A:L,5,FALSE)</f>
        <v>LOCA</v>
      </c>
      <c r="Q1789" s="62" t="str">
        <f>IF(G1789="PA",IF(M1789&lt;&gt;"",ISERROR(VLOOKUP(M1789,ABBR!C:F,1,FALSE)),ISERROR(VLOOKUP(E1789,ABBR!C:F,1,FALSE))),"")</f>
        <v/>
      </c>
    </row>
    <row r="1790" spans="1:17" hidden="1" x14ac:dyDescent="0.25">
      <c r="A1790" s="16" t="s">
        <v>252</v>
      </c>
      <c r="B1790" s="17"/>
      <c r="C1790" s="16" t="s">
        <v>3500</v>
      </c>
      <c r="D1790" s="17" t="s">
        <v>1345</v>
      </c>
      <c r="E1790" s="17" t="s">
        <v>1391</v>
      </c>
      <c r="F1790" s="18" t="s">
        <v>3501</v>
      </c>
      <c r="G1790" s="49" t="s">
        <v>3502</v>
      </c>
      <c r="H1790" s="17">
        <v>5</v>
      </c>
      <c r="O1790" s="62" t="str">
        <f>IF(E1790="PA",IF(K1790&lt;&gt;"",ISERROR(VLOOKUP(K1790,ABBR!A:D,1,FALSE)),ISERROR(VLOOKUP(C1790,ABBR!A:D,1,FALSE))),"")</f>
        <v/>
      </c>
      <c r="P1790" t="str">
        <f>VLOOKUP(A1790,Groups!A:L,5,FALSE)</f>
        <v>LOCA</v>
      </c>
      <c r="Q1790" s="62" t="str">
        <f>IF(G1790="PA",IF(M1790&lt;&gt;"",ISERROR(VLOOKUP(M1790,ABBR!C:F,1,FALSE)),ISERROR(VLOOKUP(E1790,ABBR!C:F,1,FALSE))),"")</f>
        <v/>
      </c>
    </row>
    <row r="1791" spans="1:17" hidden="1" x14ac:dyDescent="0.25">
      <c r="A1791" s="16" t="s">
        <v>252</v>
      </c>
      <c r="B1791" s="17"/>
      <c r="C1791" s="16" t="s">
        <v>3503</v>
      </c>
      <c r="D1791" s="17" t="s">
        <v>1345</v>
      </c>
      <c r="E1791" s="17" t="s">
        <v>1391</v>
      </c>
      <c r="F1791" s="18" t="s">
        <v>3504</v>
      </c>
      <c r="G1791" s="49" t="s">
        <v>3505</v>
      </c>
      <c r="H1791" s="17">
        <v>6</v>
      </c>
      <c r="O1791" s="62" t="str">
        <f>IF(E1791="PA",IF(K1791&lt;&gt;"",ISERROR(VLOOKUP(K1791,ABBR!A:D,1,FALSE)),ISERROR(VLOOKUP(C1791,ABBR!A:D,1,FALSE))),"")</f>
        <v/>
      </c>
      <c r="P1791" t="str">
        <f>VLOOKUP(A1791,Groups!A:L,5,FALSE)</f>
        <v>LOCA</v>
      </c>
      <c r="Q1791" s="62" t="str">
        <f>IF(G1791="PA",IF(M1791&lt;&gt;"",ISERROR(VLOOKUP(M1791,ABBR!C:F,1,FALSE)),ISERROR(VLOOKUP(E1791,ABBR!C:F,1,FALSE))),"")</f>
        <v/>
      </c>
    </row>
    <row r="1792" spans="1:17" hidden="1" x14ac:dyDescent="0.25">
      <c r="A1792" s="16" t="s">
        <v>252</v>
      </c>
      <c r="B1792" s="17"/>
      <c r="C1792" s="16" t="s">
        <v>3506</v>
      </c>
      <c r="D1792" s="17" t="s">
        <v>924</v>
      </c>
      <c r="E1792" s="17" t="s">
        <v>925</v>
      </c>
      <c r="F1792" s="18" t="s">
        <v>1922</v>
      </c>
      <c r="G1792" s="49" t="s">
        <v>3231</v>
      </c>
      <c r="H1792" s="17">
        <v>7</v>
      </c>
      <c r="O1792" s="62" t="str">
        <f>IF(E1792="PA",IF(K1792&lt;&gt;"",ISERROR(VLOOKUP(K1792,ABBR!A:D,1,FALSE)),ISERROR(VLOOKUP(C1792,ABBR!A:D,1,FALSE))),"")</f>
        <v/>
      </c>
      <c r="P1792" t="str">
        <f>VLOOKUP(A1792,Groups!A:L,5,FALSE)</f>
        <v>LOCA</v>
      </c>
      <c r="Q1792" s="62" t="str">
        <f>IF(G1792="PA",IF(M1792&lt;&gt;"",ISERROR(VLOOKUP(M1792,ABBR!C:F,1,FALSE)),ISERROR(VLOOKUP(E1792,ABBR!C:F,1,FALSE))),"")</f>
        <v/>
      </c>
    </row>
    <row r="1793" spans="1:17" hidden="1" x14ac:dyDescent="0.25">
      <c r="A1793" s="16" t="s">
        <v>252</v>
      </c>
      <c r="B1793" s="17"/>
      <c r="C1793" s="16" t="s">
        <v>3507</v>
      </c>
      <c r="D1793" s="17"/>
      <c r="E1793" s="17" t="s">
        <v>608</v>
      </c>
      <c r="F1793" s="18" t="s">
        <v>3508</v>
      </c>
      <c r="G1793" s="49" t="s">
        <v>16</v>
      </c>
      <c r="H1793" s="17">
        <v>8</v>
      </c>
      <c r="M1793" s="101"/>
      <c r="O1793" s="62" t="str">
        <f>IF(E1793="PA",IF(K1793&lt;&gt;"",ISERROR(VLOOKUP(K1793,ABBR!A:D,1,FALSE)),ISERROR(VLOOKUP(C1793,ABBR!A:D,1,FALSE))),"")</f>
        <v/>
      </c>
      <c r="P1793" t="str">
        <f>VLOOKUP(A1793,Groups!A:L,5,FALSE)</f>
        <v>LOCA</v>
      </c>
      <c r="Q1793" s="62" t="str">
        <f>IF(G1793="PA",IF(M1793&lt;&gt;"",ISERROR(VLOOKUP(M1793,ABBR!C:F,1,FALSE)),ISERROR(VLOOKUP(E1793,ABBR!C:F,1,FALSE))),"")</f>
        <v/>
      </c>
    </row>
    <row r="1794" spans="1:17" ht="25" hidden="1" x14ac:dyDescent="0.25">
      <c r="A1794" s="16" t="s">
        <v>252</v>
      </c>
      <c r="B1794" s="17"/>
      <c r="C1794" s="16" t="s">
        <v>3509</v>
      </c>
      <c r="D1794" s="17"/>
      <c r="E1794" s="17" t="s">
        <v>608</v>
      </c>
      <c r="F1794" s="18" t="s">
        <v>1938</v>
      </c>
      <c r="G1794" s="49" t="s">
        <v>3234</v>
      </c>
      <c r="H1794" s="17">
        <v>9</v>
      </c>
      <c r="O1794" s="62" t="str">
        <f>IF(E1794="PA",IF(K1794&lt;&gt;"",ISERROR(VLOOKUP(K1794,ABBR!A:D,1,FALSE)),ISERROR(VLOOKUP(C1794,ABBR!A:D,1,FALSE))),"")</f>
        <v/>
      </c>
      <c r="P1794" t="str">
        <f>VLOOKUP(A1794,Groups!A:L,5,FALSE)</f>
        <v>LOCA</v>
      </c>
      <c r="Q1794" s="62" t="str">
        <f>IF(G1794="PA",IF(M1794&lt;&gt;"",ISERROR(VLOOKUP(M1794,ABBR!C:F,1,FALSE)),ISERROR(VLOOKUP(E1794,ABBR!C:F,1,FALSE))),"")</f>
        <v/>
      </c>
    </row>
    <row r="1795" spans="1:17" hidden="1" x14ac:dyDescent="0.25">
      <c r="A1795" s="16" t="s">
        <v>252</v>
      </c>
      <c r="B1795" s="17"/>
      <c r="C1795" s="16" t="s">
        <v>3510</v>
      </c>
      <c r="D1795" s="17"/>
      <c r="E1795" s="17" t="s">
        <v>608</v>
      </c>
      <c r="F1795" s="18" t="s">
        <v>918</v>
      </c>
      <c r="G1795" s="49" t="s">
        <v>3511</v>
      </c>
      <c r="H1795" s="17">
        <v>10</v>
      </c>
      <c r="O1795" s="62" t="str">
        <f>IF(E1795="PA",IF(K1795&lt;&gt;"",ISERROR(VLOOKUP(K1795,ABBR!A:D,1,FALSE)),ISERROR(VLOOKUP(C1795,ABBR!A:D,1,FALSE))),"")</f>
        <v/>
      </c>
      <c r="P1795" t="str">
        <f>VLOOKUP(A1795,Groups!A:L,5,FALSE)</f>
        <v>LOCA</v>
      </c>
      <c r="Q1795" s="62" t="str">
        <f>IF(G1795="PA",IF(M1795&lt;&gt;"",ISERROR(VLOOKUP(M1795,ABBR!C:F,1,FALSE)),ISERROR(VLOOKUP(E1795,ABBR!C:F,1,FALSE))),"")</f>
        <v/>
      </c>
    </row>
    <row r="1796" spans="1:17" ht="25" hidden="1" x14ac:dyDescent="0.25">
      <c r="A1796" s="16" t="s">
        <v>252</v>
      </c>
      <c r="B1796" s="17"/>
      <c r="C1796" s="16" t="s">
        <v>3512</v>
      </c>
      <c r="D1796" s="17"/>
      <c r="E1796" s="17" t="s">
        <v>608</v>
      </c>
      <c r="F1796" s="18" t="s">
        <v>1943</v>
      </c>
      <c r="G1796" s="49" t="s">
        <v>1944</v>
      </c>
      <c r="H1796" s="17">
        <v>11</v>
      </c>
      <c r="O1796" s="62" t="str">
        <f>IF(E1796="PA",IF(K1796&lt;&gt;"",ISERROR(VLOOKUP(K1796,ABBR!A:D,1,FALSE)),ISERROR(VLOOKUP(C1796,ABBR!A:D,1,FALSE))),"")</f>
        <v/>
      </c>
      <c r="P1796" t="str">
        <f>VLOOKUP(A1796,Groups!A:L,5,FALSE)</f>
        <v>LOCA</v>
      </c>
      <c r="Q1796" s="62" t="str">
        <f>IF(G1796="PA",IF(M1796&lt;&gt;"",ISERROR(VLOOKUP(M1796,ABBR!C:F,1,FALSE)),ISERROR(VLOOKUP(E1796,ABBR!C:F,1,FALSE))),"")</f>
        <v/>
      </c>
    </row>
    <row r="1797" spans="1:17" ht="25" hidden="1" x14ac:dyDescent="0.25">
      <c r="A1797" s="16" t="s">
        <v>252</v>
      </c>
      <c r="B1797" s="17"/>
      <c r="C1797" s="16" t="s">
        <v>3513</v>
      </c>
      <c r="D1797" s="17"/>
      <c r="E1797" s="17" t="s">
        <v>608</v>
      </c>
      <c r="F1797" s="18" t="s">
        <v>934</v>
      </c>
      <c r="G1797" s="8" t="s">
        <v>953</v>
      </c>
      <c r="H1797" s="17">
        <v>12</v>
      </c>
      <c r="O1797" s="62" t="str">
        <f>IF(E1797="PA",IF(K1797&lt;&gt;"",ISERROR(VLOOKUP(K1797,ABBR!A:D,1,FALSE)),ISERROR(VLOOKUP(C1797,ABBR!A:D,1,FALSE))),"")</f>
        <v/>
      </c>
      <c r="P1797" t="str">
        <f>VLOOKUP(A1797,Groups!A:L,5,FALSE)</f>
        <v>LOCA</v>
      </c>
      <c r="Q1797" s="62" t="str">
        <f>IF(G1797="PA",IF(M1797&lt;&gt;"",ISERROR(VLOOKUP(M1797,ABBR!C:F,1,FALSE)),ISERROR(VLOOKUP(E1797,ABBR!C:F,1,FALSE))),"")</f>
        <v/>
      </c>
    </row>
    <row r="1798" spans="1:17" hidden="1" x14ac:dyDescent="0.25">
      <c r="A1798" s="16" t="s">
        <v>252</v>
      </c>
      <c r="B1798" s="17"/>
      <c r="C1798" s="16" t="s">
        <v>936</v>
      </c>
      <c r="D1798" s="17"/>
      <c r="E1798" s="22" t="s">
        <v>608</v>
      </c>
      <c r="F1798" s="18" t="s">
        <v>937</v>
      </c>
      <c r="G1798" s="49" t="s">
        <v>938</v>
      </c>
      <c r="H1798" s="17">
        <v>13</v>
      </c>
      <c r="O1798" s="62" t="str">
        <f>IF(E1798="PA",IF(K1798&lt;&gt;"",ISERROR(VLOOKUP(K1798,ABBR!A:D,1,FALSE)),ISERROR(VLOOKUP(C1798,ABBR!A:D,1,FALSE))),"")</f>
        <v/>
      </c>
      <c r="P1798" t="str">
        <f>VLOOKUP(A1798,Groups!A:L,5,FALSE)</f>
        <v>LOCA</v>
      </c>
      <c r="Q1798" s="62" t="str">
        <f>IF(G1798="PA",IF(M1798&lt;&gt;"",ISERROR(VLOOKUP(M1798,ABBR!C:F,1,FALSE)),ISERROR(VLOOKUP(E1798,ABBR!C:F,1,FALSE))),"")</f>
        <v/>
      </c>
    </row>
    <row r="1799" spans="1:17" hidden="1" x14ac:dyDescent="0.25">
      <c r="A1799" s="16" t="s">
        <v>252</v>
      </c>
      <c r="B1799" s="17"/>
      <c r="C1799" s="16" t="s">
        <v>629</v>
      </c>
      <c r="D1799" s="17"/>
      <c r="E1799" s="17" t="s">
        <v>608</v>
      </c>
      <c r="F1799" s="18" t="s">
        <v>630</v>
      </c>
      <c r="G1799" s="49" t="s">
        <v>631</v>
      </c>
      <c r="H1799" s="17">
        <v>14</v>
      </c>
      <c r="O1799" s="62" t="str">
        <f>IF(E1799="PA",IF(K1799&lt;&gt;"",ISERROR(VLOOKUP(K1799,ABBR!A:D,1,FALSE)),ISERROR(VLOOKUP(C1799,ABBR!A:D,1,FALSE))),"")</f>
        <v/>
      </c>
      <c r="P1799" t="str">
        <f>VLOOKUP(A1799,Groups!A:L,5,FALSE)</f>
        <v>LOCA</v>
      </c>
      <c r="Q1799" s="62" t="str">
        <f>IF(G1799="PA",IF(M1799&lt;&gt;"",ISERROR(VLOOKUP(M1799,ABBR!C:F,1,FALSE)),ISERROR(VLOOKUP(E1799,ABBR!C:F,1,FALSE))),"")</f>
        <v/>
      </c>
    </row>
    <row r="1800" spans="1:17" hidden="1" x14ac:dyDescent="0.25">
      <c r="A1800" s="16" t="s">
        <v>252</v>
      </c>
      <c r="B1800" s="17"/>
      <c r="C1800" s="16" t="s">
        <v>643</v>
      </c>
      <c r="D1800" s="17"/>
      <c r="E1800" s="17" t="s">
        <v>608</v>
      </c>
      <c r="F1800" s="18" t="s">
        <v>954</v>
      </c>
      <c r="G1800" s="49" t="s">
        <v>3238</v>
      </c>
      <c r="H1800" s="17">
        <v>15</v>
      </c>
      <c r="O1800" s="62" t="str">
        <f>IF(E1800="PA",IF(K1800&lt;&gt;"",ISERROR(VLOOKUP(K1800,ABBR!A:D,1,FALSE)),ISERROR(VLOOKUP(C1800,ABBR!A:D,1,FALSE))),"")</f>
        <v/>
      </c>
      <c r="P1800" t="str">
        <f>VLOOKUP(A1800,Groups!A:L,5,FALSE)</f>
        <v>LOCA</v>
      </c>
      <c r="Q1800" s="62" t="str">
        <f>IF(G1800="PA",IF(M1800&lt;&gt;"",ISERROR(VLOOKUP(M1800,ABBR!C:F,1,FALSE)),ISERROR(VLOOKUP(E1800,ABBR!C:F,1,FALSE))),"")</f>
        <v/>
      </c>
    </row>
    <row r="1801" spans="1:17" hidden="1" x14ac:dyDescent="0.25">
      <c r="A1801" s="16" t="s">
        <v>252</v>
      </c>
      <c r="B1801" s="17"/>
      <c r="C1801" s="16" t="s">
        <v>3514</v>
      </c>
      <c r="D1801" s="17"/>
      <c r="E1801" s="17" t="s">
        <v>608</v>
      </c>
      <c r="F1801" s="18" t="s">
        <v>3515</v>
      </c>
      <c r="G1801" s="49" t="s">
        <v>3516</v>
      </c>
      <c r="H1801" s="17">
        <v>16</v>
      </c>
      <c r="J1801" s="7" t="s">
        <v>478</v>
      </c>
      <c r="K1801" s="62"/>
      <c r="M1801" s="62"/>
      <c r="N1801" s="62"/>
      <c r="O1801" s="62" t="str">
        <f>IF(E1801="PA",IF(K1801&lt;&gt;"",ISERROR(VLOOKUP(K1801,ABBR!A:D,1,FALSE)),ISERROR(VLOOKUP(C1801,ABBR!A:D,1,FALSE))),"")</f>
        <v/>
      </c>
      <c r="P1801" t="str">
        <f>VLOOKUP(A1801,Groups!A:L,5,FALSE)</f>
        <v>LOCA</v>
      </c>
      <c r="Q1801" s="62" t="str">
        <f>IF(G1801="PA",IF(M1801&lt;&gt;"",ISERROR(VLOOKUP(M1801,ABBR!C:F,1,FALSE)),ISERROR(VLOOKUP(E1801,ABBR!C:F,1,FALSE))),"")</f>
        <v/>
      </c>
    </row>
    <row r="1802" spans="1:17" hidden="1" x14ac:dyDescent="0.25">
      <c r="A1802" s="16" t="s">
        <v>252</v>
      </c>
      <c r="B1802" s="17"/>
      <c r="C1802" s="16" t="s">
        <v>3517</v>
      </c>
      <c r="D1802" s="17" t="s">
        <v>722</v>
      </c>
      <c r="E1802" s="17" t="s">
        <v>723</v>
      </c>
      <c r="F1802" s="18" t="s">
        <v>3518</v>
      </c>
      <c r="G1802" s="49" t="s">
        <v>3519</v>
      </c>
      <c r="H1802" s="17">
        <v>17</v>
      </c>
      <c r="J1802" s="7" t="s">
        <v>478</v>
      </c>
      <c r="K1802" s="62"/>
      <c r="M1802" s="62"/>
      <c r="N1802" s="62"/>
      <c r="O1802" s="62" t="str">
        <f>IF(E1802="PA",IF(K1802&lt;&gt;"",ISERROR(VLOOKUP(K1802,ABBR!A:D,1,FALSE)),ISERROR(VLOOKUP(C1802,ABBR!A:D,1,FALSE))),"")</f>
        <v/>
      </c>
      <c r="P1802" t="str">
        <f>VLOOKUP(A1802,Groups!A:L,5,FALSE)</f>
        <v>LOCA</v>
      </c>
      <c r="Q1802" s="62" t="str">
        <f>IF(G1802="PA",IF(M1802&lt;&gt;"",ISERROR(VLOOKUP(M1802,ABBR!C:F,1,FALSE)),ISERROR(VLOOKUP(E1802,ABBR!C:F,1,FALSE))),"")</f>
        <v/>
      </c>
    </row>
    <row r="1803" spans="1:17" hidden="1" x14ac:dyDescent="0.25">
      <c r="A1803" s="16" t="s">
        <v>252</v>
      </c>
      <c r="B1803" s="17"/>
      <c r="C1803" s="16" t="s">
        <v>3520</v>
      </c>
      <c r="D1803" s="17"/>
      <c r="E1803" s="17" t="s">
        <v>608</v>
      </c>
      <c r="F1803" s="18" t="s">
        <v>3521</v>
      </c>
      <c r="G1803" s="49" t="s">
        <v>3522</v>
      </c>
      <c r="H1803" s="17">
        <v>18</v>
      </c>
      <c r="J1803" s="7" t="s">
        <v>478</v>
      </c>
      <c r="K1803" s="62"/>
      <c r="M1803" s="62"/>
      <c r="N1803" s="62"/>
      <c r="O1803" s="62" t="str">
        <f>IF(E1803="PA",IF(K1803&lt;&gt;"",ISERROR(VLOOKUP(K1803,ABBR!A:D,1,FALSE)),ISERROR(VLOOKUP(C1803,ABBR!A:D,1,FALSE))),"")</f>
        <v/>
      </c>
      <c r="P1803" t="str">
        <f>VLOOKUP(A1803,Groups!A:L,5,FALSE)</f>
        <v>LOCA</v>
      </c>
      <c r="Q1803" s="62" t="str">
        <f>IF(G1803="PA",IF(M1803&lt;&gt;"",ISERROR(VLOOKUP(M1803,ABBR!C:F,1,FALSE)),ISERROR(VLOOKUP(E1803,ABBR!C:F,1,FALSE))),"")</f>
        <v/>
      </c>
    </row>
    <row r="1804" spans="1:17" hidden="1" x14ac:dyDescent="0.25">
      <c r="A1804" s="16" t="s">
        <v>252</v>
      </c>
      <c r="B1804" s="17"/>
      <c r="C1804" s="16" t="s">
        <v>3523</v>
      </c>
      <c r="D1804" s="17" t="s">
        <v>3524</v>
      </c>
      <c r="E1804" s="17" t="s">
        <v>723</v>
      </c>
      <c r="F1804" s="18" t="s">
        <v>3525</v>
      </c>
      <c r="G1804" s="49" t="s">
        <v>3526</v>
      </c>
      <c r="H1804" s="17">
        <v>19</v>
      </c>
      <c r="J1804" s="7" t="s">
        <v>478</v>
      </c>
      <c r="K1804" s="62"/>
      <c r="M1804" s="62"/>
      <c r="N1804" s="62"/>
      <c r="O1804" s="62" t="str">
        <f>IF(E1804="PA",IF(K1804&lt;&gt;"",ISERROR(VLOOKUP(K1804,ABBR!A:D,1,FALSE)),ISERROR(VLOOKUP(C1804,ABBR!A:D,1,FALSE))),"")</f>
        <v/>
      </c>
      <c r="P1804" t="str">
        <f>VLOOKUP(A1804,Groups!A:L,5,FALSE)</f>
        <v>LOCA</v>
      </c>
      <c r="Q1804" s="62" t="str">
        <f>IF(G1804="PA",IF(M1804&lt;&gt;"",ISERROR(VLOOKUP(M1804,ABBR!C:F,1,FALSE)),ISERROR(VLOOKUP(E1804,ABBR!C:F,1,FALSE))),"")</f>
        <v/>
      </c>
    </row>
    <row r="1805" spans="1:17" hidden="1" x14ac:dyDescent="0.25">
      <c r="A1805" s="16" t="s">
        <v>252</v>
      </c>
      <c r="B1805" s="17"/>
      <c r="C1805" s="9" t="s">
        <v>3527</v>
      </c>
      <c r="D1805" s="46"/>
      <c r="E1805" s="46" t="s">
        <v>608</v>
      </c>
      <c r="F1805" s="93" t="s">
        <v>1952</v>
      </c>
      <c r="G1805" s="179" t="s">
        <v>876</v>
      </c>
      <c r="H1805" s="46">
        <v>20</v>
      </c>
      <c r="I1805" s="180"/>
      <c r="J1805" s="62" t="s">
        <v>473</v>
      </c>
      <c r="K1805" s="62"/>
      <c r="M1805" s="62"/>
      <c r="N1805" s="62"/>
      <c r="O1805" s="62" t="str">
        <f>IF(E1805="PA",IF(K1805&lt;&gt;"",ISERROR(VLOOKUP(K1805,ABBR!A:D,1,FALSE)),ISERROR(VLOOKUP(C1805,ABBR!A:D,1,FALSE))),"")</f>
        <v/>
      </c>
      <c r="P1805" t="str">
        <f>VLOOKUP(A1805,Groups!A:L,5,FALSE)</f>
        <v>LOCA</v>
      </c>
      <c r="Q1805" s="62" t="str">
        <f>IF(G1805="PA",IF(M1805&lt;&gt;"",ISERROR(VLOOKUP(M1805,ABBR!C:F,1,FALSE)),ISERROR(VLOOKUP(E1805,ABBR!C:F,1,FALSE))),"")</f>
        <v/>
      </c>
    </row>
    <row r="1806" spans="1:17" hidden="1" x14ac:dyDescent="0.25">
      <c r="A1806" s="16" t="s">
        <v>256</v>
      </c>
      <c r="B1806" s="23" t="s">
        <v>594</v>
      </c>
      <c r="C1806" s="16" t="s">
        <v>3528</v>
      </c>
      <c r="D1806" s="23"/>
      <c r="E1806" s="23" t="s">
        <v>608</v>
      </c>
      <c r="F1806" s="21" t="s">
        <v>3529</v>
      </c>
      <c r="G1806" s="27">
        <v>2</v>
      </c>
      <c r="H1806" s="23">
        <v>1</v>
      </c>
      <c r="I1806" s="71"/>
      <c r="O1806" s="62" t="str">
        <f>IF(E1806="PA",IF(K1806&lt;&gt;"",ISERROR(VLOOKUP(K1806,ABBR!A:D,1,FALSE)),ISERROR(VLOOKUP(C1806,ABBR!A:D,1,FALSE))),"")</f>
        <v/>
      </c>
      <c r="P1806" t="str">
        <f>VLOOKUP(A1806,Groups!A:L,5,FALSE)</f>
        <v>-</v>
      </c>
      <c r="Q1806" s="62" t="str">
        <f>IF(G1806="PA",IF(M1806&lt;&gt;"",ISERROR(VLOOKUP(M1806,ABBR!C:F,1,FALSE)),ISERROR(VLOOKUP(E1806,ABBR!C:F,1,FALSE))),"")</f>
        <v/>
      </c>
    </row>
    <row r="1807" spans="1:17" hidden="1" x14ac:dyDescent="0.25">
      <c r="A1807" s="16" t="s">
        <v>256</v>
      </c>
      <c r="B1807" s="23"/>
      <c r="C1807" s="16" t="s">
        <v>3530</v>
      </c>
      <c r="D1807" s="23" t="s">
        <v>924</v>
      </c>
      <c r="E1807" s="23" t="s">
        <v>925</v>
      </c>
      <c r="F1807" s="21" t="s">
        <v>3531</v>
      </c>
      <c r="G1807" s="28" t="s">
        <v>3532</v>
      </c>
      <c r="H1807" s="23">
        <v>2</v>
      </c>
      <c r="I1807" s="71"/>
      <c r="O1807" s="62" t="str">
        <f>IF(E1807="PA",IF(K1807&lt;&gt;"",ISERROR(VLOOKUP(K1807,ABBR!A:D,1,FALSE)),ISERROR(VLOOKUP(C1807,ABBR!A:D,1,FALSE))),"")</f>
        <v/>
      </c>
      <c r="P1807" t="str">
        <f>VLOOKUP(A1807,Groups!A:L,5,FALSE)</f>
        <v>-</v>
      </c>
      <c r="Q1807" s="62" t="str">
        <f>IF(G1807="PA",IF(M1807&lt;&gt;"",ISERROR(VLOOKUP(M1807,ABBR!C:F,1,FALSE)),ISERROR(VLOOKUP(E1807,ABBR!C:F,1,FALSE))),"")</f>
        <v/>
      </c>
    </row>
    <row r="1808" spans="1:17" hidden="1" x14ac:dyDescent="0.25">
      <c r="A1808" s="16" t="s">
        <v>256</v>
      </c>
      <c r="B1808" s="23"/>
      <c r="C1808" s="16" t="s">
        <v>3533</v>
      </c>
      <c r="D1808" s="23"/>
      <c r="E1808" s="23" t="s">
        <v>608</v>
      </c>
      <c r="F1808" s="21" t="s">
        <v>3534</v>
      </c>
      <c r="G1808" s="27" t="s">
        <v>3535</v>
      </c>
      <c r="H1808" s="23">
        <v>3</v>
      </c>
      <c r="I1808" s="71"/>
      <c r="O1808" s="62" t="str">
        <f>IF(E1808="PA",IF(K1808&lt;&gt;"",ISERROR(VLOOKUP(K1808,ABBR!A:D,1,FALSE)),ISERROR(VLOOKUP(C1808,ABBR!A:D,1,FALSE))),"")</f>
        <v/>
      </c>
      <c r="P1808" t="str">
        <f>VLOOKUP(A1808,Groups!A:L,5,FALSE)</f>
        <v>-</v>
      </c>
      <c r="Q1808" s="62" t="str">
        <f>IF(G1808="PA",IF(M1808&lt;&gt;"",ISERROR(VLOOKUP(M1808,ABBR!C:F,1,FALSE)),ISERROR(VLOOKUP(E1808,ABBR!C:F,1,FALSE))),"")</f>
        <v/>
      </c>
    </row>
    <row r="1809" spans="1:17" hidden="1" x14ac:dyDescent="0.25">
      <c r="A1809" s="16" t="s">
        <v>256</v>
      </c>
      <c r="B1809" s="23"/>
      <c r="C1809" s="16" t="s">
        <v>3536</v>
      </c>
      <c r="D1809" s="23"/>
      <c r="E1809" s="23" t="s">
        <v>608</v>
      </c>
      <c r="F1809" s="21" t="s">
        <v>3537</v>
      </c>
      <c r="G1809" s="27" t="s">
        <v>951</v>
      </c>
      <c r="H1809" s="23">
        <v>4</v>
      </c>
      <c r="I1809" s="71"/>
      <c r="O1809" s="62" t="str">
        <f>IF(E1809="PA",IF(K1809&lt;&gt;"",ISERROR(VLOOKUP(K1809,ABBR!A:D,1,FALSE)),ISERROR(VLOOKUP(C1809,ABBR!A:D,1,FALSE))),"")</f>
        <v/>
      </c>
      <c r="P1809" t="str">
        <f>VLOOKUP(A1809,Groups!A:L,5,FALSE)</f>
        <v>-</v>
      </c>
      <c r="Q1809" s="62" t="str">
        <f>IF(G1809="PA",IF(M1809&lt;&gt;"",ISERROR(VLOOKUP(M1809,ABBR!C:F,1,FALSE)),ISERROR(VLOOKUP(E1809,ABBR!C:F,1,FALSE))),"")</f>
        <v/>
      </c>
    </row>
    <row r="1810" spans="1:17" hidden="1" x14ac:dyDescent="0.25">
      <c r="A1810" s="16" t="s">
        <v>256</v>
      </c>
      <c r="B1810" s="23"/>
      <c r="C1810" s="16" t="s">
        <v>3538</v>
      </c>
      <c r="D1810" s="23" t="s">
        <v>924</v>
      </c>
      <c r="E1810" s="23" t="s">
        <v>925</v>
      </c>
      <c r="F1810" s="21" t="s">
        <v>3539</v>
      </c>
      <c r="G1810" s="28" t="s">
        <v>3540</v>
      </c>
      <c r="H1810" s="23">
        <v>5</v>
      </c>
      <c r="I1810" s="71"/>
      <c r="O1810" s="62" t="str">
        <f>IF(E1810="PA",IF(K1810&lt;&gt;"",ISERROR(VLOOKUP(K1810,ABBR!A:D,1,FALSE)),ISERROR(VLOOKUP(C1810,ABBR!A:D,1,FALSE))),"")</f>
        <v/>
      </c>
      <c r="P1810" t="str">
        <f>VLOOKUP(A1810,Groups!A:L,5,FALSE)</f>
        <v>-</v>
      </c>
      <c r="Q1810" s="62" t="str">
        <f>IF(G1810="PA",IF(M1810&lt;&gt;"",ISERROR(VLOOKUP(M1810,ABBR!C:F,1,FALSE)),ISERROR(VLOOKUP(E1810,ABBR!C:F,1,FALSE))),"")</f>
        <v/>
      </c>
    </row>
    <row r="1811" spans="1:17" hidden="1" x14ac:dyDescent="0.25">
      <c r="A1811" s="16" t="s">
        <v>256</v>
      </c>
      <c r="B1811" s="23"/>
      <c r="C1811" s="16" t="s">
        <v>3541</v>
      </c>
      <c r="D1811" s="23"/>
      <c r="E1811" s="23" t="s">
        <v>608</v>
      </c>
      <c r="F1811" s="21" t="s">
        <v>3542</v>
      </c>
      <c r="G1811" s="49" t="s">
        <v>16</v>
      </c>
      <c r="H1811" s="23">
        <v>6</v>
      </c>
      <c r="I1811" s="71"/>
      <c r="M1811" s="101"/>
      <c r="O1811" s="62" t="str">
        <f>IF(E1811="PA",IF(K1811&lt;&gt;"",ISERROR(VLOOKUP(K1811,ABBR!A:D,1,FALSE)),ISERROR(VLOOKUP(C1811,ABBR!A:D,1,FALSE))),"")</f>
        <v/>
      </c>
      <c r="P1811" t="str">
        <f>VLOOKUP(A1811,Groups!A:L,5,FALSE)</f>
        <v>-</v>
      </c>
      <c r="Q1811" s="62" t="str">
        <f>IF(G1811="PA",IF(M1811&lt;&gt;"",ISERROR(VLOOKUP(M1811,ABBR!C:F,1,FALSE)),ISERROR(VLOOKUP(E1811,ABBR!C:F,1,FALSE))),"")</f>
        <v/>
      </c>
    </row>
    <row r="1812" spans="1:17" hidden="1" x14ac:dyDescent="0.25">
      <c r="A1812" s="16" t="s">
        <v>256</v>
      </c>
      <c r="B1812" s="23"/>
      <c r="C1812" s="16" t="s">
        <v>3543</v>
      </c>
      <c r="D1812" s="23"/>
      <c r="E1812" s="23" t="s">
        <v>608</v>
      </c>
      <c r="F1812" s="21" t="s">
        <v>3544</v>
      </c>
      <c r="G1812" s="51" t="s">
        <v>3545</v>
      </c>
      <c r="H1812" s="23">
        <v>7</v>
      </c>
      <c r="I1812" s="71"/>
      <c r="O1812" s="62" t="str">
        <f>IF(E1812="PA",IF(K1812&lt;&gt;"",ISERROR(VLOOKUP(K1812,ABBR!A:D,1,FALSE)),ISERROR(VLOOKUP(C1812,ABBR!A:D,1,FALSE))),"")</f>
        <v/>
      </c>
      <c r="P1812" t="str">
        <f>VLOOKUP(A1812,Groups!A:L,5,FALSE)</f>
        <v>-</v>
      </c>
      <c r="Q1812" s="62" t="str">
        <f>IF(G1812="PA",IF(M1812&lt;&gt;"",ISERROR(VLOOKUP(M1812,ABBR!C:F,1,FALSE)),ISERROR(VLOOKUP(E1812,ABBR!C:F,1,FALSE))),"")</f>
        <v/>
      </c>
    </row>
    <row r="1813" spans="1:17" hidden="1" x14ac:dyDescent="0.25">
      <c r="A1813" s="16" t="s">
        <v>256</v>
      </c>
      <c r="B1813" s="17"/>
      <c r="C1813" s="16" t="s">
        <v>643</v>
      </c>
      <c r="D1813" s="17"/>
      <c r="E1813" s="17" t="s">
        <v>608</v>
      </c>
      <c r="F1813" s="18" t="s">
        <v>3546</v>
      </c>
      <c r="G1813" s="49" t="s">
        <v>975</v>
      </c>
      <c r="H1813" s="17">
        <v>8</v>
      </c>
      <c r="O1813" s="62" t="str">
        <f>IF(E1813="PA",IF(K1813&lt;&gt;"",ISERROR(VLOOKUP(K1813,ABBR!A:D,1,FALSE)),ISERROR(VLOOKUP(C1813,ABBR!A:D,1,FALSE))),"")</f>
        <v/>
      </c>
      <c r="P1813" t="str">
        <f>VLOOKUP(A1813,Groups!A:L,5,FALSE)</f>
        <v>-</v>
      </c>
      <c r="Q1813" s="62" t="str">
        <f>IF(G1813="PA",IF(M1813&lt;&gt;"",ISERROR(VLOOKUP(M1813,ABBR!C:F,1,FALSE)),ISERROR(VLOOKUP(E1813,ABBR!C:F,1,FALSE))),"")</f>
        <v/>
      </c>
    </row>
    <row r="1814" spans="1:17" hidden="1" x14ac:dyDescent="0.25">
      <c r="A1814" s="16" t="s">
        <v>258</v>
      </c>
      <c r="B1814" s="23" t="s">
        <v>594</v>
      </c>
      <c r="C1814" s="16" t="s">
        <v>595</v>
      </c>
      <c r="D1814" s="23"/>
      <c r="E1814" s="23" t="s">
        <v>596</v>
      </c>
      <c r="F1814" s="18" t="s">
        <v>597</v>
      </c>
      <c r="G1814" s="49" t="s">
        <v>598</v>
      </c>
      <c r="H1814" s="23">
        <v>1</v>
      </c>
      <c r="I1814" s="71"/>
      <c r="O1814" s="62" t="str">
        <f>IF(E1814="PA",IF(K1814&lt;&gt;"",ISERROR(VLOOKUP(K1814,ABBR!A:D,1,FALSE)),ISERROR(VLOOKUP(C1814,ABBR!A:D,1,FALSE))),"")</f>
        <v/>
      </c>
      <c r="P1814" t="str">
        <f>VLOOKUP(A1814,Groups!A:L,5,FALSE)</f>
        <v>LBSG</v>
      </c>
      <c r="Q1814" s="62" t="str">
        <f>IF(G1814="PA",IF(M1814&lt;&gt;"",ISERROR(VLOOKUP(M1814,ABBR!C:F,1,FALSE)),ISERROR(VLOOKUP(E1814,ABBR!C:F,1,FALSE))),"")</f>
        <v/>
      </c>
    </row>
    <row r="1815" spans="1:17" hidden="1" x14ac:dyDescent="0.25">
      <c r="A1815" s="16" t="s">
        <v>258</v>
      </c>
      <c r="B1815" s="23" t="s">
        <v>594</v>
      </c>
      <c r="C1815" s="16" t="s">
        <v>851</v>
      </c>
      <c r="D1815" s="23" t="s">
        <v>600</v>
      </c>
      <c r="E1815" s="23" t="s">
        <v>601</v>
      </c>
      <c r="F1815" s="18" t="s">
        <v>852</v>
      </c>
      <c r="G1815" s="27" t="s">
        <v>853</v>
      </c>
      <c r="H1815" s="23">
        <v>2</v>
      </c>
      <c r="I1815" s="71"/>
      <c r="O1815" s="62" t="str">
        <f>IF(E1815="PA",IF(K1815&lt;&gt;"",ISERROR(VLOOKUP(K1815,ABBR!A:D,1,FALSE)),ISERROR(VLOOKUP(C1815,ABBR!A:D,1,FALSE))),"")</f>
        <v/>
      </c>
      <c r="P1815" t="str">
        <f>VLOOKUP(A1815,Groups!A:L,5,FALSE)</f>
        <v>LBSG</v>
      </c>
      <c r="Q1815" s="62" t="str">
        <f>IF(G1815="PA",IF(M1815&lt;&gt;"",ISERROR(VLOOKUP(M1815,ABBR!C:F,1,FALSE)),ISERROR(VLOOKUP(E1815,ABBR!C:F,1,FALSE))),"")</f>
        <v/>
      </c>
    </row>
    <row r="1816" spans="1:17" hidden="1" x14ac:dyDescent="0.25">
      <c r="A1816" s="16" t="s">
        <v>258</v>
      </c>
      <c r="B1816" s="23" t="s">
        <v>594</v>
      </c>
      <c r="C1816" s="16" t="s">
        <v>854</v>
      </c>
      <c r="D1816" s="23"/>
      <c r="E1816" s="23" t="s">
        <v>608</v>
      </c>
      <c r="F1816" s="21" t="s">
        <v>855</v>
      </c>
      <c r="G1816" s="27" t="s">
        <v>941</v>
      </c>
      <c r="H1816" s="23">
        <v>3</v>
      </c>
      <c r="I1816" s="71"/>
      <c r="O1816" s="62" t="str">
        <f>IF(E1816="PA",IF(K1816&lt;&gt;"",ISERROR(VLOOKUP(K1816,ABBR!A:D,1,FALSE)),ISERROR(VLOOKUP(C1816,ABBR!A:D,1,FALSE))),"")</f>
        <v/>
      </c>
      <c r="P1816" t="str">
        <f>VLOOKUP(A1816,Groups!A:L,5,FALSE)</f>
        <v>LBSG</v>
      </c>
      <c r="Q1816" s="62" t="str">
        <f>IF(G1816="PA",IF(M1816&lt;&gt;"",ISERROR(VLOOKUP(M1816,ABBR!C:F,1,FALSE)),ISERROR(VLOOKUP(E1816,ABBR!C:F,1,FALSE))),"")</f>
        <v/>
      </c>
    </row>
    <row r="1817" spans="1:17" hidden="1" x14ac:dyDescent="0.25">
      <c r="A1817" s="16" t="s">
        <v>258</v>
      </c>
      <c r="B1817" s="23" t="s">
        <v>594</v>
      </c>
      <c r="C1817" s="16" t="s">
        <v>857</v>
      </c>
      <c r="D1817" s="23"/>
      <c r="E1817" s="17" t="s">
        <v>618</v>
      </c>
      <c r="F1817" s="21" t="s">
        <v>858</v>
      </c>
      <c r="G1817" s="49" t="s">
        <v>3547</v>
      </c>
      <c r="H1817" s="23">
        <v>4</v>
      </c>
      <c r="I1817" s="71"/>
      <c r="O1817" s="62" t="b">
        <f>IF(E1817="PA",IF(K1817&lt;&gt;"",ISERROR(VLOOKUP(K1817,ABBR!A:D,1,FALSE)),ISERROR(VLOOKUP(C1817,ABBR!A:D,1,FALSE))),"")</f>
        <v>0</v>
      </c>
      <c r="P1817" t="str">
        <f>VLOOKUP(A1817,Groups!A:L,5,FALSE)</f>
        <v>LBSG</v>
      </c>
      <c r="Q1817" s="62" t="str">
        <f>IF(G1817="PA",IF(M1817&lt;&gt;"",ISERROR(VLOOKUP(M1817,ABBR!C:F,1,FALSE)),ISERROR(VLOOKUP(E1817,ABBR!C:F,1,FALSE))),"")</f>
        <v/>
      </c>
    </row>
    <row r="1818" spans="1:17" hidden="1" x14ac:dyDescent="0.25">
      <c r="A1818" s="16" t="s">
        <v>258</v>
      </c>
      <c r="B1818" s="23" t="s">
        <v>594</v>
      </c>
      <c r="C1818" s="16" t="s">
        <v>860</v>
      </c>
      <c r="D1818" s="23"/>
      <c r="E1818" s="23" t="s">
        <v>596</v>
      </c>
      <c r="F1818" s="21" t="s">
        <v>942</v>
      </c>
      <c r="G1818" s="27" t="s">
        <v>862</v>
      </c>
      <c r="H1818" s="23">
        <v>5</v>
      </c>
      <c r="I1818" s="71"/>
      <c r="O1818" s="62" t="str">
        <f>IF(E1818="PA",IF(K1818&lt;&gt;"",ISERROR(VLOOKUP(K1818,ABBR!A:D,1,FALSE)),ISERROR(VLOOKUP(C1818,ABBR!A:D,1,FALSE))),"")</f>
        <v/>
      </c>
      <c r="P1818" t="str">
        <f>VLOOKUP(A1818,Groups!A:L,5,FALSE)</f>
        <v>LBSG</v>
      </c>
      <c r="Q1818" s="62" t="str">
        <f>IF(G1818="PA",IF(M1818&lt;&gt;"",ISERROR(VLOOKUP(M1818,ABBR!C:F,1,FALSE)),ISERROR(VLOOKUP(E1818,ABBR!C:F,1,FALSE))),"")</f>
        <v/>
      </c>
    </row>
    <row r="1819" spans="1:17" hidden="1" x14ac:dyDescent="0.25">
      <c r="A1819" s="16" t="s">
        <v>258</v>
      </c>
      <c r="B1819" s="23" t="s">
        <v>594</v>
      </c>
      <c r="C1819" s="16" t="s">
        <v>3528</v>
      </c>
      <c r="D1819" s="23"/>
      <c r="E1819" s="23" t="s">
        <v>608</v>
      </c>
      <c r="F1819" s="21" t="s">
        <v>3548</v>
      </c>
      <c r="G1819" s="27">
        <v>2</v>
      </c>
      <c r="H1819" s="23">
        <v>6</v>
      </c>
      <c r="I1819" s="71"/>
      <c r="O1819" s="62" t="str">
        <f>IF(E1819="PA",IF(K1819&lt;&gt;"",ISERROR(VLOOKUP(K1819,ABBR!A:D,1,FALSE)),ISERROR(VLOOKUP(C1819,ABBR!A:D,1,FALSE))),"")</f>
        <v/>
      </c>
      <c r="P1819" t="str">
        <f>VLOOKUP(A1819,Groups!A:L,5,FALSE)</f>
        <v>LBSG</v>
      </c>
      <c r="Q1819" s="62" t="str">
        <f>IF(G1819="PA",IF(M1819&lt;&gt;"",ISERROR(VLOOKUP(M1819,ABBR!C:F,1,FALSE)),ISERROR(VLOOKUP(E1819,ABBR!C:F,1,FALSE))),"")</f>
        <v/>
      </c>
    </row>
    <row r="1820" spans="1:17" hidden="1" x14ac:dyDescent="0.25">
      <c r="A1820" s="16" t="s">
        <v>258</v>
      </c>
      <c r="B1820" s="23" t="s">
        <v>594</v>
      </c>
      <c r="C1820" s="16" t="s">
        <v>3549</v>
      </c>
      <c r="D1820" s="23"/>
      <c r="E1820" s="23" t="s">
        <v>608</v>
      </c>
      <c r="F1820" s="21" t="s">
        <v>3550</v>
      </c>
      <c r="G1820" s="27" t="s">
        <v>2518</v>
      </c>
      <c r="H1820" s="23">
        <v>7</v>
      </c>
      <c r="I1820" s="71"/>
      <c r="O1820" s="62" t="str">
        <f>IF(E1820="PA",IF(K1820&lt;&gt;"",ISERROR(VLOOKUP(K1820,ABBR!A:D,1,FALSE)),ISERROR(VLOOKUP(C1820,ABBR!A:D,1,FALSE))),"")</f>
        <v/>
      </c>
      <c r="P1820" t="str">
        <f>VLOOKUP(A1820,Groups!A:L,5,FALSE)</f>
        <v>LBSG</v>
      </c>
      <c r="Q1820" s="62" t="str">
        <f>IF(G1820="PA",IF(M1820&lt;&gt;"",ISERROR(VLOOKUP(M1820,ABBR!C:F,1,FALSE)),ISERROR(VLOOKUP(E1820,ABBR!C:F,1,FALSE))),"")</f>
        <v/>
      </c>
    </row>
    <row r="1821" spans="1:17" hidden="1" x14ac:dyDescent="0.25">
      <c r="A1821" s="16" t="s">
        <v>258</v>
      </c>
      <c r="B1821" s="21"/>
      <c r="C1821" s="16" t="s">
        <v>1430</v>
      </c>
      <c r="D1821" s="23"/>
      <c r="E1821" s="23" t="s">
        <v>608</v>
      </c>
      <c r="F1821" s="21" t="s">
        <v>1431</v>
      </c>
      <c r="G1821" s="27" t="s">
        <v>1432</v>
      </c>
      <c r="H1821" s="23">
        <v>8</v>
      </c>
      <c r="I1821" s="71"/>
      <c r="O1821" s="62" t="str">
        <f>IF(E1821="PA",IF(K1821&lt;&gt;"",ISERROR(VLOOKUP(K1821,ABBR!A:D,1,FALSE)),ISERROR(VLOOKUP(C1821,ABBR!A:D,1,FALSE))),"")</f>
        <v/>
      </c>
      <c r="P1821" t="str">
        <f>VLOOKUP(A1821,Groups!A:L,5,FALSE)</f>
        <v>LBSG</v>
      </c>
      <c r="Q1821" s="62" t="str">
        <f>IF(G1821="PA",IF(M1821&lt;&gt;"",ISERROR(VLOOKUP(M1821,ABBR!C:F,1,FALSE)),ISERROR(VLOOKUP(E1821,ABBR!C:F,1,FALSE))),"")</f>
        <v/>
      </c>
    </row>
    <row r="1822" spans="1:17" hidden="1" x14ac:dyDescent="0.25">
      <c r="A1822" s="16" t="s">
        <v>258</v>
      </c>
      <c r="B1822" s="21"/>
      <c r="C1822" s="16" t="s">
        <v>3551</v>
      </c>
      <c r="D1822" s="23"/>
      <c r="E1822" s="23" t="s">
        <v>608</v>
      </c>
      <c r="F1822" s="21" t="s">
        <v>3552</v>
      </c>
      <c r="G1822" s="51" t="s">
        <v>3553</v>
      </c>
      <c r="H1822" s="23">
        <v>9</v>
      </c>
      <c r="I1822" s="71"/>
      <c r="O1822" s="62" t="str">
        <f>IF(E1822="PA",IF(K1822&lt;&gt;"",ISERROR(VLOOKUP(K1822,ABBR!A:D,1,FALSE)),ISERROR(VLOOKUP(C1822,ABBR!A:D,1,FALSE))),"")</f>
        <v/>
      </c>
      <c r="P1822" t="str">
        <f>VLOOKUP(A1822,Groups!A:L,5,FALSE)</f>
        <v>LBSG</v>
      </c>
      <c r="Q1822" s="62" t="str">
        <f>IF(G1822="PA",IF(M1822&lt;&gt;"",ISERROR(VLOOKUP(M1822,ABBR!C:F,1,FALSE)),ISERROR(VLOOKUP(E1822,ABBR!C:F,1,FALSE))),"")</f>
        <v/>
      </c>
    </row>
    <row r="1823" spans="1:17" hidden="1" x14ac:dyDescent="0.25">
      <c r="A1823" s="16" t="s">
        <v>258</v>
      </c>
      <c r="B1823" s="21"/>
      <c r="C1823" s="16" t="s">
        <v>3554</v>
      </c>
      <c r="D1823" s="23"/>
      <c r="E1823" s="23" t="s">
        <v>608</v>
      </c>
      <c r="F1823" s="21" t="s">
        <v>3555</v>
      </c>
      <c r="G1823" s="27" t="s">
        <v>3556</v>
      </c>
      <c r="H1823" s="23">
        <v>10</v>
      </c>
      <c r="I1823" s="71"/>
      <c r="O1823" s="62" t="str">
        <f>IF(E1823="PA",IF(K1823&lt;&gt;"",ISERROR(VLOOKUP(K1823,ABBR!A:D,1,FALSE)),ISERROR(VLOOKUP(C1823,ABBR!A:D,1,FALSE))),"")</f>
        <v/>
      </c>
      <c r="P1823" t="str">
        <f>VLOOKUP(A1823,Groups!A:L,5,FALSE)</f>
        <v>LBSG</v>
      </c>
      <c r="Q1823" s="62" t="str">
        <f>IF(G1823="PA",IF(M1823&lt;&gt;"",ISERROR(VLOOKUP(M1823,ABBR!C:F,1,FALSE)),ISERROR(VLOOKUP(E1823,ABBR!C:F,1,FALSE))),"")</f>
        <v/>
      </c>
    </row>
    <row r="1824" spans="1:17" hidden="1" x14ac:dyDescent="0.25">
      <c r="A1824" s="16" t="s">
        <v>258</v>
      </c>
      <c r="B1824" s="21"/>
      <c r="C1824" s="16" t="s">
        <v>3557</v>
      </c>
      <c r="D1824" s="23"/>
      <c r="E1824" s="23" t="s">
        <v>608</v>
      </c>
      <c r="F1824" s="21" t="s">
        <v>3558</v>
      </c>
      <c r="G1824" s="27" t="s">
        <v>3559</v>
      </c>
      <c r="H1824" s="23">
        <v>11</v>
      </c>
      <c r="I1824" s="71"/>
      <c r="O1824" s="62" t="str">
        <f>IF(E1824="PA",IF(K1824&lt;&gt;"",ISERROR(VLOOKUP(K1824,ABBR!A:D,1,FALSE)),ISERROR(VLOOKUP(C1824,ABBR!A:D,1,FALSE))),"")</f>
        <v/>
      </c>
      <c r="P1824" t="str">
        <f>VLOOKUP(A1824,Groups!A:L,5,FALSE)</f>
        <v>LBSG</v>
      </c>
      <c r="Q1824" s="62" t="str">
        <f>IF(G1824="PA",IF(M1824&lt;&gt;"",ISERROR(VLOOKUP(M1824,ABBR!C:F,1,FALSE)),ISERROR(VLOOKUP(E1824,ABBR!C:F,1,FALSE))),"")</f>
        <v/>
      </c>
    </row>
    <row r="1825" spans="1:17" hidden="1" x14ac:dyDescent="0.25">
      <c r="A1825" s="16" t="s">
        <v>258</v>
      </c>
      <c r="B1825" s="21"/>
      <c r="C1825" s="16" t="s">
        <v>3560</v>
      </c>
      <c r="D1825" s="23"/>
      <c r="E1825" s="23" t="s">
        <v>608</v>
      </c>
      <c r="F1825" s="21" t="s">
        <v>3561</v>
      </c>
      <c r="G1825" s="27" t="s">
        <v>3562</v>
      </c>
      <c r="H1825" s="23">
        <v>12</v>
      </c>
      <c r="I1825" s="71"/>
      <c r="O1825" s="62" t="str">
        <f>IF(E1825="PA",IF(K1825&lt;&gt;"",ISERROR(VLOOKUP(K1825,ABBR!A:D,1,FALSE)),ISERROR(VLOOKUP(C1825,ABBR!A:D,1,FALSE))),"")</f>
        <v/>
      </c>
      <c r="P1825" t="str">
        <f>VLOOKUP(A1825,Groups!A:L,5,FALSE)</f>
        <v>LBSG</v>
      </c>
      <c r="Q1825" s="62" t="str">
        <f>IF(G1825="PA",IF(M1825&lt;&gt;"",ISERROR(VLOOKUP(M1825,ABBR!C:F,1,FALSE)),ISERROR(VLOOKUP(E1825,ABBR!C:F,1,FALSE))),"")</f>
        <v/>
      </c>
    </row>
    <row r="1826" spans="1:17" hidden="1" x14ac:dyDescent="0.25">
      <c r="A1826" s="16" t="s">
        <v>258</v>
      </c>
      <c r="B1826" s="21"/>
      <c r="C1826" s="16" t="s">
        <v>3563</v>
      </c>
      <c r="D1826" s="23"/>
      <c r="E1826" s="23" t="s">
        <v>618</v>
      </c>
      <c r="F1826" s="21" t="s">
        <v>3564</v>
      </c>
      <c r="G1826" s="51" t="s">
        <v>3565</v>
      </c>
      <c r="H1826" s="23">
        <v>13</v>
      </c>
      <c r="I1826" s="71"/>
      <c r="O1826" s="62" t="b">
        <f>IF(E1826="PA",IF(K1826&lt;&gt;"",ISERROR(VLOOKUP(K1826,ABBR!A:D,1,FALSE)),ISERROR(VLOOKUP(C1826,ABBR!A:D,1,FALSE))),"")</f>
        <v>0</v>
      </c>
      <c r="P1826" t="str">
        <f>VLOOKUP(A1826,Groups!A:L,5,FALSE)</f>
        <v>LBSG</v>
      </c>
      <c r="Q1826" s="62" t="str">
        <f>IF(G1826="PA",IF(M1826&lt;&gt;"",ISERROR(VLOOKUP(M1826,ABBR!C:F,1,FALSE)),ISERROR(VLOOKUP(E1826,ABBR!C:F,1,FALSE))),"")</f>
        <v/>
      </c>
    </row>
    <row r="1827" spans="1:17" hidden="1" x14ac:dyDescent="0.25">
      <c r="A1827" s="16" t="s">
        <v>258</v>
      </c>
      <c r="B1827" s="21"/>
      <c r="C1827" s="16" t="s">
        <v>3566</v>
      </c>
      <c r="D1827" s="23"/>
      <c r="E1827" s="23" t="s">
        <v>608</v>
      </c>
      <c r="F1827" s="21" t="s">
        <v>642</v>
      </c>
      <c r="G1827" s="49" t="s">
        <v>16</v>
      </c>
      <c r="H1827" s="23">
        <v>14</v>
      </c>
      <c r="I1827" s="71"/>
      <c r="M1827" s="101"/>
      <c r="O1827" s="62" t="str">
        <f>IF(E1827="PA",IF(K1827&lt;&gt;"",ISERROR(VLOOKUP(K1827,ABBR!A:D,1,FALSE)),ISERROR(VLOOKUP(C1827,ABBR!A:D,1,FALSE))),"")</f>
        <v/>
      </c>
      <c r="P1827" t="str">
        <f>VLOOKUP(A1827,Groups!A:L,5,FALSE)</f>
        <v>LBSG</v>
      </c>
      <c r="Q1827" s="62" t="str">
        <f>IF(G1827="PA",IF(M1827&lt;&gt;"",ISERROR(VLOOKUP(M1827,ABBR!C:F,1,FALSE)),ISERROR(VLOOKUP(E1827,ABBR!C:F,1,FALSE))),"")</f>
        <v/>
      </c>
    </row>
    <row r="1828" spans="1:17" hidden="1" x14ac:dyDescent="0.25">
      <c r="A1828" s="16" t="s">
        <v>258</v>
      </c>
      <c r="B1828" s="21"/>
      <c r="C1828" s="16" t="s">
        <v>3567</v>
      </c>
      <c r="D1828" s="23" t="s">
        <v>924</v>
      </c>
      <c r="E1828" s="23" t="s">
        <v>925</v>
      </c>
      <c r="F1828" s="21" t="s">
        <v>3568</v>
      </c>
      <c r="G1828" s="27" t="s">
        <v>3569</v>
      </c>
      <c r="H1828" s="23">
        <v>15</v>
      </c>
      <c r="I1828" s="71"/>
      <c r="O1828" s="62" t="str">
        <f>IF(E1828="PA",IF(K1828&lt;&gt;"",ISERROR(VLOOKUP(K1828,ABBR!A:D,1,FALSE)),ISERROR(VLOOKUP(C1828,ABBR!A:D,1,FALSE))),"")</f>
        <v/>
      </c>
      <c r="P1828" t="str">
        <f>VLOOKUP(A1828,Groups!A:L,5,FALSE)</f>
        <v>LBSG</v>
      </c>
      <c r="Q1828" s="62" t="str">
        <f>IF(G1828="PA",IF(M1828&lt;&gt;"",ISERROR(VLOOKUP(M1828,ABBR!C:F,1,FALSE)),ISERROR(VLOOKUP(E1828,ABBR!C:F,1,FALSE))),"")</f>
        <v/>
      </c>
    </row>
    <row r="1829" spans="1:17" hidden="1" x14ac:dyDescent="0.25">
      <c r="A1829" s="16" t="s">
        <v>258</v>
      </c>
      <c r="B1829" s="21"/>
      <c r="C1829" s="16" t="s">
        <v>3570</v>
      </c>
      <c r="D1829" s="23"/>
      <c r="E1829" s="23" t="s">
        <v>608</v>
      </c>
      <c r="F1829" s="21" t="s">
        <v>3571</v>
      </c>
      <c r="G1829" s="27"/>
      <c r="H1829" s="23">
        <v>16</v>
      </c>
      <c r="I1829" s="71"/>
      <c r="M1829" s="101" t="s">
        <v>1044</v>
      </c>
      <c r="O1829" s="62" t="str">
        <f>IF(E1829="PA",IF(K1829&lt;&gt;"",ISERROR(VLOOKUP(K1829,ABBR!A:D,1,FALSE)),ISERROR(VLOOKUP(C1829,ABBR!A:D,1,FALSE))),"")</f>
        <v/>
      </c>
      <c r="P1829" t="str">
        <f>VLOOKUP(A1829,Groups!A:L,5,FALSE)</f>
        <v>LBSG</v>
      </c>
      <c r="Q1829" s="62" t="str">
        <f>IF(G1829="PA",IF(M1829&lt;&gt;"",ISERROR(VLOOKUP(M1829,ABBR!C:F,1,FALSE)),ISERROR(VLOOKUP(E1829,ABBR!C:F,1,FALSE))),"")</f>
        <v/>
      </c>
    </row>
    <row r="1830" spans="1:17" hidden="1" x14ac:dyDescent="0.25">
      <c r="A1830" s="16" t="s">
        <v>258</v>
      </c>
      <c r="B1830" s="21"/>
      <c r="C1830" s="16" t="s">
        <v>3572</v>
      </c>
      <c r="D1830" s="23" t="s">
        <v>924</v>
      </c>
      <c r="E1830" s="23" t="s">
        <v>925</v>
      </c>
      <c r="F1830" s="21" t="s">
        <v>3573</v>
      </c>
      <c r="G1830" s="27" t="s">
        <v>927</v>
      </c>
      <c r="H1830" s="23">
        <v>17</v>
      </c>
      <c r="I1830" s="71"/>
      <c r="O1830" s="62" t="str">
        <f>IF(E1830="PA",IF(K1830&lt;&gt;"",ISERROR(VLOOKUP(K1830,ABBR!A:D,1,FALSE)),ISERROR(VLOOKUP(C1830,ABBR!A:D,1,FALSE))),"")</f>
        <v/>
      </c>
      <c r="P1830" t="str">
        <f>VLOOKUP(A1830,Groups!A:L,5,FALSE)</f>
        <v>LBSG</v>
      </c>
      <c r="Q1830" s="62" t="str">
        <f>IF(G1830="PA",IF(M1830&lt;&gt;"",ISERROR(VLOOKUP(M1830,ABBR!C:F,1,FALSE)),ISERROR(VLOOKUP(E1830,ABBR!C:F,1,FALSE))),"")</f>
        <v/>
      </c>
    </row>
    <row r="1831" spans="1:17" hidden="1" x14ac:dyDescent="0.25">
      <c r="A1831" s="16" t="s">
        <v>258</v>
      </c>
      <c r="B1831" s="21"/>
      <c r="C1831" s="16" t="s">
        <v>643</v>
      </c>
      <c r="D1831" s="23"/>
      <c r="E1831" s="23" t="s">
        <v>608</v>
      </c>
      <c r="F1831" s="18" t="s">
        <v>1714</v>
      </c>
      <c r="G1831" s="27" t="s">
        <v>1448</v>
      </c>
      <c r="H1831" s="23">
        <v>18</v>
      </c>
      <c r="I1831" s="71"/>
      <c r="O1831" s="62" t="str">
        <f>IF(E1831="PA",IF(K1831&lt;&gt;"",ISERROR(VLOOKUP(K1831,ABBR!A:D,1,FALSE)),ISERROR(VLOOKUP(C1831,ABBR!A:D,1,FALSE))),"")</f>
        <v/>
      </c>
      <c r="P1831" t="str">
        <f>VLOOKUP(A1831,Groups!A:L,5,FALSE)</f>
        <v>LBSG</v>
      </c>
      <c r="Q1831" s="62" t="str">
        <f>IF(G1831="PA",IF(M1831&lt;&gt;"",ISERROR(VLOOKUP(M1831,ABBR!C:F,1,FALSE)),ISERROR(VLOOKUP(E1831,ABBR!C:F,1,FALSE))),"")</f>
        <v/>
      </c>
    </row>
    <row r="1832" spans="1:17" hidden="1" x14ac:dyDescent="0.25">
      <c r="A1832" s="16" t="s">
        <v>258</v>
      </c>
      <c r="B1832" s="21"/>
      <c r="C1832" s="16" t="s">
        <v>3574</v>
      </c>
      <c r="D1832" s="23"/>
      <c r="E1832" s="24" t="s">
        <v>608</v>
      </c>
      <c r="F1832" s="18" t="s">
        <v>3575</v>
      </c>
      <c r="G1832" s="51" t="s">
        <v>3576</v>
      </c>
      <c r="H1832" s="23">
        <v>19</v>
      </c>
      <c r="I1832" s="71"/>
      <c r="O1832" s="62" t="str">
        <f>IF(E1832="PA",IF(K1832&lt;&gt;"",ISERROR(VLOOKUP(K1832,ABBR!A:D,1,FALSE)),ISERROR(VLOOKUP(C1832,ABBR!A:D,1,FALSE))),"")</f>
        <v/>
      </c>
      <c r="P1832" t="str">
        <f>VLOOKUP(A1832,Groups!A:L,5,FALSE)</f>
        <v>LBSG</v>
      </c>
      <c r="Q1832" s="62" t="str">
        <f>IF(G1832="PA",IF(M1832&lt;&gt;"",ISERROR(VLOOKUP(M1832,ABBR!C:F,1,FALSE)),ISERROR(VLOOKUP(E1832,ABBR!C:F,1,FALSE))),"")</f>
        <v/>
      </c>
    </row>
    <row r="1833" spans="1:17" hidden="1" x14ac:dyDescent="0.25">
      <c r="A1833" s="16" t="s">
        <v>520</v>
      </c>
      <c r="B1833" s="17" t="s">
        <v>594</v>
      </c>
      <c r="C1833" s="16" t="s">
        <v>595</v>
      </c>
      <c r="D1833" s="17"/>
      <c r="E1833" s="17" t="s">
        <v>596</v>
      </c>
      <c r="F1833" s="18" t="s">
        <v>597</v>
      </c>
      <c r="G1833" s="49" t="s">
        <v>598</v>
      </c>
      <c r="H1833" s="17">
        <v>1</v>
      </c>
      <c r="J1833" s="7" t="s">
        <v>478</v>
      </c>
      <c r="K1833" s="62"/>
      <c r="M1833" s="62"/>
      <c r="N1833" s="62"/>
      <c r="O1833" s="62" t="str">
        <f>IF(E1833="PA",IF(K1833&lt;&gt;"",ISERROR(VLOOKUP(K1833,ABBR!A:D,1,FALSE)),ISERROR(VLOOKUP(C1833,ABBR!A:D,1,FALSE))),"")</f>
        <v/>
      </c>
      <c r="P1833" t="str">
        <f>VLOOKUP(A1833,Groups!A:L,5,FALSE)</f>
        <v>SAMP</v>
      </c>
      <c r="Q1833" s="62" t="str">
        <f>IF(G1833="PA",IF(M1833&lt;&gt;"",ISERROR(VLOOKUP(M1833,ABBR!C:F,1,FALSE)),ISERROR(VLOOKUP(E1833,ABBR!C:F,1,FALSE))),"")</f>
        <v/>
      </c>
    </row>
    <row r="1834" spans="1:17" hidden="1" x14ac:dyDescent="0.25">
      <c r="A1834" s="16" t="s">
        <v>520</v>
      </c>
      <c r="B1834" s="17" t="s">
        <v>594</v>
      </c>
      <c r="C1834" s="16" t="s">
        <v>851</v>
      </c>
      <c r="D1834" s="17" t="s">
        <v>600</v>
      </c>
      <c r="E1834" s="17" t="s">
        <v>601</v>
      </c>
      <c r="F1834" s="18" t="s">
        <v>852</v>
      </c>
      <c r="G1834" s="49" t="s">
        <v>853</v>
      </c>
      <c r="H1834" s="17">
        <f t="shared" ref="H1834:H1855" si="8">H1833+1</f>
        <v>2</v>
      </c>
      <c r="J1834" s="7" t="s">
        <v>478</v>
      </c>
      <c r="K1834" s="62"/>
      <c r="M1834" s="62"/>
      <c r="N1834" s="62"/>
      <c r="O1834" s="62" t="str">
        <f>IF(E1834="PA",IF(K1834&lt;&gt;"",ISERROR(VLOOKUP(K1834,ABBR!A:D,1,FALSE)),ISERROR(VLOOKUP(C1834,ABBR!A:D,1,FALSE))),"")</f>
        <v/>
      </c>
      <c r="P1834" t="str">
        <f>VLOOKUP(A1834,Groups!A:L,5,FALSE)</f>
        <v>SAMP</v>
      </c>
      <c r="Q1834" s="62" t="str">
        <f>IF(G1834="PA",IF(M1834&lt;&gt;"",ISERROR(VLOOKUP(M1834,ABBR!C:F,1,FALSE)),ISERROR(VLOOKUP(E1834,ABBR!C:F,1,FALSE))),"")</f>
        <v/>
      </c>
    </row>
    <row r="1835" spans="1:17" hidden="1" x14ac:dyDescent="0.25">
      <c r="A1835" s="16" t="s">
        <v>520</v>
      </c>
      <c r="B1835" s="17" t="s">
        <v>594</v>
      </c>
      <c r="C1835" s="16" t="s">
        <v>854</v>
      </c>
      <c r="D1835" s="17"/>
      <c r="E1835" s="17" t="s">
        <v>608</v>
      </c>
      <c r="F1835" s="18" t="s">
        <v>855</v>
      </c>
      <c r="G1835" s="49" t="s">
        <v>856</v>
      </c>
      <c r="H1835" s="17">
        <f t="shared" si="8"/>
        <v>3</v>
      </c>
      <c r="J1835" s="7" t="s">
        <v>478</v>
      </c>
      <c r="K1835" s="62"/>
      <c r="M1835" s="62"/>
      <c r="N1835" s="62"/>
      <c r="O1835" s="62" t="str">
        <f>IF(E1835="PA",IF(K1835&lt;&gt;"",ISERROR(VLOOKUP(K1835,ABBR!A:D,1,FALSE)),ISERROR(VLOOKUP(C1835,ABBR!A:D,1,FALSE))),"")</f>
        <v/>
      </c>
      <c r="P1835" t="str">
        <f>VLOOKUP(A1835,Groups!A:L,5,FALSE)</f>
        <v>SAMP</v>
      </c>
      <c r="Q1835" s="62" t="str">
        <f>IF(G1835="PA",IF(M1835&lt;&gt;"",ISERROR(VLOOKUP(M1835,ABBR!C:F,1,FALSE)),ISERROR(VLOOKUP(E1835,ABBR!C:F,1,FALSE))),"")</f>
        <v/>
      </c>
    </row>
    <row r="1836" spans="1:17" hidden="1" x14ac:dyDescent="0.25">
      <c r="A1836" s="16" t="s">
        <v>520</v>
      </c>
      <c r="B1836" s="17" t="s">
        <v>594</v>
      </c>
      <c r="C1836" s="16" t="s">
        <v>857</v>
      </c>
      <c r="D1836" s="17"/>
      <c r="E1836" s="17" t="s">
        <v>618</v>
      </c>
      <c r="F1836" s="18" t="s">
        <v>858</v>
      </c>
      <c r="G1836" s="49" t="s">
        <v>859</v>
      </c>
      <c r="H1836" s="17">
        <f t="shared" si="8"/>
        <v>4</v>
      </c>
      <c r="J1836" s="7" t="s">
        <v>478</v>
      </c>
      <c r="K1836" s="62"/>
      <c r="M1836" s="62"/>
      <c r="N1836" s="62"/>
      <c r="O1836" s="62" t="b">
        <f>IF(E1836="PA",IF(K1836&lt;&gt;"",ISERROR(VLOOKUP(K1836,ABBR!A:D,1,FALSE)),ISERROR(VLOOKUP(C1836,ABBR!A:D,1,FALSE))),"")</f>
        <v>0</v>
      </c>
      <c r="P1836" t="str">
        <f>VLOOKUP(A1836,Groups!A:L,5,FALSE)</f>
        <v>SAMP</v>
      </c>
      <c r="Q1836" s="62" t="str">
        <f>IF(G1836="PA",IF(M1836&lt;&gt;"",ISERROR(VLOOKUP(M1836,ABBR!C:F,1,FALSE)),ISERROR(VLOOKUP(E1836,ABBR!C:F,1,FALSE))),"")</f>
        <v/>
      </c>
    </row>
    <row r="1837" spans="1:17" hidden="1" x14ac:dyDescent="0.25">
      <c r="A1837" s="16" t="s">
        <v>520</v>
      </c>
      <c r="B1837" s="17" t="s">
        <v>594</v>
      </c>
      <c r="C1837" s="16" t="s">
        <v>860</v>
      </c>
      <c r="D1837" s="17"/>
      <c r="E1837" s="17" t="s">
        <v>596</v>
      </c>
      <c r="F1837" s="18" t="s">
        <v>861</v>
      </c>
      <c r="G1837" s="49" t="s">
        <v>862</v>
      </c>
      <c r="H1837" s="17">
        <f t="shared" si="8"/>
        <v>5</v>
      </c>
      <c r="J1837" s="7" t="s">
        <v>478</v>
      </c>
      <c r="K1837" s="62"/>
      <c r="M1837" s="62"/>
      <c r="N1837" s="62"/>
      <c r="O1837" s="62" t="str">
        <f>IF(E1837="PA",IF(K1837&lt;&gt;"",ISERROR(VLOOKUP(K1837,ABBR!A:D,1,FALSE)),ISERROR(VLOOKUP(C1837,ABBR!A:D,1,FALSE))),"")</f>
        <v/>
      </c>
      <c r="P1837" t="str">
        <f>VLOOKUP(A1837,Groups!A:L,5,FALSE)</f>
        <v>SAMP</v>
      </c>
      <c r="Q1837" s="62" t="str">
        <f>IF(G1837="PA",IF(M1837&lt;&gt;"",ISERROR(VLOOKUP(M1837,ABBR!C:F,1,FALSE)),ISERROR(VLOOKUP(E1837,ABBR!C:F,1,FALSE))),"")</f>
        <v/>
      </c>
    </row>
    <row r="1838" spans="1:17" hidden="1" x14ac:dyDescent="0.25">
      <c r="A1838" s="16" t="s">
        <v>520</v>
      </c>
      <c r="B1838" s="17" t="s">
        <v>594</v>
      </c>
      <c r="C1838" s="16" t="s">
        <v>863</v>
      </c>
      <c r="D1838" s="17"/>
      <c r="E1838" s="17" t="s">
        <v>608</v>
      </c>
      <c r="F1838" s="18" t="s">
        <v>864</v>
      </c>
      <c r="G1838" s="49" t="s">
        <v>865</v>
      </c>
      <c r="H1838" s="17">
        <f t="shared" si="8"/>
        <v>6</v>
      </c>
      <c r="J1838" s="7" t="s">
        <v>478</v>
      </c>
      <c r="K1838" s="62"/>
      <c r="M1838" s="62"/>
      <c r="N1838" s="62"/>
      <c r="O1838" s="62" t="str">
        <f>IF(E1838="PA",IF(K1838&lt;&gt;"",ISERROR(VLOOKUP(K1838,ABBR!A:D,1,FALSE)),ISERROR(VLOOKUP(C1838,ABBR!A:D,1,FALSE))),"")</f>
        <v/>
      </c>
      <c r="P1838" t="str">
        <f>VLOOKUP(A1838,Groups!A:L,5,FALSE)</f>
        <v>SAMP</v>
      </c>
      <c r="Q1838" s="62" t="str">
        <f>IF(G1838="PA",IF(M1838&lt;&gt;"",ISERROR(VLOOKUP(M1838,ABBR!C:F,1,FALSE)),ISERROR(VLOOKUP(E1838,ABBR!C:F,1,FALSE))),"")</f>
        <v/>
      </c>
    </row>
    <row r="1839" spans="1:17" hidden="1" x14ac:dyDescent="0.25">
      <c r="A1839" s="16" t="s">
        <v>520</v>
      </c>
      <c r="B1839" s="17" t="s">
        <v>594</v>
      </c>
      <c r="C1839" s="16" t="s">
        <v>866</v>
      </c>
      <c r="D1839" s="17" t="s">
        <v>600</v>
      </c>
      <c r="E1839" s="17" t="s">
        <v>601</v>
      </c>
      <c r="F1839" s="18" t="s">
        <v>867</v>
      </c>
      <c r="G1839" s="49" t="s">
        <v>853</v>
      </c>
      <c r="H1839" s="17">
        <f t="shared" si="8"/>
        <v>7</v>
      </c>
      <c r="J1839" s="7" t="s">
        <v>478</v>
      </c>
      <c r="K1839" s="62"/>
      <c r="M1839" s="62"/>
      <c r="N1839" s="62"/>
      <c r="O1839" s="62" t="str">
        <f>IF(E1839="PA",IF(K1839&lt;&gt;"",ISERROR(VLOOKUP(K1839,ABBR!A:D,1,FALSE)),ISERROR(VLOOKUP(C1839,ABBR!A:D,1,FALSE))),"")</f>
        <v/>
      </c>
      <c r="P1839" t="str">
        <f>VLOOKUP(A1839,Groups!A:L,5,FALSE)</f>
        <v>SAMP</v>
      </c>
      <c r="Q1839" s="62" t="str">
        <f>IF(G1839="PA",IF(M1839&lt;&gt;"",ISERROR(VLOOKUP(M1839,ABBR!C:F,1,FALSE)),ISERROR(VLOOKUP(E1839,ABBR!C:F,1,FALSE))),"")</f>
        <v/>
      </c>
    </row>
    <row r="1840" spans="1:17" hidden="1" x14ac:dyDescent="0.25">
      <c r="A1840" s="16" t="s">
        <v>520</v>
      </c>
      <c r="B1840" s="46"/>
      <c r="C1840" s="9" t="s">
        <v>868</v>
      </c>
      <c r="D1840" s="46"/>
      <c r="E1840" s="46" t="s">
        <v>608</v>
      </c>
      <c r="F1840" s="93" t="s">
        <v>869</v>
      </c>
      <c r="G1840" s="51" t="s">
        <v>3265</v>
      </c>
      <c r="H1840" s="17">
        <f t="shared" si="8"/>
        <v>8</v>
      </c>
      <c r="I1840"/>
      <c r="J1840" s="34" t="s">
        <v>473</v>
      </c>
      <c r="O1840" s="62" t="str">
        <f>IF(E1840="PA",IF(K1840&lt;&gt;"",ISERROR(VLOOKUP(K1840,ABBR!A:D,1,FALSE)),ISERROR(VLOOKUP(C1840,ABBR!A:D,1,FALSE))),"")</f>
        <v/>
      </c>
      <c r="P1840" t="str">
        <f>VLOOKUP(A1840,Groups!A:L,5,FALSE)</f>
        <v>SAMP</v>
      </c>
      <c r="Q1840" s="62" t="str">
        <f>IF(G1840="PA",IF(M1840&lt;&gt;"",ISERROR(VLOOKUP(M1840,ABBR!C:F,1,FALSE)),ISERROR(VLOOKUP(E1840,ABBR!C:F,1,FALSE))),"")</f>
        <v/>
      </c>
    </row>
    <row r="1841" spans="1:17" ht="25" hidden="1" x14ac:dyDescent="0.25">
      <c r="A1841" s="16" t="s">
        <v>520</v>
      </c>
      <c r="B1841" s="46"/>
      <c r="C1841" s="9" t="s">
        <v>871</v>
      </c>
      <c r="D1841" s="46"/>
      <c r="E1841" s="46" t="s">
        <v>608</v>
      </c>
      <c r="F1841" s="93" t="s">
        <v>872</v>
      </c>
      <c r="G1841" s="94" t="s">
        <v>873</v>
      </c>
      <c r="H1841" s="17">
        <f t="shared" si="8"/>
        <v>9</v>
      </c>
      <c r="I1841"/>
      <c r="J1841" s="34" t="s">
        <v>473</v>
      </c>
      <c r="O1841" s="62" t="str">
        <f>IF(E1841="PA",IF(K1841&lt;&gt;"",ISERROR(VLOOKUP(K1841,ABBR!A:D,1,FALSE)),ISERROR(VLOOKUP(C1841,ABBR!A:D,1,FALSE))),"")</f>
        <v/>
      </c>
      <c r="P1841" t="str">
        <f>VLOOKUP(A1841,Groups!A:L,5,FALSE)</f>
        <v>SAMP</v>
      </c>
      <c r="Q1841" s="62" t="str">
        <f>IF(G1841="PA",IF(M1841&lt;&gt;"",ISERROR(VLOOKUP(M1841,ABBR!C:F,1,FALSE)),ISERROR(VLOOKUP(E1841,ABBR!C:F,1,FALSE))),"")</f>
        <v/>
      </c>
    </row>
    <row r="1842" spans="1:17" hidden="1" x14ac:dyDescent="0.25">
      <c r="A1842" s="16" t="s">
        <v>520</v>
      </c>
      <c r="B1842" s="46"/>
      <c r="C1842" s="9" t="s">
        <v>877</v>
      </c>
      <c r="D1842" s="46" t="s">
        <v>600</v>
      </c>
      <c r="E1842" s="46" t="s">
        <v>601</v>
      </c>
      <c r="F1842" s="93" t="s">
        <v>878</v>
      </c>
      <c r="G1842" s="94" t="s">
        <v>879</v>
      </c>
      <c r="H1842" s="17">
        <f t="shared" si="8"/>
        <v>10</v>
      </c>
      <c r="I1842"/>
      <c r="J1842" s="34" t="s">
        <v>473</v>
      </c>
      <c r="O1842" s="62" t="str">
        <f>IF(E1842="PA",IF(K1842&lt;&gt;"",ISERROR(VLOOKUP(K1842,ABBR!A:D,1,FALSE)),ISERROR(VLOOKUP(C1842,ABBR!A:D,1,FALSE))),"")</f>
        <v/>
      </c>
      <c r="P1842" t="str">
        <f>VLOOKUP(A1842,Groups!A:L,5,FALSE)</f>
        <v>SAMP</v>
      </c>
      <c r="Q1842" s="62" t="str">
        <f>IF(G1842="PA",IF(M1842&lt;&gt;"",ISERROR(VLOOKUP(M1842,ABBR!C:F,1,FALSE)),ISERROR(VLOOKUP(E1842,ABBR!C:F,1,FALSE))),"")</f>
        <v/>
      </c>
    </row>
    <row r="1843" spans="1:17" hidden="1" x14ac:dyDescent="0.25">
      <c r="A1843" s="16" t="s">
        <v>520</v>
      </c>
      <c r="B1843" s="17"/>
      <c r="C1843" s="16" t="s">
        <v>3577</v>
      </c>
      <c r="D1843" s="17"/>
      <c r="E1843" s="17" t="s">
        <v>608</v>
      </c>
      <c r="F1843" s="18" t="s">
        <v>875</v>
      </c>
      <c r="G1843" s="49" t="s">
        <v>876</v>
      </c>
      <c r="H1843" s="17">
        <f t="shared" si="8"/>
        <v>11</v>
      </c>
      <c r="J1843" s="62" t="s">
        <v>473</v>
      </c>
      <c r="K1843" s="62"/>
      <c r="M1843" s="62"/>
      <c r="N1843" s="62"/>
      <c r="O1843" s="62" t="str">
        <f>IF(E1843="PA",IF(K1843&lt;&gt;"",ISERROR(VLOOKUP(K1843,ABBR!A:D,1,FALSE)),ISERROR(VLOOKUP(C1843,ABBR!A:D,1,FALSE))),"")</f>
        <v/>
      </c>
      <c r="P1843" t="str">
        <f>VLOOKUP(A1843,Groups!A:L,5,FALSE)</f>
        <v>SAMP</v>
      </c>
      <c r="Q1843" s="62" t="str">
        <f>IF(G1843="PA",IF(M1843&lt;&gt;"",ISERROR(VLOOKUP(M1843,ABBR!C:F,1,FALSE)),ISERROR(VLOOKUP(E1843,ABBR!C:F,1,FALSE))),"")</f>
        <v/>
      </c>
    </row>
    <row r="1844" spans="1:17" hidden="1" x14ac:dyDescent="0.25">
      <c r="A1844" s="16" t="s">
        <v>520</v>
      </c>
      <c r="B1844" s="17"/>
      <c r="C1844" s="16" t="s">
        <v>3578</v>
      </c>
      <c r="D1844" s="17"/>
      <c r="E1844" s="17" t="s">
        <v>618</v>
      </c>
      <c r="F1844" s="18" t="s">
        <v>1388</v>
      </c>
      <c r="G1844" s="49" t="s">
        <v>1389</v>
      </c>
      <c r="H1844" s="17">
        <f t="shared" si="8"/>
        <v>12</v>
      </c>
      <c r="J1844" s="7" t="s">
        <v>478</v>
      </c>
      <c r="K1844" s="62" t="s">
        <v>3579</v>
      </c>
      <c r="M1844" s="62"/>
      <c r="N1844" s="62"/>
      <c r="O1844" s="62" t="b">
        <f>IF(E1844="PA",IF(K1844&lt;&gt;"",ISERROR(VLOOKUP(K1844,ABBR!A:D,1,FALSE)),ISERROR(VLOOKUP(C1844,ABBR!A:D,1,FALSE))),"")</f>
        <v>0</v>
      </c>
      <c r="P1844" t="str">
        <f>VLOOKUP(A1844,Groups!A:L,5,FALSE)</f>
        <v>SAMP</v>
      </c>
      <c r="Q1844" s="62" t="str">
        <f>IF(G1844="PA",IF(M1844&lt;&gt;"",ISERROR(VLOOKUP(M1844,ABBR!C:F,1,FALSE)),ISERROR(VLOOKUP(E1844,ABBR!C:F,1,FALSE))),"")</f>
        <v/>
      </c>
    </row>
    <row r="1845" spans="1:17" hidden="1" x14ac:dyDescent="0.25">
      <c r="A1845" s="16" t="s">
        <v>520</v>
      </c>
      <c r="B1845" s="17"/>
      <c r="C1845" s="16" t="s">
        <v>3580</v>
      </c>
      <c r="D1845" s="17" t="s">
        <v>766</v>
      </c>
      <c r="E1845" s="17" t="s">
        <v>723</v>
      </c>
      <c r="F1845" s="18" t="s">
        <v>3581</v>
      </c>
      <c r="G1845" s="49" t="s">
        <v>3582</v>
      </c>
      <c r="H1845" s="17">
        <f t="shared" si="8"/>
        <v>13</v>
      </c>
      <c r="J1845" s="7" t="s">
        <v>478</v>
      </c>
      <c r="K1845" s="62"/>
      <c r="M1845" s="62"/>
      <c r="N1845" s="62"/>
      <c r="O1845" s="62" t="str">
        <f>IF(E1845="PA",IF(K1845&lt;&gt;"",ISERROR(VLOOKUP(K1845,ABBR!A:D,1,FALSE)),ISERROR(VLOOKUP(C1845,ABBR!A:D,1,FALSE))),"")</f>
        <v/>
      </c>
      <c r="P1845" t="str">
        <f>VLOOKUP(A1845,Groups!A:L,5,FALSE)</f>
        <v>SAMP</v>
      </c>
      <c r="Q1845" s="62" t="str">
        <f>IF(G1845="PA",IF(M1845&lt;&gt;"",ISERROR(VLOOKUP(M1845,ABBR!C:F,1,FALSE)),ISERROR(VLOOKUP(E1845,ABBR!C:F,1,FALSE))),"")</f>
        <v/>
      </c>
    </row>
    <row r="1846" spans="1:17" hidden="1" x14ac:dyDescent="0.25">
      <c r="A1846" s="16" t="s">
        <v>520</v>
      </c>
      <c r="B1846" s="17"/>
      <c r="C1846" s="16" t="s">
        <v>3583</v>
      </c>
      <c r="D1846" s="17"/>
      <c r="E1846" s="17" t="s">
        <v>723</v>
      </c>
      <c r="F1846" s="18" t="s">
        <v>3584</v>
      </c>
      <c r="G1846" s="49" t="s">
        <v>888</v>
      </c>
      <c r="H1846" s="17">
        <f t="shared" si="8"/>
        <v>14</v>
      </c>
      <c r="J1846" s="7" t="s">
        <v>478</v>
      </c>
      <c r="K1846" s="62"/>
      <c r="M1846" s="62"/>
      <c r="N1846" s="62"/>
      <c r="O1846" s="62" t="str">
        <f>IF(E1846="PA",IF(K1846&lt;&gt;"",ISERROR(VLOOKUP(K1846,ABBR!A:D,1,FALSE)),ISERROR(VLOOKUP(C1846,ABBR!A:D,1,FALSE))),"")</f>
        <v/>
      </c>
      <c r="P1846" t="str">
        <f>VLOOKUP(A1846,Groups!A:L,5,FALSE)</f>
        <v>SAMP</v>
      </c>
      <c r="Q1846" s="62" t="str">
        <f>IF(G1846="PA",IF(M1846&lt;&gt;"",ISERROR(VLOOKUP(M1846,ABBR!C:F,1,FALSE)),ISERROR(VLOOKUP(E1846,ABBR!C:F,1,FALSE))),"")</f>
        <v/>
      </c>
    </row>
    <row r="1847" spans="1:17" ht="25" hidden="1" x14ac:dyDescent="0.25">
      <c r="A1847" s="16" t="s">
        <v>520</v>
      </c>
      <c r="B1847" s="17"/>
      <c r="C1847" s="16" t="s">
        <v>3585</v>
      </c>
      <c r="D1847" s="17"/>
      <c r="E1847" s="17" t="s">
        <v>608</v>
      </c>
      <c r="F1847" s="18" t="s">
        <v>642</v>
      </c>
      <c r="G1847" s="49" t="s">
        <v>2274</v>
      </c>
      <c r="H1847" s="17">
        <f t="shared" si="8"/>
        <v>15</v>
      </c>
      <c r="J1847" s="7" t="s">
        <v>478</v>
      </c>
      <c r="K1847" s="62"/>
      <c r="M1847" s="62"/>
      <c r="N1847" s="62"/>
      <c r="O1847" s="62" t="str">
        <f>IF(E1847="PA",IF(K1847&lt;&gt;"",ISERROR(VLOOKUP(K1847,ABBR!A:D,1,FALSE)),ISERROR(VLOOKUP(C1847,ABBR!A:D,1,FALSE))),"")</f>
        <v/>
      </c>
      <c r="P1847" t="str">
        <f>VLOOKUP(A1847,Groups!A:L,5,FALSE)</f>
        <v>SAMP</v>
      </c>
      <c r="Q1847" s="62" t="str">
        <f>IF(G1847="PA",IF(M1847&lt;&gt;"",ISERROR(VLOOKUP(M1847,ABBR!C:F,1,FALSE)),ISERROR(VLOOKUP(E1847,ABBR!C:F,1,FALSE))),"")</f>
        <v/>
      </c>
    </row>
    <row r="1848" spans="1:17" hidden="1" x14ac:dyDescent="0.25">
      <c r="A1848" s="16" t="s">
        <v>520</v>
      </c>
      <c r="B1848" s="17"/>
      <c r="C1848" s="16" t="s">
        <v>3586</v>
      </c>
      <c r="D1848" s="17"/>
      <c r="E1848" s="17" t="s">
        <v>608</v>
      </c>
      <c r="F1848" s="18" t="s">
        <v>918</v>
      </c>
      <c r="G1848" s="49" t="s">
        <v>3587</v>
      </c>
      <c r="H1848" s="17">
        <f t="shared" si="8"/>
        <v>16</v>
      </c>
      <c r="J1848" s="7" t="s">
        <v>478</v>
      </c>
      <c r="K1848" s="62"/>
      <c r="M1848" s="62"/>
      <c r="N1848" s="62"/>
      <c r="O1848" s="62" t="str">
        <f>IF(E1848="PA",IF(K1848&lt;&gt;"",ISERROR(VLOOKUP(K1848,ABBR!A:D,1,FALSE)),ISERROR(VLOOKUP(C1848,ABBR!A:D,1,FALSE))),"")</f>
        <v/>
      </c>
      <c r="P1848" t="str">
        <f>VLOOKUP(A1848,Groups!A:L,5,FALSE)</f>
        <v>SAMP</v>
      </c>
      <c r="Q1848" s="62" t="str">
        <f>IF(G1848="PA",IF(M1848&lt;&gt;"",ISERROR(VLOOKUP(M1848,ABBR!C:F,1,FALSE)),ISERROR(VLOOKUP(E1848,ABBR!C:F,1,FALSE))),"")</f>
        <v/>
      </c>
    </row>
    <row r="1849" spans="1:17" hidden="1" x14ac:dyDescent="0.25">
      <c r="A1849" s="16" t="s">
        <v>520</v>
      </c>
      <c r="B1849" s="46"/>
      <c r="C1849" s="9" t="s">
        <v>3588</v>
      </c>
      <c r="D1849" s="46"/>
      <c r="E1849" s="46" t="s">
        <v>608</v>
      </c>
      <c r="F1849" s="93" t="s">
        <v>921</v>
      </c>
      <c r="G1849" s="94" t="s">
        <v>922</v>
      </c>
      <c r="H1849" s="17">
        <f t="shared" si="8"/>
        <v>17</v>
      </c>
      <c r="I1849"/>
      <c r="J1849" s="34" t="s">
        <v>473</v>
      </c>
      <c r="M1849" s="101"/>
      <c r="O1849" s="62" t="str">
        <f>IF(E1849="PA",IF(K1849&lt;&gt;"",ISERROR(VLOOKUP(K1849,ABBR!A:D,1,FALSE)),ISERROR(VLOOKUP(C1849,ABBR!A:D,1,FALSE))),"")</f>
        <v/>
      </c>
      <c r="P1849" t="str">
        <f>VLOOKUP(A1849,Groups!A:L,5,FALSE)</f>
        <v>SAMP</v>
      </c>
      <c r="Q1849" s="62" t="str">
        <f>IF(G1849="PA",IF(M1849&lt;&gt;"",ISERROR(VLOOKUP(M1849,ABBR!C:F,1,FALSE)),ISERROR(VLOOKUP(E1849,ABBR!C:F,1,FALSE))),"")</f>
        <v/>
      </c>
    </row>
    <row r="1850" spans="1:17" hidden="1" x14ac:dyDescent="0.25">
      <c r="A1850" s="16" t="s">
        <v>520</v>
      </c>
      <c r="B1850" s="17"/>
      <c r="C1850" s="16" t="s">
        <v>3589</v>
      </c>
      <c r="D1850" s="17"/>
      <c r="E1850" s="17" t="s">
        <v>608</v>
      </c>
      <c r="F1850" s="18" t="s">
        <v>929</v>
      </c>
      <c r="G1850" s="49" t="s">
        <v>876</v>
      </c>
      <c r="H1850" s="17">
        <f t="shared" si="8"/>
        <v>18</v>
      </c>
      <c r="J1850" s="62" t="s">
        <v>473</v>
      </c>
      <c r="K1850" s="62"/>
      <c r="M1850" s="62"/>
      <c r="N1850" s="62"/>
      <c r="O1850" s="62" t="str">
        <f>IF(E1850="PA",IF(K1850&lt;&gt;"",ISERROR(VLOOKUP(K1850,ABBR!A:D,1,FALSE)),ISERROR(VLOOKUP(C1850,ABBR!A:D,1,FALSE))),"")</f>
        <v/>
      </c>
      <c r="P1850" t="str">
        <f>VLOOKUP(A1850,Groups!A:L,5,FALSE)</f>
        <v>SAMP</v>
      </c>
      <c r="Q1850" s="62" t="str">
        <f>IF(G1850="PA",IF(M1850&lt;&gt;"",ISERROR(VLOOKUP(M1850,ABBR!C:F,1,FALSE)),ISERROR(VLOOKUP(E1850,ABBR!C:F,1,FALSE))),"")</f>
        <v/>
      </c>
    </row>
    <row r="1851" spans="1:17" hidden="1" x14ac:dyDescent="0.25">
      <c r="A1851" s="16" t="s">
        <v>520</v>
      </c>
      <c r="B1851" s="17"/>
      <c r="C1851" s="16" t="s">
        <v>3590</v>
      </c>
      <c r="D1851" s="17" t="s">
        <v>924</v>
      </c>
      <c r="E1851" s="17" t="s">
        <v>925</v>
      </c>
      <c r="F1851" s="18" t="s">
        <v>926</v>
      </c>
      <c r="G1851" s="49" t="s">
        <v>927</v>
      </c>
      <c r="H1851" s="17">
        <f t="shared" si="8"/>
        <v>19</v>
      </c>
      <c r="J1851" s="7" t="s">
        <v>478</v>
      </c>
      <c r="K1851" s="62"/>
      <c r="M1851" s="62"/>
      <c r="N1851" s="62"/>
      <c r="O1851" s="62" t="str">
        <f>IF(E1851="PA",IF(K1851&lt;&gt;"",ISERROR(VLOOKUP(K1851,ABBR!A:D,1,FALSE)),ISERROR(VLOOKUP(C1851,ABBR!A:D,1,FALSE))),"")</f>
        <v/>
      </c>
      <c r="P1851" t="str">
        <f>VLOOKUP(A1851,Groups!A:L,5,FALSE)</f>
        <v>SAMP</v>
      </c>
      <c r="Q1851" s="62" t="str">
        <f>IF(G1851="PA",IF(M1851&lt;&gt;"",ISERROR(VLOOKUP(M1851,ABBR!C:F,1,FALSE)),ISERROR(VLOOKUP(E1851,ABBR!C:F,1,FALSE))),"")</f>
        <v/>
      </c>
    </row>
    <row r="1852" spans="1:17" hidden="1" x14ac:dyDescent="0.25">
      <c r="A1852" s="16" t="s">
        <v>520</v>
      </c>
      <c r="B1852" s="17"/>
      <c r="C1852" s="16" t="s">
        <v>3591</v>
      </c>
      <c r="D1852" s="17"/>
      <c r="E1852" s="17" t="s">
        <v>608</v>
      </c>
      <c r="F1852" s="18" t="s">
        <v>931</v>
      </c>
      <c r="G1852" s="49" t="s">
        <v>932</v>
      </c>
      <c r="H1852" s="17">
        <f t="shared" si="8"/>
        <v>20</v>
      </c>
      <c r="J1852" s="7" t="s">
        <v>478</v>
      </c>
      <c r="K1852" s="62"/>
      <c r="M1852" s="62"/>
      <c r="N1852" s="62"/>
      <c r="O1852" s="62" t="str">
        <f>IF(E1852="PA",IF(K1852&lt;&gt;"",ISERROR(VLOOKUP(K1852,ABBR!A:D,1,FALSE)),ISERROR(VLOOKUP(C1852,ABBR!A:D,1,FALSE))),"")</f>
        <v/>
      </c>
      <c r="P1852" t="str">
        <f>VLOOKUP(A1852,Groups!A:L,5,FALSE)</f>
        <v>SAMP</v>
      </c>
      <c r="Q1852" s="62" t="str">
        <f>IF(G1852="PA",IF(M1852&lt;&gt;"",ISERROR(VLOOKUP(M1852,ABBR!C:F,1,FALSE)),ISERROR(VLOOKUP(E1852,ABBR!C:F,1,FALSE))),"")</f>
        <v/>
      </c>
    </row>
    <row r="1853" spans="1:17" ht="25" hidden="1" x14ac:dyDescent="0.25">
      <c r="A1853" s="16" t="s">
        <v>520</v>
      </c>
      <c r="B1853" s="17"/>
      <c r="C1853" s="16" t="s">
        <v>3592</v>
      </c>
      <c r="D1853" s="17"/>
      <c r="E1853" s="17" t="s">
        <v>608</v>
      </c>
      <c r="F1853" s="18" t="s">
        <v>934</v>
      </c>
      <c r="G1853" s="49" t="s">
        <v>935</v>
      </c>
      <c r="H1853" s="17">
        <f t="shared" si="8"/>
        <v>21</v>
      </c>
      <c r="J1853" s="7" t="s">
        <v>478</v>
      </c>
      <c r="K1853" s="62"/>
      <c r="M1853" s="62"/>
      <c r="N1853" s="62"/>
      <c r="O1853" s="62" t="str">
        <f>IF(E1853="PA",IF(K1853&lt;&gt;"",ISERROR(VLOOKUP(K1853,ABBR!A:D,1,FALSE)),ISERROR(VLOOKUP(C1853,ABBR!A:D,1,FALSE))),"")</f>
        <v/>
      </c>
      <c r="P1853" t="str">
        <f>VLOOKUP(A1853,Groups!A:L,5,FALSE)</f>
        <v>SAMP</v>
      </c>
      <c r="Q1853" s="62" t="str">
        <f>IF(G1853="PA",IF(M1853&lt;&gt;"",ISERROR(VLOOKUP(M1853,ABBR!C:F,1,FALSE)),ISERROR(VLOOKUP(E1853,ABBR!C:F,1,FALSE))),"")</f>
        <v/>
      </c>
    </row>
    <row r="1854" spans="1:17" hidden="1" x14ac:dyDescent="0.25">
      <c r="A1854" s="16" t="s">
        <v>520</v>
      </c>
      <c r="B1854" s="17"/>
      <c r="C1854" s="16" t="s">
        <v>936</v>
      </c>
      <c r="D1854" s="17"/>
      <c r="E1854" s="17" t="s">
        <v>608</v>
      </c>
      <c r="F1854" s="18" t="s">
        <v>937</v>
      </c>
      <c r="G1854" s="49" t="s">
        <v>938</v>
      </c>
      <c r="H1854" s="17">
        <f t="shared" si="8"/>
        <v>22</v>
      </c>
      <c r="J1854" s="7" t="s">
        <v>478</v>
      </c>
      <c r="K1854" s="62"/>
      <c r="M1854" s="62"/>
      <c r="N1854" s="62"/>
      <c r="O1854" s="62" t="str">
        <f>IF(E1854="PA",IF(K1854&lt;&gt;"",ISERROR(VLOOKUP(K1854,ABBR!A:D,1,FALSE)),ISERROR(VLOOKUP(C1854,ABBR!A:D,1,FALSE))),"")</f>
        <v/>
      </c>
      <c r="P1854" t="str">
        <f>VLOOKUP(A1854,Groups!A:L,5,FALSE)</f>
        <v>SAMP</v>
      </c>
      <c r="Q1854" s="62" t="str">
        <f>IF(G1854="PA",IF(M1854&lt;&gt;"",ISERROR(VLOOKUP(M1854,ABBR!C:F,1,FALSE)),ISERROR(VLOOKUP(E1854,ABBR!C:F,1,FALSE))),"")</f>
        <v/>
      </c>
    </row>
    <row r="1855" spans="1:17" hidden="1" x14ac:dyDescent="0.25">
      <c r="A1855" s="16" t="s">
        <v>520</v>
      </c>
      <c r="B1855" s="17"/>
      <c r="C1855" s="16" t="s">
        <v>643</v>
      </c>
      <c r="D1855" s="17"/>
      <c r="E1855" s="17" t="s">
        <v>608</v>
      </c>
      <c r="F1855" s="18" t="s">
        <v>1714</v>
      </c>
      <c r="G1855" s="49" t="s">
        <v>1477</v>
      </c>
      <c r="H1855" s="17">
        <f t="shared" si="8"/>
        <v>23</v>
      </c>
      <c r="J1855" s="7" t="s">
        <v>478</v>
      </c>
      <c r="K1855" s="62"/>
      <c r="M1855" s="62"/>
      <c r="N1855" s="62"/>
      <c r="O1855" s="62" t="str">
        <f>IF(E1855="PA",IF(K1855&lt;&gt;"",ISERROR(VLOOKUP(K1855,ABBR!A:D,1,FALSE)),ISERROR(VLOOKUP(C1855,ABBR!A:D,1,FALSE))),"")</f>
        <v/>
      </c>
      <c r="P1855" t="str">
        <f>VLOOKUP(A1855,Groups!A:L,5,FALSE)</f>
        <v>SAMP</v>
      </c>
      <c r="Q1855" s="62" t="str">
        <f>IF(G1855="PA",IF(M1855&lt;&gt;"",ISERROR(VLOOKUP(M1855,ABBR!C:F,1,FALSE)),ISERROR(VLOOKUP(E1855,ABBR!C:F,1,FALSE))),"")</f>
        <v/>
      </c>
    </row>
    <row r="1856" spans="1:17" hidden="1" x14ac:dyDescent="0.25">
      <c r="A1856" s="16" t="s">
        <v>522</v>
      </c>
      <c r="B1856" s="17" t="s">
        <v>594</v>
      </c>
      <c r="C1856" s="16" t="s">
        <v>595</v>
      </c>
      <c r="D1856" s="17"/>
      <c r="E1856" s="17" t="s">
        <v>596</v>
      </c>
      <c r="F1856" s="18" t="s">
        <v>597</v>
      </c>
      <c r="G1856" s="49" t="s">
        <v>598</v>
      </c>
      <c r="H1856" s="17">
        <v>1</v>
      </c>
      <c r="J1856" s="7" t="s">
        <v>478</v>
      </c>
      <c r="K1856" s="62"/>
      <c r="M1856" s="62"/>
      <c r="N1856" s="62"/>
      <c r="O1856" s="62" t="str">
        <f>IF(E1856="PA",IF(K1856&lt;&gt;"",ISERROR(VLOOKUP(K1856,ABBR!A:D,1,FALSE)),ISERROR(VLOOKUP(C1856,ABBR!A:D,1,FALSE))),"")</f>
        <v/>
      </c>
      <c r="P1856" t="str">
        <f>VLOOKUP(A1856,Groups!A:L,5,FALSE)</f>
        <v>SAMP</v>
      </c>
      <c r="Q1856" s="62" t="str">
        <f>IF(G1856="PA",IF(M1856&lt;&gt;"",ISERROR(VLOOKUP(M1856,ABBR!C:F,1,FALSE)),ISERROR(VLOOKUP(E1856,ABBR!C:F,1,FALSE))),"")</f>
        <v/>
      </c>
    </row>
    <row r="1857" spans="1:17" hidden="1" x14ac:dyDescent="0.25">
      <c r="A1857" s="16" t="s">
        <v>522</v>
      </c>
      <c r="B1857" s="17" t="s">
        <v>594</v>
      </c>
      <c r="C1857" s="16" t="s">
        <v>851</v>
      </c>
      <c r="D1857" s="17" t="s">
        <v>600</v>
      </c>
      <c r="E1857" s="17" t="s">
        <v>601</v>
      </c>
      <c r="F1857" s="18" t="s">
        <v>852</v>
      </c>
      <c r="G1857" s="49" t="s">
        <v>853</v>
      </c>
      <c r="H1857" s="17">
        <f t="shared" ref="H1857:H1883" si="9">H1856+1</f>
        <v>2</v>
      </c>
      <c r="J1857" s="7" t="s">
        <v>478</v>
      </c>
      <c r="K1857" s="62"/>
      <c r="M1857" s="62"/>
      <c r="N1857" s="62"/>
      <c r="O1857" s="62" t="str">
        <f>IF(E1857="PA",IF(K1857&lt;&gt;"",ISERROR(VLOOKUP(K1857,ABBR!A:D,1,FALSE)),ISERROR(VLOOKUP(C1857,ABBR!A:D,1,FALSE))),"")</f>
        <v/>
      </c>
      <c r="P1857" t="str">
        <f>VLOOKUP(A1857,Groups!A:L,5,FALSE)</f>
        <v>SAMP</v>
      </c>
      <c r="Q1857" s="62" t="str">
        <f>IF(G1857="PA",IF(M1857&lt;&gt;"",ISERROR(VLOOKUP(M1857,ABBR!C:F,1,FALSE)),ISERROR(VLOOKUP(E1857,ABBR!C:F,1,FALSE))),"")</f>
        <v/>
      </c>
    </row>
    <row r="1858" spans="1:17" hidden="1" x14ac:dyDescent="0.25">
      <c r="A1858" s="16" t="s">
        <v>522</v>
      </c>
      <c r="B1858" s="17" t="s">
        <v>594</v>
      </c>
      <c r="C1858" s="16" t="s">
        <v>854</v>
      </c>
      <c r="D1858" s="17"/>
      <c r="E1858" s="17" t="s">
        <v>608</v>
      </c>
      <c r="F1858" s="18" t="s">
        <v>855</v>
      </c>
      <c r="G1858" s="49" t="s">
        <v>856</v>
      </c>
      <c r="H1858" s="17">
        <f t="shared" si="9"/>
        <v>3</v>
      </c>
      <c r="J1858" s="7" t="s">
        <v>478</v>
      </c>
      <c r="K1858" s="62"/>
      <c r="M1858" s="62"/>
      <c r="N1858" s="62"/>
      <c r="O1858" s="62" t="str">
        <f>IF(E1858="PA",IF(K1858&lt;&gt;"",ISERROR(VLOOKUP(K1858,ABBR!A:D,1,FALSE)),ISERROR(VLOOKUP(C1858,ABBR!A:D,1,FALSE))),"")</f>
        <v/>
      </c>
      <c r="P1858" t="str">
        <f>VLOOKUP(A1858,Groups!A:L,5,FALSE)</f>
        <v>SAMP</v>
      </c>
      <c r="Q1858" s="62" t="str">
        <f>IF(G1858="PA",IF(M1858&lt;&gt;"",ISERROR(VLOOKUP(M1858,ABBR!C:F,1,FALSE)),ISERROR(VLOOKUP(E1858,ABBR!C:F,1,FALSE))),"")</f>
        <v/>
      </c>
    </row>
    <row r="1859" spans="1:17" hidden="1" x14ac:dyDescent="0.25">
      <c r="A1859" s="16" t="s">
        <v>522</v>
      </c>
      <c r="B1859" s="17" t="s">
        <v>594</v>
      </c>
      <c r="C1859" s="16" t="s">
        <v>857</v>
      </c>
      <c r="D1859" s="17"/>
      <c r="E1859" s="17" t="s">
        <v>618</v>
      </c>
      <c r="F1859" s="18" t="s">
        <v>858</v>
      </c>
      <c r="G1859" s="49" t="s">
        <v>859</v>
      </c>
      <c r="H1859" s="17">
        <f t="shared" si="9"/>
        <v>4</v>
      </c>
      <c r="J1859" s="7" t="s">
        <v>478</v>
      </c>
      <c r="K1859" s="62"/>
      <c r="M1859" s="62"/>
      <c r="N1859" s="62"/>
      <c r="O1859" s="62" t="b">
        <f>IF(E1859="PA",IF(K1859&lt;&gt;"",ISERROR(VLOOKUP(K1859,ABBR!A:D,1,FALSE)),ISERROR(VLOOKUP(C1859,ABBR!A:D,1,FALSE))),"")</f>
        <v>0</v>
      </c>
      <c r="P1859" t="str">
        <f>VLOOKUP(A1859,Groups!A:L,5,FALSE)</f>
        <v>SAMP</v>
      </c>
      <c r="Q1859" s="62" t="str">
        <f>IF(G1859="PA",IF(M1859&lt;&gt;"",ISERROR(VLOOKUP(M1859,ABBR!C:F,1,FALSE)),ISERROR(VLOOKUP(E1859,ABBR!C:F,1,FALSE))),"")</f>
        <v/>
      </c>
    </row>
    <row r="1860" spans="1:17" hidden="1" x14ac:dyDescent="0.25">
      <c r="A1860" s="16" t="s">
        <v>522</v>
      </c>
      <c r="B1860" s="17" t="s">
        <v>594</v>
      </c>
      <c r="C1860" s="16" t="s">
        <v>860</v>
      </c>
      <c r="D1860" s="17"/>
      <c r="E1860" s="17" t="s">
        <v>596</v>
      </c>
      <c r="F1860" s="18" t="s">
        <v>861</v>
      </c>
      <c r="G1860" s="49" t="s">
        <v>862</v>
      </c>
      <c r="H1860" s="17">
        <f t="shared" si="9"/>
        <v>5</v>
      </c>
      <c r="J1860" s="7" t="s">
        <v>478</v>
      </c>
      <c r="K1860" s="62"/>
      <c r="M1860" s="62"/>
      <c r="N1860" s="62"/>
      <c r="O1860" s="62" t="str">
        <f>IF(E1860="PA",IF(K1860&lt;&gt;"",ISERROR(VLOOKUP(K1860,ABBR!A:D,1,FALSE)),ISERROR(VLOOKUP(C1860,ABBR!A:D,1,FALSE))),"")</f>
        <v/>
      </c>
      <c r="P1860" t="str">
        <f>VLOOKUP(A1860,Groups!A:L,5,FALSE)</f>
        <v>SAMP</v>
      </c>
      <c r="Q1860" s="62" t="str">
        <f>IF(G1860="PA",IF(M1860&lt;&gt;"",ISERROR(VLOOKUP(M1860,ABBR!C:F,1,FALSE)),ISERROR(VLOOKUP(E1860,ABBR!C:F,1,FALSE))),"")</f>
        <v/>
      </c>
    </row>
    <row r="1861" spans="1:17" hidden="1" x14ac:dyDescent="0.25">
      <c r="A1861" s="16" t="s">
        <v>522</v>
      </c>
      <c r="B1861" s="17" t="s">
        <v>594</v>
      </c>
      <c r="C1861" s="16" t="s">
        <v>863</v>
      </c>
      <c r="D1861" s="17"/>
      <c r="E1861" s="17" t="s">
        <v>608</v>
      </c>
      <c r="F1861" s="18" t="s">
        <v>864</v>
      </c>
      <c r="G1861" s="49" t="s">
        <v>865</v>
      </c>
      <c r="H1861" s="17">
        <f t="shared" si="9"/>
        <v>6</v>
      </c>
      <c r="J1861" s="7" t="s">
        <v>478</v>
      </c>
      <c r="K1861" s="62"/>
      <c r="M1861" s="62"/>
      <c r="N1861" s="62"/>
      <c r="O1861" s="62" t="str">
        <f>IF(E1861="PA",IF(K1861&lt;&gt;"",ISERROR(VLOOKUP(K1861,ABBR!A:D,1,FALSE)),ISERROR(VLOOKUP(C1861,ABBR!A:D,1,FALSE))),"")</f>
        <v/>
      </c>
      <c r="P1861" t="str">
        <f>VLOOKUP(A1861,Groups!A:L,5,FALSE)</f>
        <v>SAMP</v>
      </c>
      <c r="Q1861" s="62" t="str">
        <f>IF(G1861="PA",IF(M1861&lt;&gt;"",ISERROR(VLOOKUP(M1861,ABBR!C:F,1,FALSE)),ISERROR(VLOOKUP(E1861,ABBR!C:F,1,FALSE))),"")</f>
        <v/>
      </c>
    </row>
    <row r="1862" spans="1:17" hidden="1" x14ac:dyDescent="0.25">
      <c r="A1862" s="16" t="s">
        <v>522</v>
      </c>
      <c r="B1862" s="17" t="s">
        <v>594</v>
      </c>
      <c r="C1862" s="16" t="s">
        <v>866</v>
      </c>
      <c r="D1862" s="17" t="s">
        <v>600</v>
      </c>
      <c r="E1862" s="17" t="s">
        <v>601</v>
      </c>
      <c r="F1862" s="18" t="s">
        <v>867</v>
      </c>
      <c r="G1862" s="49" t="s">
        <v>853</v>
      </c>
      <c r="H1862" s="17">
        <f t="shared" si="9"/>
        <v>7</v>
      </c>
      <c r="J1862" s="7" t="s">
        <v>478</v>
      </c>
      <c r="K1862" s="62"/>
      <c r="M1862" s="62"/>
      <c r="N1862" s="62"/>
      <c r="O1862" s="62" t="str">
        <f>IF(E1862="PA",IF(K1862&lt;&gt;"",ISERROR(VLOOKUP(K1862,ABBR!A:D,1,FALSE)),ISERROR(VLOOKUP(C1862,ABBR!A:D,1,FALSE))),"")</f>
        <v/>
      </c>
      <c r="P1862" t="str">
        <f>VLOOKUP(A1862,Groups!A:L,5,FALSE)</f>
        <v>SAMP</v>
      </c>
      <c r="Q1862" s="62" t="str">
        <f>IF(G1862="PA",IF(M1862&lt;&gt;"",ISERROR(VLOOKUP(M1862,ABBR!C:F,1,FALSE)),ISERROR(VLOOKUP(E1862,ABBR!C:F,1,FALSE))),"")</f>
        <v/>
      </c>
    </row>
    <row r="1863" spans="1:17" hidden="1" x14ac:dyDescent="0.25">
      <c r="A1863" s="16" t="s">
        <v>522</v>
      </c>
      <c r="B1863" s="46"/>
      <c r="C1863" s="9" t="s">
        <v>868</v>
      </c>
      <c r="D1863" s="46"/>
      <c r="E1863" s="46" t="s">
        <v>608</v>
      </c>
      <c r="F1863" s="93" t="s">
        <v>869</v>
      </c>
      <c r="G1863" s="51" t="s">
        <v>3265</v>
      </c>
      <c r="H1863" s="17">
        <f t="shared" si="9"/>
        <v>8</v>
      </c>
      <c r="I1863"/>
      <c r="J1863" s="34" t="s">
        <v>473</v>
      </c>
      <c r="O1863" s="62" t="str">
        <f>IF(E1863="PA",IF(K1863&lt;&gt;"",ISERROR(VLOOKUP(K1863,ABBR!A:D,1,FALSE)),ISERROR(VLOOKUP(C1863,ABBR!A:D,1,FALSE))),"")</f>
        <v/>
      </c>
      <c r="P1863" t="str">
        <f>VLOOKUP(A1863,Groups!A:L,5,FALSE)</f>
        <v>SAMP</v>
      </c>
      <c r="Q1863" s="62" t="str">
        <f>IF(G1863="PA",IF(M1863&lt;&gt;"",ISERROR(VLOOKUP(M1863,ABBR!C:F,1,FALSE)),ISERROR(VLOOKUP(E1863,ABBR!C:F,1,FALSE))),"")</f>
        <v/>
      </c>
    </row>
    <row r="1864" spans="1:17" ht="25" hidden="1" x14ac:dyDescent="0.25">
      <c r="A1864" s="16" t="s">
        <v>522</v>
      </c>
      <c r="B1864" s="46"/>
      <c r="C1864" s="9" t="s">
        <v>871</v>
      </c>
      <c r="D1864" s="46"/>
      <c r="E1864" s="46" t="s">
        <v>608</v>
      </c>
      <c r="F1864" s="93" t="s">
        <v>872</v>
      </c>
      <c r="G1864" s="94" t="s">
        <v>873</v>
      </c>
      <c r="H1864" s="17">
        <f t="shared" si="9"/>
        <v>9</v>
      </c>
      <c r="I1864"/>
      <c r="J1864" s="34" t="s">
        <v>473</v>
      </c>
      <c r="O1864" s="62" t="str">
        <f>IF(E1864="PA",IF(K1864&lt;&gt;"",ISERROR(VLOOKUP(K1864,ABBR!A:D,1,FALSE)),ISERROR(VLOOKUP(C1864,ABBR!A:D,1,FALSE))),"")</f>
        <v/>
      </c>
      <c r="P1864" t="str">
        <f>VLOOKUP(A1864,Groups!A:L,5,FALSE)</f>
        <v>SAMP</v>
      </c>
      <c r="Q1864" s="62" t="str">
        <f>IF(G1864="PA",IF(M1864&lt;&gt;"",ISERROR(VLOOKUP(M1864,ABBR!C:F,1,FALSE)),ISERROR(VLOOKUP(E1864,ABBR!C:F,1,FALSE))),"")</f>
        <v/>
      </c>
    </row>
    <row r="1865" spans="1:17" hidden="1" x14ac:dyDescent="0.25">
      <c r="A1865" s="16" t="s">
        <v>522</v>
      </c>
      <c r="B1865" s="46"/>
      <c r="C1865" s="9" t="s">
        <v>877</v>
      </c>
      <c r="D1865" s="46" t="s">
        <v>600</v>
      </c>
      <c r="E1865" s="46" t="s">
        <v>601</v>
      </c>
      <c r="F1865" s="93" t="s">
        <v>878</v>
      </c>
      <c r="G1865" s="94" t="s">
        <v>879</v>
      </c>
      <c r="H1865" s="17">
        <f t="shared" si="9"/>
        <v>10</v>
      </c>
      <c r="I1865"/>
      <c r="J1865" s="34" t="s">
        <v>473</v>
      </c>
      <c r="O1865" s="62" t="str">
        <f>IF(E1865="PA",IF(K1865&lt;&gt;"",ISERROR(VLOOKUP(K1865,ABBR!A:D,1,FALSE)),ISERROR(VLOOKUP(C1865,ABBR!A:D,1,FALSE))),"")</f>
        <v/>
      </c>
      <c r="P1865" t="str">
        <f>VLOOKUP(A1865,Groups!A:L,5,FALSE)</f>
        <v>SAMP</v>
      </c>
      <c r="Q1865" s="62" t="str">
        <f>IF(G1865="PA",IF(M1865&lt;&gt;"",ISERROR(VLOOKUP(M1865,ABBR!C:F,1,FALSE)),ISERROR(VLOOKUP(E1865,ABBR!C:F,1,FALSE))),"")</f>
        <v/>
      </c>
    </row>
    <row r="1866" spans="1:17" hidden="1" x14ac:dyDescent="0.25">
      <c r="A1866" s="16" t="s">
        <v>522</v>
      </c>
      <c r="B1866" s="17"/>
      <c r="C1866" s="16" t="s">
        <v>3593</v>
      </c>
      <c r="D1866" s="17"/>
      <c r="E1866" s="17" t="s">
        <v>608</v>
      </c>
      <c r="F1866" s="18" t="s">
        <v>875</v>
      </c>
      <c r="G1866" s="49" t="s">
        <v>876</v>
      </c>
      <c r="H1866" s="17">
        <f t="shared" si="9"/>
        <v>11</v>
      </c>
      <c r="J1866" s="62" t="s">
        <v>473</v>
      </c>
      <c r="K1866" s="62"/>
      <c r="M1866" s="62"/>
      <c r="N1866" s="62"/>
      <c r="O1866" s="62" t="str">
        <f>IF(E1866="PA",IF(K1866&lt;&gt;"",ISERROR(VLOOKUP(K1866,ABBR!A:D,1,FALSE)),ISERROR(VLOOKUP(C1866,ABBR!A:D,1,FALSE))),"")</f>
        <v/>
      </c>
      <c r="P1866" t="str">
        <f>VLOOKUP(A1866,Groups!A:L,5,FALSE)</f>
        <v>SAMP</v>
      </c>
      <c r="Q1866" s="62" t="str">
        <f>IF(G1866="PA",IF(M1866&lt;&gt;"",ISERROR(VLOOKUP(M1866,ABBR!C:F,1,FALSE)),ISERROR(VLOOKUP(E1866,ABBR!C:F,1,FALSE))),"")</f>
        <v/>
      </c>
    </row>
    <row r="1867" spans="1:17" hidden="1" x14ac:dyDescent="0.25">
      <c r="A1867" s="16" t="s">
        <v>522</v>
      </c>
      <c r="B1867" s="17"/>
      <c r="C1867" s="16" t="s">
        <v>3594</v>
      </c>
      <c r="D1867" s="17" t="s">
        <v>766</v>
      </c>
      <c r="E1867" s="17" t="s">
        <v>723</v>
      </c>
      <c r="F1867" s="18" t="s">
        <v>3581</v>
      </c>
      <c r="G1867" s="49" t="s">
        <v>3595</v>
      </c>
      <c r="H1867" s="17">
        <f t="shared" si="9"/>
        <v>12</v>
      </c>
      <c r="J1867" s="7" t="s">
        <v>478</v>
      </c>
      <c r="K1867" s="62"/>
      <c r="M1867" s="62"/>
      <c r="N1867" s="62"/>
      <c r="O1867" s="62" t="str">
        <f>IF(E1867="PA",IF(K1867&lt;&gt;"",ISERROR(VLOOKUP(K1867,ABBR!A:D,1,FALSE)),ISERROR(VLOOKUP(C1867,ABBR!A:D,1,FALSE))),"")</f>
        <v/>
      </c>
      <c r="P1867" t="str">
        <f>VLOOKUP(A1867,Groups!A:L,5,FALSE)</f>
        <v>SAMP</v>
      </c>
      <c r="Q1867" s="62" t="str">
        <f>IF(G1867="PA",IF(M1867&lt;&gt;"",ISERROR(VLOOKUP(M1867,ABBR!C:F,1,FALSE)),ISERROR(VLOOKUP(E1867,ABBR!C:F,1,FALSE))),"")</f>
        <v/>
      </c>
    </row>
    <row r="1868" spans="1:17" hidden="1" x14ac:dyDescent="0.25">
      <c r="A1868" s="16" t="s">
        <v>522</v>
      </c>
      <c r="B1868" s="17"/>
      <c r="C1868" s="16" t="s">
        <v>3596</v>
      </c>
      <c r="D1868" s="17"/>
      <c r="E1868" s="17" t="s">
        <v>618</v>
      </c>
      <c r="F1868" s="18" t="s">
        <v>1388</v>
      </c>
      <c r="G1868" s="49" t="s">
        <v>1389</v>
      </c>
      <c r="H1868" s="17">
        <f t="shared" si="9"/>
        <v>13</v>
      </c>
      <c r="J1868" s="7" t="s">
        <v>478</v>
      </c>
      <c r="K1868" s="62" t="s">
        <v>3579</v>
      </c>
      <c r="M1868" s="62"/>
      <c r="N1868" s="62"/>
      <c r="O1868" s="62" t="b">
        <f>IF(E1868="PA",IF(K1868&lt;&gt;"",ISERROR(VLOOKUP(K1868,ABBR!A:D,1,FALSE)),ISERROR(VLOOKUP(C1868,ABBR!A:D,1,FALSE))),"")</f>
        <v>0</v>
      </c>
      <c r="P1868" t="str">
        <f>VLOOKUP(A1868,Groups!A:L,5,FALSE)</f>
        <v>SAMP</v>
      </c>
      <c r="Q1868" s="62" t="str">
        <f>IF(G1868="PA",IF(M1868&lt;&gt;"",ISERROR(VLOOKUP(M1868,ABBR!C:F,1,FALSE)),ISERROR(VLOOKUP(E1868,ABBR!C:F,1,FALSE))),"")</f>
        <v/>
      </c>
    </row>
    <row r="1869" spans="1:17" hidden="1" x14ac:dyDescent="0.25">
      <c r="A1869" s="16" t="s">
        <v>522</v>
      </c>
      <c r="B1869" s="17"/>
      <c r="C1869" s="16" t="s">
        <v>3597</v>
      </c>
      <c r="D1869" s="17" t="s">
        <v>1077</v>
      </c>
      <c r="E1869" s="17" t="s">
        <v>601</v>
      </c>
      <c r="F1869" s="18" t="s">
        <v>3598</v>
      </c>
      <c r="G1869" s="49" t="s">
        <v>3599</v>
      </c>
      <c r="H1869" s="17">
        <f t="shared" si="9"/>
        <v>14</v>
      </c>
      <c r="J1869" s="7" t="s">
        <v>478</v>
      </c>
      <c r="K1869" s="62"/>
      <c r="M1869" s="62"/>
      <c r="N1869" s="62"/>
      <c r="O1869" s="62" t="str">
        <f>IF(E1869="PA",IF(K1869&lt;&gt;"",ISERROR(VLOOKUP(K1869,ABBR!A:D,1,FALSE)),ISERROR(VLOOKUP(C1869,ABBR!A:D,1,FALSE))),"")</f>
        <v/>
      </c>
      <c r="P1869" t="str">
        <f>VLOOKUP(A1869,Groups!A:L,5,FALSE)</f>
        <v>SAMP</v>
      </c>
      <c r="Q1869" s="62" t="str">
        <f>IF(G1869="PA",IF(M1869&lt;&gt;"",ISERROR(VLOOKUP(M1869,ABBR!C:F,1,FALSE)),ISERROR(VLOOKUP(E1869,ABBR!C:F,1,FALSE))),"")</f>
        <v/>
      </c>
    </row>
    <row r="1870" spans="1:17" hidden="1" x14ac:dyDescent="0.25">
      <c r="A1870" s="16" t="s">
        <v>522</v>
      </c>
      <c r="B1870" s="17"/>
      <c r="C1870" s="16" t="s">
        <v>3600</v>
      </c>
      <c r="D1870" s="17" t="s">
        <v>3601</v>
      </c>
      <c r="E1870" s="17" t="s">
        <v>723</v>
      </c>
      <c r="F1870" s="18" t="s">
        <v>3602</v>
      </c>
      <c r="G1870" s="49" t="s">
        <v>725</v>
      </c>
      <c r="H1870" s="17">
        <f t="shared" si="9"/>
        <v>15</v>
      </c>
      <c r="J1870" s="7" t="s">
        <v>478</v>
      </c>
      <c r="K1870" s="62"/>
      <c r="M1870" s="62"/>
      <c r="N1870" s="62"/>
      <c r="O1870" s="62" t="str">
        <f>IF(E1870="PA",IF(K1870&lt;&gt;"",ISERROR(VLOOKUP(K1870,ABBR!A:D,1,FALSE)),ISERROR(VLOOKUP(C1870,ABBR!A:D,1,FALSE))),"")</f>
        <v/>
      </c>
      <c r="P1870" t="str">
        <f>VLOOKUP(A1870,Groups!A:L,5,FALSE)</f>
        <v>SAMP</v>
      </c>
      <c r="Q1870" s="62" t="str">
        <f>IF(G1870="PA",IF(M1870&lt;&gt;"",ISERROR(VLOOKUP(M1870,ABBR!C:F,1,FALSE)),ISERROR(VLOOKUP(E1870,ABBR!C:F,1,FALSE))),"")</f>
        <v/>
      </c>
    </row>
    <row r="1871" spans="1:17" hidden="1" x14ac:dyDescent="0.25">
      <c r="A1871" s="16" t="s">
        <v>522</v>
      </c>
      <c r="B1871" s="17"/>
      <c r="C1871" s="16" t="s">
        <v>3603</v>
      </c>
      <c r="D1871" s="17"/>
      <c r="E1871" s="17" t="s">
        <v>608</v>
      </c>
      <c r="F1871" s="18" t="s">
        <v>3604</v>
      </c>
      <c r="G1871" s="49" t="s">
        <v>3605</v>
      </c>
      <c r="H1871" s="17">
        <f t="shared" si="9"/>
        <v>16</v>
      </c>
      <c r="J1871" s="7" t="s">
        <v>478</v>
      </c>
      <c r="K1871" s="62"/>
      <c r="M1871" s="62"/>
      <c r="N1871" s="62"/>
      <c r="O1871" s="62" t="str">
        <f>IF(E1871="PA",IF(K1871&lt;&gt;"",ISERROR(VLOOKUP(K1871,ABBR!A:D,1,FALSE)),ISERROR(VLOOKUP(C1871,ABBR!A:D,1,FALSE))),"")</f>
        <v/>
      </c>
      <c r="P1871" t="str">
        <f>VLOOKUP(A1871,Groups!A:L,5,FALSE)</f>
        <v>SAMP</v>
      </c>
      <c r="Q1871" s="62" t="str">
        <f>IF(G1871="PA",IF(M1871&lt;&gt;"",ISERROR(VLOOKUP(M1871,ABBR!C:F,1,FALSE)),ISERROR(VLOOKUP(E1871,ABBR!C:F,1,FALSE))),"")</f>
        <v/>
      </c>
    </row>
    <row r="1872" spans="1:17" hidden="1" x14ac:dyDescent="0.25">
      <c r="A1872" s="16" t="s">
        <v>522</v>
      </c>
      <c r="B1872" s="17"/>
      <c r="C1872" s="16" t="s">
        <v>3606</v>
      </c>
      <c r="D1872" s="17" t="s">
        <v>766</v>
      </c>
      <c r="E1872" s="17" t="s">
        <v>723</v>
      </c>
      <c r="F1872" s="18" t="s">
        <v>3607</v>
      </c>
      <c r="G1872" s="49" t="s">
        <v>3608</v>
      </c>
      <c r="H1872" s="17">
        <f t="shared" si="9"/>
        <v>17</v>
      </c>
      <c r="J1872" s="7" t="s">
        <v>478</v>
      </c>
      <c r="K1872" s="62"/>
      <c r="M1872" s="62"/>
      <c r="N1872" s="62"/>
      <c r="O1872" s="62" t="str">
        <f>IF(E1872="PA",IF(K1872&lt;&gt;"",ISERROR(VLOOKUP(K1872,ABBR!A:D,1,FALSE)),ISERROR(VLOOKUP(C1872,ABBR!A:D,1,FALSE))),"")</f>
        <v/>
      </c>
      <c r="P1872" t="str">
        <f>VLOOKUP(A1872,Groups!A:L,5,FALSE)</f>
        <v>SAMP</v>
      </c>
      <c r="Q1872" s="62" t="str">
        <f>IF(G1872="PA",IF(M1872&lt;&gt;"",ISERROR(VLOOKUP(M1872,ABBR!C:F,1,FALSE)),ISERROR(VLOOKUP(E1872,ABBR!C:F,1,FALSE))),"")</f>
        <v/>
      </c>
    </row>
    <row r="1873" spans="1:17" hidden="1" x14ac:dyDescent="0.25">
      <c r="A1873" s="16" t="s">
        <v>522</v>
      </c>
      <c r="B1873" s="17"/>
      <c r="C1873" s="16" t="s">
        <v>3609</v>
      </c>
      <c r="D1873" s="17" t="s">
        <v>766</v>
      </c>
      <c r="E1873" s="17" t="s">
        <v>723</v>
      </c>
      <c r="F1873" s="18" t="s">
        <v>3610</v>
      </c>
      <c r="G1873" s="49" t="s">
        <v>3608</v>
      </c>
      <c r="H1873" s="17">
        <f t="shared" si="9"/>
        <v>18</v>
      </c>
      <c r="J1873" s="7" t="s">
        <v>478</v>
      </c>
      <c r="K1873" s="62"/>
      <c r="M1873" s="62"/>
      <c r="N1873" s="62"/>
      <c r="O1873" s="62" t="str">
        <f>IF(E1873="PA",IF(K1873&lt;&gt;"",ISERROR(VLOOKUP(K1873,ABBR!A:D,1,FALSE)),ISERROR(VLOOKUP(C1873,ABBR!A:D,1,FALSE))),"")</f>
        <v/>
      </c>
      <c r="P1873" t="str">
        <f>VLOOKUP(A1873,Groups!A:L,5,FALSE)</f>
        <v>SAMP</v>
      </c>
      <c r="Q1873" s="62" t="str">
        <f>IF(G1873="PA",IF(M1873&lt;&gt;"",ISERROR(VLOOKUP(M1873,ABBR!C:F,1,FALSE)),ISERROR(VLOOKUP(E1873,ABBR!C:F,1,FALSE))),"")</f>
        <v/>
      </c>
    </row>
    <row r="1874" spans="1:17" ht="25" hidden="1" x14ac:dyDescent="0.25">
      <c r="A1874" s="16" t="s">
        <v>522</v>
      </c>
      <c r="B1874" s="17"/>
      <c r="C1874" s="16" t="s">
        <v>3611</v>
      </c>
      <c r="D1874" s="17" t="s">
        <v>766</v>
      </c>
      <c r="E1874" s="17" t="s">
        <v>723</v>
      </c>
      <c r="F1874" s="18" t="s">
        <v>3612</v>
      </c>
      <c r="G1874" s="49" t="s">
        <v>3608</v>
      </c>
      <c r="H1874" s="17">
        <f t="shared" si="9"/>
        <v>19</v>
      </c>
      <c r="J1874" s="7" t="s">
        <v>478</v>
      </c>
      <c r="K1874" s="62"/>
      <c r="M1874" s="62"/>
      <c r="N1874" s="62"/>
      <c r="O1874" s="62" t="str">
        <f>IF(E1874="PA",IF(K1874&lt;&gt;"",ISERROR(VLOOKUP(K1874,ABBR!A:D,1,FALSE)),ISERROR(VLOOKUP(C1874,ABBR!A:D,1,FALSE))),"")</f>
        <v/>
      </c>
      <c r="P1874" t="str">
        <f>VLOOKUP(A1874,Groups!A:L,5,FALSE)</f>
        <v>SAMP</v>
      </c>
      <c r="Q1874" s="62" t="str">
        <f>IF(G1874="PA",IF(M1874&lt;&gt;"",ISERROR(VLOOKUP(M1874,ABBR!C:F,1,FALSE)),ISERROR(VLOOKUP(E1874,ABBR!C:F,1,FALSE))),"")</f>
        <v/>
      </c>
    </row>
    <row r="1875" spans="1:17" ht="25" hidden="1" x14ac:dyDescent="0.25">
      <c r="A1875" s="16" t="s">
        <v>522</v>
      </c>
      <c r="B1875" s="17"/>
      <c r="C1875" s="16" t="s">
        <v>3613</v>
      </c>
      <c r="D1875" s="17"/>
      <c r="E1875" s="17" t="s">
        <v>608</v>
      </c>
      <c r="F1875" s="18" t="s">
        <v>642</v>
      </c>
      <c r="G1875" s="49" t="s">
        <v>2274</v>
      </c>
      <c r="H1875" s="17">
        <f t="shared" si="9"/>
        <v>20</v>
      </c>
      <c r="J1875" s="7" t="s">
        <v>478</v>
      </c>
      <c r="K1875" s="62"/>
      <c r="M1875" s="62"/>
      <c r="N1875" s="62"/>
      <c r="O1875" s="62" t="str">
        <f>IF(E1875="PA",IF(K1875&lt;&gt;"",ISERROR(VLOOKUP(K1875,ABBR!A:D,1,FALSE)),ISERROR(VLOOKUP(C1875,ABBR!A:D,1,FALSE))),"")</f>
        <v/>
      </c>
      <c r="P1875" t="str">
        <f>VLOOKUP(A1875,Groups!A:L,5,FALSE)</f>
        <v>SAMP</v>
      </c>
      <c r="Q1875" s="62" t="str">
        <f>IF(G1875="PA",IF(M1875&lt;&gt;"",ISERROR(VLOOKUP(M1875,ABBR!C:F,1,FALSE)),ISERROR(VLOOKUP(E1875,ABBR!C:F,1,FALSE))),"")</f>
        <v/>
      </c>
    </row>
    <row r="1876" spans="1:17" hidden="1" x14ac:dyDescent="0.25">
      <c r="A1876" s="16" t="s">
        <v>522</v>
      </c>
      <c r="B1876" s="17"/>
      <c r="C1876" s="16" t="s">
        <v>3614</v>
      </c>
      <c r="D1876" s="17"/>
      <c r="E1876" s="17" t="s">
        <v>608</v>
      </c>
      <c r="F1876" s="18" t="s">
        <v>918</v>
      </c>
      <c r="G1876" s="49" t="s">
        <v>3615</v>
      </c>
      <c r="H1876" s="17">
        <f t="shared" si="9"/>
        <v>21</v>
      </c>
      <c r="J1876" s="7" t="s">
        <v>478</v>
      </c>
      <c r="K1876" s="62"/>
      <c r="M1876" s="62"/>
      <c r="N1876" s="62"/>
      <c r="O1876" s="62" t="str">
        <f>IF(E1876="PA",IF(K1876&lt;&gt;"",ISERROR(VLOOKUP(K1876,ABBR!A:D,1,FALSE)),ISERROR(VLOOKUP(C1876,ABBR!A:D,1,FALSE))),"")</f>
        <v/>
      </c>
      <c r="P1876" t="str">
        <f>VLOOKUP(A1876,Groups!A:L,5,FALSE)</f>
        <v>SAMP</v>
      </c>
      <c r="Q1876" s="62" t="str">
        <f>IF(G1876="PA",IF(M1876&lt;&gt;"",ISERROR(VLOOKUP(M1876,ABBR!C:F,1,FALSE)),ISERROR(VLOOKUP(E1876,ABBR!C:F,1,FALSE))),"")</f>
        <v/>
      </c>
    </row>
    <row r="1877" spans="1:17" hidden="1" x14ac:dyDescent="0.25">
      <c r="A1877" s="16" t="s">
        <v>522</v>
      </c>
      <c r="B1877" s="46"/>
      <c r="C1877" s="9" t="s">
        <v>3616</v>
      </c>
      <c r="D1877" s="46"/>
      <c r="E1877" s="46" t="s">
        <v>608</v>
      </c>
      <c r="F1877" s="93" t="s">
        <v>921</v>
      </c>
      <c r="G1877" s="94" t="s">
        <v>922</v>
      </c>
      <c r="H1877" s="17">
        <f t="shared" si="9"/>
        <v>22</v>
      </c>
      <c r="I1877"/>
      <c r="J1877" s="34" t="s">
        <v>473</v>
      </c>
      <c r="M1877" s="101"/>
      <c r="O1877" s="62" t="str">
        <f>IF(E1877="PA",IF(K1877&lt;&gt;"",ISERROR(VLOOKUP(K1877,ABBR!A:D,1,FALSE)),ISERROR(VLOOKUP(C1877,ABBR!A:D,1,FALSE))),"")</f>
        <v/>
      </c>
      <c r="P1877" t="str">
        <f>VLOOKUP(A1877,Groups!A:L,5,FALSE)</f>
        <v>SAMP</v>
      </c>
      <c r="Q1877" s="62" t="str">
        <f>IF(G1877="PA",IF(M1877&lt;&gt;"",ISERROR(VLOOKUP(M1877,ABBR!C:F,1,FALSE)),ISERROR(VLOOKUP(E1877,ABBR!C:F,1,FALSE))),"")</f>
        <v/>
      </c>
    </row>
    <row r="1878" spans="1:17" hidden="1" x14ac:dyDescent="0.25">
      <c r="A1878" s="16" t="s">
        <v>522</v>
      </c>
      <c r="B1878" s="17"/>
      <c r="C1878" s="16" t="s">
        <v>3617</v>
      </c>
      <c r="D1878" s="17"/>
      <c r="E1878" s="17" t="s">
        <v>608</v>
      </c>
      <c r="F1878" s="18" t="s">
        <v>929</v>
      </c>
      <c r="G1878" s="49" t="s">
        <v>876</v>
      </c>
      <c r="H1878" s="17">
        <f t="shared" si="9"/>
        <v>23</v>
      </c>
      <c r="J1878" s="62" t="s">
        <v>473</v>
      </c>
      <c r="K1878" s="62"/>
      <c r="M1878" s="62"/>
      <c r="N1878" s="62"/>
      <c r="O1878" s="62" t="str">
        <f>IF(E1878="PA",IF(K1878&lt;&gt;"",ISERROR(VLOOKUP(K1878,ABBR!A:D,1,FALSE)),ISERROR(VLOOKUP(C1878,ABBR!A:D,1,FALSE))),"")</f>
        <v/>
      </c>
      <c r="P1878" t="str">
        <f>VLOOKUP(A1878,Groups!A:L,5,FALSE)</f>
        <v>SAMP</v>
      </c>
      <c r="Q1878" s="62" t="str">
        <f>IF(G1878="PA",IF(M1878&lt;&gt;"",ISERROR(VLOOKUP(M1878,ABBR!C:F,1,FALSE)),ISERROR(VLOOKUP(E1878,ABBR!C:F,1,FALSE))),"")</f>
        <v/>
      </c>
    </row>
    <row r="1879" spans="1:17" hidden="1" x14ac:dyDescent="0.25">
      <c r="A1879" s="16" t="s">
        <v>522</v>
      </c>
      <c r="B1879" s="17"/>
      <c r="C1879" s="16" t="s">
        <v>3618</v>
      </c>
      <c r="D1879" s="17" t="s">
        <v>924</v>
      </c>
      <c r="E1879" s="17" t="s">
        <v>925</v>
      </c>
      <c r="F1879" s="18" t="s">
        <v>926</v>
      </c>
      <c r="G1879" s="49" t="s">
        <v>927</v>
      </c>
      <c r="H1879" s="17">
        <f t="shared" si="9"/>
        <v>24</v>
      </c>
      <c r="J1879" s="7" t="s">
        <v>478</v>
      </c>
      <c r="K1879" s="62"/>
      <c r="M1879" s="62"/>
      <c r="N1879" s="62"/>
      <c r="O1879" s="62" t="str">
        <f>IF(E1879="PA",IF(K1879&lt;&gt;"",ISERROR(VLOOKUP(K1879,ABBR!A:D,1,FALSE)),ISERROR(VLOOKUP(C1879,ABBR!A:D,1,FALSE))),"")</f>
        <v/>
      </c>
      <c r="P1879" t="str">
        <f>VLOOKUP(A1879,Groups!A:L,5,FALSE)</f>
        <v>SAMP</v>
      </c>
      <c r="Q1879" s="62" t="str">
        <f>IF(G1879="PA",IF(M1879&lt;&gt;"",ISERROR(VLOOKUP(M1879,ABBR!C:F,1,FALSE)),ISERROR(VLOOKUP(E1879,ABBR!C:F,1,FALSE))),"")</f>
        <v/>
      </c>
    </row>
    <row r="1880" spans="1:17" hidden="1" x14ac:dyDescent="0.25">
      <c r="A1880" s="16" t="s">
        <v>522</v>
      </c>
      <c r="B1880" s="17"/>
      <c r="C1880" s="16" t="s">
        <v>3619</v>
      </c>
      <c r="D1880" s="17"/>
      <c r="E1880" s="17" t="s">
        <v>608</v>
      </c>
      <c r="F1880" s="18" t="s">
        <v>931</v>
      </c>
      <c r="G1880" s="49" t="s">
        <v>932</v>
      </c>
      <c r="H1880" s="17">
        <f t="shared" si="9"/>
        <v>25</v>
      </c>
      <c r="J1880" s="7" t="s">
        <v>478</v>
      </c>
      <c r="K1880" s="62"/>
      <c r="M1880" s="62"/>
      <c r="N1880" s="62"/>
      <c r="O1880" s="62" t="str">
        <f>IF(E1880="PA",IF(K1880&lt;&gt;"",ISERROR(VLOOKUP(K1880,ABBR!A:D,1,FALSE)),ISERROR(VLOOKUP(C1880,ABBR!A:D,1,FALSE))),"")</f>
        <v/>
      </c>
      <c r="P1880" t="str">
        <f>VLOOKUP(A1880,Groups!A:L,5,FALSE)</f>
        <v>SAMP</v>
      </c>
      <c r="Q1880" s="62" t="str">
        <f>IF(G1880="PA",IF(M1880&lt;&gt;"",ISERROR(VLOOKUP(M1880,ABBR!C:F,1,FALSE)),ISERROR(VLOOKUP(E1880,ABBR!C:F,1,FALSE))),"")</f>
        <v/>
      </c>
    </row>
    <row r="1881" spans="1:17" ht="25" hidden="1" x14ac:dyDescent="0.25">
      <c r="A1881" s="16" t="s">
        <v>522</v>
      </c>
      <c r="B1881" s="17"/>
      <c r="C1881" s="16" t="s">
        <v>3620</v>
      </c>
      <c r="D1881" s="17"/>
      <c r="E1881" s="17" t="s">
        <v>608</v>
      </c>
      <c r="F1881" s="18" t="s">
        <v>934</v>
      </c>
      <c r="G1881" s="49" t="s">
        <v>935</v>
      </c>
      <c r="H1881" s="17">
        <f t="shared" si="9"/>
        <v>26</v>
      </c>
      <c r="J1881" s="7" t="s">
        <v>478</v>
      </c>
      <c r="K1881" s="62"/>
      <c r="M1881" s="62"/>
      <c r="N1881" s="62"/>
      <c r="O1881" s="62" t="str">
        <f>IF(E1881="PA",IF(K1881&lt;&gt;"",ISERROR(VLOOKUP(K1881,ABBR!A:D,1,FALSE)),ISERROR(VLOOKUP(C1881,ABBR!A:D,1,FALSE))),"")</f>
        <v/>
      </c>
      <c r="P1881" t="str">
        <f>VLOOKUP(A1881,Groups!A:L,5,FALSE)</f>
        <v>SAMP</v>
      </c>
      <c r="Q1881" s="62" t="str">
        <f>IF(G1881="PA",IF(M1881&lt;&gt;"",ISERROR(VLOOKUP(M1881,ABBR!C:F,1,FALSE)),ISERROR(VLOOKUP(E1881,ABBR!C:F,1,FALSE))),"")</f>
        <v/>
      </c>
    </row>
    <row r="1882" spans="1:17" hidden="1" x14ac:dyDescent="0.25">
      <c r="A1882" s="16" t="s">
        <v>522</v>
      </c>
      <c r="B1882" s="17"/>
      <c r="C1882" s="16" t="s">
        <v>936</v>
      </c>
      <c r="D1882" s="17"/>
      <c r="E1882" s="17" t="s">
        <v>608</v>
      </c>
      <c r="F1882" s="18" t="s">
        <v>937</v>
      </c>
      <c r="G1882" s="49" t="s">
        <v>938</v>
      </c>
      <c r="H1882" s="17">
        <f t="shared" si="9"/>
        <v>27</v>
      </c>
      <c r="J1882" s="7" t="s">
        <v>478</v>
      </c>
      <c r="K1882" s="62"/>
      <c r="M1882" s="62"/>
      <c r="N1882" s="62"/>
      <c r="O1882" s="62" t="str">
        <f>IF(E1882="PA",IF(K1882&lt;&gt;"",ISERROR(VLOOKUP(K1882,ABBR!A:D,1,FALSE)),ISERROR(VLOOKUP(C1882,ABBR!A:D,1,FALSE))),"")</f>
        <v/>
      </c>
      <c r="P1882" t="str">
        <f>VLOOKUP(A1882,Groups!A:L,5,FALSE)</f>
        <v>SAMP</v>
      </c>
      <c r="Q1882" s="62" t="str">
        <f>IF(G1882="PA",IF(M1882&lt;&gt;"",ISERROR(VLOOKUP(M1882,ABBR!C:F,1,FALSE)),ISERROR(VLOOKUP(E1882,ABBR!C:F,1,FALSE))),"")</f>
        <v/>
      </c>
    </row>
    <row r="1883" spans="1:17" hidden="1" x14ac:dyDescent="0.25">
      <c r="A1883" s="16" t="s">
        <v>522</v>
      </c>
      <c r="B1883" s="17"/>
      <c r="C1883" s="16" t="s">
        <v>643</v>
      </c>
      <c r="D1883" s="17"/>
      <c r="E1883" s="17" t="s">
        <v>608</v>
      </c>
      <c r="F1883" s="18" t="s">
        <v>1714</v>
      </c>
      <c r="G1883" s="49" t="s">
        <v>1615</v>
      </c>
      <c r="H1883" s="17">
        <f t="shared" si="9"/>
        <v>28</v>
      </c>
      <c r="J1883" s="7" t="s">
        <v>478</v>
      </c>
      <c r="K1883" s="62"/>
      <c r="M1883" s="62"/>
      <c r="N1883" s="62"/>
      <c r="O1883" s="62" t="str">
        <f>IF(E1883="PA",IF(K1883&lt;&gt;"",ISERROR(VLOOKUP(K1883,ABBR!A:D,1,FALSE)),ISERROR(VLOOKUP(C1883,ABBR!A:D,1,FALSE))),"")</f>
        <v/>
      </c>
      <c r="P1883" t="str">
        <f>VLOOKUP(A1883,Groups!A:L,5,FALSE)</f>
        <v>SAMP</v>
      </c>
      <c r="Q1883" s="62" t="str">
        <f>IF(G1883="PA",IF(M1883&lt;&gt;"",ISERROR(VLOOKUP(M1883,ABBR!C:F,1,FALSE)),ISERROR(VLOOKUP(E1883,ABBR!C:F,1,FALSE))),"")</f>
        <v/>
      </c>
    </row>
    <row r="1884" spans="1:17" hidden="1" x14ac:dyDescent="0.25">
      <c r="A1884" s="16" t="s">
        <v>524</v>
      </c>
      <c r="B1884" s="17" t="s">
        <v>594</v>
      </c>
      <c r="C1884" s="16" t="s">
        <v>595</v>
      </c>
      <c r="D1884" s="17"/>
      <c r="E1884" s="17" t="s">
        <v>596</v>
      </c>
      <c r="F1884" s="18" t="s">
        <v>597</v>
      </c>
      <c r="G1884" s="49" t="s">
        <v>598</v>
      </c>
      <c r="H1884" s="17">
        <v>1</v>
      </c>
      <c r="J1884" s="7" t="s">
        <v>478</v>
      </c>
      <c r="K1884" s="62"/>
      <c r="M1884" s="62"/>
      <c r="N1884" s="62"/>
      <c r="O1884" s="62" t="str">
        <f>IF(E1884="PA",IF(K1884&lt;&gt;"",ISERROR(VLOOKUP(K1884,ABBR!A:D,1,FALSE)),ISERROR(VLOOKUP(C1884,ABBR!A:D,1,FALSE))),"")</f>
        <v/>
      </c>
      <c r="P1884" t="str">
        <f>VLOOKUP(A1884,Groups!A:L,5,FALSE)</f>
        <v>SAMP</v>
      </c>
      <c r="Q1884" s="62" t="str">
        <f>IF(G1884="PA",IF(M1884&lt;&gt;"",ISERROR(VLOOKUP(M1884,ABBR!C:F,1,FALSE)),ISERROR(VLOOKUP(E1884,ABBR!C:F,1,FALSE))),"")</f>
        <v/>
      </c>
    </row>
    <row r="1885" spans="1:17" hidden="1" x14ac:dyDescent="0.25">
      <c r="A1885" s="16" t="s">
        <v>524</v>
      </c>
      <c r="B1885" s="17" t="s">
        <v>594</v>
      </c>
      <c r="C1885" s="16" t="s">
        <v>851</v>
      </c>
      <c r="D1885" s="17" t="s">
        <v>600</v>
      </c>
      <c r="E1885" s="17" t="s">
        <v>601</v>
      </c>
      <c r="F1885" s="18" t="s">
        <v>852</v>
      </c>
      <c r="G1885" s="49" t="s">
        <v>853</v>
      </c>
      <c r="H1885" s="17">
        <f t="shared" ref="H1885:H1911" si="10">H1884+1</f>
        <v>2</v>
      </c>
      <c r="J1885" s="7" t="s">
        <v>478</v>
      </c>
      <c r="K1885" s="62"/>
      <c r="M1885" s="62"/>
      <c r="N1885" s="62"/>
      <c r="O1885" s="62" t="str">
        <f>IF(E1885="PA",IF(K1885&lt;&gt;"",ISERROR(VLOOKUP(K1885,ABBR!A:D,1,FALSE)),ISERROR(VLOOKUP(C1885,ABBR!A:D,1,FALSE))),"")</f>
        <v/>
      </c>
      <c r="P1885" t="str">
        <f>VLOOKUP(A1885,Groups!A:L,5,FALSE)</f>
        <v>SAMP</v>
      </c>
      <c r="Q1885" s="62" t="str">
        <f>IF(G1885="PA",IF(M1885&lt;&gt;"",ISERROR(VLOOKUP(M1885,ABBR!C:F,1,FALSE)),ISERROR(VLOOKUP(E1885,ABBR!C:F,1,FALSE))),"")</f>
        <v/>
      </c>
    </row>
    <row r="1886" spans="1:17" hidden="1" x14ac:dyDescent="0.25">
      <c r="A1886" s="16" t="s">
        <v>524</v>
      </c>
      <c r="B1886" s="17" t="s">
        <v>594</v>
      </c>
      <c r="C1886" s="16" t="s">
        <v>854</v>
      </c>
      <c r="D1886" s="17"/>
      <c r="E1886" s="17" t="s">
        <v>608</v>
      </c>
      <c r="F1886" s="18" t="s">
        <v>855</v>
      </c>
      <c r="G1886" s="49" t="s">
        <v>856</v>
      </c>
      <c r="H1886" s="17">
        <f t="shared" si="10"/>
        <v>3</v>
      </c>
      <c r="J1886" s="7" t="s">
        <v>478</v>
      </c>
      <c r="K1886" s="62"/>
      <c r="M1886" s="62"/>
      <c r="N1886" s="62"/>
      <c r="O1886" s="62" t="str">
        <f>IF(E1886="PA",IF(K1886&lt;&gt;"",ISERROR(VLOOKUP(K1886,ABBR!A:D,1,FALSE)),ISERROR(VLOOKUP(C1886,ABBR!A:D,1,FALSE))),"")</f>
        <v/>
      </c>
      <c r="P1886" t="str">
        <f>VLOOKUP(A1886,Groups!A:L,5,FALSE)</f>
        <v>SAMP</v>
      </c>
      <c r="Q1886" s="62" t="str">
        <f>IF(G1886="PA",IF(M1886&lt;&gt;"",ISERROR(VLOOKUP(M1886,ABBR!C:F,1,FALSE)),ISERROR(VLOOKUP(E1886,ABBR!C:F,1,FALSE))),"")</f>
        <v/>
      </c>
    </row>
    <row r="1887" spans="1:17" hidden="1" x14ac:dyDescent="0.25">
      <c r="A1887" s="16" t="s">
        <v>524</v>
      </c>
      <c r="B1887" s="17" t="s">
        <v>594</v>
      </c>
      <c r="C1887" s="16" t="s">
        <v>857</v>
      </c>
      <c r="D1887" s="17"/>
      <c r="E1887" s="17" t="s">
        <v>618</v>
      </c>
      <c r="F1887" s="18" t="s">
        <v>858</v>
      </c>
      <c r="G1887" s="49" t="s">
        <v>859</v>
      </c>
      <c r="H1887" s="17">
        <f t="shared" si="10"/>
        <v>4</v>
      </c>
      <c r="J1887" s="7" t="s">
        <v>478</v>
      </c>
      <c r="K1887" s="62"/>
      <c r="M1887" s="62"/>
      <c r="N1887" s="62"/>
      <c r="O1887" s="62" t="b">
        <f>IF(E1887="PA",IF(K1887&lt;&gt;"",ISERROR(VLOOKUP(K1887,ABBR!A:D,1,FALSE)),ISERROR(VLOOKUP(C1887,ABBR!A:D,1,FALSE))),"")</f>
        <v>0</v>
      </c>
      <c r="P1887" t="str">
        <f>VLOOKUP(A1887,Groups!A:L,5,FALSE)</f>
        <v>SAMP</v>
      </c>
      <c r="Q1887" s="62" t="str">
        <f>IF(G1887="PA",IF(M1887&lt;&gt;"",ISERROR(VLOOKUP(M1887,ABBR!C:F,1,FALSE)),ISERROR(VLOOKUP(E1887,ABBR!C:F,1,FALSE))),"")</f>
        <v/>
      </c>
    </row>
    <row r="1888" spans="1:17" hidden="1" x14ac:dyDescent="0.25">
      <c r="A1888" s="16" t="s">
        <v>524</v>
      </c>
      <c r="B1888" s="17" t="s">
        <v>594</v>
      </c>
      <c r="C1888" s="16" t="s">
        <v>860</v>
      </c>
      <c r="D1888" s="17"/>
      <c r="E1888" s="17" t="s">
        <v>596</v>
      </c>
      <c r="F1888" s="18" t="s">
        <v>861</v>
      </c>
      <c r="G1888" s="49" t="s">
        <v>862</v>
      </c>
      <c r="H1888" s="17">
        <f t="shared" si="10"/>
        <v>5</v>
      </c>
      <c r="J1888" s="7" t="s">
        <v>478</v>
      </c>
      <c r="K1888" s="62"/>
      <c r="M1888" s="62"/>
      <c r="N1888" s="62"/>
      <c r="O1888" s="62" t="str">
        <f>IF(E1888="PA",IF(K1888&lt;&gt;"",ISERROR(VLOOKUP(K1888,ABBR!A:D,1,FALSE)),ISERROR(VLOOKUP(C1888,ABBR!A:D,1,FALSE))),"")</f>
        <v/>
      </c>
      <c r="P1888" t="str">
        <f>VLOOKUP(A1888,Groups!A:L,5,FALSE)</f>
        <v>SAMP</v>
      </c>
      <c r="Q1888" s="62" t="str">
        <f>IF(G1888="PA",IF(M1888&lt;&gt;"",ISERROR(VLOOKUP(M1888,ABBR!C:F,1,FALSE)),ISERROR(VLOOKUP(E1888,ABBR!C:F,1,FALSE))),"")</f>
        <v/>
      </c>
    </row>
    <row r="1889" spans="1:17" hidden="1" x14ac:dyDescent="0.25">
      <c r="A1889" s="16" t="s">
        <v>524</v>
      </c>
      <c r="B1889" s="17" t="s">
        <v>594</v>
      </c>
      <c r="C1889" s="16" t="s">
        <v>863</v>
      </c>
      <c r="D1889" s="17"/>
      <c r="E1889" s="17" t="s">
        <v>608</v>
      </c>
      <c r="F1889" s="18" t="s">
        <v>864</v>
      </c>
      <c r="G1889" s="49" t="s">
        <v>865</v>
      </c>
      <c r="H1889" s="17">
        <f t="shared" si="10"/>
        <v>6</v>
      </c>
      <c r="J1889" s="7" t="s">
        <v>478</v>
      </c>
      <c r="K1889" s="62"/>
      <c r="M1889" s="62"/>
      <c r="N1889" s="62"/>
      <c r="O1889" s="62" t="str">
        <f>IF(E1889="PA",IF(K1889&lt;&gt;"",ISERROR(VLOOKUP(K1889,ABBR!A:D,1,FALSE)),ISERROR(VLOOKUP(C1889,ABBR!A:D,1,FALSE))),"")</f>
        <v/>
      </c>
      <c r="P1889" t="str">
        <f>VLOOKUP(A1889,Groups!A:L,5,FALSE)</f>
        <v>SAMP</v>
      </c>
      <c r="Q1889" s="62" t="str">
        <f>IF(G1889="PA",IF(M1889&lt;&gt;"",ISERROR(VLOOKUP(M1889,ABBR!C:F,1,FALSE)),ISERROR(VLOOKUP(E1889,ABBR!C:F,1,FALSE))),"")</f>
        <v/>
      </c>
    </row>
    <row r="1890" spans="1:17" hidden="1" x14ac:dyDescent="0.25">
      <c r="A1890" s="16" t="s">
        <v>524</v>
      </c>
      <c r="B1890" s="17" t="s">
        <v>594</v>
      </c>
      <c r="C1890" s="16" t="s">
        <v>866</v>
      </c>
      <c r="D1890" s="17" t="s">
        <v>600</v>
      </c>
      <c r="E1890" s="17" t="s">
        <v>601</v>
      </c>
      <c r="F1890" s="18" t="s">
        <v>867</v>
      </c>
      <c r="G1890" s="49" t="s">
        <v>853</v>
      </c>
      <c r="H1890" s="17">
        <f t="shared" si="10"/>
        <v>7</v>
      </c>
      <c r="J1890" s="7" t="s">
        <v>478</v>
      </c>
      <c r="K1890" s="62"/>
      <c r="M1890" s="62"/>
      <c r="N1890" s="62"/>
      <c r="O1890" s="62" t="str">
        <f>IF(E1890="PA",IF(K1890&lt;&gt;"",ISERROR(VLOOKUP(K1890,ABBR!A:D,1,FALSE)),ISERROR(VLOOKUP(C1890,ABBR!A:D,1,FALSE))),"")</f>
        <v/>
      </c>
      <c r="P1890" t="str">
        <f>VLOOKUP(A1890,Groups!A:L,5,FALSE)</f>
        <v>SAMP</v>
      </c>
      <c r="Q1890" s="62" t="str">
        <f>IF(G1890="PA",IF(M1890&lt;&gt;"",ISERROR(VLOOKUP(M1890,ABBR!C:F,1,FALSE)),ISERROR(VLOOKUP(E1890,ABBR!C:F,1,FALSE))),"")</f>
        <v/>
      </c>
    </row>
    <row r="1891" spans="1:17" hidden="1" x14ac:dyDescent="0.25">
      <c r="A1891" s="16" t="s">
        <v>524</v>
      </c>
      <c r="B1891" s="46"/>
      <c r="C1891" s="9" t="s">
        <v>868</v>
      </c>
      <c r="D1891" s="46"/>
      <c r="E1891" s="46" t="s">
        <v>608</v>
      </c>
      <c r="F1891" s="93" t="s">
        <v>869</v>
      </c>
      <c r="G1891" s="51" t="s">
        <v>3265</v>
      </c>
      <c r="H1891" s="17">
        <f t="shared" si="10"/>
        <v>8</v>
      </c>
      <c r="I1891"/>
      <c r="J1891" s="34" t="s">
        <v>473</v>
      </c>
      <c r="O1891" s="62" t="str">
        <f>IF(E1891="PA",IF(K1891&lt;&gt;"",ISERROR(VLOOKUP(K1891,ABBR!A:D,1,FALSE)),ISERROR(VLOOKUP(C1891,ABBR!A:D,1,FALSE))),"")</f>
        <v/>
      </c>
      <c r="P1891" t="str">
        <f>VLOOKUP(A1891,Groups!A:L,5,FALSE)</f>
        <v>SAMP</v>
      </c>
      <c r="Q1891" s="62" t="str">
        <f>IF(G1891="PA",IF(M1891&lt;&gt;"",ISERROR(VLOOKUP(M1891,ABBR!C:F,1,FALSE)),ISERROR(VLOOKUP(E1891,ABBR!C:F,1,FALSE))),"")</f>
        <v/>
      </c>
    </row>
    <row r="1892" spans="1:17" ht="25" hidden="1" x14ac:dyDescent="0.25">
      <c r="A1892" s="16" t="s">
        <v>524</v>
      </c>
      <c r="B1892" s="46"/>
      <c r="C1892" s="9" t="s">
        <v>871</v>
      </c>
      <c r="D1892" s="46"/>
      <c r="E1892" s="46" t="s">
        <v>608</v>
      </c>
      <c r="F1892" s="93" t="s">
        <v>872</v>
      </c>
      <c r="G1892" s="94" t="s">
        <v>873</v>
      </c>
      <c r="H1892" s="17">
        <f t="shared" si="10"/>
        <v>9</v>
      </c>
      <c r="I1892"/>
      <c r="J1892" s="34" t="s">
        <v>473</v>
      </c>
      <c r="O1892" s="62" t="str">
        <f>IF(E1892="PA",IF(K1892&lt;&gt;"",ISERROR(VLOOKUP(K1892,ABBR!A:D,1,FALSE)),ISERROR(VLOOKUP(C1892,ABBR!A:D,1,FALSE))),"")</f>
        <v/>
      </c>
      <c r="P1892" t="str">
        <f>VLOOKUP(A1892,Groups!A:L,5,FALSE)</f>
        <v>SAMP</v>
      </c>
      <c r="Q1892" s="62" t="str">
        <f>IF(G1892="PA",IF(M1892&lt;&gt;"",ISERROR(VLOOKUP(M1892,ABBR!C:F,1,FALSE)),ISERROR(VLOOKUP(E1892,ABBR!C:F,1,FALSE))),"")</f>
        <v/>
      </c>
    </row>
    <row r="1893" spans="1:17" hidden="1" x14ac:dyDescent="0.25">
      <c r="A1893" s="16" t="s">
        <v>524</v>
      </c>
      <c r="B1893" s="46"/>
      <c r="C1893" s="9" t="s">
        <v>877</v>
      </c>
      <c r="D1893" s="46" t="s">
        <v>600</v>
      </c>
      <c r="E1893" s="46" t="s">
        <v>601</v>
      </c>
      <c r="F1893" s="93" t="s">
        <v>878</v>
      </c>
      <c r="G1893" s="94" t="s">
        <v>879</v>
      </c>
      <c r="H1893" s="17">
        <f t="shared" si="10"/>
        <v>10</v>
      </c>
      <c r="I1893"/>
      <c r="J1893" s="34" t="s">
        <v>473</v>
      </c>
      <c r="O1893" s="62" t="str">
        <f>IF(E1893="PA",IF(K1893&lt;&gt;"",ISERROR(VLOOKUP(K1893,ABBR!A:D,1,FALSE)),ISERROR(VLOOKUP(C1893,ABBR!A:D,1,FALSE))),"")</f>
        <v/>
      </c>
      <c r="P1893" t="str">
        <f>VLOOKUP(A1893,Groups!A:L,5,FALSE)</f>
        <v>SAMP</v>
      </c>
      <c r="Q1893" s="62" t="str">
        <f>IF(G1893="PA",IF(M1893&lt;&gt;"",ISERROR(VLOOKUP(M1893,ABBR!C:F,1,FALSE)),ISERROR(VLOOKUP(E1893,ABBR!C:F,1,FALSE))),"")</f>
        <v/>
      </c>
    </row>
    <row r="1894" spans="1:17" hidden="1" x14ac:dyDescent="0.25">
      <c r="A1894" s="16" t="s">
        <v>524</v>
      </c>
      <c r="B1894" s="17"/>
      <c r="C1894" s="16" t="s">
        <v>3621</v>
      </c>
      <c r="D1894" s="17"/>
      <c r="E1894" s="17" t="s">
        <v>608</v>
      </c>
      <c r="F1894" s="18" t="s">
        <v>875</v>
      </c>
      <c r="G1894" s="49" t="s">
        <v>876</v>
      </c>
      <c r="H1894" s="17">
        <f t="shared" si="10"/>
        <v>11</v>
      </c>
      <c r="J1894" s="62" t="s">
        <v>473</v>
      </c>
      <c r="K1894" s="62"/>
      <c r="M1894" s="62"/>
      <c r="N1894" s="62"/>
      <c r="O1894" s="62" t="str">
        <f>IF(E1894="PA",IF(K1894&lt;&gt;"",ISERROR(VLOOKUP(K1894,ABBR!A:D,1,FALSE)),ISERROR(VLOOKUP(C1894,ABBR!A:D,1,FALSE))),"")</f>
        <v/>
      </c>
      <c r="P1894" t="str">
        <f>VLOOKUP(A1894,Groups!A:L,5,FALSE)</f>
        <v>SAMP</v>
      </c>
      <c r="Q1894" s="62" t="str">
        <f>IF(G1894="PA",IF(M1894&lt;&gt;"",ISERROR(VLOOKUP(M1894,ABBR!C:F,1,FALSE)),ISERROR(VLOOKUP(E1894,ABBR!C:F,1,FALSE))),"")</f>
        <v/>
      </c>
    </row>
    <row r="1895" spans="1:17" hidden="1" x14ac:dyDescent="0.25">
      <c r="A1895" s="16" t="s">
        <v>524</v>
      </c>
      <c r="B1895" s="17"/>
      <c r="C1895" s="16" t="s">
        <v>3622</v>
      </c>
      <c r="D1895" s="17"/>
      <c r="E1895" s="17" t="s">
        <v>601</v>
      </c>
      <c r="F1895" s="18" t="s">
        <v>3623</v>
      </c>
      <c r="G1895" s="49" t="s">
        <v>3624</v>
      </c>
      <c r="H1895" s="17">
        <f t="shared" si="10"/>
        <v>12</v>
      </c>
      <c r="J1895" s="7" t="s">
        <v>478</v>
      </c>
      <c r="K1895" s="62"/>
      <c r="M1895" s="62"/>
      <c r="N1895" s="62"/>
      <c r="O1895" s="62" t="str">
        <f>IF(E1895="PA",IF(K1895&lt;&gt;"",ISERROR(VLOOKUP(K1895,ABBR!A:D,1,FALSE)),ISERROR(VLOOKUP(C1895,ABBR!A:D,1,FALSE))),"")</f>
        <v/>
      </c>
      <c r="P1895" t="str">
        <f>VLOOKUP(A1895,Groups!A:L,5,FALSE)</f>
        <v>SAMP</v>
      </c>
      <c r="Q1895" s="62" t="str">
        <f>IF(G1895="PA",IF(M1895&lt;&gt;"",ISERROR(VLOOKUP(M1895,ABBR!C:F,1,FALSE)),ISERROR(VLOOKUP(E1895,ABBR!C:F,1,FALSE))),"")</f>
        <v/>
      </c>
    </row>
    <row r="1896" spans="1:17" ht="25" hidden="1" x14ac:dyDescent="0.25">
      <c r="A1896" s="16" t="s">
        <v>524</v>
      </c>
      <c r="B1896" s="17"/>
      <c r="C1896" s="16" t="s">
        <v>3625</v>
      </c>
      <c r="D1896" s="17" t="s">
        <v>3626</v>
      </c>
      <c r="E1896" s="17" t="s">
        <v>723</v>
      </c>
      <c r="F1896" s="18" t="s">
        <v>3627</v>
      </c>
      <c r="G1896" s="49" t="s">
        <v>3628</v>
      </c>
      <c r="H1896" s="17">
        <f t="shared" si="10"/>
        <v>13</v>
      </c>
      <c r="J1896" s="7" t="s">
        <v>478</v>
      </c>
      <c r="K1896" s="62"/>
      <c r="M1896" s="62"/>
      <c r="N1896" s="62"/>
      <c r="O1896" s="62" t="str">
        <f>IF(E1896="PA",IF(K1896&lt;&gt;"",ISERROR(VLOOKUP(K1896,ABBR!A:D,1,FALSE)),ISERROR(VLOOKUP(C1896,ABBR!A:D,1,FALSE))),"")</f>
        <v/>
      </c>
      <c r="P1896" t="str">
        <f>VLOOKUP(A1896,Groups!A:L,5,FALSE)</f>
        <v>SAMP</v>
      </c>
      <c r="Q1896" s="62" t="str">
        <f>IF(G1896="PA",IF(M1896&lt;&gt;"",ISERROR(VLOOKUP(M1896,ABBR!C:F,1,FALSE)),ISERROR(VLOOKUP(E1896,ABBR!C:F,1,FALSE))),"")</f>
        <v/>
      </c>
    </row>
    <row r="1897" spans="1:17" hidden="1" x14ac:dyDescent="0.25">
      <c r="A1897" s="16" t="s">
        <v>524</v>
      </c>
      <c r="B1897" s="17"/>
      <c r="C1897" s="16" t="s">
        <v>3629</v>
      </c>
      <c r="D1897" s="17" t="s">
        <v>3630</v>
      </c>
      <c r="E1897" s="17" t="s">
        <v>723</v>
      </c>
      <c r="F1897" s="18" t="s">
        <v>3631</v>
      </c>
      <c r="G1897" s="49" t="s">
        <v>2377</v>
      </c>
      <c r="H1897" s="17">
        <f t="shared" si="10"/>
        <v>14</v>
      </c>
      <c r="J1897" s="7" t="s">
        <v>478</v>
      </c>
      <c r="K1897" s="62"/>
      <c r="M1897" s="62"/>
      <c r="N1897" s="62"/>
      <c r="O1897" s="62" t="str">
        <f>IF(E1897="PA",IF(K1897&lt;&gt;"",ISERROR(VLOOKUP(K1897,ABBR!A:D,1,FALSE)),ISERROR(VLOOKUP(C1897,ABBR!A:D,1,FALSE))),"")</f>
        <v/>
      </c>
      <c r="P1897" t="str">
        <f>VLOOKUP(A1897,Groups!A:L,5,FALSE)</f>
        <v>SAMP</v>
      </c>
      <c r="Q1897" s="62" t="str">
        <f>IF(G1897="PA",IF(M1897&lt;&gt;"",ISERROR(VLOOKUP(M1897,ABBR!C:F,1,FALSE)),ISERROR(VLOOKUP(E1897,ABBR!C:F,1,FALSE))),"")</f>
        <v/>
      </c>
    </row>
    <row r="1898" spans="1:17" hidden="1" x14ac:dyDescent="0.25">
      <c r="A1898" s="16" t="s">
        <v>524</v>
      </c>
      <c r="B1898" s="17"/>
      <c r="C1898" s="16" t="s">
        <v>3632</v>
      </c>
      <c r="D1898" s="17" t="s">
        <v>766</v>
      </c>
      <c r="E1898" s="17" t="s">
        <v>723</v>
      </c>
      <c r="F1898" s="18" t="s">
        <v>3633</v>
      </c>
      <c r="G1898" s="49" t="s">
        <v>3634</v>
      </c>
      <c r="H1898" s="17">
        <f t="shared" si="10"/>
        <v>15</v>
      </c>
      <c r="J1898" s="7" t="s">
        <v>478</v>
      </c>
      <c r="K1898" s="62"/>
      <c r="M1898" s="62"/>
      <c r="N1898" s="62"/>
      <c r="O1898" s="62" t="str">
        <f>IF(E1898="PA",IF(K1898&lt;&gt;"",ISERROR(VLOOKUP(K1898,ABBR!A:D,1,FALSE)),ISERROR(VLOOKUP(C1898,ABBR!A:D,1,FALSE))),"")</f>
        <v/>
      </c>
      <c r="P1898" t="str">
        <f>VLOOKUP(A1898,Groups!A:L,5,FALSE)</f>
        <v>SAMP</v>
      </c>
      <c r="Q1898" s="62" t="str">
        <f>IF(G1898="PA",IF(M1898&lt;&gt;"",ISERROR(VLOOKUP(M1898,ABBR!C:F,1,FALSE)),ISERROR(VLOOKUP(E1898,ABBR!C:F,1,FALSE))),"")</f>
        <v/>
      </c>
    </row>
    <row r="1899" spans="1:17" hidden="1" x14ac:dyDescent="0.25">
      <c r="A1899" s="16" t="s">
        <v>524</v>
      </c>
      <c r="B1899" s="17"/>
      <c r="C1899" s="16" t="s">
        <v>3635</v>
      </c>
      <c r="D1899" s="17" t="s">
        <v>3636</v>
      </c>
      <c r="E1899" s="17" t="s">
        <v>601</v>
      </c>
      <c r="F1899" s="18" t="s">
        <v>3637</v>
      </c>
      <c r="G1899" s="49" t="s">
        <v>3638</v>
      </c>
      <c r="H1899" s="17">
        <f t="shared" si="10"/>
        <v>16</v>
      </c>
      <c r="J1899" s="7" t="s">
        <v>478</v>
      </c>
      <c r="K1899" s="62"/>
      <c r="M1899" s="62"/>
      <c r="N1899" s="62"/>
      <c r="O1899" s="62" t="str">
        <f>IF(E1899="PA",IF(K1899&lt;&gt;"",ISERROR(VLOOKUP(K1899,ABBR!A:D,1,FALSE)),ISERROR(VLOOKUP(C1899,ABBR!A:D,1,FALSE))),"")</f>
        <v/>
      </c>
      <c r="P1899" t="str">
        <f>VLOOKUP(A1899,Groups!A:L,5,FALSE)</f>
        <v>SAMP</v>
      </c>
      <c r="Q1899" s="62" t="str">
        <f>IF(G1899="PA",IF(M1899&lt;&gt;"",ISERROR(VLOOKUP(M1899,ABBR!C:F,1,FALSE)),ISERROR(VLOOKUP(E1899,ABBR!C:F,1,FALSE))),"")</f>
        <v/>
      </c>
    </row>
    <row r="1900" spans="1:17" ht="25" hidden="1" x14ac:dyDescent="0.25">
      <c r="A1900" s="16" t="s">
        <v>524</v>
      </c>
      <c r="B1900" s="17"/>
      <c r="C1900" s="16" t="s">
        <v>3639</v>
      </c>
      <c r="D1900" s="17" t="s">
        <v>766</v>
      </c>
      <c r="E1900" s="17" t="s">
        <v>767</v>
      </c>
      <c r="F1900" s="18" t="s">
        <v>3640</v>
      </c>
      <c r="G1900" s="49" t="s">
        <v>1114</v>
      </c>
      <c r="H1900" s="17">
        <f t="shared" si="10"/>
        <v>17</v>
      </c>
      <c r="J1900" s="7" t="s">
        <v>478</v>
      </c>
      <c r="K1900" s="62"/>
      <c r="M1900" s="62"/>
      <c r="N1900" s="62"/>
      <c r="O1900" s="62" t="str">
        <f>IF(E1900="PA",IF(K1900&lt;&gt;"",ISERROR(VLOOKUP(K1900,ABBR!A:D,1,FALSE)),ISERROR(VLOOKUP(C1900,ABBR!A:D,1,FALSE))),"")</f>
        <v/>
      </c>
      <c r="P1900" t="str">
        <f>VLOOKUP(A1900,Groups!A:L,5,FALSE)</f>
        <v>SAMP</v>
      </c>
      <c r="Q1900" s="62" t="str">
        <f>IF(G1900="PA",IF(M1900&lt;&gt;"",ISERROR(VLOOKUP(M1900,ABBR!C:F,1,FALSE)),ISERROR(VLOOKUP(E1900,ABBR!C:F,1,FALSE))),"")</f>
        <v/>
      </c>
    </row>
    <row r="1901" spans="1:17" hidden="1" x14ac:dyDescent="0.25">
      <c r="A1901" s="16" t="s">
        <v>524</v>
      </c>
      <c r="B1901" s="17"/>
      <c r="C1901" s="16" t="s">
        <v>3641</v>
      </c>
      <c r="D1901" s="17"/>
      <c r="E1901" s="17" t="s">
        <v>608</v>
      </c>
      <c r="F1901" s="18" t="s">
        <v>3642</v>
      </c>
      <c r="G1901" s="49" t="s">
        <v>3643</v>
      </c>
      <c r="H1901" s="17">
        <f t="shared" si="10"/>
        <v>18</v>
      </c>
      <c r="J1901" s="7" t="s">
        <v>478</v>
      </c>
      <c r="K1901" s="62"/>
      <c r="M1901" s="62"/>
      <c r="N1901" s="62"/>
      <c r="O1901" s="62" t="str">
        <f>IF(E1901="PA",IF(K1901&lt;&gt;"",ISERROR(VLOOKUP(K1901,ABBR!A:D,1,FALSE)),ISERROR(VLOOKUP(C1901,ABBR!A:D,1,FALSE))),"")</f>
        <v/>
      </c>
      <c r="P1901" t="str">
        <f>VLOOKUP(A1901,Groups!A:L,5,FALSE)</f>
        <v>SAMP</v>
      </c>
      <c r="Q1901" s="62" t="str">
        <f>IF(G1901="PA",IF(M1901&lt;&gt;"",ISERROR(VLOOKUP(M1901,ABBR!C:F,1,FALSE)),ISERROR(VLOOKUP(E1901,ABBR!C:F,1,FALSE))),"")</f>
        <v/>
      </c>
    </row>
    <row r="1902" spans="1:17" ht="25" hidden="1" x14ac:dyDescent="0.25">
      <c r="A1902" s="16" t="s">
        <v>524</v>
      </c>
      <c r="B1902" s="17"/>
      <c r="C1902" s="16" t="s">
        <v>3644</v>
      </c>
      <c r="D1902" s="17"/>
      <c r="E1902" s="17" t="s">
        <v>608</v>
      </c>
      <c r="F1902" s="18" t="s">
        <v>3645</v>
      </c>
      <c r="G1902" s="49" t="s">
        <v>2274</v>
      </c>
      <c r="H1902" s="17">
        <f t="shared" si="10"/>
        <v>19</v>
      </c>
      <c r="J1902" s="7" t="s">
        <v>478</v>
      </c>
      <c r="K1902" s="62"/>
      <c r="M1902" s="62"/>
      <c r="N1902" s="62"/>
      <c r="O1902" s="62" t="str">
        <f>IF(E1902="PA",IF(K1902&lt;&gt;"",ISERROR(VLOOKUP(K1902,ABBR!A:D,1,FALSE)),ISERROR(VLOOKUP(C1902,ABBR!A:D,1,FALSE))),"")</f>
        <v/>
      </c>
      <c r="P1902" t="str">
        <f>VLOOKUP(A1902,Groups!A:L,5,FALSE)</f>
        <v>SAMP</v>
      </c>
      <c r="Q1902" s="62" t="str">
        <f>IF(G1902="PA",IF(M1902&lt;&gt;"",ISERROR(VLOOKUP(M1902,ABBR!C:F,1,FALSE)),ISERROR(VLOOKUP(E1902,ABBR!C:F,1,FALSE))),"")</f>
        <v/>
      </c>
    </row>
    <row r="1903" spans="1:17" ht="25" hidden="1" x14ac:dyDescent="0.25">
      <c r="A1903" s="16" t="s">
        <v>524</v>
      </c>
      <c r="B1903" s="17"/>
      <c r="C1903" s="16" t="s">
        <v>3646</v>
      </c>
      <c r="D1903" s="17"/>
      <c r="E1903" s="17" t="s">
        <v>608</v>
      </c>
      <c r="F1903" s="18" t="s">
        <v>642</v>
      </c>
      <c r="G1903" s="49" t="s">
        <v>2274</v>
      </c>
      <c r="H1903" s="17">
        <f t="shared" si="10"/>
        <v>20</v>
      </c>
      <c r="J1903" s="7" t="s">
        <v>478</v>
      </c>
      <c r="K1903" s="62"/>
      <c r="M1903" s="62"/>
      <c r="N1903" s="62"/>
      <c r="O1903" s="62" t="str">
        <f>IF(E1903="PA",IF(K1903&lt;&gt;"",ISERROR(VLOOKUP(K1903,ABBR!A:D,1,FALSE)),ISERROR(VLOOKUP(C1903,ABBR!A:D,1,FALSE))),"")</f>
        <v/>
      </c>
      <c r="P1903" t="str">
        <f>VLOOKUP(A1903,Groups!A:L,5,FALSE)</f>
        <v>SAMP</v>
      </c>
      <c r="Q1903" s="62" t="str">
        <f>IF(G1903="PA",IF(M1903&lt;&gt;"",ISERROR(VLOOKUP(M1903,ABBR!C:F,1,FALSE)),ISERROR(VLOOKUP(E1903,ABBR!C:F,1,FALSE))),"")</f>
        <v/>
      </c>
    </row>
    <row r="1904" spans="1:17" hidden="1" x14ac:dyDescent="0.25">
      <c r="A1904" s="16" t="s">
        <v>524</v>
      </c>
      <c r="B1904" s="17"/>
      <c r="C1904" s="16" t="s">
        <v>3647</v>
      </c>
      <c r="D1904" s="17"/>
      <c r="E1904" s="17" t="s">
        <v>608</v>
      </c>
      <c r="F1904" s="18" t="s">
        <v>918</v>
      </c>
      <c r="G1904" s="49" t="s">
        <v>3648</v>
      </c>
      <c r="H1904" s="17">
        <f t="shared" si="10"/>
        <v>21</v>
      </c>
      <c r="J1904" s="7" t="s">
        <v>478</v>
      </c>
      <c r="K1904" s="62"/>
      <c r="M1904" s="62"/>
      <c r="N1904" s="62"/>
      <c r="O1904" s="62" t="str">
        <f>IF(E1904="PA",IF(K1904&lt;&gt;"",ISERROR(VLOOKUP(K1904,ABBR!A:D,1,FALSE)),ISERROR(VLOOKUP(C1904,ABBR!A:D,1,FALSE))),"")</f>
        <v/>
      </c>
      <c r="P1904" t="str">
        <f>VLOOKUP(A1904,Groups!A:L,5,FALSE)</f>
        <v>SAMP</v>
      </c>
      <c r="Q1904" s="62" t="str">
        <f>IF(G1904="PA",IF(M1904&lt;&gt;"",ISERROR(VLOOKUP(M1904,ABBR!C:F,1,FALSE)),ISERROR(VLOOKUP(E1904,ABBR!C:F,1,FALSE))),"")</f>
        <v/>
      </c>
    </row>
    <row r="1905" spans="1:17" s="62" customFormat="1" hidden="1" x14ac:dyDescent="0.25">
      <c r="A1905" s="16" t="s">
        <v>524</v>
      </c>
      <c r="B1905" s="17"/>
      <c r="C1905" s="16" t="s">
        <v>3649</v>
      </c>
      <c r="D1905" s="17"/>
      <c r="E1905" s="17" t="s">
        <v>608</v>
      </c>
      <c r="F1905" s="18" t="s">
        <v>921</v>
      </c>
      <c r="G1905" s="94" t="s">
        <v>922</v>
      </c>
      <c r="H1905" s="17">
        <f t="shared" si="10"/>
        <v>22</v>
      </c>
      <c r="I1905" s="30"/>
      <c r="J1905" s="62" t="s">
        <v>473</v>
      </c>
      <c r="K1905"/>
      <c r="L1905"/>
      <c r="M1905" s="101"/>
      <c r="N1905"/>
      <c r="O1905" s="62" t="str">
        <f>IF(E1905="PA",IF(K1905&lt;&gt;"",ISERROR(VLOOKUP(K1905,ABBR!A:D,1,FALSE)),ISERROR(VLOOKUP(C1905,ABBR!A:D,1,FALSE))),"")</f>
        <v/>
      </c>
      <c r="P1905" t="str">
        <f>VLOOKUP(A1905,Groups!A:L,5,FALSE)</f>
        <v>SAMP</v>
      </c>
      <c r="Q1905" s="62" t="str">
        <f>IF(G1905="PA",IF(M1905&lt;&gt;"",ISERROR(VLOOKUP(M1905,ABBR!C:F,1,FALSE)),ISERROR(VLOOKUP(E1905,ABBR!C:F,1,FALSE))),"")</f>
        <v/>
      </c>
    </row>
    <row r="1906" spans="1:17" hidden="1" x14ac:dyDescent="0.25">
      <c r="A1906" s="16" t="s">
        <v>524</v>
      </c>
      <c r="B1906" s="17"/>
      <c r="C1906" s="16" t="s">
        <v>3650</v>
      </c>
      <c r="D1906" s="17"/>
      <c r="E1906" s="17" t="s">
        <v>608</v>
      </c>
      <c r="F1906" s="18" t="s">
        <v>929</v>
      </c>
      <c r="G1906" s="49" t="s">
        <v>876</v>
      </c>
      <c r="H1906" s="17">
        <f t="shared" si="10"/>
        <v>23</v>
      </c>
      <c r="J1906" s="62" t="s">
        <v>473</v>
      </c>
      <c r="K1906" s="62"/>
      <c r="M1906" s="62"/>
      <c r="N1906" s="62"/>
      <c r="O1906" s="62" t="str">
        <f>IF(E1906="PA",IF(K1906&lt;&gt;"",ISERROR(VLOOKUP(K1906,ABBR!A:D,1,FALSE)),ISERROR(VLOOKUP(C1906,ABBR!A:D,1,FALSE))),"")</f>
        <v/>
      </c>
      <c r="P1906" t="str">
        <f>VLOOKUP(A1906,Groups!A:L,5,FALSE)</f>
        <v>SAMP</v>
      </c>
      <c r="Q1906" s="62" t="str">
        <f>IF(G1906="PA",IF(M1906&lt;&gt;"",ISERROR(VLOOKUP(M1906,ABBR!C:F,1,FALSE)),ISERROR(VLOOKUP(E1906,ABBR!C:F,1,FALSE))),"")</f>
        <v/>
      </c>
    </row>
    <row r="1907" spans="1:17" hidden="1" x14ac:dyDescent="0.25">
      <c r="A1907" s="16" t="s">
        <v>524</v>
      </c>
      <c r="B1907" s="17"/>
      <c r="C1907" s="16" t="s">
        <v>3651</v>
      </c>
      <c r="D1907" s="17" t="s">
        <v>924</v>
      </c>
      <c r="E1907" s="17" t="s">
        <v>925</v>
      </c>
      <c r="F1907" s="18" t="s">
        <v>926</v>
      </c>
      <c r="G1907" s="49" t="s">
        <v>927</v>
      </c>
      <c r="H1907" s="17">
        <f t="shared" si="10"/>
        <v>24</v>
      </c>
      <c r="J1907" s="7" t="s">
        <v>478</v>
      </c>
      <c r="K1907" s="62"/>
      <c r="M1907" s="62"/>
      <c r="N1907" s="62"/>
      <c r="O1907" s="62" t="str">
        <f>IF(E1907="PA",IF(K1907&lt;&gt;"",ISERROR(VLOOKUP(K1907,ABBR!A:D,1,FALSE)),ISERROR(VLOOKUP(C1907,ABBR!A:D,1,FALSE))),"")</f>
        <v/>
      </c>
      <c r="P1907" t="str">
        <f>VLOOKUP(A1907,Groups!A:L,5,FALSE)</f>
        <v>SAMP</v>
      </c>
      <c r="Q1907" s="62" t="str">
        <f>IF(G1907="PA",IF(M1907&lt;&gt;"",ISERROR(VLOOKUP(M1907,ABBR!C:F,1,FALSE)),ISERROR(VLOOKUP(E1907,ABBR!C:F,1,FALSE))),"")</f>
        <v/>
      </c>
    </row>
    <row r="1908" spans="1:17" hidden="1" x14ac:dyDescent="0.25">
      <c r="A1908" s="16" t="s">
        <v>524</v>
      </c>
      <c r="B1908" s="17"/>
      <c r="C1908" s="16" t="s">
        <v>936</v>
      </c>
      <c r="D1908" s="17"/>
      <c r="E1908" s="17" t="s">
        <v>608</v>
      </c>
      <c r="F1908" s="18" t="s">
        <v>937</v>
      </c>
      <c r="G1908" s="49" t="s">
        <v>938</v>
      </c>
      <c r="H1908" s="17">
        <f t="shared" si="10"/>
        <v>25</v>
      </c>
      <c r="J1908" s="7" t="s">
        <v>478</v>
      </c>
      <c r="K1908" s="62"/>
      <c r="M1908" s="62"/>
      <c r="N1908" s="62"/>
      <c r="O1908" s="62" t="str">
        <f>IF(E1908="PA",IF(K1908&lt;&gt;"",ISERROR(VLOOKUP(K1908,ABBR!A:D,1,FALSE)),ISERROR(VLOOKUP(C1908,ABBR!A:D,1,FALSE))),"")</f>
        <v/>
      </c>
      <c r="P1908" t="str">
        <f>VLOOKUP(A1908,Groups!A:L,5,FALSE)</f>
        <v>SAMP</v>
      </c>
      <c r="Q1908" s="62" t="str">
        <f>IF(G1908="PA",IF(M1908&lt;&gt;"",ISERROR(VLOOKUP(M1908,ABBR!C:F,1,FALSE)),ISERROR(VLOOKUP(E1908,ABBR!C:F,1,FALSE))),"")</f>
        <v/>
      </c>
    </row>
    <row r="1909" spans="1:17" hidden="1" x14ac:dyDescent="0.25">
      <c r="A1909" s="16" t="s">
        <v>524</v>
      </c>
      <c r="B1909" s="40"/>
      <c r="C1909" s="41" t="s">
        <v>3652</v>
      </c>
      <c r="D1909" s="40"/>
      <c r="E1909" s="40" t="s">
        <v>608</v>
      </c>
      <c r="F1909" s="42" t="s">
        <v>931</v>
      </c>
      <c r="G1909" s="49" t="s">
        <v>932</v>
      </c>
      <c r="H1909" s="17">
        <f t="shared" si="10"/>
        <v>26</v>
      </c>
      <c r="J1909" s="7" t="s">
        <v>478</v>
      </c>
      <c r="K1909" s="62"/>
      <c r="M1909" s="62"/>
      <c r="N1909" s="62"/>
      <c r="O1909" s="62" t="str">
        <f>IF(E1909="PA",IF(K1909&lt;&gt;"",ISERROR(VLOOKUP(K1909,ABBR!A:D,1,FALSE)),ISERROR(VLOOKUP(C1909,ABBR!A:D,1,FALSE))),"")</f>
        <v/>
      </c>
      <c r="P1909" t="str">
        <f>VLOOKUP(A1909,Groups!A:L,5,FALSE)</f>
        <v>SAMP</v>
      </c>
      <c r="Q1909" s="62" t="str">
        <f>IF(G1909="PA",IF(M1909&lt;&gt;"",ISERROR(VLOOKUP(M1909,ABBR!C:F,1,FALSE)),ISERROR(VLOOKUP(E1909,ABBR!C:F,1,FALSE))),"")</f>
        <v/>
      </c>
    </row>
    <row r="1910" spans="1:17" ht="25" hidden="1" x14ac:dyDescent="0.25">
      <c r="A1910" s="38" t="s">
        <v>524</v>
      </c>
      <c r="B1910" s="17"/>
      <c r="C1910" s="16" t="s">
        <v>3653</v>
      </c>
      <c r="D1910" s="17"/>
      <c r="E1910" s="17" t="s">
        <v>608</v>
      </c>
      <c r="F1910" s="18" t="s">
        <v>934</v>
      </c>
      <c r="G1910" s="49" t="s">
        <v>935</v>
      </c>
      <c r="H1910" s="17">
        <f t="shared" si="10"/>
        <v>27</v>
      </c>
      <c r="J1910" s="7" t="s">
        <v>478</v>
      </c>
      <c r="K1910" s="62"/>
      <c r="M1910" s="62"/>
      <c r="N1910" s="62"/>
      <c r="O1910" s="62" t="str">
        <f>IF(E1910="PA",IF(K1910&lt;&gt;"",ISERROR(VLOOKUP(K1910,ABBR!A:D,1,FALSE)),ISERROR(VLOOKUP(C1910,ABBR!A:D,1,FALSE))),"")</f>
        <v/>
      </c>
      <c r="P1910" t="str">
        <f>VLOOKUP(A1910,Groups!A:L,5,FALSE)</f>
        <v>SAMP</v>
      </c>
      <c r="Q1910" s="62" t="str">
        <f>IF(G1910="PA",IF(M1910&lt;&gt;"",ISERROR(VLOOKUP(M1910,ABBR!C:F,1,FALSE)),ISERROR(VLOOKUP(E1910,ABBR!C:F,1,FALSE))),"")</f>
        <v/>
      </c>
    </row>
    <row r="1911" spans="1:17" hidden="1" x14ac:dyDescent="0.25">
      <c r="A1911" s="38" t="s">
        <v>524</v>
      </c>
      <c r="B1911" s="17"/>
      <c r="C1911" s="16" t="s">
        <v>643</v>
      </c>
      <c r="D1911" s="17"/>
      <c r="E1911" s="17" t="s">
        <v>608</v>
      </c>
      <c r="F1911" s="18" t="s">
        <v>1714</v>
      </c>
      <c r="G1911" s="49" t="s">
        <v>1615</v>
      </c>
      <c r="H1911" s="17">
        <f t="shared" si="10"/>
        <v>28</v>
      </c>
      <c r="J1911" s="7" t="s">
        <v>478</v>
      </c>
      <c r="K1911" s="62"/>
      <c r="M1911" s="62"/>
      <c r="N1911" s="62"/>
      <c r="O1911" s="62" t="str">
        <f>IF(E1911="PA",IF(K1911&lt;&gt;"",ISERROR(VLOOKUP(K1911,ABBR!A:D,1,FALSE)),ISERROR(VLOOKUP(C1911,ABBR!A:D,1,FALSE))),"")</f>
        <v/>
      </c>
      <c r="P1911" t="str">
        <f>VLOOKUP(A1911,Groups!A:L,5,FALSE)</f>
        <v>SAMP</v>
      </c>
      <c r="Q1911" s="62" t="str">
        <f>IF(G1911="PA",IF(M1911&lt;&gt;"",ISERROR(VLOOKUP(M1911,ABBR!C:F,1,FALSE)),ISERROR(VLOOKUP(E1911,ABBR!C:F,1,FALSE))),"")</f>
        <v/>
      </c>
    </row>
    <row r="1912" spans="1:17" hidden="1" x14ac:dyDescent="0.25">
      <c r="A1912" s="38" t="s">
        <v>526</v>
      </c>
      <c r="B1912" s="17" t="s">
        <v>594</v>
      </c>
      <c r="C1912" s="16" t="s">
        <v>595</v>
      </c>
      <c r="D1912" s="17"/>
      <c r="E1912" s="17" t="s">
        <v>596</v>
      </c>
      <c r="F1912" s="18" t="s">
        <v>597</v>
      </c>
      <c r="G1912" s="49" t="s">
        <v>598</v>
      </c>
      <c r="H1912" s="17">
        <v>1</v>
      </c>
      <c r="J1912" s="7" t="s">
        <v>478</v>
      </c>
      <c r="K1912" s="62"/>
      <c r="M1912" s="62"/>
      <c r="N1912" s="62"/>
      <c r="O1912" s="62" t="str">
        <f>IF(E1912="PA",IF(K1912&lt;&gt;"",ISERROR(VLOOKUP(K1912,ABBR!A:D,1,FALSE)),ISERROR(VLOOKUP(C1912,ABBR!A:D,1,FALSE))),"")</f>
        <v/>
      </c>
      <c r="P1912" t="str">
        <f>VLOOKUP(A1912,Groups!A:L,5,FALSE)</f>
        <v>LCSI</v>
      </c>
      <c r="Q1912" s="62" t="str">
        <f>IF(G1912="PA",IF(M1912&lt;&gt;"",ISERROR(VLOOKUP(M1912,ABBR!C:F,1,FALSE)),ISERROR(VLOOKUP(E1912,ABBR!C:F,1,FALSE))),"")</f>
        <v/>
      </c>
    </row>
    <row r="1913" spans="1:17" hidden="1" x14ac:dyDescent="0.25">
      <c r="A1913" s="38" t="s">
        <v>526</v>
      </c>
      <c r="B1913" s="17" t="s">
        <v>594</v>
      </c>
      <c r="C1913" s="16" t="s">
        <v>851</v>
      </c>
      <c r="D1913" s="17" t="s">
        <v>600</v>
      </c>
      <c r="E1913" s="17" t="s">
        <v>601</v>
      </c>
      <c r="F1913" s="18" t="s">
        <v>852</v>
      </c>
      <c r="G1913" s="49" t="s">
        <v>853</v>
      </c>
      <c r="H1913" s="17">
        <v>2</v>
      </c>
      <c r="J1913" s="7" t="s">
        <v>478</v>
      </c>
      <c r="K1913" s="62"/>
      <c r="M1913" s="62"/>
      <c r="N1913" s="62"/>
      <c r="O1913" s="62" t="str">
        <f>IF(E1913="PA",IF(K1913&lt;&gt;"",ISERROR(VLOOKUP(K1913,ABBR!A:D,1,FALSE)),ISERROR(VLOOKUP(C1913,ABBR!A:D,1,FALSE))),"")</f>
        <v/>
      </c>
      <c r="P1913" t="str">
        <f>VLOOKUP(A1913,Groups!A:L,5,FALSE)</f>
        <v>LCSI</v>
      </c>
      <c r="Q1913" s="62" t="str">
        <f>IF(G1913="PA",IF(M1913&lt;&gt;"",ISERROR(VLOOKUP(M1913,ABBR!C:F,1,FALSE)),ISERROR(VLOOKUP(E1913,ABBR!C:F,1,FALSE))),"")</f>
        <v/>
      </c>
    </row>
    <row r="1914" spans="1:17" hidden="1" x14ac:dyDescent="0.25">
      <c r="A1914" s="38" t="s">
        <v>526</v>
      </c>
      <c r="B1914" s="17" t="s">
        <v>594</v>
      </c>
      <c r="C1914" s="16" t="s">
        <v>854</v>
      </c>
      <c r="D1914" s="17"/>
      <c r="E1914" s="17" t="s">
        <v>608</v>
      </c>
      <c r="F1914" s="18" t="s">
        <v>855</v>
      </c>
      <c r="G1914" s="49" t="s">
        <v>856</v>
      </c>
      <c r="H1914" s="17">
        <v>3</v>
      </c>
      <c r="J1914" s="7" t="s">
        <v>478</v>
      </c>
      <c r="K1914" s="62"/>
      <c r="M1914" s="62"/>
      <c r="N1914" s="62"/>
      <c r="O1914" s="62" t="str">
        <f>IF(E1914="PA",IF(K1914&lt;&gt;"",ISERROR(VLOOKUP(K1914,ABBR!A:D,1,FALSE)),ISERROR(VLOOKUP(C1914,ABBR!A:D,1,FALSE))),"")</f>
        <v/>
      </c>
      <c r="P1914" t="str">
        <f>VLOOKUP(A1914,Groups!A:L,5,FALSE)</f>
        <v>LCSI</v>
      </c>
      <c r="Q1914" s="62" t="str">
        <f>IF(G1914="PA",IF(M1914&lt;&gt;"",ISERROR(VLOOKUP(M1914,ABBR!C:F,1,FALSE)),ISERROR(VLOOKUP(E1914,ABBR!C:F,1,FALSE))),"")</f>
        <v/>
      </c>
    </row>
    <row r="1915" spans="1:17" hidden="1" x14ac:dyDescent="0.25">
      <c r="A1915" s="38" t="s">
        <v>526</v>
      </c>
      <c r="B1915" s="17" t="s">
        <v>594</v>
      </c>
      <c r="C1915" s="16" t="s">
        <v>857</v>
      </c>
      <c r="D1915" s="17"/>
      <c r="E1915" s="17" t="s">
        <v>618</v>
      </c>
      <c r="F1915" s="18" t="s">
        <v>858</v>
      </c>
      <c r="G1915" s="49" t="s">
        <v>859</v>
      </c>
      <c r="H1915" s="17">
        <v>4</v>
      </c>
      <c r="J1915" s="7" t="s">
        <v>478</v>
      </c>
      <c r="K1915" s="62"/>
      <c r="M1915" s="62"/>
      <c r="N1915" s="62"/>
      <c r="O1915" s="62" t="b">
        <f>IF(E1915="PA",IF(K1915&lt;&gt;"",ISERROR(VLOOKUP(K1915,ABBR!A:D,1,FALSE)),ISERROR(VLOOKUP(C1915,ABBR!A:D,1,FALSE))),"")</f>
        <v>0</v>
      </c>
      <c r="P1915" t="str">
        <f>VLOOKUP(A1915,Groups!A:L,5,FALSE)</f>
        <v>LCSI</v>
      </c>
      <c r="Q1915" s="62" t="str">
        <f>IF(G1915="PA",IF(M1915&lt;&gt;"",ISERROR(VLOOKUP(M1915,ABBR!C:F,1,FALSE)),ISERROR(VLOOKUP(E1915,ABBR!C:F,1,FALSE))),"")</f>
        <v/>
      </c>
    </row>
    <row r="1916" spans="1:17" hidden="1" x14ac:dyDescent="0.25">
      <c r="A1916" s="38" t="s">
        <v>526</v>
      </c>
      <c r="B1916" s="17" t="s">
        <v>594</v>
      </c>
      <c r="C1916" s="16" t="s">
        <v>860</v>
      </c>
      <c r="D1916" s="17"/>
      <c r="E1916" s="17" t="s">
        <v>596</v>
      </c>
      <c r="F1916" s="18" t="s">
        <v>861</v>
      </c>
      <c r="G1916" s="49" t="s">
        <v>862</v>
      </c>
      <c r="H1916" s="17">
        <v>5</v>
      </c>
      <c r="J1916" s="7" t="s">
        <v>478</v>
      </c>
      <c r="K1916" s="62"/>
      <c r="M1916" s="62"/>
      <c r="N1916" s="62"/>
      <c r="O1916" s="62" t="str">
        <f>IF(E1916="PA",IF(K1916&lt;&gt;"",ISERROR(VLOOKUP(K1916,ABBR!A:D,1,FALSE)),ISERROR(VLOOKUP(C1916,ABBR!A:D,1,FALSE))),"")</f>
        <v/>
      </c>
      <c r="P1916" t="str">
        <f>VLOOKUP(A1916,Groups!A:L,5,FALSE)</f>
        <v>LCSI</v>
      </c>
      <c r="Q1916" s="62" t="str">
        <f>IF(G1916="PA",IF(M1916&lt;&gt;"",ISERROR(VLOOKUP(M1916,ABBR!C:F,1,FALSE)),ISERROR(VLOOKUP(E1916,ABBR!C:F,1,FALSE))),"")</f>
        <v/>
      </c>
    </row>
    <row r="1917" spans="1:17" hidden="1" x14ac:dyDescent="0.25">
      <c r="A1917" s="38" t="s">
        <v>526</v>
      </c>
      <c r="B1917" s="17" t="s">
        <v>594</v>
      </c>
      <c r="C1917" s="41" t="s">
        <v>863</v>
      </c>
      <c r="D1917" s="40"/>
      <c r="E1917" s="40" t="s">
        <v>608</v>
      </c>
      <c r="F1917" s="42" t="s">
        <v>864</v>
      </c>
      <c r="G1917" s="52" t="s">
        <v>865</v>
      </c>
      <c r="H1917" s="17">
        <v>6</v>
      </c>
      <c r="J1917" s="7" t="s">
        <v>478</v>
      </c>
      <c r="K1917" s="62"/>
      <c r="M1917" s="62"/>
      <c r="N1917" s="62"/>
      <c r="O1917" s="62" t="str">
        <f>IF(E1917="PA",IF(K1917&lt;&gt;"",ISERROR(VLOOKUP(K1917,ABBR!A:D,1,FALSE)),ISERROR(VLOOKUP(C1917,ABBR!A:D,1,FALSE))),"")</f>
        <v/>
      </c>
      <c r="P1917" t="str">
        <f>VLOOKUP(A1917,Groups!A:L,5,FALSE)</f>
        <v>LCSI</v>
      </c>
      <c r="Q1917" s="62" t="str">
        <f>IF(G1917="PA",IF(M1917&lt;&gt;"",ISERROR(VLOOKUP(M1917,ABBR!C:F,1,FALSE)),ISERROR(VLOOKUP(E1917,ABBR!C:F,1,FALSE))),"")</f>
        <v/>
      </c>
    </row>
    <row r="1918" spans="1:17" hidden="1" x14ac:dyDescent="0.25">
      <c r="A1918" s="16" t="s">
        <v>526</v>
      </c>
      <c r="B1918" s="17" t="s">
        <v>594</v>
      </c>
      <c r="C1918" s="16" t="s">
        <v>866</v>
      </c>
      <c r="D1918" s="17" t="s">
        <v>600</v>
      </c>
      <c r="E1918" s="17" t="s">
        <v>601</v>
      </c>
      <c r="F1918" s="18" t="s">
        <v>867</v>
      </c>
      <c r="G1918" s="49" t="s">
        <v>853</v>
      </c>
      <c r="H1918" s="17">
        <v>7</v>
      </c>
      <c r="J1918" s="7" t="s">
        <v>478</v>
      </c>
      <c r="K1918" s="62"/>
      <c r="M1918" s="62"/>
      <c r="N1918" s="62"/>
      <c r="O1918" s="62" t="str">
        <f>IF(E1918="PA",IF(K1918&lt;&gt;"",ISERROR(VLOOKUP(K1918,ABBR!A:D,1,FALSE)),ISERROR(VLOOKUP(C1918,ABBR!A:D,1,FALSE))),"")</f>
        <v/>
      </c>
      <c r="P1918" t="str">
        <f>VLOOKUP(A1918,Groups!A:L,5,FALSE)</f>
        <v>LCSI</v>
      </c>
      <c r="Q1918" s="62" t="str">
        <f>IF(G1918="PA",IF(M1918&lt;&gt;"",ISERROR(VLOOKUP(M1918,ABBR!C:F,1,FALSE)),ISERROR(VLOOKUP(E1918,ABBR!C:F,1,FALSE))),"")</f>
        <v/>
      </c>
    </row>
    <row r="1919" spans="1:17" hidden="1" x14ac:dyDescent="0.25">
      <c r="A1919" s="38" t="s">
        <v>526</v>
      </c>
      <c r="B1919" s="40" t="s">
        <v>594</v>
      </c>
      <c r="C1919" s="41" t="s">
        <v>3654</v>
      </c>
      <c r="D1919" s="40" t="s">
        <v>1811</v>
      </c>
      <c r="E1919" s="40" t="s">
        <v>601</v>
      </c>
      <c r="F1919" s="42" t="s">
        <v>3655</v>
      </c>
      <c r="G1919" s="52" t="s">
        <v>3656</v>
      </c>
      <c r="H1919" s="39">
        <v>8</v>
      </c>
      <c r="J1919" s="7" t="s">
        <v>478</v>
      </c>
      <c r="K1919" s="62"/>
      <c r="M1919" s="62"/>
      <c r="N1919" s="62"/>
      <c r="O1919" s="62" t="str">
        <f>IF(E1919="PA",IF(K1919&lt;&gt;"",ISERROR(VLOOKUP(K1919,ABBR!A:D,1,FALSE)),ISERROR(VLOOKUP(C1919,ABBR!A:D,1,FALSE))),"")</f>
        <v/>
      </c>
      <c r="P1919" t="str">
        <f>VLOOKUP(A1919,Groups!A:L,5,FALSE)</f>
        <v>LCSI</v>
      </c>
      <c r="Q1919" s="62" t="str">
        <f>IF(G1919="PA",IF(M1919&lt;&gt;"",ISERROR(VLOOKUP(M1919,ABBR!C:F,1,FALSE)),ISERROR(VLOOKUP(E1919,ABBR!C:F,1,FALSE))),"")</f>
        <v/>
      </c>
    </row>
    <row r="1920" spans="1:17" hidden="1" x14ac:dyDescent="0.25">
      <c r="A1920" s="38" t="s">
        <v>526</v>
      </c>
      <c r="B1920" s="40"/>
      <c r="C1920" s="41" t="s">
        <v>3657</v>
      </c>
      <c r="D1920" s="40" t="s">
        <v>722</v>
      </c>
      <c r="E1920" s="40" t="s">
        <v>601</v>
      </c>
      <c r="F1920" s="42" t="s">
        <v>3658</v>
      </c>
      <c r="G1920" s="52" t="s">
        <v>3659</v>
      </c>
      <c r="H1920" s="39">
        <v>9</v>
      </c>
      <c r="J1920" s="7" t="s">
        <v>478</v>
      </c>
      <c r="K1920" s="62"/>
      <c r="M1920" s="62"/>
      <c r="N1920" s="62"/>
      <c r="O1920" s="62" t="str">
        <f>IF(E1920="PA",IF(K1920&lt;&gt;"",ISERROR(VLOOKUP(K1920,ABBR!A:D,1,FALSE)),ISERROR(VLOOKUP(C1920,ABBR!A:D,1,FALSE))),"")</f>
        <v/>
      </c>
      <c r="P1920" t="str">
        <f>VLOOKUP(A1920,Groups!A:L,5,FALSE)</f>
        <v>LCSI</v>
      </c>
      <c r="Q1920" s="62" t="str">
        <f>IF(G1920="PA",IF(M1920&lt;&gt;"",ISERROR(VLOOKUP(M1920,ABBR!C:F,1,FALSE)),ISERROR(VLOOKUP(E1920,ABBR!C:F,1,FALSE))),"")</f>
        <v/>
      </c>
    </row>
    <row r="1921" spans="1:17" hidden="1" x14ac:dyDescent="0.25">
      <c r="A1921" s="38" t="s">
        <v>262</v>
      </c>
      <c r="B1921" s="40" t="s">
        <v>594</v>
      </c>
      <c r="C1921" s="41" t="s">
        <v>595</v>
      </c>
      <c r="D1921" s="40"/>
      <c r="E1921" s="40" t="s">
        <v>596</v>
      </c>
      <c r="F1921" s="42" t="s">
        <v>597</v>
      </c>
      <c r="G1921" s="52" t="s">
        <v>598</v>
      </c>
      <c r="H1921" s="39">
        <v>1</v>
      </c>
      <c r="O1921" s="62" t="str">
        <f>IF(E1921="PA",IF(K1921&lt;&gt;"",ISERROR(VLOOKUP(K1921,ABBR!A:D,1,FALSE)),ISERROR(VLOOKUP(C1921,ABBR!A:D,1,FALSE))),"")</f>
        <v/>
      </c>
      <c r="P1921" t="str">
        <f>VLOOKUP(A1921,Groups!A:L,5,FALSE)</f>
        <v>SAMP</v>
      </c>
      <c r="Q1921" s="62" t="str">
        <f>IF(G1921="PA",IF(M1921&lt;&gt;"",ISERROR(VLOOKUP(M1921,ABBR!C:F,1,FALSE)),ISERROR(VLOOKUP(E1921,ABBR!C:F,1,FALSE))),"")</f>
        <v/>
      </c>
    </row>
    <row r="1922" spans="1:17" hidden="1" x14ac:dyDescent="0.25">
      <c r="A1922" s="38" t="s">
        <v>262</v>
      </c>
      <c r="B1922" s="40" t="s">
        <v>594</v>
      </c>
      <c r="C1922" s="41" t="s">
        <v>851</v>
      </c>
      <c r="D1922" s="40" t="s">
        <v>600</v>
      </c>
      <c r="E1922" s="40" t="s">
        <v>601</v>
      </c>
      <c r="F1922" s="42" t="s">
        <v>852</v>
      </c>
      <c r="G1922" s="52" t="s">
        <v>853</v>
      </c>
      <c r="H1922" s="39">
        <v>2</v>
      </c>
      <c r="O1922" s="62" t="str">
        <f>IF(E1922="PA",IF(K1922&lt;&gt;"",ISERROR(VLOOKUP(K1922,ABBR!A:D,1,FALSE)),ISERROR(VLOOKUP(C1922,ABBR!A:D,1,FALSE))),"")</f>
        <v/>
      </c>
      <c r="P1922" t="str">
        <f>VLOOKUP(A1922,Groups!A:L,5,FALSE)</f>
        <v>SAMP</v>
      </c>
      <c r="Q1922" s="62" t="str">
        <f>IF(G1922="PA",IF(M1922&lt;&gt;"",ISERROR(VLOOKUP(M1922,ABBR!C:F,1,FALSE)),ISERROR(VLOOKUP(E1922,ABBR!C:F,1,FALSE))),"")</f>
        <v/>
      </c>
    </row>
    <row r="1923" spans="1:17" hidden="1" x14ac:dyDescent="0.25">
      <c r="A1923" s="38" t="s">
        <v>262</v>
      </c>
      <c r="B1923" s="40" t="s">
        <v>594</v>
      </c>
      <c r="C1923" s="41" t="s">
        <v>854</v>
      </c>
      <c r="D1923" s="40"/>
      <c r="E1923" s="40" t="s">
        <v>608</v>
      </c>
      <c r="F1923" s="42" t="s">
        <v>855</v>
      </c>
      <c r="G1923" s="52" t="s">
        <v>941</v>
      </c>
      <c r="H1923" s="17">
        <v>3</v>
      </c>
      <c r="O1923" s="62" t="str">
        <f>IF(E1923="PA",IF(K1923&lt;&gt;"",ISERROR(VLOOKUP(K1923,ABBR!A:D,1,FALSE)),ISERROR(VLOOKUP(C1923,ABBR!A:D,1,FALSE))),"")</f>
        <v/>
      </c>
      <c r="P1923" t="str">
        <f>VLOOKUP(A1923,Groups!A:L,5,FALSE)</f>
        <v>SAMP</v>
      </c>
      <c r="Q1923" s="62" t="str">
        <f>IF(G1923="PA",IF(M1923&lt;&gt;"",ISERROR(VLOOKUP(M1923,ABBR!C:F,1,FALSE)),ISERROR(VLOOKUP(E1923,ABBR!C:F,1,FALSE))),"")</f>
        <v/>
      </c>
    </row>
    <row r="1924" spans="1:17" hidden="1" x14ac:dyDescent="0.25">
      <c r="A1924" s="38" t="s">
        <v>262</v>
      </c>
      <c r="B1924" s="40" t="s">
        <v>594</v>
      </c>
      <c r="C1924" s="41" t="s">
        <v>857</v>
      </c>
      <c r="D1924" s="40"/>
      <c r="E1924" s="40" t="s">
        <v>618</v>
      </c>
      <c r="F1924" s="42" t="s">
        <v>858</v>
      </c>
      <c r="G1924" s="52" t="s">
        <v>3547</v>
      </c>
      <c r="H1924" s="17">
        <v>4</v>
      </c>
      <c r="O1924" s="62" t="b">
        <f>IF(E1924="PA",IF(K1924&lt;&gt;"",ISERROR(VLOOKUP(K1924,ABBR!A:D,1,FALSE)),ISERROR(VLOOKUP(C1924,ABBR!A:D,1,FALSE))),"")</f>
        <v>0</v>
      </c>
      <c r="P1924" t="str">
        <f>VLOOKUP(A1924,Groups!A:L,5,FALSE)</f>
        <v>SAMP</v>
      </c>
      <c r="Q1924" s="62" t="str">
        <f>IF(G1924="PA",IF(M1924&lt;&gt;"",ISERROR(VLOOKUP(M1924,ABBR!C:F,1,FALSE)),ISERROR(VLOOKUP(E1924,ABBR!C:F,1,FALSE))),"")</f>
        <v/>
      </c>
    </row>
    <row r="1925" spans="1:17" hidden="1" x14ac:dyDescent="0.25">
      <c r="A1925" s="38" t="s">
        <v>262</v>
      </c>
      <c r="B1925" s="40" t="s">
        <v>594</v>
      </c>
      <c r="C1925" s="41" t="s">
        <v>860</v>
      </c>
      <c r="D1925" s="40"/>
      <c r="E1925" s="40" t="s">
        <v>596</v>
      </c>
      <c r="F1925" s="42" t="s">
        <v>942</v>
      </c>
      <c r="G1925" s="52" t="s">
        <v>862</v>
      </c>
      <c r="H1925" s="17">
        <v>5</v>
      </c>
      <c r="O1925" s="62" t="str">
        <f>IF(E1925="PA",IF(K1925&lt;&gt;"",ISERROR(VLOOKUP(K1925,ABBR!A:D,1,FALSE)),ISERROR(VLOOKUP(C1925,ABBR!A:D,1,FALSE))),"")</f>
        <v/>
      </c>
      <c r="P1925" t="str">
        <f>VLOOKUP(A1925,Groups!A:L,5,FALSE)</f>
        <v>SAMP</v>
      </c>
      <c r="Q1925" s="62" t="str">
        <f>IF(G1925="PA",IF(M1925&lt;&gt;"",ISERROR(VLOOKUP(M1925,ABBR!C:F,1,FALSE)),ISERROR(VLOOKUP(E1925,ABBR!C:F,1,FALSE))),"")</f>
        <v/>
      </c>
    </row>
    <row r="1926" spans="1:17" hidden="1" x14ac:dyDescent="0.25">
      <c r="A1926" s="38" t="s">
        <v>262</v>
      </c>
      <c r="B1926" s="40" t="s">
        <v>594</v>
      </c>
      <c r="C1926" s="41" t="s">
        <v>863</v>
      </c>
      <c r="D1926" s="40"/>
      <c r="E1926" s="40" t="s">
        <v>608</v>
      </c>
      <c r="F1926" s="42" t="s">
        <v>864</v>
      </c>
      <c r="G1926" s="52" t="s">
        <v>865</v>
      </c>
      <c r="H1926" s="17">
        <v>6</v>
      </c>
      <c r="O1926" s="62" t="str">
        <f>IF(E1926="PA",IF(K1926&lt;&gt;"",ISERROR(VLOOKUP(K1926,ABBR!A:D,1,FALSE)),ISERROR(VLOOKUP(C1926,ABBR!A:D,1,FALSE))),"")</f>
        <v/>
      </c>
      <c r="P1926" t="str">
        <f>VLOOKUP(A1926,Groups!A:L,5,FALSE)</f>
        <v>SAMP</v>
      </c>
      <c r="Q1926" s="62" t="str">
        <f>IF(G1926="PA",IF(M1926&lt;&gt;"",ISERROR(VLOOKUP(M1926,ABBR!C:F,1,FALSE)),ISERROR(VLOOKUP(E1926,ABBR!C:F,1,FALSE))),"")</f>
        <v/>
      </c>
    </row>
    <row r="1927" spans="1:17" hidden="1" x14ac:dyDescent="0.25">
      <c r="A1927" s="38" t="s">
        <v>262</v>
      </c>
      <c r="B1927" s="40" t="s">
        <v>594</v>
      </c>
      <c r="C1927" s="41" t="s">
        <v>866</v>
      </c>
      <c r="D1927" s="40" t="s">
        <v>600</v>
      </c>
      <c r="E1927" s="40" t="s">
        <v>601</v>
      </c>
      <c r="F1927" s="42" t="s">
        <v>867</v>
      </c>
      <c r="G1927" s="52" t="s">
        <v>853</v>
      </c>
      <c r="H1927" s="17">
        <v>7</v>
      </c>
      <c r="O1927" s="62" t="str">
        <f>IF(E1927="PA",IF(K1927&lt;&gt;"",ISERROR(VLOOKUP(K1927,ABBR!A:D,1,FALSE)),ISERROR(VLOOKUP(C1927,ABBR!A:D,1,FALSE))),"")</f>
        <v/>
      </c>
      <c r="P1927" t="str">
        <f>VLOOKUP(A1927,Groups!A:L,5,FALSE)</f>
        <v>SAMP</v>
      </c>
      <c r="Q1927" s="62" t="str">
        <f>IF(G1927="PA",IF(M1927&lt;&gt;"",ISERROR(VLOOKUP(M1927,ABBR!C:F,1,FALSE)),ISERROR(VLOOKUP(E1927,ABBR!C:F,1,FALSE))),"")</f>
        <v/>
      </c>
    </row>
    <row r="1928" spans="1:17" hidden="1" x14ac:dyDescent="0.25">
      <c r="A1928" s="38" t="s">
        <v>262</v>
      </c>
      <c r="B1928" s="40"/>
      <c r="C1928" s="41" t="s">
        <v>868</v>
      </c>
      <c r="D1928" s="40"/>
      <c r="E1928" s="40" t="s">
        <v>608</v>
      </c>
      <c r="F1928" s="42" t="s">
        <v>869</v>
      </c>
      <c r="G1928" s="79" t="s">
        <v>1269</v>
      </c>
      <c r="H1928" s="17">
        <v>8</v>
      </c>
      <c r="O1928" s="62" t="str">
        <f>IF(E1928="PA",IF(K1928&lt;&gt;"",ISERROR(VLOOKUP(K1928,ABBR!A:D,1,FALSE)),ISERROR(VLOOKUP(C1928,ABBR!A:D,1,FALSE))),"")</f>
        <v/>
      </c>
      <c r="P1928" t="str">
        <f>VLOOKUP(A1928,Groups!A:L,5,FALSE)</f>
        <v>SAMP</v>
      </c>
      <c r="Q1928" s="62" t="str">
        <f>IF(G1928="PA",IF(M1928&lt;&gt;"",ISERROR(VLOOKUP(M1928,ABBR!C:F,1,FALSE)),ISERROR(VLOOKUP(E1928,ABBR!C:F,1,FALSE))),"")</f>
        <v/>
      </c>
    </row>
    <row r="1929" spans="1:17" ht="25" hidden="1" x14ac:dyDescent="0.25">
      <c r="A1929" s="38" t="s">
        <v>262</v>
      </c>
      <c r="B1929" s="40"/>
      <c r="C1929" s="41" t="s">
        <v>871</v>
      </c>
      <c r="D1929" s="40"/>
      <c r="E1929" s="40" t="s">
        <v>608</v>
      </c>
      <c r="F1929" s="42" t="s">
        <v>872</v>
      </c>
      <c r="G1929" s="52" t="s">
        <v>873</v>
      </c>
      <c r="H1929" s="17">
        <v>9</v>
      </c>
      <c r="O1929" s="62" t="str">
        <f>IF(E1929="PA",IF(K1929&lt;&gt;"",ISERROR(VLOOKUP(K1929,ABBR!A:D,1,FALSE)),ISERROR(VLOOKUP(C1929,ABBR!A:D,1,FALSE))),"")</f>
        <v/>
      </c>
      <c r="P1929" t="str">
        <f>VLOOKUP(A1929,Groups!A:L,5,FALSE)</f>
        <v>SAMP</v>
      </c>
      <c r="Q1929" s="62" t="str">
        <f>IF(G1929="PA",IF(M1929&lt;&gt;"",ISERROR(VLOOKUP(M1929,ABBR!C:F,1,FALSE)),ISERROR(VLOOKUP(E1929,ABBR!C:F,1,FALSE))),"")</f>
        <v/>
      </c>
    </row>
    <row r="1930" spans="1:17" hidden="1" x14ac:dyDescent="0.25">
      <c r="A1930" s="38" t="s">
        <v>262</v>
      </c>
      <c r="B1930" s="40"/>
      <c r="C1930" s="41" t="s">
        <v>3660</v>
      </c>
      <c r="D1930" s="40"/>
      <c r="E1930" s="40" t="s">
        <v>618</v>
      </c>
      <c r="F1930" s="42" t="s">
        <v>3661</v>
      </c>
      <c r="G1930" s="176" t="s">
        <v>3662</v>
      </c>
      <c r="H1930" s="17">
        <v>10</v>
      </c>
      <c r="O1930" s="62" t="b">
        <f>IF(E1930="PA",IF(K1930&lt;&gt;"",ISERROR(VLOOKUP(K1930,ABBR!A:D,1,FALSE)),ISERROR(VLOOKUP(C1930,ABBR!A:D,1,FALSE))),"")</f>
        <v>0</v>
      </c>
      <c r="P1930" t="str">
        <f>VLOOKUP(A1930,Groups!A:L,5,FALSE)</f>
        <v>SAMP</v>
      </c>
      <c r="Q1930" s="62" t="str">
        <f>IF(G1930="PA",IF(M1930&lt;&gt;"",ISERROR(VLOOKUP(M1930,ABBR!C:F,1,FALSE)),ISERROR(VLOOKUP(E1930,ABBR!C:F,1,FALSE))),"")</f>
        <v/>
      </c>
    </row>
    <row r="1931" spans="1:17" hidden="1" x14ac:dyDescent="0.25">
      <c r="A1931" s="38" t="s">
        <v>262</v>
      </c>
      <c r="B1931" s="40"/>
      <c r="C1931" s="41" t="s">
        <v>3663</v>
      </c>
      <c r="D1931" s="40"/>
      <c r="E1931" s="40" t="s">
        <v>618</v>
      </c>
      <c r="F1931" s="42" t="s">
        <v>1272</v>
      </c>
      <c r="G1931" s="52" t="s">
        <v>1273</v>
      </c>
      <c r="H1931" s="17">
        <v>11</v>
      </c>
      <c r="O1931" s="62" t="b">
        <f>IF(E1931="PA",IF(K1931&lt;&gt;"",ISERROR(VLOOKUP(K1931,ABBR!A:D,1,FALSE)),ISERROR(VLOOKUP(C1931,ABBR!A:D,1,FALSE))),"")</f>
        <v>0</v>
      </c>
      <c r="P1931" t="str">
        <f>VLOOKUP(A1931,Groups!A:L,5,FALSE)</f>
        <v>SAMP</v>
      </c>
      <c r="Q1931" s="62" t="str">
        <f>IF(G1931="PA",IF(M1931&lt;&gt;"",ISERROR(VLOOKUP(M1931,ABBR!C:F,1,FALSE)),ISERROR(VLOOKUP(E1931,ABBR!C:F,1,FALSE))),"")</f>
        <v/>
      </c>
    </row>
    <row r="1932" spans="1:17" hidden="1" x14ac:dyDescent="0.25">
      <c r="A1932" s="38" t="s">
        <v>262</v>
      </c>
      <c r="B1932" s="40"/>
      <c r="C1932" s="41" t="s">
        <v>3664</v>
      </c>
      <c r="D1932" s="40"/>
      <c r="E1932" s="40" t="s">
        <v>618</v>
      </c>
      <c r="F1932" s="42" t="s">
        <v>3665</v>
      </c>
      <c r="G1932" s="52" t="s">
        <v>3666</v>
      </c>
      <c r="H1932" s="17">
        <v>12</v>
      </c>
      <c r="O1932" s="62" t="b">
        <f>IF(E1932="PA",IF(K1932&lt;&gt;"",ISERROR(VLOOKUP(K1932,ABBR!A:D,1,FALSE)),ISERROR(VLOOKUP(C1932,ABBR!A:D,1,FALSE))),"")</f>
        <v>0</v>
      </c>
      <c r="P1932" t="str">
        <f>VLOOKUP(A1932,Groups!A:L,5,FALSE)</f>
        <v>SAMP</v>
      </c>
      <c r="Q1932" s="62" t="str">
        <f>IF(G1932="PA",IF(M1932&lt;&gt;"",ISERROR(VLOOKUP(M1932,ABBR!C:F,1,FALSE)),ISERROR(VLOOKUP(E1932,ABBR!C:F,1,FALSE))),"")</f>
        <v/>
      </c>
    </row>
    <row r="1933" spans="1:17" hidden="1" x14ac:dyDescent="0.25">
      <c r="A1933" s="38" t="s">
        <v>262</v>
      </c>
      <c r="B1933" s="40"/>
      <c r="C1933" s="41" t="s">
        <v>3667</v>
      </c>
      <c r="D1933" s="40" t="s">
        <v>766</v>
      </c>
      <c r="E1933" s="40" t="s">
        <v>608</v>
      </c>
      <c r="F1933" s="42" t="s">
        <v>1499</v>
      </c>
      <c r="G1933" s="52" t="s">
        <v>2022</v>
      </c>
      <c r="H1933" s="17">
        <v>13</v>
      </c>
      <c r="O1933" s="62" t="str">
        <f>IF(E1933="PA",IF(K1933&lt;&gt;"",ISERROR(VLOOKUP(K1933,ABBR!A:D,1,FALSE)),ISERROR(VLOOKUP(C1933,ABBR!A:D,1,FALSE))),"")</f>
        <v/>
      </c>
      <c r="P1933" t="str">
        <f>VLOOKUP(A1933,Groups!A:L,5,FALSE)</f>
        <v>SAMP</v>
      </c>
      <c r="Q1933" s="62" t="str">
        <f>IF(G1933="PA",IF(M1933&lt;&gt;"",ISERROR(VLOOKUP(M1933,ABBR!C:F,1,FALSE)),ISERROR(VLOOKUP(E1933,ABBR!C:F,1,FALSE))),"")</f>
        <v/>
      </c>
    </row>
    <row r="1934" spans="1:17" hidden="1" x14ac:dyDescent="0.25">
      <c r="A1934" s="38" t="s">
        <v>262</v>
      </c>
      <c r="B1934" s="40"/>
      <c r="C1934" s="41" t="s">
        <v>3668</v>
      </c>
      <c r="D1934" s="40" t="s">
        <v>1077</v>
      </c>
      <c r="E1934" s="40" t="s">
        <v>601</v>
      </c>
      <c r="F1934" s="42" t="s">
        <v>3669</v>
      </c>
      <c r="G1934" s="52" t="s">
        <v>3670</v>
      </c>
      <c r="H1934" s="17">
        <v>14</v>
      </c>
      <c r="O1934" s="62" t="str">
        <f>IF(E1934="PA",IF(K1934&lt;&gt;"",ISERROR(VLOOKUP(K1934,ABBR!A:D,1,FALSE)),ISERROR(VLOOKUP(C1934,ABBR!A:D,1,FALSE))),"")</f>
        <v/>
      </c>
      <c r="P1934" t="str">
        <f>VLOOKUP(A1934,Groups!A:L,5,FALSE)</f>
        <v>SAMP</v>
      </c>
      <c r="Q1934" s="62" t="str">
        <f>IF(G1934="PA",IF(M1934&lt;&gt;"",ISERROR(VLOOKUP(M1934,ABBR!C:F,1,FALSE)),ISERROR(VLOOKUP(E1934,ABBR!C:F,1,FALSE))),"")</f>
        <v/>
      </c>
    </row>
    <row r="1935" spans="1:17" hidden="1" x14ac:dyDescent="0.25">
      <c r="A1935" s="38" t="s">
        <v>262</v>
      </c>
      <c r="B1935" s="40"/>
      <c r="C1935" s="41" t="s">
        <v>3671</v>
      </c>
      <c r="D1935" s="40" t="s">
        <v>1077</v>
      </c>
      <c r="E1935" s="40" t="s">
        <v>601</v>
      </c>
      <c r="F1935" s="42" t="s">
        <v>3158</v>
      </c>
      <c r="G1935" s="52" t="s">
        <v>3672</v>
      </c>
      <c r="H1935" s="17">
        <v>15</v>
      </c>
      <c r="O1935" s="62" t="str">
        <f>IF(E1935="PA",IF(K1935&lt;&gt;"",ISERROR(VLOOKUP(K1935,ABBR!A:D,1,FALSE)),ISERROR(VLOOKUP(C1935,ABBR!A:D,1,FALSE))),"")</f>
        <v/>
      </c>
      <c r="P1935" t="str">
        <f>VLOOKUP(A1935,Groups!A:L,5,FALSE)</f>
        <v>SAMP</v>
      </c>
      <c r="Q1935" s="62" t="str">
        <f>IF(G1935="PA",IF(M1935&lt;&gt;"",ISERROR(VLOOKUP(M1935,ABBR!C:F,1,FALSE)),ISERROR(VLOOKUP(E1935,ABBR!C:F,1,FALSE))),"")</f>
        <v/>
      </c>
    </row>
    <row r="1936" spans="1:17" hidden="1" x14ac:dyDescent="0.25">
      <c r="A1936" s="38" t="s">
        <v>262</v>
      </c>
      <c r="B1936" s="40"/>
      <c r="C1936" s="41" t="s">
        <v>3673</v>
      </c>
      <c r="D1936" s="40"/>
      <c r="E1936" s="40" t="s">
        <v>608</v>
      </c>
      <c r="F1936" s="42" t="s">
        <v>642</v>
      </c>
      <c r="G1936" s="52" t="s">
        <v>16</v>
      </c>
      <c r="H1936" s="17">
        <v>16</v>
      </c>
      <c r="M1936" s="101"/>
      <c r="O1936" s="62" t="str">
        <f>IF(E1936="PA",IF(K1936&lt;&gt;"",ISERROR(VLOOKUP(K1936,ABBR!A:D,1,FALSE)),ISERROR(VLOOKUP(C1936,ABBR!A:D,1,FALSE))),"")</f>
        <v/>
      </c>
      <c r="P1936" t="str">
        <f>VLOOKUP(A1936,Groups!A:L,5,FALSE)</f>
        <v>SAMP</v>
      </c>
      <c r="Q1936" s="62" t="str">
        <f>IF(G1936="PA",IF(M1936&lt;&gt;"",ISERROR(VLOOKUP(M1936,ABBR!C:F,1,FALSE)),ISERROR(VLOOKUP(E1936,ABBR!C:F,1,FALSE))),"")</f>
        <v/>
      </c>
    </row>
    <row r="1937" spans="1:17" ht="25" hidden="1" x14ac:dyDescent="0.25">
      <c r="A1937" s="38" t="s">
        <v>262</v>
      </c>
      <c r="B1937" s="40"/>
      <c r="C1937" s="41" t="s">
        <v>3674</v>
      </c>
      <c r="D1937" s="40"/>
      <c r="E1937" s="40" t="s">
        <v>608</v>
      </c>
      <c r="F1937" s="42" t="s">
        <v>918</v>
      </c>
      <c r="G1937" s="52" t="s">
        <v>3675</v>
      </c>
      <c r="H1937" s="17">
        <v>17</v>
      </c>
      <c r="O1937" s="62" t="str">
        <f>IF(E1937="PA",IF(K1937&lt;&gt;"",ISERROR(VLOOKUP(K1937,ABBR!A:D,1,FALSE)),ISERROR(VLOOKUP(C1937,ABBR!A:D,1,FALSE))),"")</f>
        <v/>
      </c>
      <c r="P1937" t="str">
        <f>VLOOKUP(A1937,Groups!A:L,5,FALSE)</f>
        <v>SAMP</v>
      </c>
      <c r="Q1937" s="62" t="str">
        <f>IF(G1937="PA",IF(M1937&lt;&gt;"",ISERROR(VLOOKUP(M1937,ABBR!C:F,1,FALSE)),ISERROR(VLOOKUP(E1937,ABBR!C:F,1,FALSE))),"")</f>
        <v/>
      </c>
    </row>
    <row r="1938" spans="1:17" hidden="1" x14ac:dyDescent="0.25">
      <c r="A1938" s="38" t="s">
        <v>262</v>
      </c>
      <c r="B1938" s="40"/>
      <c r="C1938" s="41" t="s">
        <v>3676</v>
      </c>
      <c r="D1938" s="40"/>
      <c r="E1938" s="40" t="s">
        <v>608</v>
      </c>
      <c r="F1938" s="42" t="s">
        <v>950</v>
      </c>
      <c r="G1938" s="177" t="s">
        <v>951</v>
      </c>
      <c r="H1938" s="17">
        <v>18</v>
      </c>
      <c r="O1938" s="62" t="str">
        <f>IF(E1938="PA",IF(K1938&lt;&gt;"",ISERROR(VLOOKUP(K1938,ABBR!A:D,1,FALSE)),ISERROR(VLOOKUP(C1938,ABBR!A:D,1,FALSE))),"")</f>
        <v/>
      </c>
      <c r="P1938" t="str">
        <f>VLOOKUP(A1938,Groups!A:L,5,FALSE)</f>
        <v>SAMP</v>
      </c>
      <c r="Q1938" s="62" t="str">
        <f>IF(G1938="PA",IF(M1938&lt;&gt;"",ISERROR(VLOOKUP(M1938,ABBR!C:F,1,FALSE)),ISERROR(VLOOKUP(E1938,ABBR!C:F,1,FALSE))),"")</f>
        <v/>
      </c>
    </row>
    <row r="1939" spans="1:17" ht="25" hidden="1" x14ac:dyDescent="0.25">
      <c r="A1939" s="38" t="s">
        <v>262</v>
      </c>
      <c r="B1939" s="40"/>
      <c r="C1939" s="41" t="s">
        <v>3677</v>
      </c>
      <c r="D1939" s="40"/>
      <c r="E1939" s="40" t="s">
        <v>608</v>
      </c>
      <c r="F1939" s="42" t="s">
        <v>934</v>
      </c>
      <c r="G1939" s="52" t="s">
        <v>953</v>
      </c>
      <c r="H1939" s="17">
        <v>19</v>
      </c>
      <c r="O1939" s="62" t="str">
        <f>IF(E1939="PA",IF(K1939&lt;&gt;"",ISERROR(VLOOKUP(K1939,ABBR!A:D,1,FALSE)),ISERROR(VLOOKUP(C1939,ABBR!A:D,1,FALSE))),"")</f>
        <v/>
      </c>
      <c r="P1939" t="str">
        <f>VLOOKUP(A1939,Groups!A:L,5,FALSE)</f>
        <v>SAMP</v>
      </c>
      <c r="Q1939" s="62" t="str">
        <f>IF(G1939="PA",IF(M1939&lt;&gt;"",ISERROR(VLOOKUP(M1939,ABBR!C:F,1,FALSE)),ISERROR(VLOOKUP(E1939,ABBR!C:F,1,FALSE))),"")</f>
        <v/>
      </c>
    </row>
    <row r="1940" spans="1:17" hidden="1" x14ac:dyDescent="0.25">
      <c r="A1940" s="38" t="s">
        <v>262</v>
      </c>
      <c r="B1940" s="17"/>
      <c r="C1940" s="16" t="s">
        <v>936</v>
      </c>
      <c r="D1940" s="17"/>
      <c r="E1940" s="22" t="s">
        <v>608</v>
      </c>
      <c r="F1940" s="18" t="s">
        <v>937</v>
      </c>
      <c r="G1940" s="49" t="s">
        <v>938</v>
      </c>
      <c r="H1940" s="17">
        <v>20</v>
      </c>
      <c r="O1940" s="62" t="str">
        <f>IF(E1940="PA",IF(K1940&lt;&gt;"",ISERROR(VLOOKUP(K1940,ABBR!A:D,1,FALSE)),ISERROR(VLOOKUP(C1940,ABBR!A:D,1,FALSE))),"")</f>
        <v/>
      </c>
      <c r="P1940" t="str">
        <f>VLOOKUP(A1940,Groups!A:L,5,FALSE)</f>
        <v>SAMP</v>
      </c>
      <c r="Q1940" s="62" t="str">
        <f>IF(G1940="PA",IF(M1940&lt;&gt;"",ISERROR(VLOOKUP(M1940,ABBR!C:F,1,FALSE)),ISERROR(VLOOKUP(E1940,ABBR!C:F,1,FALSE))),"")</f>
        <v/>
      </c>
    </row>
    <row r="1941" spans="1:17" hidden="1" x14ac:dyDescent="0.25">
      <c r="A1941" s="38" t="s">
        <v>262</v>
      </c>
      <c r="B1941" s="17"/>
      <c r="C1941" s="16" t="s">
        <v>643</v>
      </c>
      <c r="D1941" s="17"/>
      <c r="E1941" s="17" t="s">
        <v>608</v>
      </c>
      <c r="F1941" s="18" t="s">
        <v>954</v>
      </c>
      <c r="G1941" s="49" t="s">
        <v>940</v>
      </c>
      <c r="H1941" s="17">
        <v>21</v>
      </c>
      <c r="O1941" s="62" t="str">
        <f>IF(E1941="PA",IF(K1941&lt;&gt;"",ISERROR(VLOOKUP(K1941,ABBR!A:D,1,FALSE)),ISERROR(VLOOKUP(C1941,ABBR!A:D,1,FALSE))),"")</f>
        <v/>
      </c>
      <c r="P1941" t="str">
        <f>VLOOKUP(A1941,Groups!A:L,5,FALSE)</f>
        <v>SAMP</v>
      </c>
      <c r="Q1941" s="62" t="str">
        <f>IF(G1941="PA",IF(M1941&lt;&gt;"",ISERROR(VLOOKUP(M1941,ABBR!C:F,1,FALSE)),ISERROR(VLOOKUP(E1941,ABBR!C:F,1,FALSE))),"")</f>
        <v/>
      </c>
    </row>
    <row r="1942" spans="1:17" hidden="1" x14ac:dyDescent="0.25">
      <c r="A1942" s="38" t="s">
        <v>262</v>
      </c>
      <c r="B1942" s="17"/>
      <c r="C1942" s="16" t="s">
        <v>877</v>
      </c>
      <c r="D1942" s="17" t="s">
        <v>600</v>
      </c>
      <c r="E1942" s="17" t="s">
        <v>601</v>
      </c>
      <c r="F1942" s="18" t="s">
        <v>878</v>
      </c>
      <c r="G1942" s="49" t="s">
        <v>879</v>
      </c>
      <c r="H1942" s="17">
        <v>22</v>
      </c>
      <c r="I1942" s="30" t="s">
        <v>955</v>
      </c>
      <c r="J1942" s="80">
        <v>4.0999999999999996</v>
      </c>
      <c r="O1942" s="62" t="str">
        <f>IF(E1942="PA",IF(K1942&lt;&gt;"",ISERROR(VLOOKUP(K1942,ABBR!A:D,1,FALSE)),ISERROR(VLOOKUP(C1942,ABBR!A:D,1,FALSE))),"")</f>
        <v/>
      </c>
      <c r="P1942" t="str">
        <f>VLOOKUP(A1942,Groups!A:L,5,FALSE)</f>
        <v>SAMP</v>
      </c>
      <c r="Q1942" s="62" t="str">
        <f>IF(G1942="PA",IF(M1942&lt;&gt;"",ISERROR(VLOOKUP(M1942,ABBR!C:F,1,FALSE)),ISERROR(VLOOKUP(E1942,ABBR!C:F,1,FALSE))),"")</f>
        <v/>
      </c>
    </row>
    <row r="1943" spans="1:17" ht="25" hidden="1" x14ac:dyDescent="0.25">
      <c r="A1943" s="38" t="s">
        <v>262</v>
      </c>
      <c r="B1943" s="40"/>
      <c r="C1943" s="41" t="s">
        <v>3678</v>
      </c>
      <c r="D1943" s="40"/>
      <c r="E1943" s="40" t="s">
        <v>608</v>
      </c>
      <c r="F1943" s="42" t="s">
        <v>3679</v>
      </c>
      <c r="G1943" s="52" t="s">
        <v>3680</v>
      </c>
      <c r="H1943" s="17">
        <v>23</v>
      </c>
      <c r="I1943" s="30" t="s">
        <v>955</v>
      </c>
      <c r="J1943" s="80">
        <v>4.0999999999999996</v>
      </c>
      <c r="O1943" s="62" t="str">
        <f>IF(E1943="PA",IF(K1943&lt;&gt;"",ISERROR(VLOOKUP(K1943,ABBR!A:D,1,FALSE)),ISERROR(VLOOKUP(C1943,ABBR!A:D,1,FALSE))),"")</f>
        <v/>
      </c>
      <c r="P1943" t="str">
        <f>VLOOKUP(A1943,Groups!A:L,5,FALSE)</f>
        <v>SAMP</v>
      </c>
      <c r="Q1943" s="62" t="str">
        <f>IF(G1943="PA",IF(M1943&lt;&gt;"",ISERROR(VLOOKUP(M1943,ABBR!C:F,1,FALSE)),ISERROR(VLOOKUP(E1943,ABBR!C:F,1,FALSE))),"")</f>
        <v/>
      </c>
    </row>
    <row r="1944" spans="1:17" hidden="1" x14ac:dyDescent="0.25">
      <c r="A1944" s="38" t="s">
        <v>262</v>
      </c>
      <c r="B1944" s="40"/>
      <c r="C1944" s="41" t="s">
        <v>3681</v>
      </c>
      <c r="D1944" s="40" t="s">
        <v>924</v>
      </c>
      <c r="E1944" s="40" t="s">
        <v>925</v>
      </c>
      <c r="F1944" s="42" t="s">
        <v>926</v>
      </c>
      <c r="G1944" s="52" t="s">
        <v>927</v>
      </c>
      <c r="H1944" s="17">
        <v>24</v>
      </c>
      <c r="J1944" s="62" t="s">
        <v>473</v>
      </c>
      <c r="K1944" s="62"/>
      <c r="M1944" s="62"/>
      <c r="N1944" s="62"/>
      <c r="O1944" s="62" t="str">
        <f>IF(E1944="PA",IF(K1944&lt;&gt;"",ISERROR(VLOOKUP(K1944,ABBR!A:D,1,FALSE)),ISERROR(VLOOKUP(C1944,ABBR!A:D,1,FALSE))),"")</f>
        <v/>
      </c>
      <c r="P1944" t="str">
        <f>VLOOKUP(A1944,Groups!A:L,5,FALSE)</f>
        <v>SAMP</v>
      </c>
      <c r="Q1944" s="62" t="str">
        <f>IF(G1944="PA",IF(M1944&lt;&gt;"",ISERROR(VLOOKUP(M1944,ABBR!C:F,1,FALSE)),ISERROR(VLOOKUP(E1944,ABBR!C:F,1,FALSE))),"")</f>
        <v/>
      </c>
    </row>
    <row r="1945" spans="1:17" hidden="1" x14ac:dyDescent="0.25">
      <c r="A1945" s="38" t="s">
        <v>262</v>
      </c>
      <c r="B1945" s="17"/>
      <c r="C1945" s="16" t="s">
        <v>3682</v>
      </c>
      <c r="D1945" s="17"/>
      <c r="E1945" s="17" t="s">
        <v>608</v>
      </c>
      <c r="F1945" s="18" t="s">
        <v>875</v>
      </c>
      <c r="G1945" s="49" t="s">
        <v>876</v>
      </c>
      <c r="H1945" s="17">
        <v>25</v>
      </c>
      <c r="J1945" s="62" t="s">
        <v>473</v>
      </c>
      <c r="K1945" s="62"/>
      <c r="M1945" s="62"/>
      <c r="N1945" s="62"/>
      <c r="O1945" s="62" t="str">
        <f>IF(E1945="PA",IF(K1945&lt;&gt;"",ISERROR(VLOOKUP(K1945,ABBR!A:D,1,FALSE)),ISERROR(VLOOKUP(C1945,ABBR!A:D,1,FALSE))),"")</f>
        <v/>
      </c>
      <c r="P1945" t="str">
        <f>VLOOKUP(A1945,Groups!A:L,5,FALSE)</f>
        <v>SAMP</v>
      </c>
      <c r="Q1945" s="62" t="str">
        <f>IF(G1945="PA",IF(M1945&lt;&gt;"",ISERROR(VLOOKUP(M1945,ABBR!C:F,1,FALSE)),ISERROR(VLOOKUP(E1945,ABBR!C:F,1,FALSE))),"")</f>
        <v/>
      </c>
    </row>
    <row r="1946" spans="1:17" hidden="1" x14ac:dyDescent="0.25">
      <c r="A1946" s="38" t="s">
        <v>262</v>
      </c>
      <c r="B1946" s="17"/>
      <c r="C1946" s="16" t="s">
        <v>3683</v>
      </c>
      <c r="D1946" s="17"/>
      <c r="E1946" s="17" t="s">
        <v>608</v>
      </c>
      <c r="F1946" s="18" t="s">
        <v>929</v>
      </c>
      <c r="G1946" s="49" t="s">
        <v>876</v>
      </c>
      <c r="H1946" s="17">
        <v>26</v>
      </c>
      <c r="J1946" s="62" t="s">
        <v>473</v>
      </c>
      <c r="K1946" s="62"/>
      <c r="M1946" s="62"/>
      <c r="N1946" s="62"/>
      <c r="O1946" s="62" t="str">
        <f>IF(E1946="PA",IF(K1946&lt;&gt;"",ISERROR(VLOOKUP(K1946,ABBR!A:D,1,FALSE)),ISERROR(VLOOKUP(C1946,ABBR!A:D,1,FALSE))),"")</f>
        <v/>
      </c>
      <c r="P1946" t="str">
        <f>VLOOKUP(A1946,Groups!A:L,5,FALSE)</f>
        <v>SAMP</v>
      </c>
      <c r="Q1946" s="62" t="str">
        <f>IF(G1946="PA",IF(M1946&lt;&gt;"",ISERROR(VLOOKUP(M1946,ABBR!C:F,1,FALSE)),ISERROR(VLOOKUP(E1946,ABBR!C:F,1,FALSE))),"")</f>
        <v/>
      </c>
    </row>
    <row r="1947" spans="1:17" hidden="1" x14ac:dyDescent="0.25">
      <c r="A1947" s="38" t="s">
        <v>528</v>
      </c>
      <c r="B1947" s="17" t="s">
        <v>594</v>
      </c>
      <c r="C1947" s="16" t="s">
        <v>595</v>
      </c>
      <c r="D1947" s="17"/>
      <c r="E1947" s="17" t="s">
        <v>596</v>
      </c>
      <c r="F1947" s="18" t="s">
        <v>597</v>
      </c>
      <c r="G1947" s="49" t="s">
        <v>598</v>
      </c>
      <c r="H1947" s="17">
        <v>1</v>
      </c>
      <c r="J1947" s="7" t="s">
        <v>478</v>
      </c>
      <c r="K1947" s="62"/>
      <c r="M1947" s="62"/>
      <c r="N1947" s="62"/>
      <c r="O1947" s="62" t="str">
        <f>IF(E1947="PA",IF(K1947&lt;&gt;"",ISERROR(VLOOKUP(K1947,ABBR!A:D,1,FALSE)),ISERROR(VLOOKUP(C1947,ABBR!A:D,1,FALSE))),"")</f>
        <v/>
      </c>
      <c r="P1947" t="str">
        <f>VLOOKUP(A1947,Groups!A:L,5,FALSE)</f>
        <v>SAMP</v>
      </c>
      <c r="Q1947" s="62" t="str">
        <f>IF(G1947="PA",IF(M1947&lt;&gt;"",ISERROR(VLOOKUP(M1947,ABBR!C:F,1,FALSE)),ISERROR(VLOOKUP(E1947,ABBR!C:F,1,FALSE))),"")</f>
        <v/>
      </c>
    </row>
    <row r="1948" spans="1:17" hidden="1" x14ac:dyDescent="0.25">
      <c r="A1948" s="38" t="s">
        <v>528</v>
      </c>
      <c r="B1948" s="17" t="s">
        <v>594</v>
      </c>
      <c r="C1948" s="16" t="s">
        <v>851</v>
      </c>
      <c r="D1948" s="17" t="s">
        <v>600</v>
      </c>
      <c r="E1948" s="17" t="s">
        <v>601</v>
      </c>
      <c r="F1948" s="18" t="s">
        <v>852</v>
      </c>
      <c r="G1948" s="49" t="s">
        <v>853</v>
      </c>
      <c r="H1948" s="17">
        <f t="shared" ref="H1948:H1967" si="11">H1947+1</f>
        <v>2</v>
      </c>
      <c r="J1948" s="7" t="s">
        <v>478</v>
      </c>
      <c r="K1948" s="62"/>
      <c r="M1948" s="62"/>
      <c r="N1948" s="62"/>
      <c r="O1948" s="62" t="str">
        <f>IF(E1948="PA",IF(K1948&lt;&gt;"",ISERROR(VLOOKUP(K1948,ABBR!A:D,1,FALSE)),ISERROR(VLOOKUP(C1948,ABBR!A:D,1,FALSE))),"")</f>
        <v/>
      </c>
      <c r="P1948" t="str">
        <f>VLOOKUP(A1948,Groups!A:L,5,FALSE)</f>
        <v>SAMP</v>
      </c>
      <c r="Q1948" s="62" t="str">
        <f>IF(G1948="PA",IF(M1948&lt;&gt;"",ISERROR(VLOOKUP(M1948,ABBR!C:F,1,FALSE)),ISERROR(VLOOKUP(E1948,ABBR!C:F,1,FALSE))),"")</f>
        <v/>
      </c>
    </row>
    <row r="1949" spans="1:17" hidden="1" x14ac:dyDescent="0.25">
      <c r="A1949" s="38" t="s">
        <v>528</v>
      </c>
      <c r="B1949" s="17" t="s">
        <v>594</v>
      </c>
      <c r="C1949" s="16" t="s">
        <v>854</v>
      </c>
      <c r="D1949" s="17"/>
      <c r="E1949" s="17" t="s">
        <v>608</v>
      </c>
      <c r="F1949" s="18" t="s">
        <v>855</v>
      </c>
      <c r="G1949" s="49" t="s">
        <v>856</v>
      </c>
      <c r="H1949" s="17">
        <f t="shared" si="11"/>
        <v>3</v>
      </c>
      <c r="J1949" s="7" t="s">
        <v>478</v>
      </c>
      <c r="K1949" s="62"/>
      <c r="M1949" s="62"/>
      <c r="N1949" s="62"/>
      <c r="O1949" s="62" t="str">
        <f>IF(E1949="PA",IF(K1949&lt;&gt;"",ISERROR(VLOOKUP(K1949,ABBR!A:D,1,FALSE)),ISERROR(VLOOKUP(C1949,ABBR!A:D,1,FALSE))),"")</f>
        <v/>
      </c>
      <c r="P1949" t="str">
        <f>VLOOKUP(A1949,Groups!A:L,5,FALSE)</f>
        <v>SAMP</v>
      </c>
      <c r="Q1949" s="62" t="str">
        <f>IF(G1949="PA",IF(M1949&lt;&gt;"",ISERROR(VLOOKUP(M1949,ABBR!C:F,1,FALSE)),ISERROR(VLOOKUP(E1949,ABBR!C:F,1,FALSE))),"")</f>
        <v/>
      </c>
    </row>
    <row r="1950" spans="1:17" hidden="1" x14ac:dyDescent="0.25">
      <c r="A1950" s="38" t="s">
        <v>528</v>
      </c>
      <c r="B1950" s="17" t="s">
        <v>594</v>
      </c>
      <c r="C1950" s="16" t="s">
        <v>857</v>
      </c>
      <c r="D1950" s="17"/>
      <c r="E1950" s="17" t="s">
        <v>618</v>
      </c>
      <c r="F1950" s="18" t="s">
        <v>858</v>
      </c>
      <c r="G1950" s="49" t="s">
        <v>859</v>
      </c>
      <c r="H1950" s="17">
        <f t="shared" si="11"/>
        <v>4</v>
      </c>
      <c r="J1950" s="7" t="s">
        <v>478</v>
      </c>
      <c r="K1950" s="62"/>
      <c r="M1950" s="62"/>
      <c r="N1950" s="62"/>
      <c r="O1950" s="62" t="b">
        <f>IF(E1950="PA",IF(K1950&lt;&gt;"",ISERROR(VLOOKUP(K1950,ABBR!A:D,1,FALSE)),ISERROR(VLOOKUP(C1950,ABBR!A:D,1,FALSE))),"")</f>
        <v>0</v>
      </c>
      <c r="P1950" t="str">
        <f>VLOOKUP(A1950,Groups!A:L,5,FALSE)</f>
        <v>SAMP</v>
      </c>
      <c r="Q1950" s="62" t="str">
        <f>IF(G1950="PA",IF(M1950&lt;&gt;"",ISERROR(VLOOKUP(M1950,ABBR!C:F,1,FALSE)),ISERROR(VLOOKUP(E1950,ABBR!C:F,1,FALSE))),"")</f>
        <v/>
      </c>
    </row>
    <row r="1951" spans="1:17" hidden="1" x14ac:dyDescent="0.25">
      <c r="A1951" s="38" t="s">
        <v>528</v>
      </c>
      <c r="B1951" s="17" t="s">
        <v>594</v>
      </c>
      <c r="C1951" s="16" t="s">
        <v>860</v>
      </c>
      <c r="D1951" s="17"/>
      <c r="E1951" s="17" t="s">
        <v>596</v>
      </c>
      <c r="F1951" s="18" t="s">
        <v>861</v>
      </c>
      <c r="G1951" s="49" t="s">
        <v>862</v>
      </c>
      <c r="H1951" s="17">
        <f t="shared" si="11"/>
        <v>5</v>
      </c>
      <c r="J1951" s="7" t="s">
        <v>478</v>
      </c>
      <c r="K1951" s="62"/>
      <c r="M1951" s="62"/>
      <c r="N1951" s="62"/>
      <c r="O1951" s="62" t="str">
        <f>IF(E1951="PA",IF(K1951&lt;&gt;"",ISERROR(VLOOKUP(K1951,ABBR!A:D,1,FALSE)),ISERROR(VLOOKUP(C1951,ABBR!A:D,1,FALSE))),"")</f>
        <v/>
      </c>
      <c r="P1951" t="str">
        <f>VLOOKUP(A1951,Groups!A:L,5,FALSE)</f>
        <v>SAMP</v>
      </c>
      <c r="Q1951" s="62" t="str">
        <f>IF(G1951="PA",IF(M1951&lt;&gt;"",ISERROR(VLOOKUP(M1951,ABBR!C:F,1,FALSE)),ISERROR(VLOOKUP(E1951,ABBR!C:F,1,FALSE))),"")</f>
        <v/>
      </c>
    </row>
    <row r="1952" spans="1:17" hidden="1" x14ac:dyDescent="0.25">
      <c r="A1952" s="38" t="s">
        <v>528</v>
      </c>
      <c r="B1952" s="17" t="s">
        <v>594</v>
      </c>
      <c r="C1952" s="16" t="s">
        <v>863</v>
      </c>
      <c r="D1952" s="17"/>
      <c r="E1952" s="17" t="s">
        <v>608</v>
      </c>
      <c r="F1952" s="18" t="s">
        <v>864</v>
      </c>
      <c r="G1952" s="49" t="s">
        <v>865</v>
      </c>
      <c r="H1952" s="17">
        <f t="shared" si="11"/>
        <v>6</v>
      </c>
      <c r="J1952" s="7" t="s">
        <v>478</v>
      </c>
      <c r="K1952" s="62"/>
      <c r="M1952" s="62"/>
      <c r="N1952" s="62"/>
      <c r="O1952" s="62" t="str">
        <f>IF(E1952="PA",IF(K1952&lt;&gt;"",ISERROR(VLOOKUP(K1952,ABBR!A:D,1,FALSE)),ISERROR(VLOOKUP(C1952,ABBR!A:D,1,FALSE))),"")</f>
        <v/>
      </c>
      <c r="P1952" t="str">
        <f>VLOOKUP(A1952,Groups!A:L,5,FALSE)</f>
        <v>SAMP</v>
      </c>
      <c r="Q1952" s="62" t="str">
        <f>IF(G1952="PA",IF(M1952&lt;&gt;"",ISERROR(VLOOKUP(M1952,ABBR!C:F,1,FALSE)),ISERROR(VLOOKUP(E1952,ABBR!C:F,1,FALSE))),"")</f>
        <v/>
      </c>
    </row>
    <row r="1953" spans="1:17" hidden="1" x14ac:dyDescent="0.25">
      <c r="A1953" s="38" t="s">
        <v>528</v>
      </c>
      <c r="B1953" s="17" t="s">
        <v>594</v>
      </c>
      <c r="C1953" s="16" t="s">
        <v>866</v>
      </c>
      <c r="D1953" s="40" t="s">
        <v>600</v>
      </c>
      <c r="E1953" s="40" t="s">
        <v>601</v>
      </c>
      <c r="F1953" s="42" t="s">
        <v>867</v>
      </c>
      <c r="G1953" s="49" t="s">
        <v>853</v>
      </c>
      <c r="H1953" s="17">
        <f t="shared" si="11"/>
        <v>7</v>
      </c>
      <c r="J1953" s="7" t="s">
        <v>478</v>
      </c>
      <c r="K1953" s="62"/>
      <c r="M1953" s="62"/>
      <c r="N1953" s="62"/>
      <c r="O1953" s="62" t="str">
        <f>IF(E1953="PA",IF(K1953&lt;&gt;"",ISERROR(VLOOKUP(K1953,ABBR!A:D,1,FALSE)),ISERROR(VLOOKUP(C1953,ABBR!A:D,1,FALSE))),"")</f>
        <v/>
      </c>
      <c r="P1953" t="str">
        <f>VLOOKUP(A1953,Groups!A:L,5,FALSE)</f>
        <v>SAMP</v>
      </c>
      <c r="Q1953" s="62" t="str">
        <f>IF(G1953="PA",IF(M1953&lt;&gt;"",ISERROR(VLOOKUP(M1953,ABBR!C:F,1,FALSE)),ISERROR(VLOOKUP(E1953,ABBR!C:F,1,FALSE))),"")</f>
        <v/>
      </c>
    </row>
    <row r="1954" spans="1:17" hidden="1" x14ac:dyDescent="0.25">
      <c r="A1954" s="38" t="s">
        <v>528</v>
      </c>
      <c r="B1954" s="40"/>
      <c r="C1954" s="41" t="s">
        <v>868</v>
      </c>
      <c r="D1954" s="40"/>
      <c r="E1954" s="40" t="s">
        <v>608</v>
      </c>
      <c r="F1954" s="42" t="s">
        <v>869</v>
      </c>
      <c r="G1954" s="79" t="s">
        <v>1269</v>
      </c>
      <c r="H1954" s="17">
        <f t="shared" si="11"/>
        <v>8</v>
      </c>
      <c r="J1954" s="62" t="s">
        <v>473</v>
      </c>
      <c r="O1954" s="62" t="str">
        <f>IF(E1954="PA",IF(K1954&lt;&gt;"",ISERROR(VLOOKUP(K1954,ABBR!A:D,1,FALSE)),ISERROR(VLOOKUP(C1954,ABBR!A:D,1,FALSE))),"")</f>
        <v/>
      </c>
      <c r="P1954" t="str">
        <f>VLOOKUP(A1954,Groups!A:L,5,FALSE)</f>
        <v>SAMP</v>
      </c>
      <c r="Q1954" s="62" t="str">
        <f>IF(G1954="PA",IF(M1954&lt;&gt;"",ISERROR(VLOOKUP(M1954,ABBR!C:F,1,FALSE)),ISERROR(VLOOKUP(E1954,ABBR!C:F,1,FALSE))),"")</f>
        <v/>
      </c>
    </row>
    <row r="1955" spans="1:17" ht="25" hidden="1" x14ac:dyDescent="0.25">
      <c r="A1955" s="38" t="s">
        <v>528</v>
      </c>
      <c r="B1955" s="40"/>
      <c r="C1955" s="41" t="s">
        <v>871</v>
      </c>
      <c r="D1955" s="40"/>
      <c r="E1955" s="40" t="s">
        <v>608</v>
      </c>
      <c r="F1955" s="42" t="s">
        <v>872</v>
      </c>
      <c r="G1955" s="52" t="s">
        <v>873</v>
      </c>
      <c r="H1955" s="17">
        <f t="shared" si="11"/>
        <v>9</v>
      </c>
      <c r="J1955" s="62" t="s">
        <v>473</v>
      </c>
      <c r="O1955" s="62" t="str">
        <f>IF(E1955="PA",IF(K1955&lt;&gt;"",ISERROR(VLOOKUP(K1955,ABBR!A:D,1,FALSE)),ISERROR(VLOOKUP(C1955,ABBR!A:D,1,FALSE))),"")</f>
        <v/>
      </c>
      <c r="P1955" t="str">
        <f>VLOOKUP(A1955,Groups!A:L,5,FALSE)</f>
        <v>SAMP</v>
      </c>
      <c r="Q1955" s="62" t="str">
        <f>IF(G1955="PA",IF(M1955&lt;&gt;"",ISERROR(VLOOKUP(M1955,ABBR!C:F,1,FALSE)),ISERROR(VLOOKUP(E1955,ABBR!C:F,1,FALSE))),"")</f>
        <v/>
      </c>
    </row>
    <row r="1956" spans="1:17" hidden="1" x14ac:dyDescent="0.25">
      <c r="A1956" s="38" t="s">
        <v>528</v>
      </c>
      <c r="B1956" s="40"/>
      <c r="C1956" s="16" t="s">
        <v>3684</v>
      </c>
      <c r="D1956" s="40"/>
      <c r="E1956" s="40" t="s">
        <v>608</v>
      </c>
      <c r="F1956" s="42" t="s">
        <v>875</v>
      </c>
      <c r="G1956" s="52" t="s">
        <v>876</v>
      </c>
      <c r="H1956" s="17">
        <f t="shared" si="11"/>
        <v>10</v>
      </c>
      <c r="J1956" s="62" t="s">
        <v>473</v>
      </c>
      <c r="K1956" s="62"/>
      <c r="M1956" s="62"/>
      <c r="N1956" s="62"/>
      <c r="O1956" s="62" t="str">
        <f>IF(E1956="PA",IF(K1956&lt;&gt;"",ISERROR(VLOOKUP(K1956,ABBR!A:D,1,FALSE)),ISERROR(VLOOKUP(C1956,ABBR!A:D,1,FALSE))),"")</f>
        <v/>
      </c>
      <c r="P1956" t="str">
        <f>VLOOKUP(A1956,Groups!A:L,5,FALSE)</f>
        <v>SAMP</v>
      </c>
      <c r="Q1956" s="62" t="str">
        <f>IF(G1956="PA",IF(M1956&lt;&gt;"",ISERROR(VLOOKUP(M1956,ABBR!C:F,1,FALSE)),ISERROR(VLOOKUP(E1956,ABBR!C:F,1,FALSE))),"")</f>
        <v/>
      </c>
    </row>
    <row r="1957" spans="1:17" hidden="1" x14ac:dyDescent="0.25">
      <c r="A1957" s="38" t="s">
        <v>528</v>
      </c>
      <c r="B1957" s="17"/>
      <c r="C1957" s="16" t="s">
        <v>877</v>
      </c>
      <c r="D1957" s="17" t="s">
        <v>600</v>
      </c>
      <c r="E1957" s="17" t="s">
        <v>601</v>
      </c>
      <c r="F1957" s="18" t="s">
        <v>878</v>
      </c>
      <c r="G1957" s="49" t="s">
        <v>879</v>
      </c>
      <c r="H1957" s="17">
        <f t="shared" si="11"/>
        <v>11</v>
      </c>
      <c r="J1957" s="62" t="s">
        <v>473</v>
      </c>
      <c r="O1957" s="62" t="str">
        <f>IF(E1957="PA",IF(K1957&lt;&gt;"",ISERROR(VLOOKUP(K1957,ABBR!A:D,1,FALSE)),ISERROR(VLOOKUP(C1957,ABBR!A:D,1,FALSE))),"")</f>
        <v/>
      </c>
      <c r="P1957" t="str">
        <f>VLOOKUP(A1957,Groups!A:L,5,FALSE)</f>
        <v>SAMP</v>
      </c>
      <c r="Q1957" s="62" t="str">
        <f>IF(G1957="PA",IF(M1957&lt;&gt;"",ISERROR(VLOOKUP(M1957,ABBR!C:F,1,FALSE)),ISERROR(VLOOKUP(E1957,ABBR!C:F,1,FALSE))),"")</f>
        <v/>
      </c>
    </row>
    <row r="1958" spans="1:17" hidden="1" x14ac:dyDescent="0.25">
      <c r="A1958" s="38" t="s">
        <v>528</v>
      </c>
      <c r="B1958" s="17"/>
      <c r="C1958" s="16" t="s">
        <v>3685</v>
      </c>
      <c r="D1958" s="40" t="s">
        <v>766</v>
      </c>
      <c r="E1958" s="40" t="s">
        <v>767</v>
      </c>
      <c r="F1958" s="42" t="s">
        <v>3686</v>
      </c>
      <c r="G1958" s="49" t="s">
        <v>1114</v>
      </c>
      <c r="H1958" s="17">
        <f t="shared" si="11"/>
        <v>12</v>
      </c>
      <c r="J1958" s="7" t="s">
        <v>478</v>
      </c>
      <c r="K1958" s="62"/>
      <c r="M1958" s="62"/>
      <c r="N1958" s="62"/>
      <c r="O1958" s="62" t="str">
        <f>IF(E1958="PA",IF(K1958&lt;&gt;"",ISERROR(VLOOKUP(K1958,ABBR!A:D,1,FALSE)),ISERROR(VLOOKUP(C1958,ABBR!A:D,1,FALSE))),"")</f>
        <v/>
      </c>
      <c r="P1958" t="str">
        <f>VLOOKUP(A1958,Groups!A:L,5,FALSE)</f>
        <v>SAMP</v>
      </c>
      <c r="Q1958" s="62" t="str">
        <f>IF(G1958="PA",IF(M1958&lt;&gt;"",ISERROR(VLOOKUP(M1958,ABBR!C:F,1,FALSE)),ISERROR(VLOOKUP(E1958,ABBR!C:F,1,FALSE))),"")</f>
        <v/>
      </c>
    </row>
    <row r="1959" spans="1:17" ht="25" hidden="1" x14ac:dyDescent="0.25">
      <c r="A1959" s="38" t="s">
        <v>528</v>
      </c>
      <c r="B1959" s="17"/>
      <c r="C1959" s="16" t="s">
        <v>3687</v>
      </c>
      <c r="D1959" s="40"/>
      <c r="E1959" s="40" t="s">
        <v>608</v>
      </c>
      <c r="F1959" s="42" t="s">
        <v>642</v>
      </c>
      <c r="G1959" s="52" t="s">
        <v>2274</v>
      </c>
      <c r="H1959" s="17">
        <f t="shared" si="11"/>
        <v>13</v>
      </c>
      <c r="J1959" s="7" t="s">
        <v>478</v>
      </c>
      <c r="K1959" s="62"/>
      <c r="M1959" s="62"/>
      <c r="N1959" s="62"/>
      <c r="O1959" s="62" t="str">
        <f>IF(E1959="PA",IF(K1959&lt;&gt;"",ISERROR(VLOOKUP(K1959,ABBR!A:D,1,FALSE)),ISERROR(VLOOKUP(C1959,ABBR!A:D,1,FALSE))),"")</f>
        <v/>
      </c>
      <c r="P1959" t="str">
        <f>VLOOKUP(A1959,Groups!A:L,5,FALSE)</f>
        <v>SAMP</v>
      </c>
      <c r="Q1959" s="62" t="str">
        <f>IF(G1959="PA",IF(M1959&lt;&gt;"",ISERROR(VLOOKUP(M1959,ABBR!C:F,1,FALSE)),ISERROR(VLOOKUP(E1959,ABBR!C:F,1,FALSE))),"")</f>
        <v/>
      </c>
    </row>
    <row r="1960" spans="1:17" hidden="1" x14ac:dyDescent="0.25">
      <c r="A1960" s="38" t="s">
        <v>528</v>
      </c>
      <c r="B1960" s="17"/>
      <c r="C1960" s="16" t="s">
        <v>3688</v>
      </c>
      <c r="D1960" s="40"/>
      <c r="E1960" s="40" t="s">
        <v>608</v>
      </c>
      <c r="F1960" s="42" t="s">
        <v>918</v>
      </c>
      <c r="G1960" s="52" t="s">
        <v>3689</v>
      </c>
      <c r="H1960" s="17">
        <f t="shared" si="11"/>
        <v>14</v>
      </c>
      <c r="J1960" s="7" t="s">
        <v>478</v>
      </c>
      <c r="K1960" s="62"/>
      <c r="M1960" s="62"/>
      <c r="N1960" s="62"/>
      <c r="O1960" s="62" t="str">
        <f>IF(E1960="PA",IF(K1960&lt;&gt;"",ISERROR(VLOOKUP(K1960,ABBR!A:D,1,FALSE)),ISERROR(VLOOKUP(C1960,ABBR!A:D,1,FALSE))),"")</f>
        <v/>
      </c>
      <c r="P1960" t="str">
        <f>VLOOKUP(A1960,Groups!A:L,5,FALSE)</f>
        <v>SAMP</v>
      </c>
      <c r="Q1960" s="62" t="str">
        <f>IF(G1960="PA",IF(M1960&lt;&gt;"",ISERROR(VLOOKUP(M1960,ABBR!C:F,1,FALSE)),ISERROR(VLOOKUP(E1960,ABBR!C:F,1,FALSE))),"")</f>
        <v/>
      </c>
    </row>
    <row r="1961" spans="1:17" hidden="1" x14ac:dyDescent="0.25">
      <c r="A1961" s="38" t="s">
        <v>528</v>
      </c>
      <c r="B1961" s="40"/>
      <c r="C1961" s="41" t="s">
        <v>3690</v>
      </c>
      <c r="D1961" s="40"/>
      <c r="E1961" s="40" t="s">
        <v>608</v>
      </c>
      <c r="F1961" s="18" t="s">
        <v>921</v>
      </c>
      <c r="G1961" s="94" t="s">
        <v>922</v>
      </c>
      <c r="H1961" s="17">
        <f t="shared" si="11"/>
        <v>15</v>
      </c>
      <c r="J1961" s="62" t="s">
        <v>473</v>
      </c>
      <c r="O1961" s="62" t="str">
        <f>IF(E1961="PA",IF(K1961&lt;&gt;"",ISERROR(VLOOKUP(K1961,ABBR!A:D,1,FALSE)),ISERROR(VLOOKUP(C1961,ABBR!A:D,1,FALSE))),"")</f>
        <v/>
      </c>
      <c r="P1961" t="str">
        <f>VLOOKUP(A1961,Groups!A:L,5,FALSE)</f>
        <v>SAMP</v>
      </c>
      <c r="Q1961" s="62" t="str">
        <f>IF(G1961="PA",IF(M1961&lt;&gt;"",ISERROR(VLOOKUP(M1961,ABBR!C:F,1,FALSE)),ISERROR(VLOOKUP(E1961,ABBR!C:F,1,FALSE))),"")</f>
        <v/>
      </c>
    </row>
    <row r="1962" spans="1:17" hidden="1" x14ac:dyDescent="0.25">
      <c r="A1962" s="38" t="s">
        <v>528</v>
      </c>
      <c r="B1962" s="40"/>
      <c r="C1962" s="16" t="s">
        <v>3691</v>
      </c>
      <c r="D1962" s="40"/>
      <c r="E1962" s="40" t="s">
        <v>608</v>
      </c>
      <c r="F1962" s="42" t="s">
        <v>929</v>
      </c>
      <c r="G1962" s="52" t="s">
        <v>876</v>
      </c>
      <c r="H1962" s="17">
        <f t="shared" si="11"/>
        <v>16</v>
      </c>
      <c r="J1962" s="62" t="s">
        <v>473</v>
      </c>
      <c r="K1962" s="62"/>
      <c r="M1962" s="62"/>
      <c r="N1962" s="62"/>
      <c r="O1962" s="62" t="str">
        <f>IF(E1962="PA",IF(K1962&lt;&gt;"",ISERROR(VLOOKUP(K1962,ABBR!A:D,1,FALSE)),ISERROR(VLOOKUP(C1962,ABBR!A:D,1,FALSE))),"")</f>
        <v/>
      </c>
      <c r="P1962" t="str">
        <f>VLOOKUP(A1962,Groups!A:L,5,FALSE)</f>
        <v>SAMP</v>
      </c>
      <c r="Q1962" s="62" t="str">
        <f>IF(G1962="PA",IF(M1962&lt;&gt;"",ISERROR(VLOOKUP(M1962,ABBR!C:F,1,FALSE)),ISERROR(VLOOKUP(E1962,ABBR!C:F,1,FALSE))),"")</f>
        <v/>
      </c>
    </row>
    <row r="1963" spans="1:17" hidden="1" x14ac:dyDescent="0.25">
      <c r="A1963" s="38" t="s">
        <v>528</v>
      </c>
      <c r="B1963" s="40"/>
      <c r="C1963" s="16" t="s">
        <v>3692</v>
      </c>
      <c r="D1963" s="40" t="s">
        <v>924</v>
      </c>
      <c r="E1963" s="40" t="s">
        <v>925</v>
      </c>
      <c r="F1963" s="42" t="s">
        <v>926</v>
      </c>
      <c r="G1963" s="52" t="s">
        <v>927</v>
      </c>
      <c r="H1963" s="17">
        <f t="shared" si="11"/>
        <v>17</v>
      </c>
      <c r="J1963" s="7" t="s">
        <v>478</v>
      </c>
      <c r="K1963" s="62"/>
      <c r="M1963" s="62"/>
      <c r="N1963" s="62"/>
      <c r="O1963" s="62" t="str">
        <f>IF(E1963="PA",IF(K1963&lt;&gt;"",ISERROR(VLOOKUP(K1963,ABBR!A:D,1,FALSE)),ISERROR(VLOOKUP(C1963,ABBR!A:D,1,FALSE))),"")</f>
        <v/>
      </c>
      <c r="P1963" t="str">
        <f>VLOOKUP(A1963,Groups!A:L,5,FALSE)</f>
        <v>SAMP</v>
      </c>
      <c r="Q1963" s="62" t="str">
        <f>IF(G1963="PA",IF(M1963&lt;&gt;"",ISERROR(VLOOKUP(M1963,ABBR!C:F,1,FALSE)),ISERROR(VLOOKUP(E1963,ABBR!C:F,1,FALSE))),"")</f>
        <v/>
      </c>
    </row>
    <row r="1964" spans="1:17" hidden="1" x14ac:dyDescent="0.25">
      <c r="A1964" s="38" t="s">
        <v>528</v>
      </c>
      <c r="B1964" s="40"/>
      <c r="C1964" s="16" t="s">
        <v>936</v>
      </c>
      <c r="D1964" s="40"/>
      <c r="E1964" s="40" t="s">
        <v>608</v>
      </c>
      <c r="F1964" s="42" t="s">
        <v>937</v>
      </c>
      <c r="G1964" s="52" t="s">
        <v>938</v>
      </c>
      <c r="H1964" s="17">
        <f t="shared" si="11"/>
        <v>18</v>
      </c>
      <c r="J1964" s="7" t="s">
        <v>478</v>
      </c>
      <c r="K1964" s="62"/>
      <c r="M1964" s="62"/>
      <c r="N1964" s="62"/>
      <c r="O1964" s="62" t="str">
        <f>IF(E1964="PA",IF(K1964&lt;&gt;"",ISERROR(VLOOKUP(K1964,ABBR!A:D,1,FALSE)),ISERROR(VLOOKUP(C1964,ABBR!A:D,1,FALSE))),"")</f>
        <v/>
      </c>
      <c r="P1964" t="str">
        <f>VLOOKUP(A1964,Groups!A:L,5,FALSE)</f>
        <v>SAMP</v>
      </c>
      <c r="Q1964" s="62" t="str">
        <f>IF(G1964="PA",IF(M1964&lt;&gt;"",ISERROR(VLOOKUP(M1964,ABBR!C:F,1,FALSE)),ISERROR(VLOOKUP(E1964,ABBR!C:F,1,FALSE))),"")</f>
        <v/>
      </c>
    </row>
    <row r="1965" spans="1:17" hidden="1" x14ac:dyDescent="0.25">
      <c r="A1965" s="38" t="s">
        <v>528</v>
      </c>
      <c r="B1965" s="40"/>
      <c r="C1965" s="16" t="s">
        <v>3693</v>
      </c>
      <c r="D1965" s="40"/>
      <c r="E1965" s="40" t="s">
        <v>608</v>
      </c>
      <c r="F1965" s="42" t="s">
        <v>931</v>
      </c>
      <c r="G1965" s="52" t="s">
        <v>932</v>
      </c>
      <c r="H1965" s="17">
        <f t="shared" si="11"/>
        <v>19</v>
      </c>
      <c r="J1965" s="7" t="s">
        <v>478</v>
      </c>
      <c r="K1965" s="62"/>
      <c r="M1965" s="62"/>
      <c r="N1965" s="62"/>
      <c r="O1965" s="62" t="str">
        <f>IF(E1965="PA",IF(K1965&lt;&gt;"",ISERROR(VLOOKUP(K1965,ABBR!A:D,1,FALSE)),ISERROR(VLOOKUP(C1965,ABBR!A:D,1,FALSE))),"")</f>
        <v/>
      </c>
      <c r="P1965" t="str">
        <f>VLOOKUP(A1965,Groups!A:L,5,FALSE)</f>
        <v>SAMP</v>
      </c>
      <c r="Q1965" s="62" t="str">
        <f>IF(G1965="PA",IF(M1965&lt;&gt;"",ISERROR(VLOOKUP(M1965,ABBR!C:F,1,FALSE)),ISERROR(VLOOKUP(E1965,ABBR!C:F,1,FALSE))),"")</f>
        <v/>
      </c>
    </row>
    <row r="1966" spans="1:17" ht="25" hidden="1" x14ac:dyDescent="0.25">
      <c r="A1966" s="38" t="s">
        <v>528</v>
      </c>
      <c r="B1966" s="40"/>
      <c r="C1966" s="16" t="s">
        <v>3694</v>
      </c>
      <c r="D1966" s="40"/>
      <c r="E1966" s="40" t="s">
        <v>608</v>
      </c>
      <c r="F1966" s="42" t="s">
        <v>934</v>
      </c>
      <c r="G1966" s="52" t="s">
        <v>935</v>
      </c>
      <c r="H1966" s="17">
        <f t="shared" si="11"/>
        <v>20</v>
      </c>
      <c r="J1966" s="7" t="s">
        <v>478</v>
      </c>
      <c r="K1966" s="62"/>
      <c r="M1966" s="62"/>
      <c r="N1966" s="62"/>
      <c r="O1966" s="62" t="str">
        <f>IF(E1966="PA",IF(K1966&lt;&gt;"",ISERROR(VLOOKUP(K1966,ABBR!A:D,1,FALSE)),ISERROR(VLOOKUP(C1966,ABBR!A:D,1,FALSE))),"")</f>
        <v/>
      </c>
      <c r="P1966" t="str">
        <f>VLOOKUP(A1966,Groups!A:L,5,FALSE)</f>
        <v>SAMP</v>
      </c>
      <c r="Q1966" s="62" t="str">
        <f>IF(G1966="PA",IF(M1966&lt;&gt;"",ISERROR(VLOOKUP(M1966,ABBR!C:F,1,FALSE)),ISERROR(VLOOKUP(E1966,ABBR!C:F,1,FALSE))),"")</f>
        <v/>
      </c>
    </row>
    <row r="1967" spans="1:17" hidden="1" x14ac:dyDescent="0.25">
      <c r="A1967" s="38" t="s">
        <v>528</v>
      </c>
      <c r="B1967" s="40"/>
      <c r="C1967" s="16" t="s">
        <v>643</v>
      </c>
      <c r="D1967" s="40"/>
      <c r="E1967" s="40" t="s">
        <v>608</v>
      </c>
      <c r="F1967" s="42" t="s">
        <v>1714</v>
      </c>
      <c r="G1967" s="52" t="s">
        <v>3695</v>
      </c>
      <c r="H1967" s="17">
        <f t="shared" si="11"/>
        <v>21</v>
      </c>
      <c r="J1967" s="7" t="s">
        <v>478</v>
      </c>
      <c r="K1967" s="62"/>
      <c r="M1967" s="62"/>
      <c r="N1967" s="62"/>
      <c r="O1967" s="62" t="str">
        <f>IF(E1967="PA",IF(K1967&lt;&gt;"",ISERROR(VLOOKUP(K1967,ABBR!A:D,1,FALSE)),ISERROR(VLOOKUP(C1967,ABBR!A:D,1,FALSE))),"")</f>
        <v/>
      </c>
      <c r="P1967" t="str">
        <f>VLOOKUP(A1967,Groups!A:L,5,FALSE)</f>
        <v>SAMP</v>
      </c>
      <c r="Q1967" s="62" t="str">
        <f>IF(G1967="PA",IF(M1967&lt;&gt;"",ISERROR(VLOOKUP(M1967,ABBR!C:F,1,FALSE)),ISERROR(VLOOKUP(E1967,ABBR!C:F,1,FALSE))),"")</f>
        <v/>
      </c>
    </row>
    <row r="1968" spans="1:17" hidden="1" x14ac:dyDescent="0.25">
      <c r="A1968" s="38" t="s">
        <v>265</v>
      </c>
      <c r="B1968" s="40" t="s">
        <v>594</v>
      </c>
      <c r="C1968" s="16" t="s">
        <v>595</v>
      </c>
      <c r="D1968" s="40"/>
      <c r="E1968" s="40" t="s">
        <v>596</v>
      </c>
      <c r="F1968" s="42" t="s">
        <v>597</v>
      </c>
      <c r="G1968" s="52" t="s">
        <v>598</v>
      </c>
      <c r="H1968" s="17">
        <v>1</v>
      </c>
      <c r="O1968" s="62" t="str">
        <f>IF(E1968="PA",IF(K1968&lt;&gt;"",ISERROR(VLOOKUP(K1968,ABBR!A:D,1,FALSE)),ISERROR(VLOOKUP(C1968,ABBR!A:D,1,FALSE))),"")</f>
        <v/>
      </c>
      <c r="P1968" t="str">
        <f>VLOOKUP(A1968,Groups!A:L,5,FALSE)</f>
        <v>SAMP</v>
      </c>
      <c r="Q1968" s="62" t="str">
        <f>IF(G1968="PA",IF(M1968&lt;&gt;"",ISERROR(VLOOKUP(M1968,ABBR!C:F,1,FALSE)),ISERROR(VLOOKUP(E1968,ABBR!C:F,1,FALSE))),"")</f>
        <v/>
      </c>
    </row>
    <row r="1969" spans="1:17" hidden="1" x14ac:dyDescent="0.25">
      <c r="A1969" s="38" t="s">
        <v>265</v>
      </c>
      <c r="B1969" s="40" t="s">
        <v>594</v>
      </c>
      <c r="C1969" s="16" t="s">
        <v>851</v>
      </c>
      <c r="D1969" s="40" t="s">
        <v>600</v>
      </c>
      <c r="E1969" s="40" t="s">
        <v>601</v>
      </c>
      <c r="F1969" s="42" t="s">
        <v>852</v>
      </c>
      <c r="G1969" s="49" t="s">
        <v>853</v>
      </c>
      <c r="H1969" s="17">
        <v>2</v>
      </c>
      <c r="O1969" s="62" t="str">
        <f>IF(E1969="PA",IF(K1969&lt;&gt;"",ISERROR(VLOOKUP(K1969,ABBR!A:D,1,FALSE)),ISERROR(VLOOKUP(C1969,ABBR!A:D,1,FALSE))),"")</f>
        <v/>
      </c>
      <c r="P1969" t="str">
        <f>VLOOKUP(A1969,Groups!A:L,5,FALSE)</f>
        <v>SAMP</v>
      </c>
      <c r="Q1969" s="62" t="str">
        <f>IF(G1969="PA",IF(M1969&lt;&gt;"",ISERROR(VLOOKUP(M1969,ABBR!C:F,1,FALSE)),ISERROR(VLOOKUP(E1969,ABBR!C:F,1,FALSE))),"")</f>
        <v/>
      </c>
    </row>
    <row r="1970" spans="1:17" hidden="1" x14ac:dyDescent="0.25">
      <c r="A1970" s="38" t="s">
        <v>265</v>
      </c>
      <c r="B1970" s="40" t="s">
        <v>594</v>
      </c>
      <c r="C1970" s="16" t="s">
        <v>854</v>
      </c>
      <c r="D1970" s="40"/>
      <c r="E1970" s="40" t="s">
        <v>608</v>
      </c>
      <c r="F1970" s="42" t="s">
        <v>855</v>
      </c>
      <c r="G1970" s="52" t="s">
        <v>941</v>
      </c>
      <c r="H1970" s="17">
        <v>3</v>
      </c>
      <c r="O1970" s="62" t="str">
        <f>IF(E1970="PA",IF(K1970&lt;&gt;"",ISERROR(VLOOKUP(K1970,ABBR!A:D,1,FALSE)),ISERROR(VLOOKUP(C1970,ABBR!A:D,1,FALSE))),"")</f>
        <v/>
      </c>
      <c r="P1970" t="str">
        <f>VLOOKUP(A1970,Groups!A:L,5,FALSE)</f>
        <v>SAMP</v>
      </c>
      <c r="Q1970" s="62" t="str">
        <f>IF(G1970="PA",IF(M1970&lt;&gt;"",ISERROR(VLOOKUP(M1970,ABBR!C:F,1,FALSE)),ISERROR(VLOOKUP(E1970,ABBR!C:F,1,FALSE))),"")</f>
        <v/>
      </c>
    </row>
    <row r="1971" spans="1:17" hidden="1" x14ac:dyDescent="0.25">
      <c r="A1971" s="38" t="s">
        <v>265</v>
      </c>
      <c r="B1971" s="40" t="s">
        <v>594</v>
      </c>
      <c r="C1971" s="16" t="s">
        <v>857</v>
      </c>
      <c r="D1971" s="40"/>
      <c r="E1971" s="40" t="s">
        <v>618</v>
      </c>
      <c r="F1971" s="42" t="s">
        <v>858</v>
      </c>
      <c r="G1971" s="52" t="s">
        <v>3547</v>
      </c>
      <c r="H1971" s="17">
        <v>4</v>
      </c>
      <c r="O1971" s="62" t="b">
        <f>IF(E1971="PA",IF(K1971&lt;&gt;"",ISERROR(VLOOKUP(K1971,ABBR!A:D,1,FALSE)),ISERROR(VLOOKUP(C1971,ABBR!A:D,1,FALSE))),"")</f>
        <v>0</v>
      </c>
      <c r="P1971" t="str">
        <f>VLOOKUP(A1971,Groups!A:L,5,FALSE)</f>
        <v>SAMP</v>
      </c>
      <c r="Q1971" s="62" t="str">
        <f>IF(G1971="PA",IF(M1971&lt;&gt;"",ISERROR(VLOOKUP(M1971,ABBR!C:F,1,FALSE)),ISERROR(VLOOKUP(E1971,ABBR!C:F,1,FALSE))),"")</f>
        <v/>
      </c>
    </row>
    <row r="1972" spans="1:17" hidden="1" x14ac:dyDescent="0.25">
      <c r="A1972" s="38" t="s">
        <v>265</v>
      </c>
      <c r="B1972" s="40" t="s">
        <v>594</v>
      </c>
      <c r="C1972" s="16" t="s">
        <v>860</v>
      </c>
      <c r="D1972" s="40"/>
      <c r="E1972" s="40" t="s">
        <v>596</v>
      </c>
      <c r="F1972" s="42" t="s">
        <v>942</v>
      </c>
      <c r="G1972" s="52" t="s">
        <v>862</v>
      </c>
      <c r="H1972" s="17">
        <v>5</v>
      </c>
      <c r="O1972" s="62" t="str">
        <f>IF(E1972="PA",IF(K1972&lt;&gt;"",ISERROR(VLOOKUP(K1972,ABBR!A:D,1,FALSE)),ISERROR(VLOOKUP(C1972,ABBR!A:D,1,FALSE))),"")</f>
        <v/>
      </c>
      <c r="P1972" t="str">
        <f>VLOOKUP(A1972,Groups!A:L,5,FALSE)</f>
        <v>SAMP</v>
      </c>
      <c r="Q1972" s="62" t="str">
        <f>IF(G1972="PA",IF(M1972&lt;&gt;"",ISERROR(VLOOKUP(M1972,ABBR!C:F,1,FALSE)),ISERROR(VLOOKUP(E1972,ABBR!C:F,1,FALSE))),"")</f>
        <v/>
      </c>
    </row>
    <row r="1973" spans="1:17" hidden="1" x14ac:dyDescent="0.25">
      <c r="A1973" s="38" t="s">
        <v>265</v>
      </c>
      <c r="B1973" s="40" t="s">
        <v>594</v>
      </c>
      <c r="C1973" s="16" t="s">
        <v>863</v>
      </c>
      <c r="D1973" s="40"/>
      <c r="E1973" s="40" t="s">
        <v>608</v>
      </c>
      <c r="F1973" s="42" t="s">
        <v>864</v>
      </c>
      <c r="G1973" s="52" t="s">
        <v>865</v>
      </c>
      <c r="H1973" s="17">
        <v>6</v>
      </c>
      <c r="O1973" s="62" t="str">
        <f>IF(E1973="PA",IF(K1973&lt;&gt;"",ISERROR(VLOOKUP(K1973,ABBR!A:D,1,FALSE)),ISERROR(VLOOKUP(C1973,ABBR!A:D,1,FALSE))),"")</f>
        <v/>
      </c>
      <c r="P1973" t="str">
        <f>VLOOKUP(A1973,Groups!A:L,5,FALSE)</f>
        <v>SAMP</v>
      </c>
      <c r="Q1973" s="62" t="str">
        <f>IF(G1973="PA",IF(M1973&lt;&gt;"",ISERROR(VLOOKUP(M1973,ABBR!C:F,1,FALSE)),ISERROR(VLOOKUP(E1973,ABBR!C:F,1,FALSE))),"")</f>
        <v/>
      </c>
    </row>
    <row r="1974" spans="1:17" hidden="1" x14ac:dyDescent="0.25">
      <c r="A1974" s="38" t="s">
        <v>265</v>
      </c>
      <c r="B1974" s="40" t="s">
        <v>594</v>
      </c>
      <c r="C1974" s="16" t="s">
        <v>866</v>
      </c>
      <c r="D1974" s="40" t="s">
        <v>600</v>
      </c>
      <c r="E1974" s="40" t="s">
        <v>601</v>
      </c>
      <c r="F1974" s="42" t="s">
        <v>867</v>
      </c>
      <c r="G1974" s="52" t="s">
        <v>853</v>
      </c>
      <c r="H1974" s="17">
        <v>7</v>
      </c>
      <c r="O1974" s="62" t="str">
        <f>IF(E1974="PA",IF(K1974&lt;&gt;"",ISERROR(VLOOKUP(K1974,ABBR!A:D,1,FALSE)),ISERROR(VLOOKUP(C1974,ABBR!A:D,1,FALSE))),"")</f>
        <v/>
      </c>
      <c r="P1974" t="str">
        <f>VLOOKUP(A1974,Groups!A:L,5,FALSE)</f>
        <v>SAMP</v>
      </c>
      <c r="Q1974" s="62" t="str">
        <f>IF(G1974="PA",IF(M1974&lt;&gt;"",ISERROR(VLOOKUP(M1974,ABBR!C:F,1,FALSE)),ISERROR(VLOOKUP(E1974,ABBR!C:F,1,FALSE))),"")</f>
        <v/>
      </c>
    </row>
    <row r="1975" spans="1:17" hidden="1" x14ac:dyDescent="0.25">
      <c r="A1975" s="38" t="s">
        <v>265</v>
      </c>
      <c r="B1975" s="40"/>
      <c r="C1975" s="16" t="s">
        <v>868</v>
      </c>
      <c r="D1975" s="40"/>
      <c r="E1975" s="40" t="s">
        <v>608</v>
      </c>
      <c r="F1975" s="42" t="s">
        <v>869</v>
      </c>
      <c r="G1975" s="79" t="s">
        <v>1269</v>
      </c>
      <c r="H1975" s="17">
        <v>8</v>
      </c>
      <c r="O1975" s="62" t="str">
        <f>IF(E1975="PA",IF(K1975&lt;&gt;"",ISERROR(VLOOKUP(K1975,ABBR!A:D,1,FALSE)),ISERROR(VLOOKUP(C1975,ABBR!A:D,1,FALSE))),"")</f>
        <v/>
      </c>
      <c r="P1975" t="str">
        <f>VLOOKUP(A1975,Groups!A:L,5,FALSE)</f>
        <v>SAMP</v>
      </c>
      <c r="Q1975" s="62" t="str">
        <f>IF(G1975="PA",IF(M1975&lt;&gt;"",ISERROR(VLOOKUP(M1975,ABBR!C:F,1,FALSE)),ISERROR(VLOOKUP(E1975,ABBR!C:F,1,FALSE))),"")</f>
        <v/>
      </c>
    </row>
    <row r="1976" spans="1:17" ht="25" hidden="1" x14ac:dyDescent="0.25">
      <c r="A1976" s="38" t="s">
        <v>265</v>
      </c>
      <c r="B1976" s="40"/>
      <c r="C1976" s="16" t="s">
        <v>871</v>
      </c>
      <c r="D1976" s="40"/>
      <c r="E1976" s="40" t="s">
        <v>608</v>
      </c>
      <c r="F1976" s="42" t="s">
        <v>872</v>
      </c>
      <c r="G1976" s="52" t="s">
        <v>873</v>
      </c>
      <c r="H1976" s="17">
        <v>9</v>
      </c>
      <c r="O1976" s="62" t="str">
        <f>IF(E1976="PA",IF(K1976&lt;&gt;"",ISERROR(VLOOKUP(K1976,ABBR!A:D,1,FALSE)),ISERROR(VLOOKUP(C1976,ABBR!A:D,1,FALSE))),"")</f>
        <v/>
      </c>
      <c r="P1976" t="str">
        <f>VLOOKUP(A1976,Groups!A:L,5,FALSE)</f>
        <v>SAMP</v>
      </c>
      <c r="Q1976" s="62" t="str">
        <f>IF(G1976="PA",IF(M1976&lt;&gt;"",ISERROR(VLOOKUP(M1976,ABBR!C:F,1,FALSE)),ISERROR(VLOOKUP(E1976,ABBR!C:F,1,FALSE))),"")</f>
        <v/>
      </c>
    </row>
    <row r="1977" spans="1:17" hidden="1" x14ac:dyDescent="0.25">
      <c r="A1977" s="38" t="s">
        <v>265</v>
      </c>
      <c r="B1977" s="40"/>
      <c r="C1977" s="16" t="s">
        <v>3696</v>
      </c>
      <c r="D1977" s="40" t="s">
        <v>1706</v>
      </c>
      <c r="E1977" s="40" t="s">
        <v>767</v>
      </c>
      <c r="F1977" s="42" t="s">
        <v>3697</v>
      </c>
      <c r="G1977" s="52" t="s">
        <v>3698</v>
      </c>
      <c r="H1977" s="17">
        <v>10</v>
      </c>
      <c r="O1977" s="62" t="str">
        <f>IF(E1977="PA",IF(K1977&lt;&gt;"",ISERROR(VLOOKUP(K1977,ABBR!A:D,1,FALSE)),ISERROR(VLOOKUP(C1977,ABBR!A:D,1,FALSE))),"")</f>
        <v/>
      </c>
      <c r="P1977" t="str">
        <f>VLOOKUP(A1977,Groups!A:L,5,FALSE)</f>
        <v>SAMP</v>
      </c>
      <c r="Q1977" s="62" t="str">
        <f>IF(G1977="PA",IF(M1977&lt;&gt;"",ISERROR(VLOOKUP(M1977,ABBR!C:F,1,FALSE)),ISERROR(VLOOKUP(E1977,ABBR!C:F,1,FALSE))),"")</f>
        <v/>
      </c>
    </row>
    <row r="1978" spans="1:17" hidden="1" x14ac:dyDescent="0.25">
      <c r="A1978" s="38" t="s">
        <v>265</v>
      </c>
      <c r="B1978" s="40"/>
      <c r="C1978" s="16" t="s">
        <v>3699</v>
      </c>
      <c r="D1978" s="40" t="s">
        <v>1706</v>
      </c>
      <c r="E1978" s="40" t="s">
        <v>767</v>
      </c>
      <c r="F1978" s="42" t="s">
        <v>3700</v>
      </c>
      <c r="G1978" s="52" t="s">
        <v>3701</v>
      </c>
      <c r="H1978" s="17">
        <v>11</v>
      </c>
      <c r="O1978" s="62" t="str">
        <f>IF(E1978="PA",IF(K1978&lt;&gt;"",ISERROR(VLOOKUP(K1978,ABBR!A:D,1,FALSE)),ISERROR(VLOOKUP(C1978,ABBR!A:D,1,FALSE))),"")</f>
        <v/>
      </c>
      <c r="P1978" t="str">
        <f>VLOOKUP(A1978,Groups!A:L,5,FALSE)</f>
        <v>SAMP</v>
      </c>
      <c r="Q1978" s="62" t="str">
        <f>IF(G1978="PA",IF(M1978&lt;&gt;"",ISERROR(VLOOKUP(M1978,ABBR!C:F,1,FALSE)),ISERROR(VLOOKUP(E1978,ABBR!C:F,1,FALSE))),"")</f>
        <v/>
      </c>
    </row>
    <row r="1979" spans="1:17" hidden="1" x14ac:dyDescent="0.25">
      <c r="A1979" s="38" t="s">
        <v>265</v>
      </c>
      <c r="B1979" s="40"/>
      <c r="C1979" s="16" t="s">
        <v>3702</v>
      </c>
      <c r="D1979" s="40" t="s">
        <v>3703</v>
      </c>
      <c r="E1979" s="40" t="s">
        <v>767</v>
      </c>
      <c r="F1979" s="42" t="s">
        <v>3704</v>
      </c>
      <c r="G1979" s="52" t="s">
        <v>897</v>
      </c>
      <c r="H1979" s="17">
        <v>12</v>
      </c>
      <c r="O1979" s="62" t="str">
        <f>IF(E1979="PA",IF(K1979&lt;&gt;"",ISERROR(VLOOKUP(K1979,ABBR!A:D,1,FALSE)),ISERROR(VLOOKUP(C1979,ABBR!A:D,1,FALSE))),"")</f>
        <v/>
      </c>
      <c r="P1979" t="str">
        <f>VLOOKUP(A1979,Groups!A:L,5,FALSE)</f>
        <v>SAMP</v>
      </c>
      <c r="Q1979" s="62" t="str">
        <f>IF(G1979="PA",IF(M1979&lt;&gt;"",ISERROR(VLOOKUP(M1979,ABBR!C:F,1,FALSE)),ISERROR(VLOOKUP(E1979,ABBR!C:F,1,FALSE))),"")</f>
        <v/>
      </c>
    </row>
    <row r="1980" spans="1:17" hidden="1" x14ac:dyDescent="0.25">
      <c r="A1980" s="38" t="s">
        <v>265</v>
      </c>
      <c r="B1980" s="40"/>
      <c r="C1980" s="16" t="s">
        <v>3705</v>
      </c>
      <c r="D1980" s="40" t="s">
        <v>3703</v>
      </c>
      <c r="E1980" s="40" t="s">
        <v>767</v>
      </c>
      <c r="F1980" s="42" t="s">
        <v>3706</v>
      </c>
      <c r="G1980" s="52" t="s">
        <v>1096</v>
      </c>
      <c r="H1980" s="17">
        <v>13</v>
      </c>
      <c r="O1980" s="62" t="str">
        <f>IF(E1980="PA",IF(K1980&lt;&gt;"",ISERROR(VLOOKUP(K1980,ABBR!A:D,1,FALSE)),ISERROR(VLOOKUP(C1980,ABBR!A:D,1,FALSE))),"")</f>
        <v/>
      </c>
      <c r="P1980" t="str">
        <f>VLOOKUP(A1980,Groups!A:L,5,FALSE)</f>
        <v>SAMP</v>
      </c>
      <c r="Q1980" s="62" t="str">
        <f>IF(G1980="PA",IF(M1980&lt;&gt;"",ISERROR(VLOOKUP(M1980,ABBR!C:F,1,FALSE)),ISERROR(VLOOKUP(E1980,ABBR!C:F,1,FALSE))),"")</f>
        <v/>
      </c>
    </row>
    <row r="1981" spans="1:17" hidden="1" x14ac:dyDescent="0.25">
      <c r="A1981" s="38" t="s">
        <v>265</v>
      </c>
      <c r="B1981" s="40"/>
      <c r="C1981" s="16" t="s">
        <v>3707</v>
      </c>
      <c r="D1981" s="40"/>
      <c r="E1981" s="40" t="s">
        <v>608</v>
      </c>
      <c r="F1981" s="42" t="s">
        <v>642</v>
      </c>
      <c r="G1981" s="52" t="s">
        <v>16</v>
      </c>
      <c r="H1981" s="17">
        <v>14</v>
      </c>
      <c r="M1981" s="101"/>
      <c r="O1981" s="62" t="str">
        <f>IF(E1981="PA",IF(K1981&lt;&gt;"",ISERROR(VLOOKUP(K1981,ABBR!A:D,1,FALSE)),ISERROR(VLOOKUP(C1981,ABBR!A:D,1,FALSE))),"")</f>
        <v/>
      </c>
      <c r="P1981" t="str">
        <f>VLOOKUP(A1981,Groups!A:L,5,FALSE)</f>
        <v>SAMP</v>
      </c>
      <c r="Q1981" s="62" t="str">
        <f>IF(G1981="PA",IF(M1981&lt;&gt;"",ISERROR(VLOOKUP(M1981,ABBR!C:F,1,FALSE)),ISERROR(VLOOKUP(E1981,ABBR!C:F,1,FALSE))),"")</f>
        <v/>
      </c>
    </row>
    <row r="1982" spans="1:17" ht="25" hidden="1" x14ac:dyDescent="0.25">
      <c r="A1982" s="38" t="s">
        <v>265</v>
      </c>
      <c r="B1982" s="17"/>
      <c r="C1982" s="16" t="s">
        <v>3708</v>
      </c>
      <c r="D1982" s="17"/>
      <c r="E1982" s="17" t="s">
        <v>608</v>
      </c>
      <c r="F1982" s="18" t="s">
        <v>918</v>
      </c>
      <c r="G1982" s="49" t="s">
        <v>3709</v>
      </c>
      <c r="H1982" s="17">
        <v>15</v>
      </c>
      <c r="O1982" s="62" t="str">
        <f>IF(E1982="PA",IF(K1982&lt;&gt;"",ISERROR(VLOOKUP(K1982,ABBR!A:D,1,FALSE)),ISERROR(VLOOKUP(C1982,ABBR!A:D,1,FALSE))),"")</f>
        <v/>
      </c>
      <c r="P1982" t="str">
        <f>VLOOKUP(A1982,Groups!A:L,5,FALSE)</f>
        <v>SAMP</v>
      </c>
      <c r="Q1982" s="62" t="str">
        <f>IF(G1982="PA",IF(M1982&lt;&gt;"",ISERROR(VLOOKUP(M1982,ABBR!C:F,1,FALSE)),ISERROR(VLOOKUP(E1982,ABBR!C:F,1,FALSE))),"")</f>
        <v/>
      </c>
    </row>
    <row r="1983" spans="1:17" hidden="1" x14ac:dyDescent="0.25">
      <c r="A1983" s="38" t="s">
        <v>265</v>
      </c>
      <c r="B1983" s="17"/>
      <c r="C1983" s="16" t="s">
        <v>3710</v>
      </c>
      <c r="D1983" s="17"/>
      <c r="E1983" s="17" t="s">
        <v>608</v>
      </c>
      <c r="F1983" s="18" t="s">
        <v>950</v>
      </c>
      <c r="G1983" s="27" t="s">
        <v>951</v>
      </c>
      <c r="H1983" s="17">
        <v>16</v>
      </c>
      <c r="O1983" s="62" t="str">
        <f>IF(E1983="PA",IF(K1983&lt;&gt;"",ISERROR(VLOOKUP(K1983,ABBR!A:D,1,FALSE)),ISERROR(VLOOKUP(C1983,ABBR!A:D,1,FALSE))),"")</f>
        <v/>
      </c>
      <c r="P1983" t="str">
        <f>VLOOKUP(A1983,Groups!A:L,5,FALSE)</f>
        <v>SAMP</v>
      </c>
      <c r="Q1983" s="62" t="str">
        <f>IF(G1983="PA",IF(M1983&lt;&gt;"",ISERROR(VLOOKUP(M1983,ABBR!C:F,1,FALSE)),ISERROR(VLOOKUP(E1983,ABBR!C:F,1,FALSE))),"")</f>
        <v/>
      </c>
    </row>
    <row r="1984" spans="1:17" ht="25" hidden="1" x14ac:dyDescent="0.25">
      <c r="A1984" s="38" t="s">
        <v>265</v>
      </c>
      <c r="B1984" s="17"/>
      <c r="C1984" s="16" t="s">
        <v>3711</v>
      </c>
      <c r="D1984" s="17"/>
      <c r="E1984" s="17" t="s">
        <v>608</v>
      </c>
      <c r="F1984" s="18" t="s">
        <v>934</v>
      </c>
      <c r="G1984" s="49" t="s">
        <v>953</v>
      </c>
      <c r="H1984" s="17">
        <v>17</v>
      </c>
      <c r="O1984" s="62" t="str">
        <f>IF(E1984="PA",IF(K1984&lt;&gt;"",ISERROR(VLOOKUP(K1984,ABBR!A:D,1,FALSE)),ISERROR(VLOOKUP(C1984,ABBR!A:D,1,FALSE))),"")</f>
        <v/>
      </c>
      <c r="P1984" t="str">
        <f>VLOOKUP(A1984,Groups!A:L,5,FALSE)</f>
        <v>SAMP</v>
      </c>
      <c r="Q1984" s="62" t="str">
        <f>IF(G1984="PA",IF(M1984&lt;&gt;"",ISERROR(VLOOKUP(M1984,ABBR!C:F,1,FALSE)),ISERROR(VLOOKUP(E1984,ABBR!C:F,1,FALSE))),"")</f>
        <v/>
      </c>
    </row>
    <row r="1985" spans="1:17" hidden="1" x14ac:dyDescent="0.25">
      <c r="A1985" s="38" t="s">
        <v>265</v>
      </c>
      <c r="B1985" s="17"/>
      <c r="C1985" s="16" t="s">
        <v>936</v>
      </c>
      <c r="D1985" s="17"/>
      <c r="E1985" s="22" t="s">
        <v>608</v>
      </c>
      <c r="F1985" s="18" t="s">
        <v>937</v>
      </c>
      <c r="G1985" s="49" t="s">
        <v>938</v>
      </c>
      <c r="H1985" s="17">
        <v>18</v>
      </c>
      <c r="O1985" s="62" t="str">
        <f>IF(E1985="PA",IF(K1985&lt;&gt;"",ISERROR(VLOOKUP(K1985,ABBR!A:D,1,FALSE)),ISERROR(VLOOKUP(C1985,ABBR!A:D,1,FALSE))),"")</f>
        <v/>
      </c>
      <c r="P1985" t="str">
        <f>VLOOKUP(A1985,Groups!A:L,5,FALSE)</f>
        <v>SAMP</v>
      </c>
      <c r="Q1985" s="62" t="str">
        <f>IF(G1985="PA",IF(M1985&lt;&gt;"",ISERROR(VLOOKUP(M1985,ABBR!C:F,1,FALSE)),ISERROR(VLOOKUP(E1985,ABBR!C:F,1,FALSE))),"")</f>
        <v/>
      </c>
    </row>
    <row r="1986" spans="1:17" hidden="1" x14ac:dyDescent="0.25">
      <c r="A1986" s="38" t="s">
        <v>265</v>
      </c>
      <c r="B1986" s="17"/>
      <c r="C1986" s="16" t="s">
        <v>643</v>
      </c>
      <c r="D1986" s="17"/>
      <c r="E1986" s="17" t="s">
        <v>608</v>
      </c>
      <c r="F1986" s="18" t="s">
        <v>954</v>
      </c>
      <c r="G1986" s="49" t="s">
        <v>940</v>
      </c>
      <c r="H1986" s="17">
        <v>19</v>
      </c>
      <c r="O1986" s="62" t="str">
        <f>IF(E1986="PA",IF(K1986&lt;&gt;"",ISERROR(VLOOKUP(K1986,ABBR!A:D,1,FALSE)),ISERROR(VLOOKUP(C1986,ABBR!A:D,1,FALSE))),"")</f>
        <v/>
      </c>
      <c r="P1986" t="str">
        <f>VLOOKUP(A1986,Groups!A:L,5,FALSE)</f>
        <v>SAMP</v>
      </c>
      <c r="Q1986" s="62" t="str">
        <f>IF(G1986="PA",IF(M1986&lt;&gt;"",ISERROR(VLOOKUP(M1986,ABBR!C:F,1,FALSE)),ISERROR(VLOOKUP(E1986,ABBR!C:F,1,FALSE))),"")</f>
        <v/>
      </c>
    </row>
    <row r="1987" spans="1:17" hidden="1" x14ac:dyDescent="0.25">
      <c r="A1987" s="36" t="s">
        <v>265</v>
      </c>
      <c r="B1987" s="17"/>
      <c r="C1987" s="16" t="s">
        <v>877</v>
      </c>
      <c r="D1987" s="17" t="s">
        <v>600</v>
      </c>
      <c r="E1987" s="17" t="s">
        <v>601</v>
      </c>
      <c r="F1987" s="18" t="s">
        <v>878</v>
      </c>
      <c r="G1987" s="49" t="s">
        <v>879</v>
      </c>
      <c r="H1987" s="17">
        <v>20</v>
      </c>
      <c r="I1987" s="30" t="s">
        <v>955</v>
      </c>
      <c r="J1987" s="80">
        <v>4.0999999999999996</v>
      </c>
      <c r="O1987" s="62" t="str">
        <f>IF(E1987="PA",IF(K1987&lt;&gt;"",ISERROR(VLOOKUP(K1987,ABBR!A:D,1,FALSE)),ISERROR(VLOOKUP(C1987,ABBR!A:D,1,FALSE))),"")</f>
        <v/>
      </c>
      <c r="P1987" t="str">
        <f>VLOOKUP(A1987,Groups!A:L,5,FALSE)</f>
        <v>SAMP</v>
      </c>
      <c r="Q1987" s="62" t="str">
        <f>IF(G1987="PA",IF(M1987&lt;&gt;"",ISERROR(VLOOKUP(M1987,ABBR!C:F,1,FALSE)),ISERROR(VLOOKUP(E1987,ABBR!C:F,1,FALSE))),"")</f>
        <v/>
      </c>
    </row>
    <row r="1988" spans="1:17" hidden="1" x14ac:dyDescent="0.25">
      <c r="A1988" s="38" t="s">
        <v>265</v>
      </c>
      <c r="B1988" s="17"/>
      <c r="C1988" s="16" t="s">
        <v>3712</v>
      </c>
      <c r="D1988" s="17"/>
      <c r="E1988" s="17" t="s">
        <v>608</v>
      </c>
      <c r="F1988" s="18" t="s">
        <v>921</v>
      </c>
      <c r="G1988" s="94" t="s">
        <v>922</v>
      </c>
      <c r="H1988" s="17">
        <v>21</v>
      </c>
      <c r="I1988" s="30" t="s">
        <v>955</v>
      </c>
      <c r="J1988" s="80">
        <v>4.0999999999999996</v>
      </c>
      <c r="M1988" s="101"/>
      <c r="O1988" s="62" t="str">
        <f>IF(E1988="PA",IF(K1988&lt;&gt;"",ISERROR(VLOOKUP(K1988,ABBR!A:D,1,FALSE)),ISERROR(VLOOKUP(C1988,ABBR!A:D,1,FALSE))),"")</f>
        <v/>
      </c>
      <c r="P1988" t="str">
        <f>VLOOKUP(A1988,Groups!A:L,5,FALSE)</f>
        <v>SAMP</v>
      </c>
      <c r="Q1988" s="62" t="str">
        <f>IF(G1988="PA",IF(M1988&lt;&gt;"",ISERROR(VLOOKUP(M1988,ABBR!C:F,1,FALSE)),ISERROR(VLOOKUP(E1988,ABBR!C:F,1,FALSE))),"")</f>
        <v/>
      </c>
    </row>
    <row r="1989" spans="1:17" hidden="1" x14ac:dyDescent="0.25">
      <c r="A1989" s="38" t="s">
        <v>265</v>
      </c>
      <c r="B1989" s="17"/>
      <c r="C1989" s="16" t="s">
        <v>3713</v>
      </c>
      <c r="D1989" s="17" t="s">
        <v>924</v>
      </c>
      <c r="E1989" s="17" t="s">
        <v>925</v>
      </c>
      <c r="F1989" s="18" t="s">
        <v>926</v>
      </c>
      <c r="G1989" s="49" t="s">
        <v>927</v>
      </c>
      <c r="H1989" s="17">
        <v>22</v>
      </c>
      <c r="J1989" s="62" t="s">
        <v>473</v>
      </c>
      <c r="K1989" s="62"/>
      <c r="M1989" s="62"/>
      <c r="N1989" s="62"/>
      <c r="O1989" s="62" t="str">
        <f>IF(E1989="PA",IF(K1989&lt;&gt;"",ISERROR(VLOOKUP(K1989,ABBR!A:D,1,FALSE)),ISERROR(VLOOKUP(C1989,ABBR!A:D,1,FALSE))),"")</f>
        <v/>
      </c>
      <c r="P1989" t="str">
        <f>VLOOKUP(A1989,Groups!A:L,5,FALSE)</f>
        <v>SAMP</v>
      </c>
      <c r="Q1989" s="62" t="str">
        <f>IF(G1989="PA",IF(M1989&lt;&gt;"",ISERROR(VLOOKUP(M1989,ABBR!C:F,1,FALSE)),ISERROR(VLOOKUP(E1989,ABBR!C:F,1,FALSE))),"")</f>
        <v/>
      </c>
    </row>
    <row r="1990" spans="1:17" hidden="1" x14ac:dyDescent="0.25">
      <c r="A1990" s="38" t="s">
        <v>265</v>
      </c>
      <c r="B1990" s="17"/>
      <c r="C1990" s="16" t="s">
        <v>3714</v>
      </c>
      <c r="D1990" s="17"/>
      <c r="E1990" s="17" t="s">
        <v>608</v>
      </c>
      <c r="F1990" s="18" t="s">
        <v>875</v>
      </c>
      <c r="G1990" s="49" t="s">
        <v>876</v>
      </c>
      <c r="H1990" s="17">
        <v>23</v>
      </c>
      <c r="J1990" s="62" t="s">
        <v>532</v>
      </c>
      <c r="K1990" s="62"/>
      <c r="M1990" s="62"/>
      <c r="N1990" s="62"/>
      <c r="O1990" s="62" t="str">
        <f>IF(E1990="PA",IF(K1990&lt;&gt;"",ISERROR(VLOOKUP(K1990,ABBR!A:D,1,FALSE)),ISERROR(VLOOKUP(C1990,ABBR!A:D,1,FALSE))),"")</f>
        <v/>
      </c>
      <c r="P1990" t="str">
        <f>VLOOKUP(A1990,Groups!A:L,5,FALSE)</f>
        <v>SAMP</v>
      </c>
      <c r="Q1990" s="62" t="str">
        <f>IF(G1990="PA",IF(M1990&lt;&gt;"",ISERROR(VLOOKUP(M1990,ABBR!C:F,1,FALSE)),ISERROR(VLOOKUP(E1990,ABBR!C:F,1,FALSE))),"")</f>
        <v/>
      </c>
    </row>
    <row r="1991" spans="1:17" hidden="1" x14ac:dyDescent="0.25">
      <c r="A1991" s="38" t="s">
        <v>265</v>
      </c>
      <c r="B1991" s="17"/>
      <c r="C1991" s="16" t="s">
        <v>3715</v>
      </c>
      <c r="D1991" s="17"/>
      <c r="E1991" s="17" t="s">
        <v>608</v>
      </c>
      <c r="F1991" s="18" t="s">
        <v>929</v>
      </c>
      <c r="G1991" s="49" t="s">
        <v>876</v>
      </c>
      <c r="H1991" s="17">
        <v>24</v>
      </c>
      <c r="J1991" s="62" t="s">
        <v>532</v>
      </c>
      <c r="K1991" s="62"/>
      <c r="M1991" s="62"/>
      <c r="N1991" s="62"/>
      <c r="O1991" s="62" t="str">
        <f>IF(E1991="PA",IF(K1991&lt;&gt;"",ISERROR(VLOOKUP(K1991,ABBR!A:D,1,FALSE)),ISERROR(VLOOKUP(C1991,ABBR!A:D,1,FALSE))),"")</f>
        <v/>
      </c>
      <c r="P1991" t="str">
        <f>VLOOKUP(A1991,Groups!A:L,5,FALSE)</f>
        <v>SAMP</v>
      </c>
      <c r="Q1991" s="62" t="str">
        <f>IF(G1991="PA",IF(M1991&lt;&gt;"",ISERROR(VLOOKUP(M1991,ABBR!C:F,1,FALSE)),ISERROR(VLOOKUP(E1991,ABBR!C:F,1,FALSE))),"")</f>
        <v/>
      </c>
    </row>
    <row r="1992" spans="1:17" hidden="1" x14ac:dyDescent="0.25">
      <c r="A1992" s="38" t="s">
        <v>530</v>
      </c>
      <c r="B1992" s="17" t="s">
        <v>594</v>
      </c>
      <c r="C1992" s="16" t="s">
        <v>595</v>
      </c>
      <c r="D1992" s="17"/>
      <c r="E1992" s="17" t="s">
        <v>596</v>
      </c>
      <c r="F1992" s="18" t="s">
        <v>597</v>
      </c>
      <c r="G1992" s="49" t="s">
        <v>598</v>
      </c>
      <c r="H1992" s="17">
        <v>1</v>
      </c>
      <c r="J1992" s="62" t="s">
        <v>532</v>
      </c>
      <c r="K1992" s="62"/>
      <c r="M1992" s="62"/>
      <c r="N1992" s="62"/>
      <c r="O1992" s="62" t="str">
        <f>IF(E1992="PA",IF(K1992&lt;&gt;"",ISERROR(VLOOKUP(K1992,ABBR!A:D,1,FALSE)),ISERROR(VLOOKUP(C1992,ABBR!A:D,1,FALSE))),"")</f>
        <v/>
      </c>
      <c r="P1992" t="str">
        <f>VLOOKUP(A1992,Groups!A:L,5,FALSE)</f>
        <v>LDYN</v>
      </c>
      <c r="Q1992" s="62" t="str">
        <f>IF(G1992="PA",IF(M1992&lt;&gt;"",ISERROR(VLOOKUP(M1992,ABBR!C:F,1,FALSE)),ISERROR(VLOOKUP(E1992,ABBR!C:F,1,FALSE))),"")</f>
        <v/>
      </c>
    </row>
    <row r="1993" spans="1:17" hidden="1" x14ac:dyDescent="0.25">
      <c r="A1993" s="38" t="s">
        <v>530</v>
      </c>
      <c r="B1993" s="17" t="s">
        <v>594</v>
      </c>
      <c r="C1993" s="16" t="s">
        <v>851</v>
      </c>
      <c r="D1993" s="17" t="s">
        <v>600</v>
      </c>
      <c r="E1993" s="17" t="s">
        <v>601</v>
      </c>
      <c r="F1993" s="18" t="s">
        <v>852</v>
      </c>
      <c r="G1993" s="49" t="s">
        <v>853</v>
      </c>
      <c r="H1993" s="17">
        <v>2</v>
      </c>
      <c r="J1993" s="62" t="s">
        <v>532</v>
      </c>
      <c r="K1993" s="62"/>
      <c r="M1993" s="62"/>
      <c r="N1993" s="62"/>
      <c r="O1993" s="62" t="str">
        <f>IF(E1993="PA",IF(K1993&lt;&gt;"",ISERROR(VLOOKUP(K1993,ABBR!A:D,1,FALSE)),ISERROR(VLOOKUP(C1993,ABBR!A:D,1,FALSE))),"")</f>
        <v/>
      </c>
      <c r="P1993" t="str">
        <f>VLOOKUP(A1993,Groups!A:L,5,FALSE)</f>
        <v>LDYN</v>
      </c>
      <c r="Q1993" s="62" t="str">
        <f>IF(G1993="PA",IF(M1993&lt;&gt;"",ISERROR(VLOOKUP(M1993,ABBR!C:F,1,FALSE)),ISERROR(VLOOKUP(E1993,ABBR!C:F,1,FALSE))),"")</f>
        <v/>
      </c>
    </row>
    <row r="1994" spans="1:17" hidden="1" x14ac:dyDescent="0.25">
      <c r="A1994" s="38" t="s">
        <v>530</v>
      </c>
      <c r="B1994" s="17" t="s">
        <v>594</v>
      </c>
      <c r="C1994" s="16" t="s">
        <v>854</v>
      </c>
      <c r="D1994" s="17"/>
      <c r="E1994" s="17" t="s">
        <v>608</v>
      </c>
      <c r="F1994" s="18" t="s">
        <v>855</v>
      </c>
      <c r="G1994" s="49" t="s">
        <v>856</v>
      </c>
      <c r="H1994" s="17">
        <v>3</v>
      </c>
      <c r="J1994" s="62" t="s">
        <v>532</v>
      </c>
      <c r="K1994" s="62"/>
      <c r="M1994" s="62"/>
      <c r="N1994" s="62"/>
      <c r="O1994" s="62" t="str">
        <f>IF(E1994="PA",IF(K1994&lt;&gt;"",ISERROR(VLOOKUP(K1994,ABBR!A:D,1,FALSE)),ISERROR(VLOOKUP(C1994,ABBR!A:D,1,FALSE))),"")</f>
        <v/>
      </c>
      <c r="P1994" t="str">
        <f>VLOOKUP(A1994,Groups!A:L,5,FALSE)</f>
        <v>LDYN</v>
      </c>
      <c r="Q1994" s="62" t="str">
        <f>IF(G1994="PA",IF(M1994&lt;&gt;"",ISERROR(VLOOKUP(M1994,ABBR!C:F,1,FALSE)),ISERROR(VLOOKUP(E1994,ABBR!C:F,1,FALSE))),"")</f>
        <v/>
      </c>
    </row>
    <row r="1995" spans="1:17" hidden="1" x14ac:dyDescent="0.25">
      <c r="A1995" s="38" t="s">
        <v>530</v>
      </c>
      <c r="B1995" s="17" t="s">
        <v>594</v>
      </c>
      <c r="C1995" s="16" t="s">
        <v>857</v>
      </c>
      <c r="D1995" s="17"/>
      <c r="E1995" s="17" t="s">
        <v>618</v>
      </c>
      <c r="F1995" s="18" t="s">
        <v>858</v>
      </c>
      <c r="G1995" s="49" t="s">
        <v>859</v>
      </c>
      <c r="H1995" s="17">
        <v>4</v>
      </c>
      <c r="J1995" s="62" t="s">
        <v>532</v>
      </c>
      <c r="K1995" s="62"/>
      <c r="M1995" s="62"/>
      <c r="N1995" s="62"/>
      <c r="O1995" s="62" t="b">
        <f>IF(E1995="PA",IF(K1995&lt;&gt;"",ISERROR(VLOOKUP(K1995,ABBR!A:D,1,FALSE)),ISERROR(VLOOKUP(C1995,ABBR!A:D,1,FALSE))),"")</f>
        <v>0</v>
      </c>
      <c r="P1995" t="str">
        <f>VLOOKUP(A1995,Groups!A:L,5,FALSE)</f>
        <v>LDYN</v>
      </c>
      <c r="Q1995" s="62" t="str">
        <f>IF(G1995="PA",IF(M1995&lt;&gt;"",ISERROR(VLOOKUP(M1995,ABBR!C:F,1,FALSE)),ISERROR(VLOOKUP(E1995,ABBR!C:F,1,FALSE))),"")</f>
        <v/>
      </c>
    </row>
    <row r="1996" spans="1:17" hidden="1" x14ac:dyDescent="0.25">
      <c r="A1996" s="38" t="s">
        <v>530</v>
      </c>
      <c r="B1996" s="17" t="s">
        <v>594</v>
      </c>
      <c r="C1996" s="16" t="s">
        <v>860</v>
      </c>
      <c r="D1996" s="17"/>
      <c r="E1996" s="17" t="s">
        <v>596</v>
      </c>
      <c r="F1996" s="18" t="s">
        <v>942</v>
      </c>
      <c r="G1996" s="49" t="s">
        <v>862</v>
      </c>
      <c r="H1996" s="17">
        <v>5</v>
      </c>
      <c r="J1996" s="62" t="s">
        <v>532</v>
      </c>
      <c r="K1996" s="62"/>
      <c r="M1996" s="62"/>
      <c r="N1996" s="62"/>
      <c r="O1996" s="62" t="str">
        <f>IF(E1996="PA",IF(K1996&lt;&gt;"",ISERROR(VLOOKUP(K1996,ABBR!A:D,1,FALSE)),ISERROR(VLOOKUP(C1996,ABBR!A:D,1,FALSE))),"")</f>
        <v/>
      </c>
      <c r="P1996" t="str">
        <f>VLOOKUP(A1996,Groups!A:L,5,FALSE)</f>
        <v>LDYN</v>
      </c>
      <c r="Q1996" s="62" t="str">
        <f>IF(G1996="PA",IF(M1996&lt;&gt;"",ISERROR(VLOOKUP(M1996,ABBR!C:F,1,FALSE)),ISERROR(VLOOKUP(E1996,ABBR!C:F,1,FALSE))),"")</f>
        <v/>
      </c>
    </row>
    <row r="1997" spans="1:17" hidden="1" x14ac:dyDescent="0.25">
      <c r="A1997" s="38" t="s">
        <v>530</v>
      </c>
      <c r="B1997" s="17" t="s">
        <v>594</v>
      </c>
      <c r="C1997" s="16" t="s">
        <v>863</v>
      </c>
      <c r="D1997" s="17"/>
      <c r="E1997" s="17" t="s">
        <v>608</v>
      </c>
      <c r="F1997" s="18" t="s">
        <v>864</v>
      </c>
      <c r="G1997" s="49" t="s">
        <v>865</v>
      </c>
      <c r="H1997" s="17">
        <v>6</v>
      </c>
      <c r="J1997" s="62" t="s">
        <v>532</v>
      </c>
      <c r="K1997" s="62"/>
      <c r="M1997" s="62"/>
      <c r="N1997" s="62"/>
      <c r="O1997" s="62" t="str">
        <f>IF(E1997="PA",IF(K1997&lt;&gt;"",ISERROR(VLOOKUP(K1997,ABBR!A:D,1,FALSE)),ISERROR(VLOOKUP(C1997,ABBR!A:D,1,FALSE))),"")</f>
        <v/>
      </c>
      <c r="P1997" t="str">
        <f>VLOOKUP(A1997,Groups!A:L,5,FALSE)</f>
        <v>LDYN</v>
      </c>
      <c r="Q1997" s="62" t="str">
        <f>IF(G1997="PA",IF(M1997&lt;&gt;"",ISERROR(VLOOKUP(M1997,ABBR!C:F,1,FALSE)),ISERROR(VLOOKUP(E1997,ABBR!C:F,1,FALSE))),"")</f>
        <v/>
      </c>
    </row>
    <row r="1998" spans="1:17" hidden="1" x14ac:dyDescent="0.25">
      <c r="A1998" s="38" t="s">
        <v>530</v>
      </c>
      <c r="B1998" s="17" t="s">
        <v>594</v>
      </c>
      <c r="C1998" s="16" t="s">
        <v>866</v>
      </c>
      <c r="D1998" s="17" t="s">
        <v>600</v>
      </c>
      <c r="E1998" s="17" t="s">
        <v>601</v>
      </c>
      <c r="F1998" s="18" t="s">
        <v>867</v>
      </c>
      <c r="G1998" s="49" t="s">
        <v>853</v>
      </c>
      <c r="H1998" s="17">
        <v>7</v>
      </c>
      <c r="J1998" s="62" t="s">
        <v>532</v>
      </c>
      <c r="K1998" s="62"/>
      <c r="M1998" s="62"/>
      <c r="N1998" s="62"/>
      <c r="O1998" s="62" t="str">
        <f>IF(E1998="PA",IF(K1998&lt;&gt;"",ISERROR(VLOOKUP(K1998,ABBR!A:D,1,FALSE)),ISERROR(VLOOKUP(C1998,ABBR!A:D,1,FALSE))),"")</f>
        <v/>
      </c>
      <c r="P1998" t="str">
        <f>VLOOKUP(A1998,Groups!A:L,5,FALSE)</f>
        <v>LDYN</v>
      </c>
      <c r="Q1998" s="62" t="str">
        <f>IF(G1998="PA",IF(M1998&lt;&gt;"",ISERROR(VLOOKUP(M1998,ABBR!C:F,1,FALSE)),ISERROR(VLOOKUP(E1998,ABBR!C:F,1,FALSE))),"")</f>
        <v/>
      </c>
    </row>
    <row r="1999" spans="1:17" hidden="1" x14ac:dyDescent="0.25">
      <c r="A1999" s="38" t="s">
        <v>530</v>
      </c>
      <c r="B1999" s="17" t="s">
        <v>594</v>
      </c>
      <c r="C1999" s="16" t="s">
        <v>3716</v>
      </c>
      <c r="D1999" s="17"/>
      <c r="E1999" s="17" t="s">
        <v>608</v>
      </c>
      <c r="F1999" s="18" t="s">
        <v>1323</v>
      </c>
      <c r="G1999" s="49" t="s">
        <v>631</v>
      </c>
      <c r="H1999" s="17">
        <v>8</v>
      </c>
      <c r="J1999" s="62" t="s">
        <v>532</v>
      </c>
      <c r="K1999" s="62"/>
      <c r="M1999" s="62"/>
      <c r="N1999" s="62"/>
      <c r="O1999" s="62" t="str">
        <f>IF(E1999="PA",IF(K1999&lt;&gt;"",ISERROR(VLOOKUP(K1999,ABBR!A:D,1,FALSE)),ISERROR(VLOOKUP(C1999,ABBR!A:D,1,FALSE))),"")</f>
        <v/>
      </c>
      <c r="P1999" t="str">
        <f>VLOOKUP(A1999,Groups!A:L,5,FALSE)</f>
        <v>LDYN</v>
      </c>
      <c r="Q1999" s="62" t="str">
        <f>IF(G1999="PA",IF(M1999&lt;&gt;"",ISERROR(VLOOKUP(M1999,ABBR!C:F,1,FALSE)),ISERROR(VLOOKUP(E1999,ABBR!C:F,1,FALSE))),"")</f>
        <v/>
      </c>
    </row>
    <row r="2000" spans="1:17" hidden="1" x14ac:dyDescent="0.25">
      <c r="A2000" s="38" t="s">
        <v>530</v>
      </c>
      <c r="B2000" s="17" t="s">
        <v>594</v>
      </c>
      <c r="C2000" s="16" t="s">
        <v>3717</v>
      </c>
      <c r="D2000" s="17" t="s">
        <v>3718</v>
      </c>
      <c r="E2000" s="17" t="s">
        <v>723</v>
      </c>
      <c r="F2000" s="18" t="s">
        <v>3383</v>
      </c>
      <c r="G2000" s="49" t="s">
        <v>3719</v>
      </c>
      <c r="H2000" s="17">
        <v>9</v>
      </c>
      <c r="J2000" s="62" t="s">
        <v>532</v>
      </c>
      <c r="K2000" s="62"/>
      <c r="L2000" s="62"/>
      <c r="M2000" s="62"/>
      <c r="N2000" s="62"/>
      <c r="O2000" s="62" t="str">
        <f>IF(E2000="PA",IF(K2000&lt;&gt;"",ISERROR(VLOOKUP(K2000,ABBR!A:D,1,FALSE)),ISERROR(VLOOKUP(C2000,ABBR!A:D,1,FALSE))),"")</f>
        <v/>
      </c>
      <c r="P2000" t="str">
        <f>VLOOKUP(A2000,Groups!A:L,5,FALSE)</f>
        <v>LDYN</v>
      </c>
      <c r="Q2000" s="62" t="str">
        <f>IF(G2000="PA",IF(M2000&lt;&gt;"",ISERROR(VLOOKUP(M2000,ABBR!C:F,1,FALSE)),ISERROR(VLOOKUP(E2000,ABBR!C:F,1,FALSE))),"")</f>
        <v/>
      </c>
    </row>
    <row r="2001" spans="1:17" hidden="1" x14ac:dyDescent="0.25">
      <c r="A2001" s="38" t="s">
        <v>530</v>
      </c>
      <c r="B2001" s="17"/>
      <c r="C2001" s="16" t="s">
        <v>3720</v>
      </c>
      <c r="D2001" s="17"/>
      <c r="E2001" s="17" t="s">
        <v>767</v>
      </c>
      <c r="F2001" s="18" t="s">
        <v>3721</v>
      </c>
      <c r="G2001" s="49" t="s">
        <v>3722</v>
      </c>
      <c r="H2001" s="17">
        <v>10</v>
      </c>
      <c r="J2001" s="62" t="s">
        <v>532</v>
      </c>
      <c r="K2001" s="62"/>
      <c r="L2001" s="62"/>
      <c r="M2001" s="62"/>
      <c r="N2001" s="62"/>
      <c r="O2001" s="62" t="str">
        <f>IF(E2001="PA",IF(K2001&lt;&gt;"",ISERROR(VLOOKUP(K2001,ABBR!A:D,1,FALSE)),ISERROR(VLOOKUP(C2001,ABBR!A:D,1,FALSE))),"")</f>
        <v/>
      </c>
      <c r="P2001" t="str">
        <f>VLOOKUP(A2001,Groups!A:L,5,FALSE)</f>
        <v>LDYN</v>
      </c>
      <c r="Q2001" s="62" t="str">
        <f>IF(G2001="PA",IF(M2001&lt;&gt;"",ISERROR(VLOOKUP(M2001,ABBR!C:F,1,FALSE)),ISERROR(VLOOKUP(E2001,ABBR!C:F,1,FALSE))),"")</f>
        <v/>
      </c>
    </row>
    <row r="2002" spans="1:17" hidden="1" x14ac:dyDescent="0.25">
      <c r="A2002" s="38" t="s">
        <v>530</v>
      </c>
      <c r="B2002" s="17"/>
      <c r="C2002" s="16" t="s">
        <v>3723</v>
      </c>
      <c r="D2002" s="17"/>
      <c r="E2002" s="17" t="s">
        <v>767</v>
      </c>
      <c r="F2002" s="18" t="s">
        <v>3724</v>
      </c>
      <c r="G2002" s="49" t="s">
        <v>3722</v>
      </c>
      <c r="H2002" s="17">
        <v>11</v>
      </c>
      <c r="J2002" s="62" t="s">
        <v>532</v>
      </c>
      <c r="K2002" s="62"/>
      <c r="L2002" s="62"/>
      <c r="M2002" s="62"/>
      <c r="N2002" s="62"/>
      <c r="O2002" s="62" t="str">
        <f>IF(E2002="PA",IF(K2002&lt;&gt;"",ISERROR(VLOOKUP(K2002,ABBR!A:D,1,FALSE)),ISERROR(VLOOKUP(C2002,ABBR!A:D,1,FALSE))),"")</f>
        <v/>
      </c>
      <c r="P2002" t="str">
        <f>VLOOKUP(A2002,Groups!A:L,5,FALSE)</f>
        <v>LDYN</v>
      </c>
      <c r="Q2002" s="62" t="str">
        <f>IF(G2002="PA",IF(M2002&lt;&gt;"",ISERROR(VLOOKUP(M2002,ABBR!C:F,1,FALSE)),ISERROR(VLOOKUP(E2002,ABBR!C:F,1,FALSE))),"")</f>
        <v/>
      </c>
    </row>
    <row r="2003" spans="1:17" hidden="1" x14ac:dyDescent="0.25">
      <c r="A2003" s="38" t="s">
        <v>530</v>
      </c>
      <c r="B2003" s="17"/>
      <c r="C2003" s="16" t="s">
        <v>3725</v>
      </c>
      <c r="D2003" s="17" t="s">
        <v>766</v>
      </c>
      <c r="E2003" s="17" t="s">
        <v>601</v>
      </c>
      <c r="F2003" s="18" t="s">
        <v>3726</v>
      </c>
      <c r="G2003" s="49" t="s">
        <v>3727</v>
      </c>
      <c r="H2003" s="17">
        <v>12</v>
      </c>
      <c r="J2003" s="62" t="s">
        <v>532</v>
      </c>
      <c r="K2003" s="62"/>
      <c r="L2003" s="62"/>
      <c r="M2003" s="62"/>
      <c r="N2003" s="62"/>
      <c r="O2003" s="62" t="str">
        <f>IF(E2003="PA",IF(K2003&lt;&gt;"",ISERROR(VLOOKUP(K2003,ABBR!A:D,1,FALSE)),ISERROR(VLOOKUP(C2003,ABBR!A:D,1,FALSE))),"")</f>
        <v/>
      </c>
      <c r="P2003" t="str">
        <f>VLOOKUP(A2003,Groups!A:L,5,FALSE)</f>
        <v>LDYN</v>
      </c>
      <c r="Q2003" s="62" t="str">
        <f>IF(G2003="PA",IF(M2003&lt;&gt;"",ISERROR(VLOOKUP(M2003,ABBR!C:F,1,FALSE)),ISERROR(VLOOKUP(E2003,ABBR!C:F,1,FALSE))),"")</f>
        <v/>
      </c>
    </row>
    <row r="2004" spans="1:17" hidden="1" x14ac:dyDescent="0.25">
      <c r="A2004" s="38" t="s">
        <v>530</v>
      </c>
      <c r="B2004" s="17"/>
      <c r="C2004" s="16" t="s">
        <v>3728</v>
      </c>
      <c r="D2004" s="17" t="s">
        <v>766</v>
      </c>
      <c r="E2004" s="17" t="s">
        <v>601</v>
      </c>
      <c r="F2004" s="18" t="s">
        <v>3729</v>
      </c>
      <c r="G2004" s="49" t="s">
        <v>3730</v>
      </c>
      <c r="H2004" s="17">
        <v>13</v>
      </c>
      <c r="J2004" s="62" t="s">
        <v>532</v>
      </c>
      <c r="K2004" s="62"/>
      <c r="L2004" s="62"/>
      <c r="M2004" s="62"/>
      <c r="N2004" s="62"/>
      <c r="O2004" s="62" t="str">
        <f>IF(E2004="PA",IF(K2004&lt;&gt;"",ISERROR(VLOOKUP(K2004,ABBR!A:D,1,FALSE)),ISERROR(VLOOKUP(C2004,ABBR!A:D,1,FALSE))),"")</f>
        <v/>
      </c>
      <c r="P2004" t="str">
        <f>VLOOKUP(A2004,Groups!A:L,5,FALSE)</f>
        <v>LDYN</v>
      </c>
      <c r="Q2004" s="62" t="str">
        <f>IF(G2004="PA",IF(M2004&lt;&gt;"",ISERROR(VLOOKUP(M2004,ABBR!C:F,1,FALSE)),ISERROR(VLOOKUP(E2004,ABBR!C:F,1,FALSE))),"")</f>
        <v/>
      </c>
    </row>
    <row r="2005" spans="1:17" hidden="1" x14ac:dyDescent="0.25">
      <c r="A2005" s="38" t="s">
        <v>533</v>
      </c>
      <c r="B2005" s="17" t="s">
        <v>594</v>
      </c>
      <c r="C2005" s="16" t="s">
        <v>595</v>
      </c>
      <c r="D2005" s="17"/>
      <c r="E2005" s="17" t="s">
        <v>596</v>
      </c>
      <c r="F2005" s="18" t="s">
        <v>597</v>
      </c>
      <c r="G2005" s="49" t="s">
        <v>598</v>
      </c>
      <c r="H2005" s="17">
        <v>1</v>
      </c>
      <c r="J2005" s="62" t="s">
        <v>478</v>
      </c>
      <c r="K2005" s="62"/>
      <c r="L2005" s="62"/>
      <c r="M2005" s="62"/>
      <c r="N2005" s="62"/>
      <c r="O2005" s="62" t="str">
        <f>IF(E2005="PA",IF(K2005&lt;&gt;"",ISERROR(VLOOKUP(K2005,ABBR!A:D,1,FALSE)),ISERROR(VLOOKUP(C2005,ABBR!A:D,1,FALSE))),"")</f>
        <v/>
      </c>
      <c r="P2005" t="str">
        <f>VLOOKUP(A2005,Groups!A:L,5,FALSE)</f>
        <v>SAMP</v>
      </c>
      <c r="Q2005" s="62" t="str">
        <f>IF(G2005="PA",IF(M2005&lt;&gt;"",ISERROR(VLOOKUP(M2005,ABBR!C:F,1,FALSE)),ISERROR(VLOOKUP(E2005,ABBR!C:F,1,FALSE))),"")</f>
        <v/>
      </c>
    </row>
    <row r="2006" spans="1:17" hidden="1" x14ac:dyDescent="0.25">
      <c r="A2006" s="38" t="s">
        <v>533</v>
      </c>
      <c r="B2006" s="17" t="s">
        <v>594</v>
      </c>
      <c r="C2006" s="16" t="s">
        <v>851</v>
      </c>
      <c r="D2006" s="17" t="s">
        <v>600</v>
      </c>
      <c r="E2006" s="17" t="s">
        <v>601</v>
      </c>
      <c r="F2006" s="18" t="s">
        <v>852</v>
      </c>
      <c r="G2006" s="49" t="s">
        <v>853</v>
      </c>
      <c r="H2006" s="17">
        <f t="shared" ref="H2006:H2026" si="12">H2005+1</f>
        <v>2</v>
      </c>
      <c r="J2006" s="62" t="s">
        <v>478</v>
      </c>
      <c r="K2006" s="62"/>
      <c r="L2006" s="62"/>
      <c r="M2006" s="62"/>
      <c r="N2006" s="62"/>
      <c r="O2006" s="62" t="str">
        <f>IF(E2006="PA",IF(K2006&lt;&gt;"",ISERROR(VLOOKUP(K2006,ABBR!A:D,1,FALSE)),ISERROR(VLOOKUP(C2006,ABBR!A:D,1,FALSE))),"")</f>
        <v/>
      </c>
      <c r="P2006" t="str">
        <f>VLOOKUP(A2006,Groups!A:L,5,FALSE)</f>
        <v>SAMP</v>
      </c>
      <c r="Q2006" s="62" t="str">
        <f>IF(G2006="PA",IF(M2006&lt;&gt;"",ISERROR(VLOOKUP(M2006,ABBR!C:F,1,FALSE)),ISERROR(VLOOKUP(E2006,ABBR!C:F,1,FALSE))),"")</f>
        <v/>
      </c>
    </row>
    <row r="2007" spans="1:17" hidden="1" x14ac:dyDescent="0.25">
      <c r="A2007" s="38" t="s">
        <v>533</v>
      </c>
      <c r="B2007" s="17" t="s">
        <v>594</v>
      </c>
      <c r="C2007" s="16" t="s">
        <v>854</v>
      </c>
      <c r="D2007" s="17"/>
      <c r="E2007" s="17" t="s">
        <v>608</v>
      </c>
      <c r="F2007" s="18" t="s">
        <v>855</v>
      </c>
      <c r="G2007" s="49" t="s">
        <v>856</v>
      </c>
      <c r="H2007" s="17">
        <f t="shared" si="12"/>
        <v>3</v>
      </c>
      <c r="J2007" s="62" t="s">
        <v>478</v>
      </c>
      <c r="K2007" s="62"/>
      <c r="L2007" s="62"/>
      <c r="M2007" s="62"/>
      <c r="N2007" s="62"/>
      <c r="O2007" s="62" t="str">
        <f>IF(E2007="PA",IF(K2007&lt;&gt;"",ISERROR(VLOOKUP(K2007,ABBR!A:D,1,FALSE)),ISERROR(VLOOKUP(C2007,ABBR!A:D,1,FALSE))),"")</f>
        <v/>
      </c>
      <c r="P2007" t="str">
        <f>VLOOKUP(A2007,Groups!A:L,5,FALSE)</f>
        <v>SAMP</v>
      </c>
      <c r="Q2007" s="62" t="str">
        <f>IF(G2007="PA",IF(M2007&lt;&gt;"",ISERROR(VLOOKUP(M2007,ABBR!C:F,1,FALSE)),ISERROR(VLOOKUP(E2007,ABBR!C:F,1,FALSE))),"")</f>
        <v/>
      </c>
    </row>
    <row r="2008" spans="1:17" hidden="1" x14ac:dyDescent="0.25">
      <c r="A2008" s="38" t="s">
        <v>533</v>
      </c>
      <c r="B2008" s="17" t="s">
        <v>594</v>
      </c>
      <c r="C2008" s="16" t="s">
        <v>857</v>
      </c>
      <c r="D2008" s="17"/>
      <c r="E2008" s="17" t="s">
        <v>618</v>
      </c>
      <c r="F2008" s="18" t="s">
        <v>858</v>
      </c>
      <c r="G2008" s="49" t="s">
        <v>859</v>
      </c>
      <c r="H2008" s="17">
        <f t="shared" si="12"/>
        <v>4</v>
      </c>
      <c r="J2008" s="62" t="s">
        <v>478</v>
      </c>
      <c r="K2008" s="62"/>
      <c r="L2008" s="62"/>
      <c r="M2008" s="62"/>
      <c r="N2008" s="62"/>
      <c r="O2008" s="62" t="b">
        <f>IF(E2008="PA",IF(K2008&lt;&gt;"",ISERROR(VLOOKUP(K2008,ABBR!A:D,1,FALSE)),ISERROR(VLOOKUP(C2008,ABBR!A:D,1,FALSE))),"")</f>
        <v>0</v>
      </c>
      <c r="P2008" t="str">
        <f>VLOOKUP(A2008,Groups!A:L,5,FALSE)</f>
        <v>SAMP</v>
      </c>
      <c r="Q2008" s="62" t="str">
        <f>IF(G2008="PA",IF(M2008&lt;&gt;"",ISERROR(VLOOKUP(M2008,ABBR!C:F,1,FALSE)),ISERROR(VLOOKUP(E2008,ABBR!C:F,1,FALSE))),"")</f>
        <v/>
      </c>
    </row>
    <row r="2009" spans="1:17" hidden="1" x14ac:dyDescent="0.25">
      <c r="A2009" s="38" t="s">
        <v>533</v>
      </c>
      <c r="B2009" s="17" t="s">
        <v>594</v>
      </c>
      <c r="C2009" s="16" t="s">
        <v>860</v>
      </c>
      <c r="D2009" s="17"/>
      <c r="E2009" s="17" t="s">
        <v>596</v>
      </c>
      <c r="F2009" s="18" t="s">
        <v>861</v>
      </c>
      <c r="G2009" s="49" t="s">
        <v>862</v>
      </c>
      <c r="H2009" s="17">
        <f t="shared" si="12"/>
        <v>5</v>
      </c>
      <c r="J2009" s="62" t="s">
        <v>478</v>
      </c>
      <c r="K2009" s="62"/>
      <c r="L2009" s="62"/>
      <c r="M2009" s="62"/>
      <c r="N2009" s="62"/>
      <c r="O2009" s="62" t="str">
        <f>IF(E2009="PA",IF(K2009&lt;&gt;"",ISERROR(VLOOKUP(K2009,ABBR!A:D,1,FALSE)),ISERROR(VLOOKUP(C2009,ABBR!A:D,1,FALSE))),"")</f>
        <v/>
      </c>
      <c r="P2009" t="str">
        <f>VLOOKUP(A2009,Groups!A:L,5,FALSE)</f>
        <v>SAMP</v>
      </c>
      <c r="Q2009" s="62" t="str">
        <f>IF(G2009="PA",IF(M2009&lt;&gt;"",ISERROR(VLOOKUP(M2009,ABBR!C:F,1,FALSE)),ISERROR(VLOOKUP(E2009,ABBR!C:F,1,FALSE))),"")</f>
        <v/>
      </c>
    </row>
    <row r="2010" spans="1:17" hidden="1" x14ac:dyDescent="0.25">
      <c r="A2010" s="38" t="s">
        <v>533</v>
      </c>
      <c r="B2010" s="17" t="s">
        <v>594</v>
      </c>
      <c r="C2010" s="16" t="s">
        <v>863</v>
      </c>
      <c r="D2010" s="17"/>
      <c r="E2010" s="17" t="s">
        <v>608</v>
      </c>
      <c r="F2010" s="18" t="s">
        <v>864</v>
      </c>
      <c r="G2010" s="49" t="s">
        <v>865</v>
      </c>
      <c r="H2010" s="17">
        <f t="shared" si="12"/>
        <v>6</v>
      </c>
      <c r="J2010" s="62" t="s">
        <v>478</v>
      </c>
      <c r="K2010" s="62"/>
      <c r="L2010" s="62"/>
      <c r="M2010" s="62"/>
      <c r="N2010" s="62"/>
      <c r="O2010" s="62" t="str">
        <f>IF(E2010="PA",IF(K2010&lt;&gt;"",ISERROR(VLOOKUP(K2010,ABBR!A:D,1,FALSE)),ISERROR(VLOOKUP(C2010,ABBR!A:D,1,FALSE))),"")</f>
        <v/>
      </c>
      <c r="P2010" t="str">
        <f>VLOOKUP(A2010,Groups!A:L,5,FALSE)</f>
        <v>SAMP</v>
      </c>
      <c r="Q2010" s="62" t="str">
        <f>IF(G2010="PA",IF(M2010&lt;&gt;"",ISERROR(VLOOKUP(M2010,ABBR!C:F,1,FALSE)),ISERROR(VLOOKUP(E2010,ABBR!C:F,1,FALSE))),"")</f>
        <v/>
      </c>
    </row>
    <row r="2011" spans="1:17" hidden="1" x14ac:dyDescent="0.25">
      <c r="A2011" s="38" t="s">
        <v>533</v>
      </c>
      <c r="B2011" s="17" t="s">
        <v>594</v>
      </c>
      <c r="C2011" s="16" t="s">
        <v>866</v>
      </c>
      <c r="D2011" s="17" t="s">
        <v>600</v>
      </c>
      <c r="E2011" s="17" t="s">
        <v>601</v>
      </c>
      <c r="F2011" s="18" t="s">
        <v>867</v>
      </c>
      <c r="G2011" s="49" t="s">
        <v>853</v>
      </c>
      <c r="H2011" s="17">
        <f t="shared" si="12"/>
        <v>7</v>
      </c>
      <c r="J2011" s="62" t="s">
        <v>478</v>
      </c>
      <c r="K2011" s="62"/>
      <c r="L2011" s="62"/>
      <c r="M2011" s="62"/>
      <c r="N2011" s="62"/>
      <c r="O2011" s="62" t="str">
        <f>IF(E2011="PA",IF(K2011&lt;&gt;"",ISERROR(VLOOKUP(K2011,ABBR!A:D,1,FALSE)),ISERROR(VLOOKUP(C2011,ABBR!A:D,1,FALSE))),"")</f>
        <v/>
      </c>
      <c r="P2011" t="str">
        <f>VLOOKUP(A2011,Groups!A:L,5,FALSE)</f>
        <v>SAMP</v>
      </c>
      <c r="Q2011" s="62" t="str">
        <f>IF(G2011="PA",IF(M2011&lt;&gt;"",ISERROR(VLOOKUP(M2011,ABBR!C:F,1,FALSE)),ISERROR(VLOOKUP(E2011,ABBR!C:F,1,FALSE))),"")</f>
        <v/>
      </c>
    </row>
    <row r="2012" spans="1:17" hidden="1" x14ac:dyDescent="0.25">
      <c r="A2012" s="38" t="s">
        <v>533</v>
      </c>
      <c r="B2012" s="46"/>
      <c r="C2012" s="9" t="s">
        <v>868</v>
      </c>
      <c r="D2012" s="46"/>
      <c r="E2012" s="46" t="s">
        <v>608</v>
      </c>
      <c r="F2012" s="93" t="s">
        <v>869</v>
      </c>
      <c r="G2012" s="51" t="s">
        <v>3265</v>
      </c>
      <c r="H2012" s="17">
        <f t="shared" si="12"/>
        <v>8</v>
      </c>
      <c r="I2012"/>
      <c r="J2012" s="34" t="s">
        <v>473</v>
      </c>
      <c r="O2012" s="62" t="str">
        <f>IF(E2012="PA",IF(K2012&lt;&gt;"",ISERROR(VLOOKUP(K2012,ABBR!A:D,1,FALSE)),ISERROR(VLOOKUP(C2012,ABBR!A:D,1,FALSE))),"")</f>
        <v/>
      </c>
      <c r="P2012" t="str">
        <f>VLOOKUP(A2012,Groups!A:L,5,FALSE)</f>
        <v>SAMP</v>
      </c>
      <c r="Q2012" s="62" t="str">
        <f>IF(G2012="PA",IF(M2012&lt;&gt;"",ISERROR(VLOOKUP(M2012,ABBR!C:F,1,FALSE)),ISERROR(VLOOKUP(E2012,ABBR!C:F,1,FALSE))),"")</f>
        <v/>
      </c>
    </row>
    <row r="2013" spans="1:17" ht="25" hidden="1" x14ac:dyDescent="0.25">
      <c r="A2013" s="38" t="s">
        <v>533</v>
      </c>
      <c r="B2013" s="46"/>
      <c r="C2013" s="9" t="s">
        <v>871</v>
      </c>
      <c r="D2013" s="46"/>
      <c r="E2013" s="46" t="s">
        <v>608</v>
      </c>
      <c r="F2013" s="93" t="s">
        <v>872</v>
      </c>
      <c r="G2013" s="94" t="s">
        <v>873</v>
      </c>
      <c r="H2013" s="17">
        <f t="shared" si="12"/>
        <v>9</v>
      </c>
      <c r="I2013"/>
      <c r="J2013" s="34" t="s">
        <v>473</v>
      </c>
      <c r="O2013" s="62" t="str">
        <f>IF(E2013="PA",IF(K2013&lt;&gt;"",ISERROR(VLOOKUP(K2013,ABBR!A:D,1,FALSE)),ISERROR(VLOOKUP(C2013,ABBR!A:D,1,FALSE))),"")</f>
        <v/>
      </c>
      <c r="P2013" t="str">
        <f>VLOOKUP(A2013,Groups!A:L,5,FALSE)</f>
        <v>SAMP</v>
      </c>
      <c r="Q2013" s="62" t="str">
        <f>IF(G2013="PA",IF(M2013&lt;&gt;"",ISERROR(VLOOKUP(M2013,ABBR!C:F,1,FALSE)),ISERROR(VLOOKUP(E2013,ABBR!C:F,1,FALSE))),"")</f>
        <v/>
      </c>
    </row>
    <row r="2014" spans="1:17" hidden="1" x14ac:dyDescent="0.25">
      <c r="A2014" s="38" t="s">
        <v>533</v>
      </c>
      <c r="B2014" s="17"/>
      <c r="C2014" s="16" t="s">
        <v>3731</v>
      </c>
      <c r="D2014" s="17"/>
      <c r="E2014" s="17" t="s">
        <v>608</v>
      </c>
      <c r="F2014" s="18" t="s">
        <v>875</v>
      </c>
      <c r="G2014" s="49" t="s">
        <v>876</v>
      </c>
      <c r="H2014" s="17">
        <f t="shared" si="12"/>
        <v>10</v>
      </c>
      <c r="J2014" s="62" t="s">
        <v>473</v>
      </c>
      <c r="K2014" s="62"/>
      <c r="L2014" s="62"/>
      <c r="N2014" s="62"/>
      <c r="O2014" s="62" t="str">
        <f>IF(E2014="PA",IF(K2014&lt;&gt;"",ISERROR(VLOOKUP(K2014,ABBR!A:D,1,FALSE)),ISERROR(VLOOKUP(C2014,ABBR!A:D,1,FALSE))),"")</f>
        <v/>
      </c>
      <c r="P2014" t="str">
        <f>VLOOKUP(A2014,Groups!A:L,5,FALSE)</f>
        <v>SAMP</v>
      </c>
      <c r="Q2014" s="62" t="str">
        <f>IF(G2014="PA",IF(M2014&lt;&gt;"",ISERROR(VLOOKUP(M2014,ABBR!C:F,1,FALSE)),ISERROR(VLOOKUP(E2014,ABBR!C:F,1,FALSE))),"")</f>
        <v/>
      </c>
    </row>
    <row r="2015" spans="1:17" hidden="1" x14ac:dyDescent="0.25">
      <c r="A2015" s="38" t="s">
        <v>533</v>
      </c>
      <c r="B2015" s="46"/>
      <c r="C2015" s="9" t="s">
        <v>877</v>
      </c>
      <c r="D2015" s="46" t="s">
        <v>600</v>
      </c>
      <c r="E2015" s="46" t="s">
        <v>601</v>
      </c>
      <c r="F2015" s="93" t="s">
        <v>878</v>
      </c>
      <c r="G2015" s="94" t="s">
        <v>879</v>
      </c>
      <c r="H2015" s="17">
        <f t="shared" si="12"/>
        <v>11</v>
      </c>
      <c r="I2015"/>
      <c r="J2015" s="34" t="s">
        <v>473</v>
      </c>
      <c r="O2015" s="62" t="str">
        <f>IF(E2015="PA",IF(K2015&lt;&gt;"",ISERROR(VLOOKUP(K2015,ABBR!A:D,1,FALSE)),ISERROR(VLOOKUP(C2015,ABBR!A:D,1,FALSE))),"")</f>
        <v/>
      </c>
      <c r="P2015" t="str">
        <f>VLOOKUP(A2015,Groups!A:L,5,FALSE)</f>
        <v>SAMP</v>
      </c>
      <c r="Q2015" s="62" t="str">
        <f>IF(G2015="PA",IF(M2015&lt;&gt;"",ISERROR(VLOOKUP(M2015,ABBR!C:F,1,FALSE)),ISERROR(VLOOKUP(E2015,ABBR!C:F,1,FALSE))),"")</f>
        <v/>
      </c>
    </row>
    <row r="2016" spans="1:17" hidden="1" x14ac:dyDescent="0.25">
      <c r="A2016" s="38" t="s">
        <v>533</v>
      </c>
      <c r="B2016" s="17"/>
      <c r="C2016" s="16" t="s">
        <v>3732</v>
      </c>
      <c r="D2016" s="17"/>
      <c r="E2016" s="17" t="s">
        <v>618</v>
      </c>
      <c r="F2016" s="18" t="s">
        <v>3733</v>
      </c>
      <c r="G2016" s="49" t="s">
        <v>3734</v>
      </c>
      <c r="H2016" s="17">
        <f t="shared" si="12"/>
        <v>12</v>
      </c>
      <c r="J2016" s="62" t="s">
        <v>478</v>
      </c>
      <c r="K2016" s="62"/>
      <c r="L2016" s="62"/>
      <c r="M2016" s="62"/>
      <c r="N2016" s="62"/>
      <c r="O2016" s="62" t="b">
        <f>IF(E2016="PA",IF(K2016&lt;&gt;"",ISERROR(VLOOKUP(K2016,ABBR!A:D,1,FALSE)),ISERROR(VLOOKUP(C2016,ABBR!A:D,1,FALSE))),"")</f>
        <v>0</v>
      </c>
      <c r="P2016" t="str">
        <f>VLOOKUP(A2016,Groups!A:L,5,FALSE)</f>
        <v>SAMP</v>
      </c>
      <c r="Q2016" s="62" t="str">
        <f>IF(G2016="PA",IF(M2016&lt;&gt;"",ISERROR(VLOOKUP(M2016,ABBR!C:F,1,FALSE)),ISERROR(VLOOKUP(E2016,ABBR!C:F,1,FALSE))),"")</f>
        <v/>
      </c>
    </row>
    <row r="2017" spans="1:17" hidden="1" x14ac:dyDescent="0.25">
      <c r="A2017" s="38" t="s">
        <v>533</v>
      </c>
      <c r="B2017" s="17"/>
      <c r="C2017" s="16" t="s">
        <v>3735</v>
      </c>
      <c r="D2017" s="17"/>
      <c r="E2017" s="17" t="s">
        <v>608</v>
      </c>
      <c r="F2017" s="18" t="s">
        <v>3736</v>
      </c>
      <c r="G2017" s="49" t="s">
        <v>3737</v>
      </c>
      <c r="H2017" s="17">
        <f t="shared" si="12"/>
        <v>13</v>
      </c>
      <c r="J2017" s="62" t="s">
        <v>478</v>
      </c>
      <c r="K2017" s="62"/>
      <c r="L2017" s="62"/>
      <c r="M2017" s="62"/>
      <c r="N2017" s="62"/>
      <c r="O2017" s="62" t="str">
        <f>IF(E2017="PA",IF(K2017&lt;&gt;"",ISERROR(VLOOKUP(K2017,ABBR!A:D,1,FALSE)),ISERROR(VLOOKUP(C2017,ABBR!A:D,1,FALSE))),"")</f>
        <v/>
      </c>
      <c r="P2017" t="str">
        <f>VLOOKUP(A2017,Groups!A:L,5,FALSE)</f>
        <v>SAMP</v>
      </c>
      <c r="Q2017" s="62" t="str">
        <f>IF(G2017="PA",IF(M2017&lt;&gt;"",ISERROR(VLOOKUP(M2017,ABBR!C:F,1,FALSE)),ISERROR(VLOOKUP(E2017,ABBR!C:F,1,FALSE))),"")</f>
        <v/>
      </c>
    </row>
    <row r="2018" spans="1:17" hidden="1" x14ac:dyDescent="0.25">
      <c r="A2018" s="38" t="s">
        <v>533</v>
      </c>
      <c r="B2018" s="17"/>
      <c r="C2018" s="16" t="s">
        <v>3738</v>
      </c>
      <c r="D2018" s="17" t="s">
        <v>3739</v>
      </c>
      <c r="E2018" s="17" t="s">
        <v>723</v>
      </c>
      <c r="F2018" s="18" t="s">
        <v>3740</v>
      </c>
      <c r="G2018" s="49" t="s">
        <v>3741</v>
      </c>
      <c r="H2018" s="17">
        <f t="shared" si="12"/>
        <v>14</v>
      </c>
      <c r="J2018" s="62" t="s">
        <v>478</v>
      </c>
      <c r="K2018" s="62"/>
      <c r="L2018" s="62"/>
      <c r="M2018" s="62"/>
      <c r="N2018" s="62"/>
      <c r="O2018" s="62" t="str">
        <f>IF(E2018="PA",IF(K2018&lt;&gt;"",ISERROR(VLOOKUP(K2018,ABBR!A:D,1,FALSE)),ISERROR(VLOOKUP(C2018,ABBR!A:D,1,FALSE))),"")</f>
        <v/>
      </c>
      <c r="P2018" t="str">
        <f>VLOOKUP(A2018,Groups!A:L,5,FALSE)</f>
        <v>SAMP</v>
      </c>
      <c r="Q2018" s="62" t="str">
        <f>IF(G2018="PA",IF(M2018&lt;&gt;"",ISERROR(VLOOKUP(M2018,ABBR!C:F,1,FALSE)),ISERROR(VLOOKUP(E2018,ABBR!C:F,1,FALSE))),"")</f>
        <v/>
      </c>
    </row>
    <row r="2019" spans="1:17" hidden="1" x14ac:dyDescent="0.25">
      <c r="A2019" s="38" t="s">
        <v>533</v>
      </c>
      <c r="B2019" s="17"/>
      <c r="C2019" s="16" t="s">
        <v>3742</v>
      </c>
      <c r="D2019" s="17"/>
      <c r="E2019" s="17" t="s">
        <v>608</v>
      </c>
      <c r="F2019" s="18" t="s">
        <v>918</v>
      </c>
      <c r="G2019" s="49" t="s">
        <v>3743</v>
      </c>
      <c r="H2019" s="17">
        <f t="shared" si="12"/>
        <v>15</v>
      </c>
      <c r="J2019" s="62" t="s">
        <v>478</v>
      </c>
      <c r="K2019" s="62"/>
      <c r="L2019" s="62"/>
      <c r="M2019" s="62"/>
      <c r="N2019" s="62"/>
      <c r="O2019" s="62" t="str">
        <f>IF(E2019="PA",IF(K2019&lt;&gt;"",ISERROR(VLOOKUP(K2019,ABBR!A:D,1,FALSE)),ISERROR(VLOOKUP(C2019,ABBR!A:D,1,FALSE))),"")</f>
        <v/>
      </c>
      <c r="P2019" t="str">
        <f>VLOOKUP(A2019,Groups!A:L,5,FALSE)</f>
        <v>SAMP</v>
      </c>
      <c r="Q2019" s="62" t="str">
        <f>IF(G2019="PA",IF(M2019&lt;&gt;"",ISERROR(VLOOKUP(M2019,ABBR!C:F,1,FALSE)),ISERROR(VLOOKUP(E2019,ABBR!C:F,1,FALSE))),"")</f>
        <v/>
      </c>
    </row>
    <row r="2020" spans="1:17" hidden="1" x14ac:dyDescent="0.25">
      <c r="A2020" s="38" t="s">
        <v>533</v>
      </c>
      <c r="B2020" s="46"/>
      <c r="C2020" s="9" t="s">
        <v>3744</v>
      </c>
      <c r="D2020" s="46"/>
      <c r="E2020" s="46" t="s">
        <v>608</v>
      </c>
      <c r="F2020" s="93" t="s">
        <v>921</v>
      </c>
      <c r="G2020" s="94" t="s">
        <v>922</v>
      </c>
      <c r="H2020" s="17">
        <f t="shared" si="12"/>
        <v>16</v>
      </c>
      <c r="I2020"/>
      <c r="J2020" s="34" t="s">
        <v>473</v>
      </c>
      <c r="M2020" s="101"/>
      <c r="O2020" s="62" t="str">
        <f>IF(E2020="PA",IF(K2020&lt;&gt;"",ISERROR(VLOOKUP(K2020,ABBR!A:D,1,FALSE)),ISERROR(VLOOKUP(C2020,ABBR!A:D,1,FALSE))),"")</f>
        <v/>
      </c>
      <c r="P2020" t="str">
        <f>VLOOKUP(A2020,Groups!A:L,5,FALSE)</f>
        <v>SAMP</v>
      </c>
      <c r="Q2020" s="62" t="str">
        <f>IF(G2020="PA",IF(M2020&lt;&gt;"",ISERROR(VLOOKUP(M2020,ABBR!C:F,1,FALSE)),ISERROR(VLOOKUP(E2020,ABBR!C:F,1,FALSE))),"")</f>
        <v/>
      </c>
    </row>
    <row r="2021" spans="1:17" hidden="1" x14ac:dyDescent="0.25">
      <c r="A2021" s="38" t="s">
        <v>533</v>
      </c>
      <c r="B2021" s="17"/>
      <c r="C2021" s="16" t="s">
        <v>3745</v>
      </c>
      <c r="D2021" s="17"/>
      <c r="E2021" s="17" t="s">
        <v>608</v>
      </c>
      <c r="F2021" s="18" t="s">
        <v>929</v>
      </c>
      <c r="G2021" s="49" t="s">
        <v>876</v>
      </c>
      <c r="H2021" s="17">
        <f t="shared" si="12"/>
        <v>17</v>
      </c>
      <c r="J2021" s="62" t="s">
        <v>473</v>
      </c>
      <c r="K2021" s="62"/>
      <c r="L2021" s="62"/>
      <c r="N2021" s="62"/>
      <c r="O2021" s="62" t="str">
        <f>IF(E2021="PA",IF(K2021&lt;&gt;"",ISERROR(VLOOKUP(K2021,ABBR!A:D,1,FALSE)),ISERROR(VLOOKUP(C2021,ABBR!A:D,1,FALSE))),"")</f>
        <v/>
      </c>
      <c r="P2021" t="str">
        <f>VLOOKUP(A2021,Groups!A:L,5,FALSE)</f>
        <v>SAMP</v>
      </c>
      <c r="Q2021" s="62" t="str">
        <f>IF(G2021="PA",IF(M2021&lt;&gt;"",ISERROR(VLOOKUP(M2021,ABBR!C:F,1,FALSE)),ISERROR(VLOOKUP(E2021,ABBR!C:F,1,FALSE))),"")</f>
        <v/>
      </c>
    </row>
    <row r="2022" spans="1:17" hidden="1" x14ac:dyDescent="0.25">
      <c r="A2022" s="38" t="s">
        <v>533</v>
      </c>
      <c r="B2022" s="17"/>
      <c r="C2022" s="16" t="s">
        <v>3746</v>
      </c>
      <c r="D2022" s="17" t="s">
        <v>924</v>
      </c>
      <c r="E2022" s="17" t="s">
        <v>925</v>
      </c>
      <c r="F2022" s="18" t="s">
        <v>926</v>
      </c>
      <c r="G2022" s="49" t="s">
        <v>927</v>
      </c>
      <c r="H2022" s="17">
        <f t="shared" si="12"/>
        <v>18</v>
      </c>
      <c r="J2022" s="62" t="s">
        <v>478</v>
      </c>
      <c r="K2022" s="62"/>
      <c r="L2022" s="62"/>
      <c r="M2022" s="62"/>
      <c r="N2022" s="62"/>
      <c r="O2022" s="62" t="str">
        <f>IF(E2022="PA",IF(K2022&lt;&gt;"",ISERROR(VLOOKUP(K2022,ABBR!A:D,1,FALSE)),ISERROR(VLOOKUP(C2022,ABBR!A:D,1,FALSE))),"")</f>
        <v/>
      </c>
      <c r="P2022" t="str">
        <f>VLOOKUP(A2022,Groups!A:L,5,FALSE)</f>
        <v>SAMP</v>
      </c>
      <c r="Q2022" s="62" t="str">
        <f>IF(G2022="PA",IF(M2022&lt;&gt;"",ISERROR(VLOOKUP(M2022,ABBR!C:F,1,FALSE)),ISERROR(VLOOKUP(E2022,ABBR!C:F,1,FALSE))),"")</f>
        <v/>
      </c>
    </row>
    <row r="2023" spans="1:17" hidden="1" x14ac:dyDescent="0.25">
      <c r="A2023" s="38" t="s">
        <v>533</v>
      </c>
      <c r="B2023" s="17"/>
      <c r="C2023" s="16" t="s">
        <v>936</v>
      </c>
      <c r="D2023" s="17"/>
      <c r="E2023" s="17" t="s">
        <v>608</v>
      </c>
      <c r="F2023" s="18" t="s">
        <v>937</v>
      </c>
      <c r="G2023" s="49" t="s">
        <v>938</v>
      </c>
      <c r="H2023" s="17">
        <f t="shared" si="12"/>
        <v>19</v>
      </c>
      <c r="J2023" s="62" t="s">
        <v>478</v>
      </c>
      <c r="K2023" s="62"/>
      <c r="L2023" s="62"/>
      <c r="M2023" s="62"/>
      <c r="N2023" s="62"/>
      <c r="O2023" s="62" t="str">
        <f>IF(E2023="PA",IF(K2023&lt;&gt;"",ISERROR(VLOOKUP(K2023,ABBR!A:D,1,FALSE)),ISERROR(VLOOKUP(C2023,ABBR!A:D,1,FALSE))),"")</f>
        <v/>
      </c>
      <c r="P2023" t="str">
        <f>VLOOKUP(A2023,Groups!A:L,5,FALSE)</f>
        <v>SAMP</v>
      </c>
      <c r="Q2023" s="62" t="str">
        <f>IF(G2023="PA",IF(M2023&lt;&gt;"",ISERROR(VLOOKUP(M2023,ABBR!C:F,1,FALSE)),ISERROR(VLOOKUP(E2023,ABBR!C:F,1,FALSE))),"")</f>
        <v/>
      </c>
    </row>
    <row r="2024" spans="1:17" hidden="1" x14ac:dyDescent="0.25">
      <c r="A2024" s="38" t="s">
        <v>533</v>
      </c>
      <c r="B2024" s="17"/>
      <c r="C2024" s="16" t="s">
        <v>3747</v>
      </c>
      <c r="D2024" s="17"/>
      <c r="E2024" s="17" t="s">
        <v>608</v>
      </c>
      <c r="F2024" s="18" t="s">
        <v>931</v>
      </c>
      <c r="G2024" s="49" t="s">
        <v>932</v>
      </c>
      <c r="H2024" s="17">
        <f t="shared" si="12"/>
        <v>20</v>
      </c>
      <c r="J2024" s="62" t="s">
        <v>478</v>
      </c>
      <c r="K2024" s="62"/>
      <c r="L2024" s="62"/>
      <c r="M2024" s="62"/>
      <c r="N2024" s="62"/>
      <c r="O2024" s="62" t="str">
        <f>IF(E2024="PA",IF(K2024&lt;&gt;"",ISERROR(VLOOKUP(K2024,ABBR!A:D,1,FALSE)),ISERROR(VLOOKUP(C2024,ABBR!A:D,1,FALSE))),"")</f>
        <v/>
      </c>
      <c r="P2024" t="str">
        <f>VLOOKUP(A2024,Groups!A:L,5,FALSE)</f>
        <v>SAMP</v>
      </c>
      <c r="Q2024" s="62" t="str">
        <f>IF(G2024="PA",IF(M2024&lt;&gt;"",ISERROR(VLOOKUP(M2024,ABBR!C:F,1,FALSE)),ISERROR(VLOOKUP(E2024,ABBR!C:F,1,FALSE))),"")</f>
        <v/>
      </c>
    </row>
    <row r="2025" spans="1:17" ht="25" hidden="1" x14ac:dyDescent="0.25">
      <c r="A2025" s="38" t="s">
        <v>533</v>
      </c>
      <c r="B2025" s="17"/>
      <c r="C2025" s="16" t="s">
        <v>3748</v>
      </c>
      <c r="D2025" s="17"/>
      <c r="E2025" s="17" t="s">
        <v>608</v>
      </c>
      <c r="F2025" s="18" t="s">
        <v>934</v>
      </c>
      <c r="G2025" s="49" t="s">
        <v>935</v>
      </c>
      <c r="H2025" s="17">
        <f t="shared" si="12"/>
        <v>21</v>
      </c>
      <c r="J2025" s="62" t="s">
        <v>478</v>
      </c>
      <c r="K2025" s="62"/>
      <c r="L2025" s="62"/>
      <c r="M2025" s="62"/>
      <c r="N2025" s="62"/>
      <c r="O2025" s="62" t="str">
        <f>IF(E2025="PA",IF(K2025&lt;&gt;"",ISERROR(VLOOKUP(K2025,ABBR!A:D,1,FALSE)),ISERROR(VLOOKUP(C2025,ABBR!A:D,1,FALSE))),"")</f>
        <v/>
      </c>
      <c r="P2025" t="str">
        <f>VLOOKUP(A2025,Groups!A:L,5,FALSE)</f>
        <v>SAMP</v>
      </c>
      <c r="Q2025" s="62" t="str">
        <f>IF(G2025="PA",IF(M2025&lt;&gt;"",ISERROR(VLOOKUP(M2025,ABBR!C:F,1,FALSE)),ISERROR(VLOOKUP(E2025,ABBR!C:F,1,FALSE))),"")</f>
        <v/>
      </c>
    </row>
    <row r="2026" spans="1:17" hidden="1" x14ac:dyDescent="0.25">
      <c r="A2026" s="38" t="s">
        <v>533</v>
      </c>
      <c r="B2026" s="17"/>
      <c r="C2026" s="16" t="s">
        <v>643</v>
      </c>
      <c r="D2026" s="17"/>
      <c r="E2026" s="17" t="s">
        <v>608</v>
      </c>
      <c r="F2026" s="18" t="s">
        <v>1714</v>
      </c>
      <c r="G2026" s="49" t="s">
        <v>3695</v>
      </c>
      <c r="H2026" s="17">
        <f t="shared" si="12"/>
        <v>22</v>
      </c>
      <c r="J2026" s="62" t="s">
        <v>478</v>
      </c>
      <c r="K2026" s="62"/>
      <c r="L2026" s="62"/>
      <c r="M2026" s="62"/>
      <c r="N2026" s="62"/>
      <c r="O2026" s="62" t="str">
        <f>IF(E2026="PA",IF(K2026&lt;&gt;"",ISERROR(VLOOKUP(K2026,ABBR!A:D,1,FALSE)),ISERROR(VLOOKUP(C2026,ABBR!A:D,1,FALSE))),"")</f>
        <v/>
      </c>
      <c r="P2026" t="str">
        <f>VLOOKUP(A2026,Groups!A:L,5,FALSE)</f>
        <v>SAMP</v>
      </c>
      <c r="Q2026" s="62" t="str">
        <f>IF(G2026="PA",IF(M2026&lt;&gt;"",ISERROR(VLOOKUP(M2026,ABBR!C:F,1,FALSE)),ISERROR(VLOOKUP(E2026,ABBR!C:F,1,FALSE))),"")</f>
        <v/>
      </c>
    </row>
    <row r="2027" spans="1:17" hidden="1" x14ac:dyDescent="0.25">
      <c r="A2027" s="38" t="s">
        <v>268</v>
      </c>
      <c r="B2027" s="17" t="s">
        <v>594</v>
      </c>
      <c r="C2027" s="16" t="s">
        <v>595</v>
      </c>
      <c r="D2027" s="17"/>
      <c r="E2027" s="17" t="s">
        <v>596</v>
      </c>
      <c r="F2027" s="18" t="s">
        <v>597</v>
      </c>
      <c r="G2027" s="49" t="s">
        <v>598</v>
      </c>
      <c r="H2027" s="17">
        <v>1</v>
      </c>
      <c r="I2027" s="30" t="s">
        <v>955</v>
      </c>
      <c r="J2027" s="80">
        <v>4.0999999999999996</v>
      </c>
      <c r="O2027" s="62" t="str">
        <f>IF(E2027="PA",IF(K2027&lt;&gt;"",ISERROR(VLOOKUP(K2027,ABBR!A:D,1,FALSE)),ISERROR(VLOOKUP(C2027,ABBR!A:D,1,FALSE))),"")</f>
        <v/>
      </c>
      <c r="P2027" t="str">
        <f>VLOOKUP(A2027,Groups!A:L,5,FALSE)</f>
        <v>SAMP</v>
      </c>
      <c r="Q2027" s="62" t="str">
        <f>IF(G2027="PA",IF(M2027&lt;&gt;"",ISERROR(VLOOKUP(M2027,ABBR!C:F,1,FALSE)),ISERROR(VLOOKUP(E2027,ABBR!C:F,1,FALSE))),"")</f>
        <v/>
      </c>
    </row>
    <row r="2028" spans="1:17" hidden="1" x14ac:dyDescent="0.25">
      <c r="A2028" s="38" t="s">
        <v>268</v>
      </c>
      <c r="B2028" s="17" t="s">
        <v>594</v>
      </c>
      <c r="C2028" s="16" t="s">
        <v>851</v>
      </c>
      <c r="D2028" s="17" t="s">
        <v>600</v>
      </c>
      <c r="E2028" s="17" t="s">
        <v>601</v>
      </c>
      <c r="F2028" s="18" t="s">
        <v>852</v>
      </c>
      <c r="G2028" s="49" t="s">
        <v>853</v>
      </c>
      <c r="H2028" s="17">
        <v>2</v>
      </c>
      <c r="I2028" s="30" t="s">
        <v>955</v>
      </c>
      <c r="J2028" s="80">
        <v>4.0999999999999996</v>
      </c>
      <c r="O2028" s="62" t="str">
        <f>IF(E2028="PA",IF(K2028&lt;&gt;"",ISERROR(VLOOKUP(K2028,ABBR!A:D,1,FALSE)),ISERROR(VLOOKUP(C2028,ABBR!A:D,1,FALSE))),"")</f>
        <v/>
      </c>
      <c r="P2028" t="str">
        <f>VLOOKUP(A2028,Groups!A:L,5,FALSE)</f>
        <v>SAMP</v>
      </c>
      <c r="Q2028" s="62" t="str">
        <f>IF(G2028="PA",IF(M2028&lt;&gt;"",ISERROR(VLOOKUP(M2028,ABBR!C:F,1,FALSE)),ISERROR(VLOOKUP(E2028,ABBR!C:F,1,FALSE))),"")</f>
        <v/>
      </c>
    </row>
    <row r="2029" spans="1:17" hidden="1" x14ac:dyDescent="0.25">
      <c r="A2029" s="38" t="s">
        <v>268</v>
      </c>
      <c r="B2029" s="17" t="s">
        <v>594</v>
      </c>
      <c r="C2029" s="16" t="s">
        <v>854</v>
      </c>
      <c r="D2029" s="17"/>
      <c r="E2029" s="17" t="s">
        <v>608</v>
      </c>
      <c r="F2029" s="18" t="s">
        <v>855</v>
      </c>
      <c r="G2029" s="49" t="s">
        <v>941</v>
      </c>
      <c r="H2029" s="17">
        <v>3</v>
      </c>
      <c r="I2029" s="30" t="s">
        <v>955</v>
      </c>
      <c r="J2029" s="80">
        <v>4.0999999999999996</v>
      </c>
      <c r="O2029" s="62" t="str">
        <f>IF(E2029="PA",IF(K2029&lt;&gt;"",ISERROR(VLOOKUP(K2029,ABBR!A:D,1,FALSE)),ISERROR(VLOOKUP(C2029,ABBR!A:D,1,FALSE))),"")</f>
        <v/>
      </c>
      <c r="P2029" t="str">
        <f>VLOOKUP(A2029,Groups!A:L,5,FALSE)</f>
        <v>SAMP</v>
      </c>
      <c r="Q2029" s="62" t="str">
        <f>IF(G2029="PA",IF(M2029&lt;&gt;"",ISERROR(VLOOKUP(M2029,ABBR!C:F,1,FALSE)),ISERROR(VLOOKUP(E2029,ABBR!C:F,1,FALSE))),"")</f>
        <v/>
      </c>
    </row>
    <row r="2030" spans="1:17" hidden="1" x14ac:dyDescent="0.25">
      <c r="A2030" s="38" t="s">
        <v>268</v>
      </c>
      <c r="B2030" s="17" t="s">
        <v>594</v>
      </c>
      <c r="C2030" s="16" t="s">
        <v>857</v>
      </c>
      <c r="D2030" s="17"/>
      <c r="E2030" s="17" t="s">
        <v>618</v>
      </c>
      <c r="F2030" s="18" t="s">
        <v>858</v>
      </c>
      <c r="G2030" s="49" t="s">
        <v>3547</v>
      </c>
      <c r="H2030" s="17">
        <v>4</v>
      </c>
      <c r="I2030" s="30" t="s">
        <v>955</v>
      </c>
      <c r="J2030" s="80">
        <v>4.0999999999999996</v>
      </c>
      <c r="O2030" s="62" t="b">
        <f>IF(E2030="PA",IF(K2030&lt;&gt;"",ISERROR(VLOOKUP(K2030,ABBR!A:D,1,FALSE)),ISERROR(VLOOKUP(C2030,ABBR!A:D,1,FALSE))),"")</f>
        <v>0</v>
      </c>
      <c r="P2030" t="str">
        <f>VLOOKUP(A2030,Groups!A:L,5,FALSE)</f>
        <v>SAMP</v>
      </c>
      <c r="Q2030" s="62" t="str">
        <f>IF(G2030="PA",IF(M2030&lt;&gt;"",ISERROR(VLOOKUP(M2030,ABBR!C:F,1,FALSE)),ISERROR(VLOOKUP(E2030,ABBR!C:F,1,FALSE))),"")</f>
        <v/>
      </c>
    </row>
    <row r="2031" spans="1:17" hidden="1" x14ac:dyDescent="0.25">
      <c r="A2031" s="38" t="s">
        <v>268</v>
      </c>
      <c r="B2031" s="17" t="s">
        <v>594</v>
      </c>
      <c r="C2031" s="16" t="s">
        <v>860</v>
      </c>
      <c r="D2031" s="17"/>
      <c r="E2031" s="17" t="s">
        <v>596</v>
      </c>
      <c r="F2031" s="18" t="s">
        <v>942</v>
      </c>
      <c r="G2031" s="49" t="s">
        <v>862</v>
      </c>
      <c r="H2031" s="17">
        <v>5</v>
      </c>
      <c r="I2031" s="30" t="s">
        <v>955</v>
      </c>
      <c r="J2031" s="80">
        <v>4.0999999999999996</v>
      </c>
      <c r="O2031" s="62" t="str">
        <f>IF(E2031="PA",IF(K2031&lt;&gt;"",ISERROR(VLOOKUP(K2031,ABBR!A:D,1,FALSE)),ISERROR(VLOOKUP(C2031,ABBR!A:D,1,FALSE))),"")</f>
        <v/>
      </c>
      <c r="P2031" t="str">
        <f>VLOOKUP(A2031,Groups!A:L,5,FALSE)</f>
        <v>SAMP</v>
      </c>
      <c r="Q2031" s="62" t="str">
        <f>IF(G2031="PA",IF(M2031&lt;&gt;"",ISERROR(VLOOKUP(M2031,ABBR!C:F,1,FALSE)),ISERROR(VLOOKUP(E2031,ABBR!C:F,1,FALSE))),"")</f>
        <v/>
      </c>
    </row>
    <row r="2032" spans="1:17" hidden="1" x14ac:dyDescent="0.25">
      <c r="A2032" s="38" t="s">
        <v>268</v>
      </c>
      <c r="B2032" s="17" t="s">
        <v>594</v>
      </c>
      <c r="C2032" s="16" t="s">
        <v>863</v>
      </c>
      <c r="D2032" s="17"/>
      <c r="E2032" s="17" t="s">
        <v>608</v>
      </c>
      <c r="F2032" s="18" t="s">
        <v>864</v>
      </c>
      <c r="G2032" s="49" t="s">
        <v>865</v>
      </c>
      <c r="H2032" s="17">
        <v>6</v>
      </c>
      <c r="I2032" s="30" t="s">
        <v>955</v>
      </c>
      <c r="J2032" s="80">
        <v>4.0999999999999996</v>
      </c>
      <c r="O2032" s="62" t="str">
        <f>IF(E2032="PA",IF(K2032&lt;&gt;"",ISERROR(VLOOKUP(K2032,ABBR!A:D,1,FALSE)),ISERROR(VLOOKUP(C2032,ABBR!A:D,1,FALSE))),"")</f>
        <v/>
      </c>
      <c r="P2032" t="str">
        <f>VLOOKUP(A2032,Groups!A:L,5,FALSE)</f>
        <v>SAMP</v>
      </c>
      <c r="Q2032" s="62" t="str">
        <f>IF(G2032="PA",IF(M2032&lt;&gt;"",ISERROR(VLOOKUP(M2032,ABBR!C:F,1,FALSE)),ISERROR(VLOOKUP(E2032,ABBR!C:F,1,FALSE))),"")</f>
        <v/>
      </c>
    </row>
    <row r="2033" spans="1:17" hidden="1" x14ac:dyDescent="0.25">
      <c r="A2033" s="38" t="s">
        <v>268</v>
      </c>
      <c r="B2033" s="17" t="s">
        <v>594</v>
      </c>
      <c r="C2033" s="16" t="s">
        <v>866</v>
      </c>
      <c r="D2033" s="17" t="s">
        <v>600</v>
      </c>
      <c r="E2033" s="17" t="s">
        <v>601</v>
      </c>
      <c r="F2033" s="18" t="s">
        <v>867</v>
      </c>
      <c r="G2033" s="49" t="s">
        <v>853</v>
      </c>
      <c r="H2033" s="17">
        <v>7</v>
      </c>
      <c r="I2033" s="30" t="s">
        <v>955</v>
      </c>
      <c r="J2033" s="80">
        <v>4.0999999999999996</v>
      </c>
      <c r="O2033" s="62" t="str">
        <f>IF(E2033="PA",IF(K2033&lt;&gt;"",ISERROR(VLOOKUP(K2033,ABBR!A:D,1,FALSE)),ISERROR(VLOOKUP(C2033,ABBR!A:D,1,FALSE))),"")</f>
        <v/>
      </c>
      <c r="P2033" t="str">
        <f>VLOOKUP(A2033,Groups!A:L,5,FALSE)</f>
        <v>SAMP</v>
      </c>
      <c r="Q2033" s="62" t="str">
        <f>IF(G2033="PA",IF(M2033&lt;&gt;"",ISERROR(VLOOKUP(M2033,ABBR!C:F,1,FALSE)),ISERROR(VLOOKUP(E2033,ABBR!C:F,1,FALSE))),"")</f>
        <v/>
      </c>
    </row>
    <row r="2034" spans="1:17" hidden="1" x14ac:dyDescent="0.25">
      <c r="A2034" s="38" t="s">
        <v>268</v>
      </c>
      <c r="B2034" s="17"/>
      <c r="C2034" s="16" t="s">
        <v>868</v>
      </c>
      <c r="D2034" s="17"/>
      <c r="E2034" s="17" t="s">
        <v>608</v>
      </c>
      <c r="F2034" s="18" t="s">
        <v>869</v>
      </c>
      <c r="G2034" s="51" t="s">
        <v>1269</v>
      </c>
      <c r="H2034" s="39">
        <v>8</v>
      </c>
      <c r="I2034" s="30" t="s">
        <v>955</v>
      </c>
      <c r="J2034" s="80">
        <v>4.0999999999999996</v>
      </c>
      <c r="O2034" s="62" t="str">
        <f>IF(E2034="PA",IF(K2034&lt;&gt;"",ISERROR(VLOOKUP(K2034,ABBR!A:D,1,FALSE)),ISERROR(VLOOKUP(C2034,ABBR!A:D,1,FALSE))),"")</f>
        <v/>
      </c>
      <c r="P2034" t="str">
        <f>VLOOKUP(A2034,Groups!A:L,5,FALSE)</f>
        <v>SAMP</v>
      </c>
      <c r="Q2034" s="62" t="str">
        <f>IF(G2034="PA",IF(M2034&lt;&gt;"",ISERROR(VLOOKUP(M2034,ABBR!C:F,1,FALSE)),ISERROR(VLOOKUP(E2034,ABBR!C:F,1,FALSE))),"")</f>
        <v/>
      </c>
    </row>
    <row r="2035" spans="1:17" ht="25" hidden="1" x14ac:dyDescent="0.25">
      <c r="A2035" s="38" t="s">
        <v>268</v>
      </c>
      <c r="B2035" s="17"/>
      <c r="C2035" s="16" t="s">
        <v>871</v>
      </c>
      <c r="D2035" s="17"/>
      <c r="E2035" s="17" t="s">
        <v>608</v>
      </c>
      <c r="F2035" s="18" t="s">
        <v>872</v>
      </c>
      <c r="G2035" s="49" t="s">
        <v>873</v>
      </c>
      <c r="H2035" s="39">
        <v>9</v>
      </c>
      <c r="I2035" s="30" t="s">
        <v>955</v>
      </c>
      <c r="J2035" s="80">
        <v>4.0999999999999996</v>
      </c>
      <c r="O2035" s="62" t="str">
        <f>IF(E2035="PA",IF(K2035&lt;&gt;"",ISERROR(VLOOKUP(K2035,ABBR!A:D,1,FALSE)),ISERROR(VLOOKUP(C2035,ABBR!A:D,1,FALSE))),"")</f>
        <v/>
      </c>
      <c r="P2035" t="str">
        <f>VLOOKUP(A2035,Groups!A:L,5,FALSE)</f>
        <v>SAMP</v>
      </c>
      <c r="Q2035" s="62" t="str">
        <f>IF(G2035="PA",IF(M2035&lt;&gt;"",ISERROR(VLOOKUP(M2035,ABBR!C:F,1,FALSE)),ISERROR(VLOOKUP(E2035,ABBR!C:F,1,FALSE))),"")</f>
        <v/>
      </c>
    </row>
    <row r="2036" spans="1:17" hidden="1" x14ac:dyDescent="0.25">
      <c r="A2036" s="38" t="s">
        <v>268</v>
      </c>
      <c r="B2036" s="17"/>
      <c r="C2036" s="16" t="s">
        <v>877</v>
      </c>
      <c r="D2036" s="17" t="s">
        <v>600</v>
      </c>
      <c r="E2036" s="17" t="s">
        <v>601</v>
      </c>
      <c r="F2036" s="18" t="s">
        <v>878</v>
      </c>
      <c r="G2036" s="49" t="s">
        <v>879</v>
      </c>
      <c r="H2036" s="39">
        <v>10</v>
      </c>
      <c r="I2036" s="30" t="s">
        <v>955</v>
      </c>
      <c r="J2036" s="80">
        <v>4.0999999999999996</v>
      </c>
      <c r="O2036" s="62" t="str">
        <f>IF(E2036="PA",IF(K2036&lt;&gt;"",ISERROR(VLOOKUP(K2036,ABBR!A:D,1,FALSE)),ISERROR(VLOOKUP(C2036,ABBR!A:D,1,FALSE))),"")</f>
        <v/>
      </c>
      <c r="P2036" t="str">
        <f>VLOOKUP(A2036,Groups!A:L,5,FALSE)</f>
        <v>SAMP</v>
      </c>
      <c r="Q2036" s="62" t="str">
        <f>IF(G2036="PA",IF(M2036&lt;&gt;"",ISERROR(VLOOKUP(M2036,ABBR!C:F,1,FALSE)),ISERROR(VLOOKUP(E2036,ABBR!C:F,1,FALSE))),"")</f>
        <v/>
      </c>
    </row>
    <row r="2037" spans="1:17" hidden="1" x14ac:dyDescent="0.25">
      <c r="A2037" s="38" t="s">
        <v>268</v>
      </c>
      <c r="B2037" s="17"/>
      <c r="C2037" s="16" t="s">
        <v>3749</v>
      </c>
      <c r="D2037" s="17"/>
      <c r="E2037" s="17" t="s">
        <v>608</v>
      </c>
      <c r="F2037" s="18" t="s">
        <v>3750</v>
      </c>
      <c r="G2037" s="94" t="s">
        <v>922</v>
      </c>
      <c r="H2037" s="39">
        <v>11</v>
      </c>
      <c r="I2037" s="30" t="s">
        <v>955</v>
      </c>
      <c r="J2037" s="80">
        <v>4.0999999999999996</v>
      </c>
      <c r="M2037" s="101"/>
      <c r="O2037" s="62" t="str">
        <f>IF(E2037="PA",IF(K2037&lt;&gt;"",ISERROR(VLOOKUP(K2037,ABBR!A:D,1,FALSE)),ISERROR(VLOOKUP(C2037,ABBR!A:D,1,FALSE))),"")</f>
        <v/>
      </c>
      <c r="P2037" t="str">
        <f>VLOOKUP(A2037,Groups!A:L,5,FALSE)</f>
        <v>SAMP</v>
      </c>
      <c r="Q2037" s="62" t="str">
        <f>IF(G2037="PA",IF(M2037&lt;&gt;"",ISERROR(VLOOKUP(M2037,ABBR!C:F,1,FALSE)),ISERROR(VLOOKUP(E2037,ABBR!C:F,1,FALSE))),"")</f>
        <v/>
      </c>
    </row>
    <row r="2038" spans="1:17" hidden="1" x14ac:dyDescent="0.25">
      <c r="A2038" s="38" t="s">
        <v>268</v>
      </c>
      <c r="B2038" s="17"/>
      <c r="C2038" s="16" t="s">
        <v>3751</v>
      </c>
      <c r="D2038" s="17" t="s">
        <v>1811</v>
      </c>
      <c r="E2038" s="17" t="s">
        <v>767</v>
      </c>
      <c r="F2038" s="18" t="s">
        <v>3752</v>
      </c>
      <c r="G2038" s="49" t="s">
        <v>769</v>
      </c>
      <c r="H2038" s="17">
        <v>12</v>
      </c>
      <c r="I2038" s="30" t="s">
        <v>955</v>
      </c>
      <c r="J2038" s="80">
        <v>4.0999999999999996</v>
      </c>
      <c r="O2038" s="62" t="str">
        <f>IF(E2038="PA",IF(K2038&lt;&gt;"",ISERROR(VLOOKUP(K2038,ABBR!A:D,1,FALSE)),ISERROR(VLOOKUP(C2038,ABBR!A:D,1,FALSE))),"")</f>
        <v/>
      </c>
      <c r="P2038" t="str">
        <f>VLOOKUP(A2038,Groups!A:L,5,FALSE)</f>
        <v>SAMP</v>
      </c>
      <c r="Q2038" s="62" t="str">
        <f>IF(G2038="PA",IF(M2038&lt;&gt;"",ISERROR(VLOOKUP(M2038,ABBR!C:F,1,FALSE)),ISERROR(VLOOKUP(E2038,ABBR!C:F,1,FALSE))),"")</f>
        <v/>
      </c>
    </row>
    <row r="2039" spans="1:17" hidden="1" x14ac:dyDescent="0.25">
      <c r="A2039" s="38" t="s">
        <v>268</v>
      </c>
      <c r="B2039" s="17"/>
      <c r="C2039" s="16" t="s">
        <v>3753</v>
      </c>
      <c r="D2039" s="17" t="s">
        <v>2027</v>
      </c>
      <c r="E2039" s="17" t="s">
        <v>767</v>
      </c>
      <c r="F2039" s="18" t="s">
        <v>3754</v>
      </c>
      <c r="G2039" s="49" t="s">
        <v>769</v>
      </c>
      <c r="H2039" s="17">
        <v>13</v>
      </c>
      <c r="I2039" s="30" t="s">
        <v>955</v>
      </c>
      <c r="J2039" s="80">
        <v>4.0999999999999996</v>
      </c>
      <c r="O2039" s="62" t="str">
        <f>IF(E2039="PA",IF(K2039&lt;&gt;"",ISERROR(VLOOKUP(K2039,ABBR!A:D,1,FALSE)),ISERROR(VLOOKUP(C2039,ABBR!A:D,1,FALSE))),"")</f>
        <v/>
      </c>
      <c r="P2039" t="str">
        <f>VLOOKUP(A2039,Groups!A:L,5,FALSE)</f>
        <v>SAMP</v>
      </c>
      <c r="Q2039" s="62" t="str">
        <f>IF(G2039="PA",IF(M2039&lt;&gt;"",ISERROR(VLOOKUP(M2039,ABBR!C:F,1,FALSE)),ISERROR(VLOOKUP(E2039,ABBR!C:F,1,FALSE))),"")</f>
        <v/>
      </c>
    </row>
    <row r="2040" spans="1:17" hidden="1" x14ac:dyDescent="0.25">
      <c r="A2040" s="38" t="s">
        <v>268</v>
      </c>
      <c r="B2040" s="17"/>
      <c r="C2040" s="16" t="s">
        <v>3755</v>
      </c>
      <c r="D2040" s="17" t="s">
        <v>722</v>
      </c>
      <c r="E2040" s="17" t="s">
        <v>601</v>
      </c>
      <c r="F2040" s="18" t="s">
        <v>3756</v>
      </c>
      <c r="G2040" s="49" t="s">
        <v>3757</v>
      </c>
      <c r="H2040" s="17">
        <v>14</v>
      </c>
      <c r="I2040" s="30" t="s">
        <v>955</v>
      </c>
      <c r="J2040" s="80">
        <v>4.0999999999999996</v>
      </c>
      <c r="O2040" s="62" t="str">
        <f>IF(E2040="PA",IF(K2040&lt;&gt;"",ISERROR(VLOOKUP(K2040,ABBR!A:D,1,FALSE)),ISERROR(VLOOKUP(C2040,ABBR!A:D,1,FALSE))),"")</f>
        <v/>
      </c>
      <c r="P2040" t="str">
        <f>VLOOKUP(A2040,Groups!A:L,5,FALSE)</f>
        <v>SAMP</v>
      </c>
      <c r="Q2040" s="62" t="str">
        <f>IF(G2040="PA",IF(M2040&lt;&gt;"",ISERROR(VLOOKUP(M2040,ABBR!C:F,1,FALSE)),ISERROR(VLOOKUP(E2040,ABBR!C:F,1,FALSE))),"")</f>
        <v/>
      </c>
    </row>
    <row r="2041" spans="1:17" ht="25" hidden="1" x14ac:dyDescent="0.25">
      <c r="A2041" s="38" t="s">
        <v>268</v>
      </c>
      <c r="B2041" s="17"/>
      <c r="C2041" s="16" t="s">
        <v>3758</v>
      </c>
      <c r="D2041" s="17" t="s">
        <v>722</v>
      </c>
      <c r="E2041" s="17" t="s">
        <v>601</v>
      </c>
      <c r="F2041" s="18" t="s">
        <v>3759</v>
      </c>
      <c r="G2041" s="49" t="s">
        <v>3760</v>
      </c>
      <c r="H2041" s="17">
        <v>15</v>
      </c>
      <c r="I2041" s="30" t="s">
        <v>955</v>
      </c>
      <c r="J2041" s="80">
        <v>4.0999999999999996</v>
      </c>
      <c r="O2041" s="62" t="str">
        <f>IF(E2041="PA",IF(K2041&lt;&gt;"",ISERROR(VLOOKUP(K2041,ABBR!A:D,1,FALSE)),ISERROR(VLOOKUP(C2041,ABBR!A:D,1,FALSE))),"")</f>
        <v/>
      </c>
      <c r="P2041" t="str">
        <f>VLOOKUP(A2041,Groups!A:L,5,FALSE)</f>
        <v>SAMP</v>
      </c>
      <c r="Q2041" s="62" t="str">
        <f>IF(G2041="PA",IF(M2041&lt;&gt;"",ISERROR(VLOOKUP(M2041,ABBR!C:F,1,FALSE)),ISERROR(VLOOKUP(E2041,ABBR!C:F,1,FALSE))),"")</f>
        <v/>
      </c>
    </row>
    <row r="2042" spans="1:17" ht="25" hidden="1" x14ac:dyDescent="0.25">
      <c r="A2042" s="38" t="s">
        <v>268</v>
      </c>
      <c r="B2042" s="17"/>
      <c r="C2042" s="16" t="s">
        <v>3761</v>
      </c>
      <c r="D2042" s="17" t="s">
        <v>722</v>
      </c>
      <c r="E2042" s="17" t="s">
        <v>601</v>
      </c>
      <c r="F2042" s="18" t="s">
        <v>3762</v>
      </c>
      <c r="G2042" s="49" t="s">
        <v>3757</v>
      </c>
      <c r="H2042" s="17">
        <v>16</v>
      </c>
      <c r="I2042" s="30" t="s">
        <v>955</v>
      </c>
      <c r="J2042" s="80">
        <v>4.0999999999999996</v>
      </c>
      <c r="O2042" s="62" t="str">
        <f>IF(E2042="PA",IF(K2042&lt;&gt;"",ISERROR(VLOOKUP(K2042,ABBR!A:D,1,FALSE)),ISERROR(VLOOKUP(C2042,ABBR!A:D,1,FALSE))),"")</f>
        <v/>
      </c>
      <c r="P2042" t="str">
        <f>VLOOKUP(A2042,Groups!A:L,5,FALSE)</f>
        <v>SAMP</v>
      </c>
      <c r="Q2042" s="62" t="str">
        <f>IF(G2042="PA",IF(M2042&lt;&gt;"",ISERROR(VLOOKUP(M2042,ABBR!C:F,1,FALSE)),ISERROR(VLOOKUP(E2042,ABBR!C:F,1,FALSE))),"")</f>
        <v/>
      </c>
    </row>
    <row r="2043" spans="1:17" ht="25" hidden="1" x14ac:dyDescent="0.25">
      <c r="A2043" s="38" t="s">
        <v>268</v>
      </c>
      <c r="B2043" s="17"/>
      <c r="C2043" s="16" t="s">
        <v>3763</v>
      </c>
      <c r="D2043" s="17" t="s">
        <v>722</v>
      </c>
      <c r="E2043" s="17" t="s">
        <v>601</v>
      </c>
      <c r="F2043" s="18" t="s">
        <v>3764</v>
      </c>
      <c r="G2043" s="49" t="s">
        <v>3765</v>
      </c>
      <c r="H2043" s="17">
        <v>17</v>
      </c>
      <c r="I2043" s="30" t="s">
        <v>955</v>
      </c>
      <c r="J2043" s="80">
        <v>4.0999999999999996</v>
      </c>
      <c r="O2043" s="62" t="str">
        <f>IF(E2043="PA",IF(K2043&lt;&gt;"",ISERROR(VLOOKUP(K2043,ABBR!A:D,1,FALSE)),ISERROR(VLOOKUP(C2043,ABBR!A:D,1,FALSE))),"")</f>
        <v/>
      </c>
      <c r="P2043" t="str">
        <f>VLOOKUP(A2043,Groups!A:L,5,FALSE)</f>
        <v>SAMP</v>
      </c>
      <c r="Q2043" s="62" t="str">
        <f>IF(G2043="PA",IF(M2043&lt;&gt;"",ISERROR(VLOOKUP(M2043,ABBR!C:F,1,FALSE)),ISERROR(VLOOKUP(E2043,ABBR!C:F,1,FALSE))),"")</f>
        <v/>
      </c>
    </row>
    <row r="2044" spans="1:17" ht="25" hidden="1" x14ac:dyDescent="0.25">
      <c r="A2044" s="38" t="s">
        <v>268</v>
      </c>
      <c r="B2044" s="17"/>
      <c r="C2044" s="16" t="s">
        <v>3766</v>
      </c>
      <c r="D2044" s="17" t="s">
        <v>722</v>
      </c>
      <c r="E2044" s="17" t="s">
        <v>601</v>
      </c>
      <c r="F2044" s="18" t="s">
        <v>3767</v>
      </c>
      <c r="G2044" s="49" t="s">
        <v>3768</v>
      </c>
      <c r="H2044" s="17">
        <v>18</v>
      </c>
      <c r="I2044" s="30" t="s">
        <v>955</v>
      </c>
      <c r="J2044" s="80">
        <v>4.0999999999999996</v>
      </c>
      <c r="O2044" s="62" t="str">
        <f>IF(E2044="PA",IF(K2044&lt;&gt;"",ISERROR(VLOOKUP(K2044,ABBR!A:D,1,FALSE)),ISERROR(VLOOKUP(C2044,ABBR!A:D,1,FALSE))),"")</f>
        <v/>
      </c>
      <c r="P2044" t="str">
        <f>VLOOKUP(A2044,Groups!A:L,5,FALSE)</f>
        <v>SAMP</v>
      </c>
      <c r="Q2044" s="62" t="str">
        <f>IF(G2044="PA",IF(M2044&lt;&gt;"",ISERROR(VLOOKUP(M2044,ABBR!C:F,1,FALSE)),ISERROR(VLOOKUP(E2044,ABBR!C:F,1,FALSE))),"")</f>
        <v/>
      </c>
    </row>
    <row r="2045" spans="1:17" hidden="1" x14ac:dyDescent="0.25">
      <c r="A2045" s="38" t="s">
        <v>268</v>
      </c>
      <c r="B2045" s="17"/>
      <c r="C2045" s="16" t="s">
        <v>3769</v>
      </c>
      <c r="D2045" s="17"/>
      <c r="E2045" s="17" t="s">
        <v>674</v>
      </c>
      <c r="F2045" s="18" t="s">
        <v>3770</v>
      </c>
      <c r="G2045" s="49" t="s">
        <v>677</v>
      </c>
      <c r="H2045" s="17">
        <v>19</v>
      </c>
      <c r="I2045" s="30" t="s">
        <v>955</v>
      </c>
      <c r="J2045" s="80">
        <v>4.0999999999999996</v>
      </c>
      <c r="O2045" s="62" t="str">
        <f>IF(E2045="PA",IF(K2045&lt;&gt;"",ISERROR(VLOOKUP(K2045,ABBR!A:D,1,FALSE)),ISERROR(VLOOKUP(C2045,ABBR!A:D,1,FALSE))),"")</f>
        <v/>
      </c>
      <c r="P2045" t="str">
        <f>VLOOKUP(A2045,Groups!A:L,5,FALSE)</f>
        <v>SAMP</v>
      </c>
      <c r="Q2045" s="62" t="str">
        <f>IF(G2045="PA",IF(M2045&lt;&gt;"",ISERROR(VLOOKUP(M2045,ABBR!C:F,1,FALSE)),ISERROR(VLOOKUP(E2045,ABBR!C:F,1,FALSE))),"")</f>
        <v/>
      </c>
    </row>
    <row r="2046" spans="1:17" hidden="1" x14ac:dyDescent="0.25">
      <c r="A2046" s="38" t="s">
        <v>268</v>
      </c>
      <c r="B2046" s="17"/>
      <c r="C2046" s="16" t="s">
        <v>3771</v>
      </c>
      <c r="D2046" s="17" t="s">
        <v>1345</v>
      </c>
      <c r="E2046" s="17" t="s">
        <v>882</v>
      </c>
      <c r="F2046" s="18" t="s">
        <v>3772</v>
      </c>
      <c r="G2046" s="49" t="s">
        <v>3773</v>
      </c>
      <c r="H2046" s="17">
        <v>20</v>
      </c>
      <c r="I2046" s="30" t="s">
        <v>955</v>
      </c>
      <c r="J2046" s="80">
        <v>4.0999999999999996</v>
      </c>
      <c r="O2046" s="62" t="str">
        <f>IF(E2046="PA",IF(K2046&lt;&gt;"",ISERROR(VLOOKUP(K2046,ABBR!A:D,1,FALSE)),ISERROR(VLOOKUP(C2046,ABBR!A:D,1,FALSE))),"")</f>
        <v/>
      </c>
      <c r="P2046" t="str">
        <f>VLOOKUP(A2046,Groups!A:L,5,FALSE)</f>
        <v>SAMP</v>
      </c>
      <c r="Q2046" s="62" t="str">
        <f>IF(G2046="PA",IF(M2046&lt;&gt;"",ISERROR(VLOOKUP(M2046,ABBR!C:F,1,FALSE)),ISERROR(VLOOKUP(E2046,ABBR!C:F,1,FALSE))),"")</f>
        <v/>
      </c>
    </row>
    <row r="2047" spans="1:17" ht="25" hidden="1" x14ac:dyDescent="0.25">
      <c r="A2047" s="38" t="s">
        <v>268</v>
      </c>
      <c r="B2047" s="17"/>
      <c r="C2047" s="16" t="s">
        <v>3774</v>
      </c>
      <c r="D2047" s="17" t="s">
        <v>1345</v>
      </c>
      <c r="E2047" s="17" t="s">
        <v>882</v>
      </c>
      <c r="F2047" s="18" t="s">
        <v>3775</v>
      </c>
      <c r="G2047" s="49"/>
      <c r="H2047" s="17">
        <v>21</v>
      </c>
      <c r="I2047" s="30" t="s">
        <v>955</v>
      </c>
      <c r="J2047" s="80">
        <v>4.0999999999999996</v>
      </c>
      <c r="M2047" s="101" t="s">
        <v>1044</v>
      </c>
      <c r="O2047" s="62" t="str">
        <f>IF(E2047="PA",IF(K2047&lt;&gt;"",ISERROR(VLOOKUP(K2047,ABBR!A:D,1,FALSE)),ISERROR(VLOOKUP(C2047,ABBR!A:D,1,FALSE))),"")</f>
        <v/>
      </c>
      <c r="P2047" t="str">
        <f>VLOOKUP(A2047,Groups!A:L,5,FALSE)</f>
        <v>SAMP</v>
      </c>
      <c r="Q2047" s="62" t="str">
        <f>IF(G2047="PA",IF(M2047&lt;&gt;"",ISERROR(VLOOKUP(M2047,ABBR!C:F,1,FALSE)),ISERROR(VLOOKUP(E2047,ABBR!C:F,1,FALSE))),"")</f>
        <v/>
      </c>
    </row>
    <row r="2048" spans="1:17" hidden="1" x14ac:dyDescent="0.25">
      <c r="A2048" s="38" t="s">
        <v>268</v>
      </c>
      <c r="B2048" s="17"/>
      <c r="C2048" s="16" t="s">
        <v>3776</v>
      </c>
      <c r="D2048" s="17" t="s">
        <v>766</v>
      </c>
      <c r="E2048" s="17" t="s">
        <v>608</v>
      </c>
      <c r="F2048" s="18" t="s">
        <v>3777</v>
      </c>
      <c r="G2048" s="49" t="s">
        <v>3778</v>
      </c>
      <c r="H2048" s="17">
        <v>22</v>
      </c>
      <c r="I2048" s="30" t="s">
        <v>955</v>
      </c>
      <c r="J2048" s="80">
        <v>4.0999999999999996</v>
      </c>
      <c r="O2048" s="62" t="str">
        <f>IF(E2048="PA",IF(K2048&lt;&gt;"",ISERROR(VLOOKUP(K2048,ABBR!A:D,1,FALSE)),ISERROR(VLOOKUP(C2048,ABBR!A:D,1,FALSE))),"")</f>
        <v/>
      </c>
      <c r="P2048" t="str">
        <f>VLOOKUP(A2048,Groups!A:L,5,FALSE)</f>
        <v>SAMP</v>
      </c>
      <c r="Q2048" s="62" t="str">
        <f>IF(G2048="PA",IF(M2048&lt;&gt;"",ISERROR(VLOOKUP(M2048,ABBR!C:F,1,FALSE)),ISERROR(VLOOKUP(E2048,ABBR!C:F,1,FALSE))),"")</f>
        <v/>
      </c>
    </row>
    <row r="2049" spans="1:17" ht="25" hidden="1" x14ac:dyDescent="0.25">
      <c r="A2049" s="38" t="s">
        <v>268</v>
      </c>
      <c r="B2049" s="17"/>
      <c r="C2049" s="16" t="s">
        <v>3779</v>
      </c>
      <c r="D2049" s="17"/>
      <c r="E2049" s="17" t="s">
        <v>608</v>
      </c>
      <c r="F2049" s="18" t="s">
        <v>3780</v>
      </c>
      <c r="G2049" s="49" t="s">
        <v>3781</v>
      </c>
      <c r="H2049" s="17">
        <v>23</v>
      </c>
      <c r="I2049" s="30" t="s">
        <v>955</v>
      </c>
      <c r="J2049" s="80">
        <v>4.0999999999999996</v>
      </c>
      <c r="O2049" s="62" t="str">
        <f>IF(E2049="PA",IF(K2049&lt;&gt;"",ISERROR(VLOOKUP(K2049,ABBR!A:D,1,FALSE)),ISERROR(VLOOKUP(C2049,ABBR!A:D,1,FALSE))),"")</f>
        <v/>
      </c>
      <c r="P2049" t="str">
        <f>VLOOKUP(A2049,Groups!A:L,5,FALSE)</f>
        <v>SAMP</v>
      </c>
      <c r="Q2049" s="62" t="str">
        <f>IF(G2049="PA",IF(M2049&lt;&gt;"",ISERROR(VLOOKUP(M2049,ABBR!C:F,1,FALSE)),ISERROR(VLOOKUP(E2049,ABBR!C:F,1,FALSE))),"")</f>
        <v/>
      </c>
    </row>
    <row r="2050" spans="1:17" hidden="1" x14ac:dyDescent="0.25">
      <c r="A2050" s="38" t="s">
        <v>268</v>
      </c>
      <c r="B2050" s="17"/>
      <c r="C2050" s="16" t="s">
        <v>3782</v>
      </c>
      <c r="D2050" s="17"/>
      <c r="E2050" s="17" t="s">
        <v>608</v>
      </c>
      <c r="F2050" s="18" t="s">
        <v>642</v>
      </c>
      <c r="G2050" s="49" t="s">
        <v>16</v>
      </c>
      <c r="H2050" s="17">
        <v>24</v>
      </c>
      <c r="I2050" s="30" t="s">
        <v>955</v>
      </c>
      <c r="J2050" s="80">
        <v>4.0999999999999996</v>
      </c>
      <c r="M2050" s="101"/>
      <c r="O2050" s="62" t="str">
        <f>IF(E2050="PA",IF(K2050&lt;&gt;"",ISERROR(VLOOKUP(K2050,ABBR!A:D,1,FALSE)),ISERROR(VLOOKUP(C2050,ABBR!A:D,1,FALSE))),"")</f>
        <v/>
      </c>
      <c r="P2050" t="str">
        <f>VLOOKUP(A2050,Groups!A:L,5,FALSE)</f>
        <v>SAMP</v>
      </c>
      <c r="Q2050" s="62" t="str">
        <f>IF(G2050="PA",IF(M2050&lt;&gt;"",ISERROR(VLOOKUP(M2050,ABBR!C:F,1,FALSE)),ISERROR(VLOOKUP(E2050,ABBR!C:F,1,FALSE))),"")</f>
        <v/>
      </c>
    </row>
    <row r="2051" spans="1:17" ht="25" hidden="1" x14ac:dyDescent="0.25">
      <c r="A2051" s="38" t="s">
        <v>268</v>
      </c>
      <c r="B2051" s="17"/>
      <c r="C2051" s="16" t="s">
        <v>3783</v>
      </c>
      <c r="D2051" s="17"/>
      <c r="E2051" s="17" t="s">
        <v>608</v>
      </c>
      <c r="F2051" s="18" t="s">
        <v>918</v>
      </c>
      <c r="G2051" s="49" t="s">
        <v>3709</v>
      </c>
      <c r="H2051" s="17">
        <v>25</v>
      </c>
      <c r="I2051" s="30" t="s">
        <v>955</v>
      </c>
      <c r="J2051" s="80">
        <v>4.0999999999999996</v>
      </c>
      <c r="O2051" s="62" t="str">
        <f>IF(E2051="PA",IF(K2051&lt;&gt;"",ISERROR(VLOOKUP(K2051,ABBR!A:D,1,FALSE)),ISERROR(VLOOKUP(C2051,ABBR!A:D,1,FALSE))),"")</f>
        <v/>
      </c>
      <c r="P2051" t="str">
        <f>VLOOKUP(A2051,Groups!A:L,5,FALSE)</f>
        <v>SAMP</v>
      </c>
      <c r="Q2051" s="62" t="str">
        <f>IF(G2051="PA",IF(M2051&lt;&gt;"",ISERROR(VLOOKUP(M2051,ABBR!C:F,1,FALSE)),ISERROR(VLOOKUP(E2051,ABBR!C:F,1,FALSE))),"")</f>
        <v/>
      </c>
    </row>
    <row r="2052" spans="1:17" hidden="1" x14ac:dyDescent="0.25">
      <c r="A2052" s="38" t="s">
        <v>268</v>
      </c>
      <c r="B2052" s="17"/>
      <c r="C2052" s="16" t="s">
        <v>3784</v>
      </c>
      <c r="D2052" s="17"/>
      <c r="E2052" s="17" t="s">
        <v>608</v>
      </c>
      <c r="F2052" s="18" t="s">
        <v>950</v>
      </c>
      <c r="G2052" s="27" t="s">
        <v>951</v>
      </c>
      <c r="H2052" s="17">
        <v>26</v>
      </c>
      <c r="I2052" s="30" t="s">
        <v>955</v>
      </c>
      <c r="J2052" s="80">
        <v>4.0999999999999996</v>
      </c>
      <c r="O2052" s="62" t="str">
        <f>IF(E2052="PA",IF(K2052&lt;&gt;"",ISERROR(VLOOKUP(K2052,ABBR!A:D,1,FALSE)),ISERROR(VLOOKUP(C2052,ABBR!A:D,1,FALSE))),"")</f>
        <v/>
      </c>
      <c r="P2052" t="str">
        <f>VLOOKUP(A2052,Groups!A:L,5,FALSE)</f>
        <v>SAMP</v>
      </c>
      <c r="Q2052" s="62" t="str">
        <f>IF(G2052="PA",IF(M2052&lt;&gt;"",ISERROR(VLOOKUP(M2052,ABBR!C:F,1,FALSE)),ISERROR(VLOOKUP(E2052,ABBR!C:F,1,FALSE))),"")</f>
        <v/>
      </c>
    </row>
    <row r="2053" spans="1:17" ht="25" hidden="1" x14ac:dyDescent="0.25">
      <c r="A2053" s="38" t="s">
        <v>268</v>
      </c>
      <c r="B2053" s="17"/>
      <c r="C2053" s="16" t="s">
        <v>3785</v>
      </c>
      <c r="D2053" s="17"/>
      <c r="E2053" s="17" t="s">
        <v>608</v>
      </c>
      <c r="F2053" s="18" t="s">
        <v>934</v>
      </c>
      <c r="G2053" s="49" t="s">
        <v>953</v>
      </c>
      <c r="H2053" s="17">
        <v>27</v>
      </c>
      <c r="I2053" s="30" t="s">
        <v>955</v>
      </c>
      <c r="J2053" s="80">
        <v>4.0999999999999996</v>
      </c>
      <c r="O2053" s="62" t="str">
        <f>IF(E2053="PA",IF(K2053&lt;&gt;"",ISERROR(VLOOKUP(K2053,ABBR!A:D,1,FALSE)),ISERROR(VLOOKUP(C2053,ABBR!A:D,1,FALSE))),"")</f>
        <v/>
      </c>
      <c r="P2053" t="str">
        <f>VLOOKUP(A2053,Groups!A:L,5,FALSE)</f>
        <v>SAMP</v>
      </c>
      <c r="Q2053" s="62" t="str">
        <f>IF(G2053="PA",IF(M2053&lt;&gt;"",ISERROR(VLOOKUP(M2053,ABBR!C:F,1,FALSE)),ISERROR(VLOOKUP(E2053,ABBR!C:F,1,FALSE))),"")</f>
        <v/>
      </c>
    </row>
    <row r="2054" spans="1:17" hidden="1" x14ac:dyDescent="0.25">
      <c r="A2054" s="38" t="s">
        <v>268</v>
      </c>
      <c r="B2054" s="17"/>
      <c r="C2054" s="16" t="s">
        <v>936</v>
      </c>
      <c r="D2054" s="17"/>
      <c r="E2054" s="22" t="s">
        <v>608</v>
      </c>
      <c r="F2054" s="18" t="s">
        <v>937</v>
      </c>
      <c r="G2054" s="49" t="s">
        <v>938</v>
      </c>
      <c r="H2054" s="17">
        <v>28</v>
      </c>
      <c r="I2054" s="30" t="s">
        <v>955</v>
      </c>
      <c r="J2054" s="80">
        <v>4.0999999999999996</v>
      </c>
      <c r="O2054" s="62" t="str">
        <f>IF(E2054="PA",IF(K2054&lt;&gt;"",ISERROR(VLOOKUP(K2054,ABBR!A:D,1,FALSE)),ISERROR(VLOOKUP(C2054,ABBR!A:D,1,FALSE))),"")</f>
        <v/>
      </c>
      <c r="P2054" t="str">
        <f>VLOOKUP(A2054,Groups!A:L,5,FALSE)</f>
        <v>SAMP</v>
      </c>
      <c r="Q2054" s="62" t="str">
        <f>IF(G2054="PA",IF(M2054&lt;&gt;"",ISERROR(VLOOKUP(M2054,ABBR!C:F,1,FALSE)),ISERROR(VLOOKUP(E2054,ABBR!C:F,1,FALSE))),"")</f>
        <v/>
      </c>
    </row>
    <row r="2055" spans="1:17" hidden="1" x14ac:dyDescent="0.25">
      <c r="A2055" s="38" t="s">
        <v>268</v>
      </c>
      <c r="B2055" s="17"/>
      <c r="C2055" s="16" t="s">
        <v>643</v>
      </c>
      <c r="D2055" s="17"/>
      <c r="E2055" s="17" t="s">
        <v>608</v>
      </c>
      <c r="F2055" s="18" t="s">
        <v>954</v>
      </c>
      <c r="G2055" s="49" t="s">
        <v>940</v>
      </c>
      <c r="H2055" s="17">
        <v>29</v>
      </c>
      <c r="I2055" s="30" t="s">
        <v>955</v>
      </c>
      <c r="J2055" s="80">
        <v>4.0999999999999996</v>
      </c>
      <c r="O2055" s="62" t="str">
        <f>IF(E2055="PA",IF(K2055&lt;&gt;"",ISERROR(VLOOKUP(K2055,ABBR!A:D,1,FALSE)),ISERROR(VLOOKUP(C2055,ABBR!A:D,1,FALSE))),"")</f>
        <v/>
      </c>
      <c r="P2055" t="str">
        <f>VLOOKUP(A2055,Groups!A:L,5,FALSE)</f>
        <v>SAMP</v>
      </c>
      <c r="Q2055" s="62" t="str">
        <f>IF(G2055="PA",IF(M2055&lt;&gt;"",ISERROR(VLOOKUP(M2055,ABBR!C:F,1,FALSE)),ISERROR(VLOOKUP(E2055,ABBR!C:F,1,FALSE))),"")</f>
        <v/>
      </c>
    </row>
    <row r="2056" spans="1:17" hidden="1" x14ac:dyDescent="0.25">
      <c r="A2056" s="38" t="s">
        <v>268</v>
      </c>
      <c r="B2056" s="17"/>
      <c r="C2056" s="16" t="s">
        <v>3786</v>
      </c>
      <c r="D2056" s="17" t="s">
        <v>924</v>
      </c>
      <c r="E2056" s="17" t="s">
        <v>925</v>
      </c>
      <c r="F2056" s="18" t="s">
        <v>926</v>
      </c>
      <c r="G2056" s="49" t="s">
        <v>927</v>
      </c>
      <c r="H2056" s="17">
        <v>30</v>
      </c>
      <c r="J2056" s="62" t="s">
        <v>473</v>
      </c>
      <c r="M2056" s="101" t="s">
        <v>1044</v>
      </c>
      <c r="O2056" s="62" t="str">
        <f>IF(E2056="PA",IF(K2056&lt;&gt;"",ISERROR(VLOOKUP(K2056,ABBR!A:D,1,FALSE)),ISERROR(VLOOKUP(C2056,ABBR!A:D,1,FALSE))),"")</f>
        <v/>
      </c>
      <c r="P2056" t="str">
        <f>VLOOKUP(A2056,Groups!A:L,5,FALSE)</f>
        <v>SAMP</v>
      </c>
      <c r="Q2056" s="62" t="str">
        <f>IF(G2056="PA",IF(M2056&lt;&gt;"",ISERROR(VLOOKUP(M2056,ABBR!C:F,1,FALSE)),ISERROR(VLOOKUP(E2056,ABBR!C:F,1,FALSE))),"")</f>
        <v/>
      </c>
    </row>
    <row r="2057" spans="1:17" hidden="1" x14ac:dyDescent="0.25">
      <c r="A2057" s="38" t="s">
        <v>268</v>
      </c>
      <c r="B2057" s="17"/>
      <c r="C2057" s="16" t="s">
        <v>3787</v>
      </c>
      <c r="D2057" s="17"/>
      <c r="E2057" s="17" t="s">
        <v>608</v>
      </c>
      <c r="F2057" s="18" t="s">
        <v>875</v>
      </c>
      <c r="G2057" s="49" t="s">
        <v>876</v>
      </c>
      <c r="H2057" s="17">
        <v>31</v>
      </c>
      <c r="J2057" s="62" t="s">
        <v>473</v>
      </c>
      <c r="M2057" s="101" t="s">
        <v>1044</v>
      </c>
      <c r="O2057" s="62" t="str">
        <f>IF(E2057="PA",IF(K2057&lt;&gt;"",ISERROR(VLOOKUP(K2057,ABBR!A:D,1,FALSE)),ISERROR(VLOOKUP(C2057,ABBR!A:D,1,FALSE))),"")</f>
        <v/>
      </c>
      <c r="P2057" t="str">
        <f>VLOOKUP(A2057,Groups!A:L,5,FALSE)</f>
        <v>SAMP</v>
      </c>
      <c r="Q2057" s="62" t="str">
        <f>IF(G2057="PA",IF(M2057&lt;&gt;"",ISERROR(VLOOKUP(M2057,ABBR!C:F,1,FALSE)),ISERROR(VLOOKUP(E2057,ABBR!C:F,1,FALSE))),"")</f>
        <v/>
      </c>
    </row>
    <row r="2058" spans="1:17" hidden="1" x14ac:dyDescent="0.25">
      <c r="A2058" s="38" t="s">
        <v>268</v>
      </c>
      <c r="B2058" s="17"/>
      <c r="C2058" s="16" t="s">
        <v>3788</v>
      </c>
      <c r="D2058" s="17"/>
      <c r="E2058" s="17" t="s">
        <v>608</v>
      </c>
      <c r="F2058" s="18" t="s">
        <v>929</v>
      </c>
      <c r="G2058" s="49" t="s">
        <v>927</v>
      </c>
      <c r="H2058" s="17">
        <v>32</v>
      </c>
      <c r="J2058" s="62" t="s">
        <v>473</v>
      </c>
      <c r="M2058" s="101" t="s">
        <v>1044</v>
      </c>
      <c r="O2058" s="62" t="str">
        <f>IF(E2058="PA",IF(K2058&lt;&gt;"",ISERROR(VLOOKUP(K2058,ABBR!A:D,1,FALSE)),ISERROR(VLOOKUP(C2058,ABBR!A:D,1,FALSE))),"")</f>
        <v/>
      </c>
      <c r="P2058" t="str">
        <f>VLOOKUP(A2058,Groups!A:L,5,FALSE)</f>
        <v>SAMP</v>
      </c>
      <c r="Q2058" s="62" t="str">
        <f>IF(G2058="PA",IF(M2058&lt;&gt;"",ISERROR(VLOOKUP(M2058,ABBR!C:F,1,FALSE)),ISERROR(VLOOKUP(E2058,ABBR!C:F,1,FALSE))),"")</f>
        <v/>
      </c>
    </row>
    <row r="2059" spans="1:17" hidden="1" x14ac:dyDescent="0.25">
      <c r="A2059" s="38" t="s">
        <v>535</v>
      </c>
      <c r="B2059" s="17" t="s">
        <v>594</v>
      </c>
      <c r="C2059" s="16" t="s">
        <v>595</v>
      </c>
      <c r="D2059" s="17"/>
      <c r="E2059" s="17" t="s">
        <v>596</v>
      </c>
      <c r="F2059" s="18" t="s">
        <v>597</v>
      </c>
      <c r="G2059" s="49" t="s">
        <v>598</v>
      </c>
      <c r="H2059" s="17">
        <v>1</v>
      </c>
      <c r="J2059" s="7" t="s">
        <v>478</v>
      </c>
      <c r="K2059" s="62"/>
      <c r="L2059" s="62"/>
      <c r="M2059" s="62"/>
      <c r="N2059" s="62"/>
      <c r="O2059" s="62" t="str">
        <f>IF(E2059="PA",IF(K2059&lt;&gt;"",ISERROR(VLOOKUP(K2059,ABBR!A:D,1,FALSE)),ISERROR(VLOOKUP(C2059,ABBR!A:D,1,FALSE))),"")</f>
        <v/>
      </c>
      <c r="P2059" t="str">
        <f>VLOOKUP(A2059,Groups!A:L,5,FALSE)</f>
        <v>SAMP</v>
      </c>
      <c r="Q2059" s="62" t="str">
        <f>IF(G2059="PA",IF(M2059&lt;&gt;"",ISERROR(VLOOKUP(M2059,ABBR!C:F,1,FALSE)),ISERROR(VLOOKUP(E2059,ABBR!C:F,1,FALSE))),"")</f>
        <v/>
      </c>
    </row>
    <row r="2060" spans="1:17" hidden="1" x14ac:dyDescent="0.25">
      <c r="A2060" s="38" t="s">
        <v>535</v>
      </c>
      <c r="B2060" s="17" t="s">
        <v>594</v>
      </c>
      <c r="C2060" s="16" t="s">
        <v>851</v>
      </c>
      <c r="D2060" s="17" t="s">
        <v>600</v>
      </c>
      <c r="E2060" s="17" t="s">
        <v>601</v>
      </c>
      <c r="F2060" s="18" t="s">
        <v>852</v>
      </c>
      <c r="G2060" s="49" t="s">
        <v>853</v>
      </c>
      <c r="H2060" s="17">
        <f t="shared" ref="H2060:H2084" si="13">H2059+1</f>
        <v>2</v>
      </c>
      <c r="J2060" s="7" t="s">
        <v>478</v>
      </c>
      <c r="K2060" s="62"/>
      <c r="L2060" s="62"/>
      <c r="M2060" s="62"/>
      <c r="N2060" s="62"/>
      <c r="O2060" s="62" t="str">
        <f>IF(E2060="PA",IF(K2060&lt;&gt;"",ISERROR(VLOOKUP(K2060,ABBR!A:D,1,FALSE)),ISERROR(VLOOKUP(C2060,ABBR!A:D,1,FALSE))),"")</f>
        <v/>
      </c>
      <c r="P2060" t="str">
        <f>VLOOKUP(A2060,Groups!A:L,5,FALSE)</f>
        <v>SAMP</v>
      </c>
      <c r="Q2060" s="62" t="str">
        <f>IF(G2060="PA",IF(M2060&lt;&gt;"",ISERROR(VLOOKUP(M2060,ABBR!C:F,1,FALSE)),ISERROR(VLOOKUP(E2060,ABBR!C:F,1,FALSE))),"")</f>
        <v/>
      </c>
    </row>
    <row r="2061" spans="1:17" hidden="1" x14ac:dyDescent="0.25">
      <c r="A2061" s="38" t="s">
        <v>535</v>
      </c>
      <c r="B2061" s="17" t="s">
        <v>594</v>
      </c>
      <c r="C2061" s="16" t="s">
        <v>854</v>
      </c>
      <c r="D2061" s="17"/>
      <c r="E2061" s="17" t="s">
        <v>608</v>
      </c>
      <c r="F2061" s="18" t="s">
        <v>855</v>
      </c>
      <c r="G2061" s="49" t="s">
        <v>856</v>
      </c>
      <c r="H2061" s="17">
        <f t="shared" si="13"/>
        <v>3</v>
      </c>
      <c r="J2061" s="7" t="s">
        <v>478</v>
      </c>
      <c r="K2061" s="62"/>
      <c r="L2061" s="62"/>
      <c r="M2061" s="62"/>
      <c r="N2061" s="62"/>
      <c r="O2061" s="62" t="str">
        <f>IF(E2061="PA",IF(K2061&lt;&gt;"",ISERROR(VLOOKUP(K2061,ABBR!A:D,1,FALSE)),ISERROR(VLOOKUP(C2061,ABBR!A:D,1,FALSE))),"")</f>
        <v/>
      </c>
      <c r="P2061" t="str">
        <f>VLOOKUP(A2061,Groups!A:L,5,FALSE)</f>
        <v>SAMP</v>
      </c>
      <c r="Q2061" s="62" t="str">
        <f>IF(G2061="PA",IF(M2061&lt;&gt;"",ISERROR(VLOOKUP(M2061,ABBR!C:F,1,FALSE)),ISERROR(VLOOKUP(E2061,ABBR!C:F,1,FALSE))),"")</f>
        <v/>
      </c>
    </row>
    <row r="2062" spans="1:17" hidden="1" x14ac:dyDescent="0.25">
      <c r="A2062" s="38" t="s">
        <v>535</v>
      </c>
      <c r="B2062" s="17" t="s">
        <v>594</v>
      </c>
      <c r="C2062" s="16" t="s">
        <v>857</v>
      </c>
      <c r="D2062" s="17"/>
      <c r="E2062" s="17" t="s">
        <v>618</v>
      </c>
      <c r="F2062" s="18" t="s">
        <v>858</v>
      </c>
      <c r="G2062" s="49" t="s">
        <v>859</v>
      </c>
      <c r="H2062" s="17">
        <f t="shared" si="13"/>
        <v>4</v>
      </c>
      <c r="J2062" s="7" t="s">
        <v>478</v>
      </c>
      <c r="K2062" s="62"/>
      <c r="L2062" s="62"/>
      <c r="M2062" s="62"/>
      <c r="N2062" s="62"/>
      <c r="O2062" s="62" t="b">
        <f>IF(E2062="PA",IF(K2062&lt;&gt;"",ISERROR(VLOOKUP(K2062,ABBR!A:D,1,FALSE)),ISERROR(VLOOKUP(C2062,ABBR!A:D,1,FALSE))),"")</f>
        <v>0</v>
      </c>
      <c r="P2062" t="str">
        <f>VLOOKUP(A2062,Groups!A:L,5,FALSE)</f>
        <v>SAMP</v>
      </c>
      <c r="Q2062" s="62" t="str">
        <f>IF(G2062="PA",IF(M2062&lt;&gt;"",ISERROR(VLOOKUP(M2062,ABBR!C:F,1,FALSE)),ISERROR(VLOOKUP(E2062,ABBR!C:F,1,FALSE))),"")</f>
        <v/>
      </c>
    </row>
    <row r="2063" spans="1:17" hidden="1" x14ac:dyDescent="0.25">
      <c r="A2063" s="38" t="s">
        <v>535</v>
      </c>
      <c r="B2063" s="17" t="s">
        <v>594</v>
      </c>
      <c r="C2063" s="16" t="s">
        <v>860</v>
      </c>
      <c r="D2063" s="17"/>
      <c r="E2063" s="17" t="s">
        <v>596</v>
      </c>
      <c r="F2063" s="18" t="s">
        <v>861</v>
      </c>
      <c r="G2063" s="49" t="s">
        <v>862</v>
      </c>
      <c r="H2063" s="17">
        <f t="shared" si="13"/>
        <v>5</v>
      </c>
      <c r="J2063" s="7" t="s">
        <v>478</v>
      </c>
      <c r="K2063" s="62"/>
      <c r="L2063" s="62"/>
      <c r="M2063" s="62"/>
      <c r="N2063" s="62"/>
      <c r="O2063" s="62" t="str">
        <f>IF(E2063="PA",IF(K2063&lt;&gt;"",ISERROR(VLOOKUP(K2063,ABBR!A:D,1,FALSE)),ISERROR(VLOOKUP(C2063,ABBR!A:D,1,FALSE))),"")</f>
        <v/>
      </c>
      <c r="P2063" t="str">
        <f>VLOOKUP(A2063,Groups!A:L,5,FALSE)</f>
        <v>SAMP</v>
      </c>
      <c r="Q2063" s="62" t="str">
        <f>IF(G2063="PA",IF(M2063&lt;&gt;"",ISERROR(VLOOKUP(M2063,ABBR!C:F,1,FALSE)),ISERROR(VLOOKUP(E2063,ABBR!C:F,1,FALSE))),"")</f>
        <v/>
      </c>
    </row>
    <row r="2064" spans="1:17" hidden="1" x14ac:dyDescent="0.25">
      <c r="A2064" s="38" t="s">
        <v>535</v>
      </c>
      <c r="B2064" s="17" t="s">
        <v>594</v>
      </c>
      <c r="C2064" s="16" t="s">
        <v>863</v>
      </c>
      <c r="D2064" s="17"/>
      <c r="E2064" s="17" t="s">
        <v>608</v>
      </c>
      <c r="F2064" s="18" t="s">
        <v>864</v>
      </c>
      <c r="G2064" s="49" t="s">
        <v>865</v>
      </c>
      <c r="H2064" s="17">
        <f t="shared" si="13"/>
        <v>6</v>
      </c>
      <c r="J2064" s="7" t="s">
        <v>478</v>
      </c>
      <c r="K2064" s="62"/>
      <c r="L2064" s="62"/>
      <c r="M2064" s="62"/>
      <c r="N2064" s="62"/>
      <c r="O2064" s="62" t="str">
        <f>IF(E2064="PA",IF(K2064&lt;&gt;"",ISERROR(VLOOKUP(K2064,ABBR!A:D,1,FALSE)),ISERROR(VLOOKUP(C2064,ABBR!A:D,1,FALSE))),"")</f>
        <v/>
      </c>
      <c r="P2064" t="str">
        <f>VLOOKUP(A2064,Groups!A:L,5,FALSE)</f>
        <v>SAMP</v>
      </c>
      <c r="Q2064" s="62" t="str">
        <f>IF(G2064="PA",IF(M2064&lt;&gt;"",ISERROR(VLOOKUP(M2064,ABBR!C:F,1,FALSE)),ISERROR(VLOOKUP(E2064,ABBR!C:F,1,FALSE))),"")</f>
        <v/>
      </c>
    </row>
    <row r="2065" spans="1:17" hidden="1" x14ac:dyDescent="0.25">
      <c r="A2065" s="38" t="s">
        <v>535</v>
      </c>
      <c r="B2065" s="17" t="s">
        <v>594</v>
      </c>
      <c r="C2065" s="16" t="s">
        <v>866</v>
      </c>
      <c r="D2065" s="17" t="s">
        <v>600</v>
      </c>
      <c r="E2065" s="17" t="s">
        <v>601</v>
      </c>
      <c r="F2065" s="18" t="s">
        <v>867</v>
      </c>
      <c r="G2065" s="49" t="s">
        <v>853</v>
      </c>
      <c r="H2065" s="17">
        <f t="shared" si="13"/>
        <v>7</v>
      </c>
      <c r="J2065" s="7" t="s">
        <v>478</v>
      </c>
      <c r="K2065" s="62"/>
      <c r="L2065" s="62"/>
      <c r="M2065" s="62"/>
      <c r="N2065" s="62"/>
      <c r="O2065" s="62" t="str">
        <f>IF(E2065="PA",IF(K2065&lt;&gt;"",ISERROR(VLOOKUP(K2065,ABBR!A:D,1,FALSE)),ISERROR(VLOOKUP(C2065,ABBR!A:D,1,FALSE))),"")</f>
        <v/>
      </c>
      <c r="P2065" t="str">
        <f>VLOOKUP(A2065,Groups!A:L,5,FALSE)</f>
        <v>SAMP</v>
      </c>
      <c r="Q2065" s="62" t="str">
        <f>IF(G2065="PA",IF(M2065&lt;&gt;"",ISERROR(VLOOKUP(M2065,ABBR!C:F,1,FALSE)),ISERROR(VLOOKUP(E2065,ABBR!C:F,1,FALSE))),"")</f>
        <v/>
      </c>
    </row>
    <row r="2066" spans="1:17" hidden="1" x14ac:dyDescent="0.25">
      <c r="A2066" s="38" t="s">
        <v>535</v>
      </c>
      <c r="B2066" s="46"/>
      <c r="C2066" s="9" t="s">
        <v>868</v>
      </c>
      <c r="D2066" s="46"/>
      <c r="E2066" s="46" t="s">
        <v>608</v>
      </c>
      <c r="F2066" s="93" t="s">
        <v>869</v>
      </c>
      <c r="G2066" s="51" t="s">
        <v>3265</v>
      </c>
      <c r="H2066" s="17">
        <f t="shared" si="13"/>
        <v>8</v>
      </c>
      <c r="I2066"/>
      <c r="J2066" s="34" t="s">
        <v>473</v>
      </c>
      <c r="O2066" s="62" t="str">
        <f>IF(E2066="PA",IF(K2066&lt;&gt;"",ISERROR(VLOOKUP(K2066,ABBR!A:D,1,FALSE)),ISERROR(VLOOKUP(C2066,ABBR!A:D,1,FALSE))),"")</f>
        <v/>
      </c>
      <c r="P2066" t="str">
        <f>VLOOKUP(A2066,Groups!A:L,5,FALSE)</f>
        <v>SAMP</v>
      </c>
      <c r="Q2066" s="62" t="str">
        <f>IF(G2066="PA",IF(M2066&lt;&gt;"",ISERROR(VLOOKUP(M2066,ABBR!C:F,1,FALSE)),ISERROR(VLOOKUP(E2066,ABBR!C:F,1,FALSE))),"")</f>
        <v/>
      </c>
    </row>
    <row r="2067" spans="1:17" ht="25" hidden="1" x14ac:dyDescent="0.25">
      <c r="A2067" s="38" t="s">
        <v>535</v>
      </c>
      <c r="B2067" s="46"/>
      <c r="C2067" s="9" t="s">
        <v>871</v>
      </c>
      <c r="D2067" s="46"/>
      <c r="E2067" s="46" t="s">
        <v>608</v>
      </c>
      <c r="F2067" s="93" t="s">
        <v>872</v>
      </c>
      <c r="G2067" s="94" t="s">
        <v>873</v>
      </c>
      <c r="H2067" s="17">
        <f t="shared" si="13"/>
        <v>9</v>
      </c>
      <c r="I2067"/>
      <c r="J2067" s="34" t="s">
        <v>473</v>
      </c>
      <c r="O2067" s="62" t="str">
        <f>IF(E2067="PA",IF(K2067&lt;&gt;"",ISERROR(VLOOKUP(K2067,ABBR!A:D,1,FALSE)),ISERROR(VLOOKUP(C2067,ABBR!A:D,1,FALSE))),"")</f>
        <v/>
      </c>
      <c r="P2067" t="str">
        <f>VLOOKUP(A2067,Groups!A:L,5,FALSE)</f>
        <v>SAMP</v>
      </c>
      <c r="Q2067" s="62" t="str">
        <f>IF(G2067="PA",IF(M2067&lt;&gt;"",ISERROR(VLOOKUP(M2067,ABBR!C:F,1,FALSE)),ISERROR(VLOOKUP(E2067,ABBR!C:F,1,FALSE))),"")</f>
        <v/>
      </c>
    </row>
    <row r="2068" spans="1:17" hidden="1" x14ac:dyDescent="0.25">
      <c r="A2068" s="16" t="s">
        <v>535</v>
      </c>
      <c r="B2068" s="17"/>
      <c r="C2068" s="16" t="s">
        <v>3789</v>
      </c>
      <c r="D2068" s="17"/>
      <c r="E2068" s="17" t="s">
        <v>608</v>
      </c>
      <c r="F2068" s="18" t="s">
        <v>875</v>
      </c>
      <c r="G2068" s="49" t="s">
        <v>876</v>
      </c>
      <c r="H2068" s="17">
        <f t="shared" si="13"/>
        <v>10</v>
      </c>
      <c r="J2068" s="62" t="s">
        <v>473</v>
      </c>
      <c r="K2068" s="62"/>
      <c r="L2068" s="62"/>
      <c r="M2068" s="62"/>
      <c r="N2068" s="62"/>
      <c r="O2068" s="62" t="str">
        <f>IF(E2068="PA",IF(K2068&lt;&gt;"",ISERROR(VLOOKUP(K2068,ABBR!A:D,1,FALSE)),ISERROR(VLOOKUP(C2068,ABBR!A:D,1,FALSE))),"")</f>
        <v/>
      </c>
      <c r="P2068" t="str">
        <f>VLOOKUP(A2068,Groups!A:L,5,FALSE)</f>
        <v>SAMP</v>
      </c>
      <c r="Q2068" s="62" t="str">
        <f>IF(G2068="PA",IF(M2068&lt;&gt;"",ISERROR(VLOOKUP(M2068,ABBR!C:F,1,FALSE)),ISERROR(VLOOKUP(E2068,ABBR!C:F,1,FALSE))),"")</f>
        <v/>
      </c>
    </row>
    <row r="2069" spans="1:17" hidden="1" x14ac:dyDescent="0.25">
      <c r="A2069" s="38" t="s">
        <v>535</v>
      </c>
      <c r="B2069" s="46"/>
      <c r="C2069" s="9" t="s">
        <v>877</v>
      </c>
      <c r="D2069" s="46" t="s">
        <v>600</v>
      </c>
      <c r="E2069" s="46" t="s">
        <v>601</v>
      </c>
      <c r="F2069" s="93" t="s">
        <v>878</v>
      </c>
      <c r="G2069" s="94" t="s">
        <v>879</v>
      </c>
      <c r="H2069" s="17">
        <f t="shared" si="13"/>
        <v>11</v>
      </c>
      <c r="I2069"/>
      <c r="J2069" s="34" t="s">
        <v>473</v>
      </c>
      <c r="O2069" s="62" t="str">
        <f>IF(E2069="PA",IF(K2069&lt;&gt;"",ISERROR(VLOOKUP(K2069,ABBR!A:D,1,FALSE)),ISERROR(VLOOKUP(C2069,ABBR!A:D,1,FALSE))),"")</f>
        <v/>
      </c>
      <c r="P2069" t="str">
        <f>VLOOKUP(A2069,Groups!A:L,5,FALSE)</f>
        <v>SAMP</v>
      </c>
      <c r="Q2069" s="62" t="str">
        <f>IF(G2069="PA",IF(M2069&lt;&gt;"",ISERROR(VLOOKUP(M2069,ABBR!C:F,1,FALSE)),ISERROR(VLOOKUP(E2069,ABBR!C:F,1,FALSE))),"")</f>
        <v/>
      </c>
    </row>
    <row r="2070" spans="1:17" hidden="1" x14ac:dyDescent="0.25">
      <c r="A2070" s="38" t="s">
        <v>535</v>
      </c>
      <c r="B2070" s="17"/>
      <c r="C2070" s="16" t="s">
        <v>3790</v>
      </c>
      <c r="D2070" s="17" t="s">
        <v>1077</v>
      </c>
      <c r="E2070" s="17" t="s">
        <v>601</v>
      </c>
      <c r="F2070" s="18" t="s">
        <v>3791</v>
      </c>
      <c r="G2070" s="49" t="s">
        <v>1340</v>
      </c>
      <c r="H2070" s="17">
        <f t="shared" si="13"/>
        <v>12</v>
      </c>
      <c r="J2070" s="7" t="s">
        <v>478</v>
      </c>
      <c r="K2070" s="62"/>
      <c r="L2070" s="62"/>
      <c r="M2070" s="62"/>
      <c r="N2070" s="62"/>
      <c r="O2070" s="62" t="str">
        <f>IF(E2070="PA",IF(K2070&lt;&gt;"",ISERROR(VLOOKUP(K2070,ABBR!A:D,1,FALSE)),ISERROR(VLOOKUP(C2070,ABBR!A:D,1,FALSE))),"")</f>
        <v/>
      </c>
      <c r="P2070" t="str">
        <f>VLOOKUP(A2070,Groups!A:L,5,FALSE)</f>
        <v>SAMP</v>
      </c>
      <c r="Q2070" s="62" t="str">
        <f>IF(G2070="PA",IF(M2070&lt;&gt;"",ISERROR(VLOOKUP(M2070,ABBR!C:F,1,FALSE)),ISERROR(VLOOKUP(E2070,ABBR!C:F,1,FALSE))),"")</f>
        <v/>
      </c>
    </row>
    <row r="2071" spans="1:17" hidden="1" x14ac:dyDescent="0.25">
      <c r="A2071" s="38" t="s">
        <v>535</v>
      </c>
      <c r="B2071" s="17"/>
      <c r="C2071" s="16" t="s">
        <v>3792</v>
      </c>
      <c r="D2071" s="17" t="s">
        <v>1077</v>
      </c>
      <c r="E2071" s="17" t="s">
        <v>601</v>
      </c>
      <c r="F2071" s="18" t="s">
        <v>3793</v>
      </c>
      <c r="G2071" s="49" t="s">
        <v>1340</v>
      </c>
      <c r="H2071" s="17">
        <f t="shared" si="13"/>
        <v>13</v>
      </c>
      <c r="J2071" s="7" t="s">
        <v>478</v>
      </c>
      <c r="K2071" s="62"/>
      <c r="L2071" s="62"/>
      <c r="M2071" s="62"/>
      <c r="N2071" s="62"/>
      <c r="O2071" s="62" t="str">
        <f>IF(E2071="PA",IF(K2071&lt;&gt;"",ISERROR(VLOOKUP(K2071,ABBR!A:D,1,FALSE)),ISERROR(VLOOKUP(C2071,ABBR!A:D,1,FALSE))),"")</f>
        <v/>
      </c>
      <c r="P2071" t="str">
        <f>VLOOKUP(A2071,Groups!A:L,5,FALSE)</f>
        <v>SAMP</v>
      </c>
      <c r="Q2071" s="62" t="str">
        <f>IF(G2071="PA",IF(M2071&lt;&gt;"",ISERROR(VLOOKUP(M2071,ABBR!C:F,1,FALSE)),ISERROR(VLOOKUP(E2071,ABBR!C:F,1,FALSE))),"")</f>
        <v/>
      </c>
    </row>
    <row r="2072" spans="1:17" hidden="1" x14ac:dyDescent="0.25">
      <c r="A2072" s="38" t="s">
        <v>535</v>
      </c>
      <c r="B2072" s="17"/>
      <c r="C2072" s="16" t="s">
        <v>3794</v>
      </c>
      <c r="D2072" s="17" t="s">
        <v>766</v>
      </c>
      <c r="E2072" s="17" t="s">
        <v>723</v>
      </c>
      <c r="F2072" s="18" t="s">
        <v>3795</v>
      </c>
      <c r="G2072" s="49" t="s">
        <v>3796</v>
      </c>
      <c r="H2072" s="17">
        <f t="shared" si="13"/>
        <v>14</v>
      </c>
      <c r="J2072" s="7" t="s">
        <v>478</v>
      </c>
      <c r="K2072" s="62"/>
      <c r="L2072" s="62"/>
      <c r="M2072" s="62"/>
      <c r="N2072" s="62"/>
      <c r="O2072" s="62" t="str">
        <f>IF(E2072="PA",IF(K2072&lt;&gt;"",ISERROR(VLOOKUP(K2072,ABBR!A:D,1,FALSE)),ISERROR(VLOOKUP(C2072,ABBR!A:D,1,FALSE))),"")</f>
        <v/>
      </c>
      <c r="P2072" t="str">
        <f>VLOOKUP(A2072,Groups!A:L,5,FALSE)</f>
        <v>SAMP</v>
      </c>
      <c r="Q2072" s="62" t="str">
        <f>IF(G2072="PA",IF(M2072&lt;&gt;"",ISERROR(VLOOKUP(M2072,ABBR!C:F,1,FALSE)),ISERROR(VLOOKUP(E2072,ABBR!C:F,1,FALSE))),"")</f>
        <v/>
      </c>
    </row>
    <row r="2073" spans="1:17" ht="25" hidden="1" x14ac:dyDescent="0.25">
      <c r="A2073" s="16" t="s">
        <v>535</v>
      </c>
      <c r="B2073" s="17"/>
      <c r="C2073" s="16" t="s">
        <v>3797</v>
      </c>
      <c r="D2073" s="17" t="s">
        <v>766</v>
      </c>
      <c r="E2073" s="17" t="s">
        <v>723</v>
      </c>
      <c r="F2073" s="18" t="s">
        <v>3798</v>
      </c>
      <c r="G2073" s="49" t="s">
        <v>725</v>
      </c>
      <c r="H2073" s="17">
        <f t="shared" si="13"/>
        <v>15</v>
      </c>
      <c r="J2073" s="7" t="s">
        <v>478</v>
      </c>
      <c r="K2073" s="62"/>
      <c r="L2073" s="62"/>
      <c r="M2073" s="62"/>
      <c r="N2073" s="62"/>
      <c r="O2073" s="62" t="str">
        <f>IF(E2073="PA",IF(K2073&lt;&gt;"",ISERROR(VLOOKUP(K2073,ABBR!A:D,1,FALSE)),ISERROR(VLOOKUP(C2073,ABBR!A:D,1,FALSE))),"")</f>
        <v/>
      </c>
      <c r="P2073" t="str">
        <f>VLOOKUP(A2073,Groups!A:L,5,FALSE)</f>
        <v>SAMP</v>
      </c>
      <c r="Q2073" s="62" t="str">
        <f>IF(G2073="PA",IF(M2073&lt;&gt;"",ISERROR(VLOOKUP(M2073,ABBR!C:F,1,FALSE)),ISERROR(VLOOKUP(E2073,ABBR!C:F,1,FALSE))),"")</f>
        <v/>
      </c>
    </row>
    <row r="2074" spans="1:17" hidden="1" x14ac:dyDescent="0.25">
      <c r="A2074" s="16" t="s">
        <v>535</v>
      </c>
      <c r="B2074" s="17"/>
      <c r="C2074" s="16" t="s">
        <v>3799</v>
      </c>
      <c r="D2074" s="17" t="s">
        <v>766</v>
      </c>
      <c r="E2074" s="17" t="s">
        <v>723</v>
      </c>
      <c r="F2074" s="18" t="s">
        <v>3800</v>
      </c>
      <c r="G2074" s="49" t="s">
        <v>725</v>
      </c>
      <c r="H2074" s="17">
        <f t="shared" si="13"/>
        <v>16</v>
      </c>
      <c r="J2074" s="7" t="s">
        <v>478</v>
      </c>
      <c r="K2074" s="62"/>
      <c r="L2074" s="62"/>
      <c r="M2074" s="62"/>
      <c r="N2074" s="62"/>
      <c r="O2074" s="62" t="str">
        <f>IF(E2074="PA",IF(K2074&lt;&gt;"",ISERROR(VLOOKUP(K2074,ABBR!A:D,1,FALSE)),ISERROR(VLOOKUP(C2074,ABBR!A:D,1,FALSE))),"")</f>
        <v/>
      </c>
      <c r="P2074" t="str">
        <f>VLOOKUP(A2074,Groups!A:L,5,FALSE)</f>
        <v>SAMP</v>
      </c>
      <c r="Q2074" s="62" t="str">
        <f>IF(G2074="PA",IF(M2074&lt;&gt;"",ISERROR(VLOOKUP(M2074,ABBR!C:F,1,FALSE)),ISERROR(VLOOKUP(E2074,ABBR!C:F,1,FALSE))),"")</f>
        <v/>
      </c>
    </row>
    <row r="2075" spans="1:17" hidden="1" x14ac:dyDescent="0.25">
      <c r="A2075" s="38" t="s">
        <v>535</v>
      </c>
      <c r="B2075" s="17"/>
      <c r="C2075" s="16" t="s">
        <v>3801</v>
      </c>
      <c r="D2075" s="17" t="s">
        <v>722</v>
      </c>
      <c r="E2075" s="17" t="s">
        <v>723</v>
      </c>
      <c r="F2075" s="18" t="s">
        <v>3802</v>
      </c>
      <c r="G2075" s="49" t="s">
        <v>3803</v>
      </c>
      <c r="H2075" s="17">
        <f t="shared" si="13"/>
        <v>17</v>
      </c>
      <c r="J2075" s="7" t="s">
        <v>478</v>
      </c>
      <c r="K2075" s="62"/>
      <c r="L2075" s="62"/>
      <c r="M2075" s="62"/>
      <c r="N2075" s="62"/>
      <c r="O2075" s="62" t="str">
        <f>IF(E2075="PA",IF(K2075&lt;&gt;"",ISERROR(VLOOKUP(K2075,ABBR!A:D,1,FALSE)),ISERROR(VLOOKUP(C2075,ABBR!A:D,1,FALSE))),"")</f>
        <v/>
      </c>
      <c r="P2075" t="str">
        <f>VLOOKUP(A2075,Groups!A:L,5,FALSE)</f>
        <v>SAMP</v>
      </c>
      <c r="Q2075" s="62" t="str">
        <f>IF(G2075="PA",IF(M2075&lt;&gt;"",ISERROR(VLOOKUP(M2075,ABBR!C:F,1,FALSE)),ISERROR(VLOOKUP(E2075,ABBR!C:F,1,FALSE))),"")</f>
        <v/>
      </c>
    </row>
    <row r="2076" spans="1:17" ht="25" hidden="1" x14ac:dyDescent="0.25">
      <c r="A2076" s="38" t="s">
        <v>535</v>
      </c>
      <c r="B2076" s="17"/>
      <c r="C2076" s="16" t="s">
        <v>3804</v>
      </c>
      <c r="D2076" s="17" t="s">
        <v>766</v>
      </c>
      <c r="E2076" s="17" t="s">
        <v>723</v>
      </c>
      <c r="F2076" s="18" t="s">
        <v>3805</v>
      </c>
      <c r="G2076" s="49" t="s">
        <v>725</v>
      </c>
      <c r="H2076" s="17">
        <f t="shared" si="13"/>
        <v>18</v>
      </c>
      <c r="J2076" s="7" t="s">
        <v>478</v>
      </c>
      <c r="K2076" s="62"/>
      <c r="L2076" s="62"/>
      <c r="M2076" s="62"/>
      <c r="N2076" s="62"/>
      <c r="O2076" s="62" t="str">
        <f>IF(E2076="PA",IF(K2076&lt;&gt;"",ISERROR(VLOOKUP(K2076,ABBR!A:D,1,FALSE)),ISERROR(VLOOKUP(C2076,ABBR!A:D,1,FALSE))),"")</f>
        <v/>
      </c>
      <c r="P2076" t="str">
        <f>VLOOKUP(A2076,Groups!A:L,5,FALSE)</f>
        <v>SAMP</v>
      </c>
      <c r="Q2076" s="62" t="str">
        <f>IF(G2076="PA",IF(M2076&lt;&gt;"",ISERROR(VLOOKUP(M2076,ABBR!C:F,1,FALSE)),ISERROR(VLOOKUP(E2076,ABBR!C:F,1,FALSE))),"")</f>
        <v/>
      </c>
    </row>
    <row r="2077" spans="1:17" ht="25" hidden="1" x14ac:dyDescent="0.25">
      <c r="A2077" s="38" t="s">
        <v>535</v>
      </c>
      <c r="B2077" s="17"/>
      <c r="C2077" s="16" t="s">
        <v>3806</v>
      </c>
      <c r="D2077" s="17"/>
      <c r="E2077" s="17" t="s">
        <v>608</v>
      </c>
      <c r="F2077" s="18" t="s">
        <v>642</v>
      </c>
      <c r="G2077" s="49" t="s">
        <v>2274</v>
      </c>
      <c r="H2077" s="17">
        <f t="shared" si="13"/>
        <v>19</v>
      </c>
      <c r="J2077" s="7" t="s">
        <v>478</v>
      </c>
      <c r="K2077" s="62"/>
      <c r="L2077" s="62"/>
      <c r="M2077" s="62"/>
      <c r="N2077" s="62"/>
      <c r="O2077" s="62" t="str">
        <f>IF(E2077="PA",IF(K2077&lt;&gt;"",ISERROR(VLOOKUP(K2077,ABBR!A:D,1,FALSE)),ISERROR(VLOOKUP(C2077,ABBR!A:D,1,FALSE))),"")</f>
        <v/>
      </c>
      <c r="P2077" t="str">
        <f>VLOOKUP(A2077,Groups!A:L,5,FALSE)</f>
        <v>SAMP</v>
      </c>
      <c r="Q2077" s="62" t="str">
        <f>IF(G2077="PA",IF(M2077&lt;&gt;"",ISERROR(VLOOKUP(M2077,ABBR!C:F,1,FALSE)),ISERROR(VLOOKUP(E2077,ABBR!C:F,1,FALSE))),"")</f>
        <v/>
      </c>
    </row>
    <row r="2078" spans="1:17" hidden="1" x14ac:dyDescent="0.25">
      <c r="A2078" s="16" t="s">
        <v>535</v>
      </c>
      <c r="B2078" s="17"/>
      <c r="C2078" s="16" t="s">
        <v>3807</v>
      </c>
      <c r="D2078" s="17"/>
      <c r="E2078" s="17" t="s">
        <v>608</v>
      </c>
      <c r="F2078" s="18" t="s">
        <v>918</v>
      </c>
      <c r="G2078" s="49" t="s">
        <v>3808</v>
      </c>
      <c r="H2078" s="17">
        <f t="shared" si="13"/>
        <v>20</v>
      </c>
      <c r="J2078" s="7" t="s">
        <v>478</v>
      </c>
      <c r="K2078" s="62"/>
      <c r="L2078" s="62"/>
      <c r="M2078" s="62"/>
      <c r="N2078" s="62"/>
      <c r="O2078" s="62" t="str">
        <f>IF(E2078="PA",IF(K2078&lt;&gt;"",ISERROR(VLOOKUP(K2078,ABBR!A:D,1,FALSE)),ISERROR(VLOOKUP(C2078,ABBR!A:D,1,FALSE))),"")</f>
        <v/>
      </c>
      <c r="P2078" t="str">
        <f>VLOOKUP(A2078,Groups!A:L,5,FALSE)</f>
        <v>SAMP</v>
      </c>
      <c r="Q2078" s="62" t="str">
        <f>IF(G2078="PA",IF(M2078&lt;&gt;"",ISERROR(VLOOKUP(M2078,ABBR!C:F,1,FALSE)),ISERROR(VLOOKUP(E2078,ABBR!C:F,1,FALSE))),"")</f>
        <v/>
      </c>
    </row>
    <row r="2079" spans="1:17" hidden="1" x14ac:dyDescent="0.25">
      <c r="A2079" s="16" t="s">
        <v>535</v>
      </c>
      <c r="B2079" s="46"/>
      <c r="C2079" s="9" t="s">
        <v>3809</v>
      </c>
      <c r="D2079" s="46"/>
      <c r="E2079" s="46" t="s">
        <v>608</v>
      </c>
      <c r="F2079" s="93" t="s">
        <v>921</v>
      </c>
      <c r="G2079" s="94" t="s">
        <v>922</v>
      </c>
      <c r="H2079" s="17">
        <f t="shared" si="13"/>
        <v>21</v>
      </c>
      <c r="I2079"/>
      <c r="J2079" s="34" t="s">
        <v>473</v>
      </c>
      <c r="M2079" s="101"/>
      <c r="O2079" s="62" t="str">
        <f>IF(E2079="PA",IF(K2079&lt;&gt;"",ISERROR(VLOOKUP(K2079,ABBR!A:D,1,FALSE)),ISERROR(VLOOKUP(C2079,ABBR!A:D,1,FALSE))),"")</f>
        <v/>
      </c>
      <c r="P2079" t="str">
        <f>VLOOKUP(A2079,Groups!A:L,5,FALSE)</f>
        <v>SAMP</v>
      </c>
      <c r="Q2079" s="62" t="str">
        <f>IF(G2079="PA",IF(M2079&lt;&gt;"",ISERROR(VLOOKUP(M2079,ABBR!C:F,1,FALSE)),ISERROR(VLOOKUP(E2079,ABBR!C:F,1,FALSE))),"")</f>
        <v/>
      </c>
    </row>
    <row r="2080" spans="1:17" hidden="1" x14ac:dyDescent="0.25">
      <c r="A2080" s="16" t="s">
        <v>535</v>
      </c>
      <c r="B2080" s="17"/>
      <c r="C2080" s="16" t="s">
        <v>3810</v>
      </c>
      <c r="D2080" s="17"/>
      <c r="E2080" s="17" t="s">
        <v>608</v>
      </c>
      <c r="F2080" s="18" t="s">
        <v>929</v>
      </c>
      <c r="G2080" s="49" t="s">
        <v>876</v>
      </c>
      <c r="H2080" s="17">
        <f t="shared" si="13"/>
        <v>22</v>
      </c>
      <c r="J2080" s="62" t="s">
        <v>473</v>
      </c>
      <c r="K2080" s="62"/>
      <c r="L2080" s="62"/>
      <c r="M2080" s="62"/>
      <c r="N2080" s="62"/>
      <c r="O2080" s="62" t="str">
        <f>IF(E2080="PA",IF(K2080&lt;&gt;"",ISERROR(VLOOKUP(K2080,ABBR!A:D,1,FALSE)),ISERROR(VLOOKUP(C2080,ABBR!A:D,1,FALSE))),"")</f>
        <v/>
      </c>
      <c r="P2080" t="str">
        <f>VLOOKUP(A2080,Groups!A:L,5,FALSE)</f>
        <v>SAMP</v>
      </c>
      <c r="Q2080" s="62" t="str">
        <f>IF(G2080="PA",IF(M2080&lt;&gt;"",ISERROR(VLOOKUP(M2080,ABBR!C:F,1,FALSE)),ISERROR(VLOOKUP(E2080,ABBR!C:F,1,FALSE))),"")</f>
        <v/>
      </c>
    </row>
    <row r="2081" spans="1:17" hidden="1" x14ac:dyDescent="0.25">
      <c r="A2081" s="16" t="s">
        <v>535</v>
      </c>
      <c r="B2081" s="17"/>
      <c r="C2081" s="16" t="s">
        <v>3811</v>
      </c>
      <c r="D2081" s="17" t="s">
        <v>924</v>
      </c>
      <c r="E2081" s="17" t="s">
        <v>925</v>
      </c>
      <c r="F2081" s="18" t="s">
        <v>926</v>
      </c>
      <c r="G2081" s="49" t="s">
        <v>927</v>
      </c>
      <c r="H2081" s="17">
        <f t="shared" si="13"/>
        <v>23</v>
      </c>
      <c r="J2081" s="7" t="s">
        <v>478</v>
      </c>
      <c r="K2081" s="62"/>
      <c r="L2081" s="62"/>
      <c r="M2081" s="62"/>
      <c r="N2081" s="62"/>
      <c r="O2081" s="62" t="str">
        <f>IF(E2081="PA",IF(K2081&lt;&gt;"",ISERROR(VLOOKUP(K2081,ABBR!A:D,1,FALSE)),ISERROR(VLOOKUP(C2081,ABBR!A:D,1,FALSE))),"")</f>
        <v/>
      </c>
      <c r="P2081" t="str">
        <f>VLOOKUP(A2081,Groups!A:L,5,FALSE)</f>
        <v>SAMP</v>
      </c>
      <c r="Q2081" s="62" t="str">
        <f>IF(G2081="PA",IF(M2081&lt;&gt;"",ISERROR(VLOOKUP(M2081,ABBR!C:F,1,FALSE)),ISERROR(VLOOKUP(E2081,ABBR!C:F,1,FALSE))),"")</f>
        <v/>
      </c>
    </row>
    <row r="2082" spans="1:17" hidden="1" x14ac:dyDescent="0.25">
      <c r="A2082" s="16" t="s">
        <v>535</v>
      </c>
      <c r="B2082" s="17"/>
      <c r="C2082" s="16" t="s">
        <v>3812</v>
      </c>
      <c r="D2082" s="17"/>
      <c r="E2082" s="17" t="s">
        <v>608</v>
      </c>
      <c r="F2082" s="18" t="s">
        <v>931</v>
      </c>
      <c r="G2082" s="49" t="s">
        <v>932</v>
      </c>
      <c r="H2082" s="17">
        <f t="shared" si="13"/>
        <v>24</v>
      </c>
      <c r="J2082" s="7" t="s">
        <v>478</v>
      </c>
      <c r="K2082" s="62"/>
      <c r="L2082" s="62"/>
      <c r="M2082" s="62"/>
      <c r="N2082" s="62"/>
      <c r="O2082" s="62" t="str">
        <f>IF(E2082="PA",IF(K2082&lt;&gt;"",ISERROR(VLOOKUP(K2082,ABBR!A:D,1,FALSE)),ISERROR(VLOOKUP(C2082,ABBR!A:D,1,FALSE))),"")</f>
        <v/>
      </c>
      <c r="P2082" t="str">
        <f>VLOOKUP(A2082,Groups!A:L,5,FALSE)</f>
        <v>SAMP</v>
      </c>
      <c r="Q2082" s="62" t="str">
        <f>IF(G2082="PA",IF(M2082&lt;&gt;"",ISERROR(VLOOKUP(M2082,ABBR!C:F,1,FALSE)),ISERROR(VLOOKUP(E2082,ABBR!C:F,1,FALSE))),"")</f>
        <v/>
      </c>
    </row>
    <row r="2083" spans="1:17" ht="25" hidden="1" x14ac:dyDescent="0.25">
      <c r="A2083" s="16" t="s">
        <v>535</v>
      </c>
      <c r="B2083" s="17"/>
      <c r="C2083" s="16" t="s">
        <v>3813</v>
      </c>
      <c r="D2083" s="17"/>
      <c r="E2083" s="17" t="s">
        <v>608</v>
      </c>
      <c r="F2083" s="18" t="s">
        <v>934</v>
      </c>
      <c r="G2083" s="49" t="s">
        <v>935</v>
      </c>
      <c r="H2083" s="17">
        <f t="shared" si="13"/>
        <v>25</v>
      </c>
      <c r="J2083" s="7" t="s">
        <v>478</v>
      </c>
      <c r="K2083" s="62"/>
      <c r="L2083" s="62"/>
      <c r="M2083" s="62"/>
      <c r="N2083" s="62"/>
      <c r="O2083" s="62" t="str">
        <f>IF(E2083="PA",IF(K2083&lt;&gt;"",ISERROR(VLOOKUP(K2083,ABBR!A:D,1,FALSE)),ISERROR(VLOOKUP(C2083,ABBR!A:D,1,FALSE))),"")</f>
        <v/>
      </c>
      <c r="P2083" t="str">
        <f>VLOOKUP(A2083,Groups!A:L,5,FALSE)</f>
        <v>SAMP</v>
      </c>
      <c r="Q2083" s="62" t="str">
        <f>IF(G2083="PA",IF(M2083&lt;&gt;"",ISERROR(VLOOKUP(M2083,ABBR!C:F,1,FALSE)),ISERROR(VLOOKUP(E2083,ABBR!C:F,1,FALSE))),"")</f>
        <v/>
      </c>
    </row>
    <row r="2084" spans="1:17" hidden="1" x14ac:dyDescent="0.25">
      <c r="A2084" s="16" t="s">
        <v>535</v>
      </c>
      <c r="B2084" s="17"/>
      <c r="C2084" s="16" t="s">
        <v>643</v>
      </c>
      <c r="D2084" s="17"/>
      <c r="E2084" s="17" t="s">
        <v>608</v>
      </c>
      <c r="F2084" s="18" t="s">
        <v>1714</v>
      </c>
      <c r="G2084" s="49" t="s">
        <v>3045</v>
      </c>
      <c r="H2084" s="17">
        <f t="shared" si="13"/>
        <v>26</v>
      </c>
      <c r="J2084" s="7" t="s">
        <v>478</v>
      </c>
      <c r="K2084" s="62"/>
      <c r="L2084" s="62"/>
      <c r="M2084" s="62"/>
      <c r="N2084" s="62"/>
      <c r="O2084" s="62" t="str">
        <f>IF(E2084="PA",IF(K2084&lt;&gt;"",ISERROR(VLOOKUP(K2084,ABBR!A:D,1,FALSE)),ISERROR(VLOOKUP(C2084,ABBR!A:D,1,FALSE))),"")</f>
        <v/>
      </c>
      <c r="P2084" t="str">
        <f>VLOOKUP(A2084,Groups!A:L,5,FALSE)</f>
        <v>SAMP</v>
      </c>
      <c r="Q2084" s="62" t="str">
        <f>IF(G2084="PA",IF(M2084&lt;&gt;"",ISERROR(VLOOKUP(M2084,ABBR!C:F,1,FALSE)),ISERROR(VLOOKUP(E2084,ABBR!C:F,1,FALSE))),"")</f>
        <v/>
      </c>
    </row>
    <row r="2085" spans="1:17" hidden="1" x14ac:dyDescent="0.25">
      <c r="A2085" s="16" t="s">
        <v>270</v>
      </c>
      <c r="B2085" s="17" t="s">
        <v>594</v>
      </c>
      <c r="C2085" s="16" t="s">
        <v>595</v>
      </c>
      <c r="D2085" s="17"/>
      <c r="E2085" s="17" t="s">
        <v>596</v>
      </c>
      <c r="F2085" s="18" t="s">
        <v>597</v>
      </c>
      <c r="G2085" s="49" t="s">
        <v>598</v>
      </c>
      <c r="H2085" s="17">
        <v>1</v>
      </c>
      <c r="O2085" s="62" t="str">
        <f>IF(E2085="PA",IF(K2085&lt;&gt;"",ISERROR(VLOOKUP(K2085,ABBR!A:D,1,FALSE)),ISERROR(VLOOKUP(C2085,ABBR!A:D,1,FALSE))),"")</f>
        <v/>
      </c>
      <c r="P2085" t="str">
        <f>VLOOKUP(A2085,Groups!A:L,5,FALSE)</f>
        <v>SAMP</v>
      </c>
      <c r="Q2085" s="62" t="str">
        <f>IF(G2085="PA",IF(M2085&lt;&gt;"",ISERROR(VLOOKUP(M2085,ABBR!C:F,1,FALSE)),ISERROR(VLOOKUP(E2085,ABBR!C:F,1,FALSE))),"")</f>
        <v/>
      </c>
    </row>
    <row r="2086" spans="1:17" hidden="1" x14ac:dyDescent="0.25">
      <c r="A2086" s="16" t="s">
        <v>270</v>
      </c>
      <c r="B2086" s="17" t="s">
        <v>594</v>
      </c>
      <c r="C2086" s="16" t="s">
        <v>851</v>
      </c>
      <c r="D2086" s="17" t="s">
        <v>600</v>
      </c>
      <c r="E2086" s="17" t="s">
        <v>601</v>
      </c>
      <c r="F2086" s="18" t="s">
        <v>852</v>
      </c>
      <c r="G2086" s="49" t="s">
        <v>853</v>
      </c>
      <c r="H2086" s="17">
        <v>2</v>
      </c>
      <c r="O2086" s="62" t="str">
        <f>IF(E2086="PA",IF(K2086&lt;&gt;"",ISERROR(VLOOKUP(K2086,ABBR!A:D,1,FALSE)),ISERROR(VLOOKUP(C2086,ABBR!A:D,1,FALSE))),"")</f>
        <v/>
      </c>
      <c r="P2086" t="str">
        <f>VLOOKUP(A2086,Groups!A:L,5,FALSE)</f>
        <v>SAMP</v>
      </c>
      <c r="Q2086" s="62" t="str">
        <f>IF(G2086="PA",IF(M2086&lt;&gt;"",ISERROR(VLOOKUP(M2086,ABBR!C:F,1,FALSE)),ISERROR(VLOOKUP(E2086,ABBR!C:F,1,FALSE))),"")</f>
        <v/>
      </c>
    </row>
    <row r="2087" spans="1:17" hidden="1" x14ac:dyDescent="0.25">
      <c r="A2087" s="16" t="s">
        <v>270</v>
      </c>
      <c r="B2087" s="17" t="s">
        <v>594</v>
      </c>
      <c r="C2087" s="16" t="s">
        <v>854</v>
      </c>
      <c r="D2087" s="17"/>
      <c r="E2087" s="17" t="s">
        <v>608</v>
      </c>
      <c r="F2087" s="18" t="s">
        <v>855</v>
      </c>
      <c r="G2087" s="49" t="s">
        <v>941</v>
      </c>
      <c r="H2087" s="17">
        <v>3</v>
      </c>
      <c r="O2087" s="62" t="str">
        <f>IF(E2087="PA",IF(K2087&lt;&gt;"",ISERROR(VLOOKUP(K2087,ABBR!A:D,1,FALSE)),ISERROR(VLOOKUP(C2087,ABBR!A:D,1,FALSE))),"")</f>
        <v/>
      </c>
      <c r="P2087" t="str">
        <f>VLOOKUP(A2087,Groups!A:L,5,FALSE)</f>
        <v>SAMP</v>
      </c>
      <c r="Q2087" s="62" t="str">
        <f>IF(G2087="PA",IF(M2087&lt;&gt;"",ISERROR(VLOOKUP(M2087,ABBR!C:F,1,FALSE)),ISERROR(VLOOKUP(E2087,ABBR!C:F,1,FALSE))),"")</f>
        <v/>
      </c>
    </row>
    <row r="2088" spans="1:17" hidden="1" x14ac:dyDescent="0.25">
      <c r="A2088" s="16" t="s">
        <v>270</v>
      </c>
      <c r="B2088" s="17" t="s">
        <v>594</v>
      </c>
      <c r="C2088" s="16" t="s">
        <v>857</v>
      </c>
      <c r="D2088" s="17"/>
      <c r="E2088" s="17" t="s">
        <v>618</v>
      </c>
      <c r="F2088" s="18" t="s">
        <v>858</v>
      </c>
      <c r="G2088" s="49" t="s">
        <v>3547</v>
      </c>
      <c r="H2088" s="17">
        <v>4</v>
      </c>
      <c r="O2088" s="62" t="b">
        <f>IF(E2088="PA",IF(K2088&lt;&gt;"",ISERROR(VLOOKUP(K2088,ABBR!A:D,1,FALSE)),ISERROR(VLOOKUP(C2088,ABBR!A:D,1,FALSE))),"")</f>
        <v>0</v>
      </c>
      <c r="P2088" t="str">
        <f>VLOOKUP(A2088,Groups!A:L,5,FALSE)</f>
        <v>SAMP</v>
      </c>
      <c r="Q2088" s="62" t="str">
        <f>IF(G2088="PA",IF(M2088&lt;&gt;"",ISERROR(VLOOKUP(M2088,ABBR!C:F,1,FALSE)),ISERROR(VLOOKUP(E2088,ABBR!C:F,1,FALSE))),"")</f>
        <v/>
      </c>
    </row>
    <row r="2089" spans="1:17" hidden="1" x14ac:dyDescent="0.25">
      <c r="A2089" s="16" t="s">
        <v>270</v>
      </c>
      <c r="B2089" s="17" t="s">
        <v>594</v>
      </c>
      <c r="C2089" s="16" t="s">
        <v>860</v>
      </c>
      <c r="D2089" s="17"/>
      <c r="E2089" s="17" t="s">
        <v>596</v>
      </c>
      <c r="F2089" s="18" t="s">
        <v>942</v>
      </c>
      <c r="G2089" s="49" t="s">
        <v>862</v>
      </c>
      <c r="H2089" s="17">
        <v>5</v>
      </c>
      <c r="O2089" s="62" t="str">
        <f>IF(E2089="PA",IF(K2089&lt;&gt;"",ISERROR(VLOOKUP(K2089,ABBR!A:D,1,FALSE)),ISERROR(VLOOKUP(C2089,ABBR!A:D,1,FALSE))),"")</f>
        <v/>
      </c>
      <c r="P2089" t="str">
        <f>VLOOKUP(A2089,Groups!A:L,5,FALSE)</f>
        <v>SAMP</v>
      </c>
      <c r="Q2089" s="62" t="str">
        <f>IF(G2089="PA",IF(M2089&lt;&gt;"",ISERROR(VLOOKUP(M2089,ABBR!C:F,1,FALSE)),ISERROR(VLOOKUP(E2089,ABBR!C:F,1,FALSE))),"")</f>
        <v/>
      </c>
    </row>
    <row r="2090" spans="1:17" hidden="1" x14ac:dyDescent="0.25">
      <c r="A2090" s="16" t="s">
        <v>270</v>
      </c>
      <c r="B2090" s="17" t="s">
        <v>594</v>
      </c>
      <c r="C2090" s="16" t="s">
        <v>863</v>
      </c>
      <c r="D2090" s="17"/>
      <c r="E2090" s="17" t="s">
        <v>608</v>
      </c>
      <c r="F2090" s="18" t="s">
        <v>864</v>
      </c>
      <c r="G2090" s="49" t="s">
        <v>865</v>
      </c>
      <c r="H2090" s="17">
        <v>6</v>
      </c>
      <c r="O2090" s="62" t="str">
        <f>IF(E2090="PA",IF(K2090&lt;&gt;"",ISERROR(VLOOKUP(K2090,ABBR!A:D,1,FALSE)),ISERROR(VLOOKUP(C2090,ABBR!A:D,1,FALSE))),"")</f>
        <v/>
      </c>
      <c r="P2090" t="str">
        <f>VLOOKUP(A2090,Groups!A:L,5,FALSE)</f>
        <v>SAMP</v>
      </c>
      <c r="Q2090" s="62" t="str">
        <f>IF(G2090="PA",IF(M2090&lt;&gt;"",ISERROR(VLOOKUP(M2090,ABBR!C:F,1,FALSE)),ISERROR(VLOOKUP(E2090,ABBR!C:F,1,FALSE))),"")</f>
        <v/>
      </c>
    </row>
    <row r="2091" spans="1:17" hidden="1" x14ac:dyDescent="0.25">
      <c r="A2091" s="16" t="s">
        <v>270</v>
      </c>
      <c r="B2091" s="17" t="s">
        <v>594</v>
      </c>
      <c r="C2091" s="16" t="s">
        <v>866</v>
      </c>
      <c r="D2091" s="17" t="s">
        <v>600</v>
      </c>
      <c r="E2091" s="17" t="s">
        <v>601</v>
      </c>
      <c r="F2091" s="18" t="s">
        <v>867</v>
      </c>
      <c r="G2091" s="49" t="s">
        <v>853</v>
      </c>
      <c r="H2091" s="17">
        <v>7</v>
      </c>
      <c r="O2091" s="62" t="str">
        <f>IF(E2091="PA",IF(K2091&lt;&gt;"",ISERROR(VLOOKUP(K2091,ABBR!A:D,1,FALSE)),ISERROR(VLOOKUP(C2091,ABBR!A:D,1,FALSE))),"")</f>
        <v/>
      </c>
      <c r="P2091" t="str">
        <f>VLOOKUP(A2091,Groups!A:L,5,FALSE)</f>
        <v>SAMP</v>
      </c>
      <c r="Q2091" s="62" t="str">
        <f>IF(G2091="PA",IF(M2091&lt;&gt;"",ISERROR(VLOOKUP(M2091,ABBR!C:F,1,FALSE)),ISERROR(VLOOKUP(E2091,ABBR!C:F,1,FALSE))),"")</f>
        <v/>
      </c>
    </row>
    <row r="2092" spans="1:17" hidden="1" x14ac:dyDescent="0.25">
      <c r="A2092" s="16" t="s">
        <v>270</v>
      </c>
      <c r="B2092" s="17"/>
      <c r="C2092" s="16" t="s">
        <v>868</v>
      </c>
      <c r="D2092" s="17"/>
      <c r="E2092" s="17" t="s">
        <v>608</v>
      </c>
      <c r="F2092" s="18" t="s">
        <v>869</v>
      </c>
      <c r="G2092" s="51" t="s">
        <v>1269</v>
      </c>
      <c r="H2092" s="17">
        <v>8</v>
      </c>
      <c r="O2092" s="62" t="str">
        <f>IF(E2092="PA",IF(K2092&lt;&gt;"",ISERROR(VLOOKUP(K2092,ABBR!A:D,1,FALSE)),ISERROR(VLOOKUP(C2092,ABBR!A:D,1,FALSE))),"")</f>
        <v/>
      </c>
      <c r="P2092" t="str">
        <f>VLOOKUP(A2092,Groups!A:L,5,FALSE)</f>
        <v>SAMP</v>
      </c>
      <c r="Q2092" s="62" t="str">
        <f>IF(G2092="PA",IF(M2092&lt;&gt;"",ISERROR(VLOOKUP(M2092,ABBR!C:F,1,FALSE)),ISERROR(VLOOKUP(E2092,ABBR!C:F,1,FALSE))),"")</f>
        <v/>
      </c>
    </row>
    <row r="2093" spans="1:17" ht="25" hidden="1" x14ac:dyDescent="0.25">
      <c r="A2093" s="16" t="s">
        <v>270</v>
      </c>
      <c r="B2093" s="17"/>
      <c r="C2093" s="16" t="s">
        <v>871</v>
      </c>
      <c r="D2093" s="17"/>
      <c r="E2093" s="17" t="s">
        <v>608</v>
      </c>
      <c r="F2093" s="18" t="s">
        <v>872</v>
      </c>
      <c r="G2093" s="49" t="s">
        <v>3814</v>
      </c>
      <c r="H2093" s="17">
        <v>9</v>
      </c>
      <c r="O2093" s="62" t="str">
        <f>IF(E2093="PA",IF(K2093&lt;&gt;"",ISERROR(VLOOKUP(K2093,ABBR!A:D,1,FALSE)),ISERROR(VLOOKUP(C2093,ABBR!A:D,1,FALSE))),"")</f>
        <v/>
      </c>
      <c r="P2093" t="str">
        <f>VLOOKUP(A2093,Groups!A:L,5,FALSE)</f>
        <v>SAMP</v>
      </c>
      <c r="Q2093" s="62" t="str">
        <f>IF(G2093="PA",IF(M2093&lt;&gt;"",ISERROR(VLOOKUP(M2093,ABBR!C:F,1,FALSE)),ISERROR(VLOOKUP(E2093,ABBR!C:F,1,FALSE))),"")</f>
        <v/>
      </c>
    </row>
    <row r="2094" spans="1:17" hidden="1" x14ac:dyDescent="0.25">
      <c r="A2094" s="16" t="s">
        <v>270</v>
      </c>
      <c r="B2094" s="17"/>
      <c r="C2094" s="16" t="s">
        <v>3815</v>
      </c>
      <c r="D2094" s="17" t="s">
        <v>766</v>
      </c>
      <c r="E2094" s="17" t="s">
        <v>767</v>
      </c>
      <c r="F2094" s="18" t="s">
        <v>3816</v>
      </c>
      <c r="G2094" s="49" t="s">
        <v>3817</v>
      </c>
      <c r="H2094" s="17">
        <v>10</v>
      </c>
      <c r="O2094" s="62" t="str">
        <f>IF(E2094="PA",IF(K2094&lt;&gt;"",ISERROR(VLOOKUP(K2094,ABBR!A:D,1,FALSE)),ISERROR(VLOOKUP(C2094,ABBR!A:D,1,FALSE))),"")</f>
        <v/>
      </c>
      <c r="P2094" t="str">
        <f>VLOOKUP(A2094,Groups!A:L,5,FALSE)</f>
        <v>SAMP</v>
      </c>
      <c r="Q2094" s="62" t="str">
        <f>IF(G2094="PA",IF(M2094&lt;&gt;"",ISERROR(VLOOKUP(M2094,ABBR!C:F,1,FALSE)),ISERROR(VLOOKUP(E2094,ABBR!C:F,1,FALSE))),"")</f>
        <v/>
      </c>
    </row>
    <row r="2095" spans="1:17" hidden="1" x14ac:dyDescent="0.25">
      <c r="A2095" s="16" t="s">
        <v>270</v>
      </c>
      <c r="B2095" s="17"/>
      <c r="C2095" s="16" t="s">
        <v>3818</v>
      </c>
      <c r="D2095" s="17" t="s">
        <v>766</v>
      </c>
      <c r="E2095" s="17" t="s">
        <v>767</v>
      </c>
      <c r="F2095" s="18" t="s">
        <v>3819</v>
      </c>
      <c r="G2095" s="49" t="s">
        <v>1197</v>
      </c>
      <c r="H2095" s="17">
        <v>11</v>
      </c>
      <c r="O2095" s="62" t="str">
        <f>IF(E2095="PA",IF(K2095&lt;&gt;"",ISERROR(VLOOKUP(K2095,ABBR!A:D,1,FALSE)),ISERROR(VLOOKUP(C2095,ABBR!A:D,1,FALSE))),"")</f>
        <v/>
      </c>
      <c r="P2095" t="str">
        <f>VLOOKUP(A2095,Groups!A:L,5,FALSE)</f>
        <v>SAMP</v>
      </c>
      <c r="Q2095" s="62" t="str">
        <f>IF(G2095="PA",IF(M2095&lt;&gt;"",ISERROR(VLOOKUP(M2095,ABBR!C:F,1,FALSE)),ISERROR(VLOOKUP(E2095,ABBR!C:F,1,FALSE))),"")</f>
        <v/>
      </c>
    </row>
    <row r="2096" spans="1:17" hidden="1" x14ac:dyDescent="0.25">
      <c r="A2096" s="16" t="s">
        <v>270</v>
      </c>
      <c r="B2096" s="17"/>
      <c r="C2096" s="16" t="s">
        <v>3820</v>
      </c>
      <c r="D2096" s="17"/>
      <c r="E2096" s="17" t="s">
        <v>608</v>
      </c>
      <c r="F2096" s="18" t="s">
        <v>3821</v>
      </c>
      <c r="G2096" s="49" t="s">
        <v>3822</v>
      </c>
      <c r="H2096" s="17">
        <v>12</v>
      </c>
      <c r="O2096" s="62" t="str">
        <f>IF(E2096="PA",IF(K2096&lt;&gt;"",ISERROR(VLOOKUP(K2096,ABBR!A:D,1,FALSE)),ISERROR(VLOOKUP(C2096,ABBR!A:D,1,FALSE))),"")</f>
        <v/>
      </c>
      <c r="P2096" t="str">
        <f>VLOOKUP(A2096,Groups!A:L,5,FALSE)</f>
        <v>SAMP</v>
      </c>
      <c r="Q2096" s="62" t="str">
        <f>IF(G2096="PA",IF(M2096&lt;&gt;"",ISERROR(VLOOKUP(M2096,ABBR!C:F,1,FALSE)),ISERROR(VLOOKUP(E2096,ABBR!C:F,1,FALSE))),"")</f>
        <v/>
      </c>
    </row>
    <row r="2097" spans="1:17" hidden="1" x14ac:dyDescent="0.25">
      <c r="A2097" s="16" t="s">
        <v>270</v>
      </c>
      <c r="B2097" s="17"/>
      <c r="C2097" s="16" t="s">
        <v>3823</v>
      </c>
      <c r="D2097" s="17"/>
      <c r="E2097" s="17" t="s">
        <v>608</v>
      </c>
      <c r="F2097" s="18" t="s">
        <v>642</v>
      </c>
      <c r="G2097" s="49" t="s">
        <v>16</v>
      </c>
      <c r="H2097" s="17">
        <v>13</v>
      </c>
      <c r="M2097" s="101"/>
      <c r="O2097" s="62" t="str">
        <f>IF(E2097="PA",IF(K2097&lt;&gt;"",ISERROR(VLOOKUP(K2097,ABBR!A:D,1,FALSE)),ISERROR(VLOOKUP(C2097,ABBR!A:D,1,FALSE))),"")</f>
        <v/>
      </c>
      <c r="P2097" t="str">
        <f>VLOOKUP(A2097,Groups!A:L,5,FALSE)</f>
        <v>SAMP</v>
      </c>
      <c r="Q2097" s="62" t="str">
        <f>IF(G2097="PA",IF(M2097&lt;&gt;"",ISERROR(VLOOKUP(M2097,ABBR!C:F,1,FALSE)),ISERROR(VLOOKUP(E2097,ABBR!C:F,1,FALSE))),"")</f>
        <v/>
      </c>
    </row>
    <row r="2098" spans="1:17" ht="25" hidden="1" x14ac:dyDescent="0.25">
      <c r="A2098" s="16" t="s">
        <v>270</v>
      </c>
      <c r="B2098" s="17"/>
      <c r="C2098" s="16" t="s">
        <v>3824</v>
      </c>
      <c r="D2098" s="17"/>
      <c r="E2098" s="17" t="s">
        <v>608</v>
      </c>
      <c r="F2098" s="18" t="s">
        <v>918</v>
      </c>
      <c r="G2098" s="49" t="s">
        <v>3825</v>
      </c>
      <c r="H2098" s="17">
        <v>14</v>
      </c>
      <c r="O2098" s="62" t="str">
        <f>IF(E2098="PA",IF(K2098&lt;&gt;"",ISERROR(VLOOKUP(K2098,ABBR!A:D,1,FALSE)),ISERROR(VLOOKUP(C2098,ABBR!A:D,1,FALSE))),"")</f>
        <v/>
      </c>
      <c r="P2098" t="str">
        <f>VLOOKUP(A2098,Groups!A:L,5,FALSE)</f>
        <v>SAMP</v>
      </c>
      <c r="Q2098" s="62" t="str">
        <f>IF(G2098="PA",IF(M2098&lt;&gt;"",ISERROR(VLOOKUP(M2098,ABBR!C:F,1,FALSE)),ISERROR(VLOOKUP(E2098,ABBR!C:F,1,FALSE))),"")</f>
        <v/>
      </c>
    </row>
    <row r="2099" spans="1:17" hidden="1" x14ac:dyDescent="0.25">
      <c r="A2099" s="16" t="s">
        <v>270</v>
      </c>
      <c r="B2099" s="17"/>
      <c r="C2099" s="16" t="s">
        <v>3826</v>
      </c>
      <c r="D2099" s="17"/>
      <c r="E2099" s="17" t="s">
        <v>608</v>
      </c>
      <c r="F2099" s="18" t="s">
        <v>950</v>
      </c>
      <c r="G2099" s="27" t="s">
        <v>951</v>
      </c>
      <c r="H2099" s="17">
        <v>15</v>
      </c>
      <c r="O2099" s="62" t="str">
        <f>IF(E2099="PA",IF(K2099&lt;&gt;"",ISERROR(VLOOKUP(K2099,ABBR!A:D,1,FALSE)),ISERROR(VLOOKUP(C2099,ABBR!A:D,1,FALSE))),"")</f>
        <v/>
      </c>
      <c r="P2099" t="str">
        <f>VLOOKUP(A2099,Groups!A:L,5,FALSE)</f>
        <v>SAMP</v>
      </c>
      <c r="Q2099" s="62" t="str">
        <f>IF(G2099="PA",IF(M2099&lt;&gt;"",ISERROR(VLOOKUP(M2099,ABBR!C:F,1,FALSE)),ISERROR(VLOOKUP(E2099,ABBR!C:F,1,FALSE))),"")</f>
        <v/>
      </c>
    </row>
    <row r="2100" spans="1:17" ht="25" hidden="1" x14ac:dyDescent="0.25">
      <c r="A2100" s="16" t="s">
        <v>270</v>
      </c>
      <c r="B2100" s="17"/>
      <c r="C2100" s="16" t="s">
        <v>3827</v>
      </c>
      <c r="D2100" s="17"/>
      <c r="E2100" s="17" t="s">
        <v>608</v>
      </c>
      <c r="F2100" s="18" t="s">
        <v>934</v>
      </c>
      <c r="G2100" s="49" t="s">
        <v>953</v>
      </c>
      <c r="H2100" s="17">
        <v>16</v>
      </c>
      <c r="O2100" s="62" t="str">
        <f>IF(E2100="PA",IF(K2100&lt;&gt;"",ISERROR(VLOOKUP(K2100,ABBR!A:D,1,FALSE)),ISERROR(VLOOKUP(C2100,ABBR!A:D,1,FALSE))),"")</f>
        <v/>
      </c>
      <c r="P2100" t="str">
        <f>VLOOKUP(A2100,Groups!A:L,5,FALSE)</f>
        <v>SAMP</v>
      </c>
      <c r="Q2100" s="62" t="str">
        <f>IF(G2100="PA",IF(M2100&lt;&gt;"",ISERROR(VLOOKUP(M2100,ABBR!C:F,1,FALSE)),ISERROR(VLOOKUP(E2100,ABBR!C:F,1,FALSE))),"")</f>
        <v/>
      </c>
    </row>
    <row r="2101" spans="1:17" hidden="1" x14ac:dyDescent="0.25">
      <c r="A2101" s="16" t="s">
        <v>270</v>
      </c>
      <c r="B2101" s="17"/>
      <c r="C2101" s="16" t="s">
        <v>936</v>
      </c>
      <c r="D2101" s="17"/>
      <c r="E2101" s="22" t="s">
        <v>608</v>
      </c>
      <c r="F2101" s="18" t="s">
        <v>937</v>
      </c>
      <c r="G2101" s="49" t="s">
        <v>938</v>
      </c>
      <c r="H2101" s="17">
        <v>17</v>
      </c>
      <c r="O2101" s="62" t="str">
        <f>IF(E2101="PA",IF(K2101&lt;&gt;"",ISERROR(VLOOKUP(K2101,ABBR!A:D,1,FALSE)),ISERROR(VLOOKUP(C2101,ABBR!A:D,1,FALSE))),"")</f>
        <v/>
      </c>
      <c r="P2101" t="str">
        <f>VLOOKUP(A2101,Groups!A:L,5,FALSE)</f>
        <v>SAMP</v>
      </c>
      <c r="Q2101" s="62" t="str">
        <f>IF(G2101="PA",IF(M2101&lt;&gt;"",ISERROR(VLOOKUP(M2101,ABBR!C:F,1,FALSE)),ISERROR(VLOOKUP(E2101,ABBR!C:F,1,FALSE))),"")</f>
        <v/>
      </c>
    </row>
    <row r="2102" spans="1:17" hidden="1" x14ac:dyDescent="0.25">
      <c r="A2102" s="16" t="s">
        <v>270</v>
      </c>
      <c r="B2102" s="17"/>
      <c r="C2102" s="16" t="s">
        <v>643</v>
      </c>
      <c r="D2102" s="17"/>
      <c r="E2102" s="17" t="s">
        <v>608</v>
      </c>
      <c r="F2102" s="18" t="s">
        <v>954</v>
      </c>
      <c r="G2102" s="49" t="s">
        <v>940</v>
      </c>
      <c r="H2102" s="17">
        <v>18</v>
      </c>
      <c r="O2102" s="62" t="str">
        <f>IF(E2102="PA",IF(K2102&lt;&gt;"",ISERROR(VLOOKUP(K2102,ABBR!A:D,1,FALSE)),ISERROR(VLOOKUP(C2102,ABBR!A:D,1,FALSE))),"")</f>
        <v/>
      </c>
      <c r="P2102" t="str">
        <f>VLOOKUP(A2102,Groups!A:L,5,FALSE)</f>
        <v>SAMP</v>
      </c>
      <c r="Q2102" s="62" t="str">
        <f>IF(G2102="PA",IF(M2102&lt;&gt;"",ISERROR(VLOOKUP(M2102,ABBR!C:F,1,FALSE)),ISERROR(VLOOKUP(E2102,ABBR!C:F,1,FALSE))),"")</f>
        <v/>
      </c>
    </row>
    <row r="2103" spans="1:17" hidden="1" x14ac:dyDescent="0.25">
      <c r="A2103" s="16" t="s">
        <v>270</v>
      </c>
      <c r="B2103" s="17"/>
      <c r="C2103" s="16" t="s">
        <v>877</v>
      </c>
      <c r="D2103" s="17" t="s">
        <v>600</v>
      </c>
      <c r="E2103" s="17" t="s">
        <v>601</v>
      </c>
      <c r="F2103" s="18" t="s">
        <v>878</v>
      </c>
      <c r="G2103" s="49" t="s">
        <v>879</v>
      </c>
      <c r="H2103" s="17">
        <v>19</v>
      </c>
      <c r="I2103" s="30" t="s">
        <v>955</v>
      </c>
      <c r="J2103" s="80">
        <v>4.0999999999999996</v>
      </c>
      <c r="O2103" s="62" t="str">
        <f>IF(E2103="PA",IF(K2103&lt;&gt;"",ISERROR(VLOOKUP(K2103,ABBR!A:D,1,FALSE)),ISERROR(VLOOKUP(C2103,ABBR!A:D,1,FALSE))),"")</f>
        <v/>
      </c>
      <c r="P2103" t="str">
        <f>VLOOKUP(A2103,Groups!A:L,5,FALSE)</f>
        <v>SAMP</v>
      </c>
      <c r="Q2103" s="62" t="str">
        <f>IF(G2103="PA",IF(M2103&lt;&gt;"",ISERROR(VLOOKUP(M2103,ABBR!C:F,1,FALSE)),ISERROR(VLOOKUP(E2103,ABBR!C:F,1,FALSE))),"")</f>
        <v/>
      </c>
    </row>
    <row r="2104" spans="1:17" ht="14.5" hidden="1" customHeight="1" x14ac:dyDescent="0.25">
      <c r="A2104" s="16" t="s">
        <v>270</v>
      </c>
      <c r="B2104" s="17"/>
      <c r="C2104" s="16" t="s">
        <v>3828</v>
      </c>
      <c r="D2104" s="17"/>
      <c r="E2104" s="17" t="s">
        <v>608</v>
      </c>
      <c r="F2104" s="18" t="s">
        <v>921</v>
      </c>
      <c r="G2104" s="94" t="s">
        <v>922</v>
      </c>
      <c r="H2104" s="17">
        <v>20</v>
      </c>
      <c r="I2104" s="30" t="s">
        <v>955</v>
      </c>
      <c r="J2104" s="80">
        <v>4.0999999999999996</v>
      </c>
      <c r="M2104" s="101"/>
      <c r="O2104" s="62" t="str">
        <f>IF(E2104="PA",IF(K2104&lt;&gt;"",ISERROR(VLOOKUP(K2104,ABBR!A:D,1,FALSE)),ISERROR(VLOOKUP(C2104,ABBR!A:D,1,FALSE))),"")</f>
        <v/>
      </c>
      <c r="P2104" t="str">
        <f>VLOOKUP(A2104,Groups!A:L,5,FALSE)</f>
        <v>SAMP</v>
      </c>
      <c r="Q2104" s="62" t="str">
        <f>IF(G2104="PA",IF(M2104&lt;&gt;"",ISERROR(VLOOKUP(M2104,ABBR!C:F,1,FALSE)),ISERROR(VLOOKUP(E2104,ABBR!C:F,1,FALSE))),"")</f>
        <v/>
      </c>
    </row>
    <row r="2105" spans="1:17" hidden="1" x14ac:dyDescent="0.25">
      <c r="A2105" s="16" t="s">
        <v>270</v>
      </c>
      <c r="B2105" s="17"/>
      <c r="C2105" s="16" t="s">
        <v>3829</v>
      </c>
      <c r="D2105" s="17" t="s">
        <v>722</v>
      </c>
      <c r="E2105" s="17" t="s">
        <v>723</v>
      </c>
      <c r="F2105" s="18" t="s">
        <v>3830</v>
      </c>
      <c r="G2105" s="49" t="s">
        <v>2329</v>
      </c>
      <c r="H2105" s="17">
        <v>21</v>
      </c>
      <c r="J2105" s="62" t="s">
        <v>473</v>
      </c>
      <c r="K2105" s="62"/>
      <c r="L2105" s="62"/>
      <c r="M2105" s="62"/>
      <c r="N2105" s="62"/>
      <c r="O2105" s="62" t="str">
        <f>IF(E2105="PA",IF(K2105&lt;&gt;"",ISERROR(VLOOKUP(K2105,ABBR!A:D,1,FALSE)),ISERROR(VLOOKUP(C2105,ABBR!A:D,1,FALSE))),"")</f>
        <v/>
      </c>
      <c r="P2105" t="str">
        <f>VLOOKUP(A2105,Groups!A:L,5,FALSE)</f>
        <v>SAMP</v>
      </c>
      <c r="Q2105" s="62" t="str">
        <f>IF(G2105="PA",IF(M2105&lt;&gt;"",ISERROR(VLOOKUP(M2105,ABBR!C:F,1,FALSE)),ISERROR(VLOOKUP(E2105,ABBR!C:F,1,FALSE))),"")</f>
        <v/>
      </c>
    </row>
    <row r="2106" spans="1:17" hidden="1" x14ac:dyDescent="0.25">
      <c r="A2106" s="16" t="s">
        <v>270</v>
      </c>
      <c r="B2106" s="17"/>
      <c r="C2106" s="16" t="s">
        <v>3831</v>
      </c>
      <c r="D2106" s="17"/>
      <c r="E2106" s="17" t="s">
        <v>608</v>
      </c>
      <c r="F2106" s="18" t="s">
        <v>1491</v>
      </c>
      <c r="G2106" s="49" t="s">
        <v>1492</v>
      </c>
      <c r="H2106" s="17">
        <v>22</v>
      </c>
      <c r="J2106" s="62" t="s">
        <v>473</v>
      </c>
      <c r="K2106" s="62"/>
      <c r="L2106" s="62"/>
      <c r="M2106" s="62"/>
      <c r="N2106" s="62"/>
      <c r="O2106" s="62" t="str">
        <f>IF(E2106="PA",IF(K2106&lt;&gt;"",ISERROR(VLOOKUP(K2106,ABBR!A:D,1,FALSE)),ISERROR(VLOOKUP(C2106,ABBR!A:D,1,FALSE))),"")</f>
        <v/>
      </c>
      <c r="P2106" t="str">
        <f>VLOOKUP(A2106,Groups!A:L,5,FALSE)</f>
        <v>SAMP</v>
      </c>
      <c r="Q2106" s="62" t="str">
        <f>IF(G2106="PA",IF(M2106&lt;&gt;"",ISERROR(VLOOKUP(M2106,ABBR!C:F,1,FALSE)),ISERROR(VLOOKUP(E2106,ABBR!C:F,1,FALSE))),"")</f>
        <v/>
      </c>
    </row>
    <row r="2107" spans="1:17" hidden="1" x14ac:dyDescent="0.25">
      <c r="A2107" s="16" t="s">
        <v>270</v>
      </c>
      <c r="B2107" s="17"/>
      <c r="C2107" s="16" t="s">
        <v>3832</v>
      </c>
      <c r="D2107" s="17" t="s">
        <v>924</v>
      </c>
      <c r="E2107" s="17" t="s">
        <v>925</v>
      </c>
      <c r="F2107" s="18" t="s">
        <v>926</v>
      </c>
      <c r="G2107" s="49" t="s">
        <v>927</v>
      </c>
      <c r="H2107" s="17">
        <v>23</v>
      </c>
      <c r="J2107" s="62" t="s">
        <v>473</v>
      </c>
      <c r="K2107" s="62"/>
      <c r="L2107" s="62"/>
      <c r="M2107" s="62"/>
      <c r="N2107" s="62"/>
      <c r="O2107" s="62" t="str">
        <f>IF(E2107="PA",IF(K2107&lt;&gt;"",ISERROR(VLOOKUP(K2107,ABBR!A:D,1,FALSE)),ISERROR(VLOOKUP(C2107,ABBR!A:D,1,FALSE))),"")</f>
        <v/>
      </c>
      <c r="P2107" t="str">
        <f>VLOOKUP(A2107,Groups!A:L,5,FALSE)</f>
        <v>SAMP</v>
      </c>
      <c r="Q2107" s="62" t="str">
        <f>IF(G2107="PA",IF(M2107&lt;&gt;"",ISERROR(VLOOKUP(M2107,ABBR!C:F,1,FALSE)),ISERROR(VLOOKUP(E2107,ABBR!C:F,1,FALSE))),"")</f>
        <v/>
      </c>
    </row>
    <row r="2108" spans="1:17" hidden="1" x14ac:dyDescent="0.25">
      <c r="A2108" s="16" t="s">
        <v>270</v>
      </c>
      <c r="B2108" s="17"/>
      <c r="C2108" s="16" t="s">
        <v>3833</v>
      </c>
      <c r="D2108" s="17"/>
      <c r="E2108" s="17" t="s">
        <v>608</v>
      </c>
      <c r="F2108" s="18" t="s">
        <v>875</v>
      </c>
      <c r="G2108" s="49" t="s">
        <v>876</v>
      </c>
      <c r="H2108" s="17">
        <v>24</v>
      </c>
      <c r="J2108" s="62" t="s">
        <v>473</v>
      </c>
      <c r="K2108" s="62"/>
      <c r="L2108" s="62"/>
      <c r="M2108" s="62"/>
      <c r="N2108" s="62"/>
      <c r="O2108" s="62" t="str">
        <f>IF(E2108="PA",IF(K2108&lt;&gt;"",ISERROR(VLOOKUP(K2108,ABBR!A:D,1,FALSE)),ISERROR(VLOOKUP(C2108,ABBR!A:D,1,FALSE))),"")</f>
        <v/>
      </c>
      <c r="P2108" t="str">
        <f>VLOOKUP(A2108,Groups!A:L,5,FALSE)</f>
        <v>SAMP</v>
      </c>
      <c r="Q2108" s="62" t="str">
        <f>IF(G2108="PA",IF(M2108&lt;&gt;"",ISERROR(VLOOKUP(M2108,ABBR!C:F,1,FALSE)),ISERROR(VLOOKUP(E2108,ABBR!C:F,1,FALSE))),"")</f>
        <v/>
      </c>
    </row>
    <row r="2109" spans="1:17" hidden="1" x14ac:dyDescent="0.25">
      <c r="A2109" s="16" t="s">
        <v>270</v>
      </c>
      <c r="B2109" s="17"/>
      <c r="C2109" s="16" t="s">
        <v>3834</v>
      </c>
      <c r="D2109" s="17"/>
      <c r="E2109" s="17" t="s">
        <v>608</v>
      </c>
      <c r="F2109" s="18" t="s">
        <v>929</v>
      </c>
      <c r="G2109" s="49" t="s">
        <v>876</v>
      </c>
      <c r="H2109" s="17">
        <v>25</v>
      </c>
      <c r="J2109" s="62" t="s">
        <v>473</v>
      </c>
      <c r="K2109" s="62"/>
      <c r="L2109" s="62"/>
      <c r="M2109" s="62"/>
      <c r="N2109" s="62"/>
      <c r="O2109" s="62" t="str">
        <f>IF(E2109="PA",IF(K2109&lt;&gt;"",ISERROR(VLOOKUP(K2109,ABBR!A:D,1,FALSE)),ISERROR(VLOOKUP(C2109,ABBR!A:D,1,FALSE))),"")</f>
        <v/>
      </c>
      <c r="P2109" t="str">
        <f>VLOOKUP(A2109,Groups!A:L,5,FALSE)</f>
        <v>SAMP</v>
      </c>
      <c r="Q2109" s="62" t="str">
        <f>IF(G2109="PA",IF(M2109&lt;&gt;"",ISERROR(VLOOKUP(M2109,ABBR!C:F,1,FALSE)),ISERROR(VLOOKUP(E2109,ABBR!C:F,1,FALSE))),"")</f>
        <v/>
      </c>
    </row>
    <row r="2110" spans="1:17" hidden="1" x14ac:dyDescent="0.25">
      <c r="A2110" s="16" t="s">
        <v>273</v>
      </c>
      <c r="B2110" s="17" t="s">
        <v>594</v>
      </c>
      <c r="C2110" s="16" t="s">
        <v>595</v>
      </c>
      <c r="D2110" s="17"/>
      <c r="E2110" s="17" t="s">
        <v>596</v>
      </c>
      <c r="F2110" s="18" t="s">
        <v>597</v>
      </c>
      <c r="G2110" s="49" t="s">
        <v>598</v>
      </c>
      <c r="H2110" s="17">
        <v>1</v>
      </c>
      <c r="O2110" s="62" t="str">
        <f>IF(E2110="PA",IF(K2110&lt;&gt;"",ISERROR(VLOOKUP(K2110,ABBR!A:D,1,FALSE)),ISERROR(VLOOKUP(C2110,ABBR!A:D,1,FALSE))),"")</f>
        <v/>
      </c>
      <c r="P2110" t="str">
        <f>VLOOKUP(A2110,Groups!A:L,5,FALSE)</f>
        <v>SAMP</v>
      </c>
      <c r="Q2110" s="62" t="str">
        <f>IF(G2110="PA",IF(M2110&lt;&gt;"",ISERROR(VLOOKUP(M2110,ABBR!C:F,1,FALSE)),ISERROR(VLOOKUP(E2110,ABBR!C:F,1,FALSE))),"")</f>
        <v/>
      </c>
    </row>
    <row r="2111" spans="1:17" hidden="1" x14ac:dyDescent="0.25">
      <c r="A2111" s="16" t="s">
        <v>273</v>
      </c>
      <c r="B2111" s="17" t="s">
        <v>594</v>
      </c>
      <c r="C2111" s="16" t="s">
        <v>851</v>
      </c>
      <c r="D2111" s="17" t="s">
        <v>600</v>
      </c>
      <c r="E2111" s="17" t="s">
        <v>601</v>
      </c>
      <c r="F2111" s="18" t="s">
        <v>852</v>
      </c>
      <c r="G2111" s="49" t="s">
        <v>853</v>
      </c>
      <c r="H2111" s="17">
        <v>2</v>
      </c>
      <c r="O2111" s="62" t="str">
        <f>IF(E2111="PA",IF(K2111&lt;&gt;"",ISERROR(VLOOKUP(K2111,ABBR!A:D,1,FALSE)),ISERROR(VLOOKUP(C2111,ABBR!A:D,1,FALSE))),"")</f>
        <v/>
      </c>
      <c r="P2111" t="str">
        <f>VLOOKUP(A2111,Groups!A:L,5,FALSE)</f>
        <v>SAMP</v>
      </c>
      <c r="Q2111" s="62" t="str">
        <f>IF(G2111="PA",IF(M2111&lt;&gt;"",ISERROR(VLOOKUP(M2111,ABBR!C:F,1,FALSE)),ISERROR(VLOOKUP(E2111,ABBR!C:F,1,FALSE))),"")</f>
        <v/>
      </c>
    </row>
    <row r="2112" spans="1:17" hidden="1" x14ac:dyDescent="0.25">
      <c r="A2112" s="16" t="s">
        <v>273</v>
      </c>
      <c r="B2112" s="17" t="s">
        <v>594</v>
      </c>
      <c r="C2112" s="16" t="s">
        <v>854</v>
      </c>
      <c r="D2112" s="17"/>
      <c r="E2112" s="17" t="s">
        <v>608</v>
      </c>
      <c r="F2112" s="18" t="s">
        <v>855</v>
      </c>
      <c r="G2112" s="49" t="s">
        <v>941</v>
      </c>
      <c r="H2112" s="17">
        <v>3</v>
      </c>
      <c r="O2112" s="62" t="str">
        <f>IF(E2112="PA",IF(K2112&lt;&gt;"",ISERROR(VLOOKUP(K2112,ABBR!A:D,1,FALSE)),ISERROR(VLOOKUP(C2112,ABBR!A:D,1,FALSE))),"")</f>
        <v/>
      </c>
      <c r="P2112" t="str">
        <f>VLOOKUP(A2112,Groups!A:L,5,FALSE)</f>
        <v>SAMP</v>
      </c>
      <c r="Q2112" s="62" t="str">
        <f>IF(G2112="PA",IF(M2112&lt;&gt;"",ISERROR(VLOOKUP(M2112,ABBR!C:F,1,FALSE)),ISERROR(VLOOKUP(E2112,ABBR!C:F,1,FALSE))),"")</f>
        <v/>
      </c>
    </row>
    <row r="2113" spans="1:17" hidden="1" x14ac:dyDescent="0.25">
      <c r="A2113" s="16" t="s">
        <v>273</v>
      </c>
      <c r="B2113" s="17" t="s">
        <v>594</v>
      </c>
      <c r="C2113" s="16" t="s">
        <v>857</v>
      </c>
      <c r="D2113" s="17"/>
      <c r="E2113" s="17" t="s">
        <v>618</v>
      </c>
      <c r="F2113" s="18" t="s">
        <v>858</v>
      </c>
      <c r="G2113" s="49" t="s">
        <v>3547</v>
      </c>
      <c r="H2113" s="17">
        <v>4</v>
      </c>
      <c r="O2113" s="62" t="b">
        <f>IF(E2113="PA",IF(K2113&lt;&gt;"",ISERROR(VLOOKUP(K2113,ABBR!A:D,1,FALSE)),ISERROR(VLOOKUP(C2113,ABBR!A:D,1,FALSE))),"")</f>
        <v>0</v>
      </c>
      <c r="P2113" t="str">
        <f>VLOOKUP(A2113,Groups!A:L,5,FALSE)</f>
        <v>SAMP</v>
      </c>
      <c r="Q2113" s="62" t="str">
        <f>IF(G2113="PA",IF(M2113&lt;&gt;"",ISERROR(VLOOKUP(M2113,ABBR!C:F,1,FALSE)),ISERROR(VLOOKUP(E2113,ABBR!C:F,1,FALSE))),"")</f>
        <v/>
      </c>
    </row>
    <row r="2114" spans="1:17" hidden="1" x14ac:dyDescent="0.25">
      <c r="A2114" s="16" t="s">
        <v>273</v>
      </c>
      <c r="B2114" s="17" t="s">
        <v>594</v>
      </c>
      <c r="C2114" s="16" t="s">
        <v>860</v>
      </c>
      <c r="D2114" s="17"/>
      <c r="E2114" s="17" t="s">
        <v>596</v>
      </c>
      <c r="F2114" s="18" t="s">
        <v>942</v>
      </c>
      <c r="G2114" s="49" t="s">
        <v>862</v>
      </c>
      <c r="H2114" s="17">
        <v>5</v>
      </c>
      <c r="O2114" s="62" t="str">
        <f>IF(E2114="PA",IF(K2114&lt;&gt;"",ISERROR(VLOOKUP(K2114,ABBR!A:D,1,FALSE)),ISERROR(VLOOKUP(C2114,ABBR!A:D,1,FALSE))),"")</f>
        <v/>
      </c>
      <c r="P2114" t="str">
        <f>VLOOKUP(A2114,Groups!A:L,5,FALSE)</f>
        <v>SAMP</v>
      </c>
      <c r="Q2114" s="62" t="str">
        <f>IF(G2114="PA",IF(M2114&lt;&gt;"",ISERROR(VLOOKUP(M2114,ABBR!C:F,1,FALSE)),ISERROR(VLOOKUP(E2114,ABBR!C:F,1,FALSE))),"")</f>
        <v/>
      </c>
    </row>
    <row r="2115" spans="1:17" hidden="1" x14ac:dyDescent="0.25">
      <c r="A2115" s="16" t="s">
        <v>273</v>
      </c>
      <c r="B2115" s="17" t="s">
        <v>594</v>
      </c>
      <c r="C2115" s="16" t="s">
        <v>863</v>
      </c>
      <c r="D2115" s="17"/>
      <c r="E2115" s="17" t="s">
        <v>608</v>
      </c>
      <c r="F2115" s="18" t="s">
        <v>864</v>
      </c>
      <c r="G2115" s="49" t="s">
        <v>865</v>
      </c>
      <c r="H2115" s="17">
        <v>6</v>
      </c>
      <c r="O2115" s="62" t="str">
        <f>IF(E2115="PA",IF(K2115&lt;&gt;"",ISERROR(VLOOKUP(K2115,ABBR!A:D,1,FALSE)),ISERROR(VLOOKUP(C2115,ABBR!A:D,1,FALSE))),"")</f>
        <v/>
      </c>
      <c r="P2115" t="str">
        <f>VLOOKUP(A2115,Groups!A:L,5,FALSE)</f>
        <v>SAMP</v>
      </c>
      <c r="Q2115" s="62" t="str">
        <f>IF(G2115="PA",IF(M2115&lt;&gt;"",ISERROR(VLOOKUP(M2115,ABBR!C:F,1,FALSE)),ISERROR(VLOOKUP(E2115,ABBR!C:F,1,FALSE))),"")</f>
        <v/>
      </c>
    </row>
    <row r="2116" spans="1:17" hidden="1" x14ac:dyDescent="0.25">
      <c r="A2116" s="16" t="s">
        <v>273</v>
      </c>
      <c r="B2116" s="17" t="s">
        <v>594</v>
      </c>
      <c r="C2116" s="16" t="s">
        <v>866</v>
      </c>
      <c r="D2116" s="17" t="s">
        <v>600</v>
      </c>
      <c r="E2116" s="17" t="s">
        <v>601</v>
      </c>
      <c r="F2116" s="18" t="s">
        <v>867</v>
      </c>
      <c r="G2116" s="49" t="s">
        <v>853</v>
      </c>
      <c r="H2116" s="17">
        <v>7</v>
      </c>
      <c r="O2116" s="62" t="str">
        <f>IF(E2116="PA",IF(K2116&lt;&gt;"",ISERROR(VLOOKUP(K2116,ABBR!A:D,1,FALSE)),ISERROR(VLOOKUP(C2116,ABBR!A:D,1,FALSE))),"")</f>
        <v/>
      </c>
      <c r="P2116" t="str">
        <f>VLOOKUP(A2116,Groups!A:L,5,FALSE)</f>
        <v>SAMP</v>
      </c>
      <c r="Q2116" s="62" t="str">
        <f>IF(G2116="PA",IF(M2116&lt;&gt;"",ISERROR(VLOOKUP(M2116,ABBR!C:F,1,FALSE)),ISERROR(VLOOKUP(E2116,ABBR!C:F,1,FALSE))),"")</f>
        <v/>
      </c>
    </row>
    <row r="2117" spans="1:17" hidden="1" x14ac:dyDescent="0.25">
      <c r="A2117" s="16" t="s">
        <v>273</v>
      </c>
      <c r="B2117" s="17"/>
      <c r="C2117" s="16" t="s">
        <v>868</v>
      </c>
      <c r="D2117" s="17"/>
      <c r="E2117" s="17" t="s">
        <v>608</v>
      </c>
      <c r="F2117" s="18" t="s">
        <v>869</v>
      </c>
      <c r="G2117" s="51" t="s">
        <v>1269</v>
      </c>
      <c r="H2117" s="17">
        <v>8</v>
      </c>
      <c r="O2117" s="62" t="str">
        <f>IF(E2117="PA",IF(K2117&lt;&gt;"",ISERROR(VLOOKUP(K2117,ABBR!A:D,1,FALSE)),ISERROR(VLOOKUP(C2117,ABBR!A:D,1,FALSE))),"")</f>
        <v/>
      </c>
      <c r="P2117" t="str">
        <f>VLOOKUP(A2117,Groups!A:L,5,FALSE)</f>
        <v>SAMP</v>
      </c>
      <c r="Q2117" s="62" t="str">
        <f>IF(G2117="PA",IF(M2117&lt;&gt;"",ISERROR(VLOOKUP(M2117,ABBR!C:F,1,FALSE)),ISERROR(VLOOKUP(E2117,ABBR!C:F,1,FALSE))),"")</f>
        <v/>
      </c>
    </row>
    <row r="2118" spans="1:17" ht="25" hidden="1" x14ac:dyDescent="0.25">
      <c r="A2118" s="16" t="s">
        <v>273</v>
      </c>
      <c r="B2118" s="17"/>
      <c r="C2118" s="16" t="s">
        <v>871</v>
      </c>
      <c r="D2118" s="17"/>
      <c r="E2118" s="17" t="s">
        <v>608</v>
      </c>
      <c r="F2118" s="18" t="s">
        <v>872</v>
      </c>
      <c r="G2118" s="49" t="s">
        <v>873</v>
      </c>
      <c r="H2118" s="17">
        <v>9</v>
      </c>
      <c r="O2118" s="62" t="str">
        <f>IF(E2118="PA",IF(K2118&lt;&gt;"",ISERROR(VLOOKUP(K2118,ABBR!A:D,1,FALSE)),ISERROR(VLOOKUP(C2118,ABBR!A:D,1,FALSE))),"")</f>
        <v/>
      </c>
      <c r="P2118" t="str">
        <f>VLOOKUP(A2118,Groups!A:L,5,FALSE)</f>
        <v>SAMP</v>
      </c>
      <c r="Q2118" s="62" t="str">
        <f>IF(G2118="PA",IF(M2118&lt;&gt;"",ISERROR(VLOOKUP(M2118,ABBR!C:F,1,FALSE)),ISERROR(VLOOKUP(E2118,ABBR!C:F,1,FALSE))),"")</f>
        <v/>
      </c>
    </row>
    <row r="2119" spans="1:17" hidden="1" x14ac:dyDescent="0.25">
      <c r="A2119" s="16" t="s">
        <v>273</v>
      </c>
      <c r="B2119" s="17"/>
      <c r="C2119" s="16" t="s">
        <v>3835</v>
      </c>
      <c r="D2119" s="17" t="s">
        <v>766</v>
      </c>
      <c r="E2119" s="17" t="s">
        <v>1391</v>
      </c>
      <c r="F2119" s="18" t="s">
        <v>3836</v>
      </c>
      <c r="G2119" s="49" t="s">
        <v>3837</v>
      </c>
      <c r="H2119" s="17">
        <v>10</v>
      </c>
      <c r="I2119" s="30" t="s">
        <v>3838</v>
      </c>
      <c r="J2119" s="62" t="s">
        <v>1279</v>
      </c>
      <c r="O2119" s="62" t="str">
        <f>IF(E2119="PA",IF(K2119&lt;&gt;"",ISERROR(VLOOKUP(K2119,ABBR!A:D,1,FALSE)),ISERROR(VLOOKUP(C2119,ABBR!A:D,1,FALSE))),"")</f>
        <v/>
      </c>
      <c r="P2119" t="str">
        <f>VLOOKUP(A2119,Groups!A:L,5,FALSE)</f>
        <v>SAMP</v>
      </c>
      <c r="Q2119" s="62" t="str">
        <f>IF(G2119="PA",IF(M2119&lt;&gt;"",ISERROR(VLOOKUP(M2119,ABBR!C:F,1,FALSE)),ISERROR(VLOOKUP(E2119,ABBR!C:F,1,FALSE))),"")</f>
        <v/>
      </c>
    </row>
    <row r="2120" spans="1:17" hidden="1" x14ac:dyDescent="0.25">
      <c r="A2120" s="16" t="s">
        <v>273</v>
      </c>
      <c r="B2120" s="17"/>
      <c r="C2120" s="16" t="s">
        <v>3839</v>
      </c>
      <c r="D2120" s="17" t="s">
        <v>766</v>
      </c>
      <c r="E2120" s="17" t="s">
        <v>1391</v>
      </c>
      <c r="F2120" s="16" t="s">
        <v>3840</v>
      </c>
      <c r="G2120" s="8" t="s">
        <v>3841</v>
      </c>
      <c r="H2120" s="17">
        <v>11</v>
      </c>
      <c r="O2120" s="62" t="str">
        <f>IF(E2120="PA",IF(K2120&lt;&gt;"",ISERROR(VLOOKUP(K2120,ABBR!A:D,1,FALSE)),ISERROR(VLOOKUP(C2120,ABBR!A:D,1,FALSE))),"")</f>
        <v/>
      </c>
      <c r="P2120" t="str">
        <f>VLOOKUP(A2120,Groups!A:L,5,FALSE)</f>
        <v>SAMP</v>
      </c>
      <c r="Q2120" s="62" t="str">
        <f>IF(G2120="PA",IF(M2120&lt;&gt;"",ISERROR(VLOOKUP(M2120,ABBR!C:F,1,FALSE)),ISERROR(VLOOKUP(E2120,ABBR!C:F,1,FALSE))),"")</f>
        <v/>
      </c>
    </row>
    <row r="2121" spans="1:17" hidden="1" x14ac:dyDescent="0.25">
      <c r="A2121" s="16" t="s">
        <v>273</v>
      </c>
      <c r="B2121" s="17"/>
      <c r="C2121" s="16" t="s">
        <v>3842</v>
      </c>
      <c r="D2121" s="17"/>
      <c r="E2121" s="17" t="s">
        <v>1391</v>
      </c>
      <c r="F2121" s="18" t="s">
        <v>3843</v>
      </c>
      <c r="G2121" s="49" t="s">
        <v>1282</v>
      </c>
      <c r="H2121" s="17">
        <v>12</v>
      </c>
      <c r="I2121" s="30" t="s">
        <v>3838</v>
      </c>
      <c r="J2121" s="62" t="s">
        <v>1279</v>
      </c>
      <c r="O2121" s="62" t="str">
        <f>IF(E2121="PA",IF(K2121&lt;&gt;"",ISERROR(VLOOKUP(K2121,ABBR!A:D,1,FALSE)),ISERROR(VLOOKUP(C2121,ABBR!A:D,1,FALSE))),"")</f>
        <v/>
      </c>
      <c r="P2121" t="str">
        <f>VLOOKUP(A2121,Groups!A:L,5,FALSE)</f>
        <v>SAMP</v>
      </c>
      <c r="Q2121" s="62" t="str">
        <f>IF(G2121="PA",IF(M2121&lt;&gt;"",ISERROR(VLOOKUP(M2121,ABBR!C:F,1,FALSE)),ISERROR(VLOOKUP(E2121,ABBR!C:F,1,FALSE))),"")</f>
        <v/>
      </c>
    </row>
    <row r="2122" spans="1:17" hidden="1" x14ac:dyDescent="0.25">
      <c r="A2122" s="16" t="s">
        <v>273</v>
      </c>
      <c r="B2122" s="17"/>
      <c r="C2122" s="16" t="s">
        <v>3844</v>
      </c>
      <c r="D2122" s="17" t="s">
        <v>766</v>
      </c>
      <c r="E2122" s="17" t="s">
        <v>767</v>
      </c>
      <c r="F2122" s="18" t="s">
        <v>3819</v>
      </c>
      <c r="G2122" s="49" t="s">
        <v>1197</v>
      </c>
      <c r="H2122" s="17">
        <v>13</v>
      </c>
      <c r="O2122" s="62" t="str">
        <f>IF(E2122="PA",IF(K2122&lt;&gt;"",ISERROR(VLOOKUP(K2122,ABBR!A:D,1,FALSE)),ISERROR(VLOOKUP(C2122,ABBR!A:D,1,FALSE))),"")</f>
        <v/>
      </c>
      <c r="P2122" t="str">
        <f>VLOOKUP(A2122,Groups!A:L,5,FALSE)</f>
        <v>SAMP</v>
      </c>
      <c r="Q2122" s="62" t="str">
        <f>IF(G2122="PA",IF(M2122&lt;&gt;"",ISERROR(VLOOKUP(M2122,ABBR!C:F,1,FALSE)),ISERROR(VLOOKUP(E2122,ABBR!C:F,1,FALSE))),"")</f>
        <v/>
      </c>
    </row>
    <row r="2123" spans="1:17" hidden="1" x14ac:dyDescent="0.25">
      <c r="A2123" s="16" t="s">
        <v>273</v>
      </c>
      <c r="B2123" s="17"/>
      <c r="C2123" s="16" t="s">
        <v>3845</v>
      </c>
      <c r="D2123" s="17"/>
      <c r="E2123" s="17" t="s">
        <v>608</v>
      </c>
      <c r="F2123" s="18" t="s">
        <v>3821</v>
      </c>
      <c r="G2123" s="49" t="s">
        <v>3822</v>
      </c>
      <c r="H2123" s="17">
        <v>14</v>
      </c>
      <c r="O2123" s="62" t="str">
        <f>IF(E2123="PA",IF(K2123&lt;&gt;"",ISERROR(VLOOKUP(K2123,ABBR!A:D,1,FALSE)),ISERROR(VLOOKUP(C2123,ABBR!A:D,1,FALSE))),"")</f>
        <v/>
      </c>
      <c r="P2123" t="str">
        <f>VLOOKUP(A2123,Groups!A:L,5,FALSE)</f>
        <v>SAMP</v>
      </c>
      <c r="Q2123" s="62" t="str">
        <f>IF(G2123="PA",IF(M2123&lt;&gt;"",ISERROR(VLOOKUP(M2123,ABBR!C:F,1,FALSE)),ISERROR(VLOOKUP(E2123,ABBR!C:F,1,FALSE))),"")</f>
        <v/>
      </c>
    </row>
    <row r="2124" spans="1:17" hidden="1" x14ac:dyDescent="0.25">
      <c r="A2124" s="16" t="s">
        <v>273</v>
      </c>
      <c r="B2124" s="17"/>
      <c r="C2124" s="16" t="s">
        <v>3846</v>
      </c>
      <c r="D2124" s="17" t="s">
        <v>766</v>
      </c>
      <c r="E2124" s="17" t="s">
        <v>882</v>
      </c>
      <c r="F2124" s="18" t="s">
        <v>1281</v>
      </c>
      <c r="G2124" s="49" t="s">
        <v>1282</v>
      </c>
      <c r="H2124" s="17">
        <v>15</v>
      </c>
      <c r="O2124" s="62" t="str">
        <f>IF(E2124="PA",IF(K2124&lt;&gt;"",ISERROR(VLOOKUP(K2124,ABBR!A:D,1,FALSE)),ISERROR(VLOOKUP(C2124,ABBR!A:D,1,FALSE))),"")</f>
        <v/>
      </c>
      <c r="P2124" t="str">
        <f>VLOOKUP(A2124,Groups!A:L,5,FALSE)</f>
        <v>SAMP</v>
      </c>
      <c r="Q2124" s="62" t="str">
        <f>IF(G2124="PA",IF(M2124&lt;&gt;"",ISERROR(VLOOKUP(M2124,ABBR!C:F,1,FALSE)),ISERROR(VLOOKUP(E2124,ABBR!C:F,1,FALSE))),"")</f>
        <v/>
      </c>
    </row>
    <row r="2125" spans="1:17" hidden="1" x14ac:dyDescent="0.25">
      <c r="A2125" s="16" t="s">
        <v>273</v>
      </c>
      <c r="B2125" s="17"/>
      <c r="C2125" s="16" t="s">
        <v>3847</v>
      </c>
      <c r="D2125" s="17"/>
      <c r="E2125" s="17" t="s">
        <v>608</v>
      </c>
      <c r="F2125" s="18" t="s">
        <v>1284</v>
      </c>
      <c r="G2125" s="49" t="s">
        <v>1285</v>
      </c>
      <c r="H2125" s="17">
        <v>16</v>
      </c>
      <c r="O2125" s="62" t="str">
        <f>IF(E2125="PA",IF(K2125&lt;&gt;"",ISERROR(VLOOKUP(K2125,ABBR!A:D,1,FALSE)),ISERROR(VLOOKUP(C2125,ABBR!A:D,1,FALSE))),"")</f>
        <v/>
      </c>
      <c r="P2125" t="str">
        <f>VLOOKUP(A2125,Groups!A:L,5,FALSE)</f>
        <v>SAMP</v>
      </c>
      <c r="Q2125" s="62" t="str">
        <f>IF(G2125="PA",IF(M2125&lt;&gt;"",ISERROR(VLOOKUP(M2125,ABBR!C:F,1,FALSE)),ISERROR(VLOOKUP(E2125,ABBR!C:F,1,FALSE))),"")</f>
        <v/>
      </c>
    </row>
    <row r="2126" spans="1:17" hidden="1" x14ac:dyDescent="0.25">
      <c r="A2126" s="16" t="s">
        <v>273</v>
      </c>
      <c r="B2126" s="17"/>
      <c r="C2126" s="16" t="s">
        <v>3848</v>
      </c>
      <c r="D2126" s="17"/>
      <c r="E2126" s="17" t="s">
        <v>608</v>
      </c>
      <c r="F2126" s="18" t="s">
        <v>642</v>
      </c>
      <c r="G2126" s="49" t="s">
        <v>3849</v>
      </c>
      <c r="H2126" s="17">
        <v>17</v>
      </c>
      <c r="O2126" s="62" t="str">
        <f>IF(E2126="PA",IF(K2126&lt;&gt;"",ISERROR(VLOOKUP(K2126,ABBR!A:D,1,FALSE)),ISERROR(VLOOKUP(C2126,ABBR!A:D,1,FALSE))),"")</f>
        <v/>
      </c>
      <c r="P2126" t="str">
        <f>VLOOKUP(A2126,Groups!A:L,5,FALSE)</f>
        <v>SAMP</v>
      </c>
      <c r="Q2126" s="62" t="str">
        <f>IF(G2126="PA",IF(M2126&lt;&gt;"",ISERROR(VLOOKUP(M2126,ABBR!C:F,1,FALSE)),ISERROR(VLOOKUP(E2126,ABBR!C:F,1,FALSE))),"")</f>
        <v/>
      </c>
    </row>
    <row r="2127" spans="1:17" ht="25" hidden="1" x14ac:dyDescent="0.25">
      <c r="A2127" s="16" t="s">
        <v>273</v>
      </c>
      <c r="B2127" s="17"/>
      <c r="C2127" s="16" t="s">
        <v>3850</v>
      </c>
      <c r="D2127" s="17"/>
      <c r="E2127" s="17" t="s">
        <v>608</v>
      </c>
      <c r="F2127" s="18" t="s">
        <v>918</v>
      </c>
      <c r="G2127" s="49" t="s">
        <v>3851</v>
      </c>
      <c r="H2127" s="17">
        <v>18</v>
      </c>
      <c r="O2127" s="62" t="str">
        <f>IF(E2127="PA",IF(K2127&lt;&gt;"",ISERROR(VLOOKUP(K2127,ABBR!A:D,1,FALSE)),ISERROR(VLOOKUP(C2127,ABBR!A:D,1,FALSE))),"")</f>
        <v/>
      </c>
      <c r="P2127" t="str">
        <f>VLOOKUP(A2127,Groups!A:L,5,FALSE)</f>
        <v>SAMP</v>
      </c>
      <c r="Q2127" s="62" t="str">
        <f>IF(G2127="PA",IF(M2127&lt;&gt;"",ISERROR(VLOOKUP(M2127,ABBR!C:F,1,FALSE)),ISERROR(VLOOKUP(E2127,ABBR!C:F,1,FALSE))),"")</f>
        <v/>
      </c>
    </row>
    <row r="2128" spans="1:17" hidden="1" x14ac:dyDescent="0.25">
      <c r="A2128" s="16" t="s">
        <v>273</v>
      </c>
      <c r="B2128" s="17"/>
      <c r="C2128" s="16" t="s">
        <v>3852</v>
      </c>
      <c r="D2128" s="17"/>
      <c r="E2128" s="17" t="s">
        <v>608</v>
      </c>
      <c r="F2128" s="18" t="s">
        <v>950</v>
      </c>
      <c r="G2128" s="27" t="s">
        <v>951</v>
      </c>
      <c r="H2128" s="17">
        <v>19</v>
      </c>
      <c r="O2128" s="62" t="str">
        <f>IF(E2128="PA",IF(K2128&lt;&gt;"",ISERROR(VLOOKUP(K2128,ABBR!A:D,1,FALSE)),ISERROR(VLOOKUP(C2128,ABBR!A:D,1,FALSE))),"")</f>
        <v/>
      </c>
      <c r="P2128" t="str">
        <f>VLOOKUP(A2128,Groups!A:L,5,FALSE)</f>
        <v>SAMP</v>
      </c>
      <c r="Q2128" s="62" t="str">
        <f>IF(G2128="PA",IF(M2128&lt;&gt;"",ISERROR(VLOOKUP(M2128,ABBR!C:F,1,FALSE)),ISERROR(VLOOKUP(E2128,ABBR!C:F,1,FALSE))),"")</f>
        <v/>
      </c>
    </row>
    <row r="2129" spans="1:17" ht="25" hidden="1" x14ac:dyDescent="0.25">
      <c r="A2129" s="16" t="s">
        <v>273</v>
      </c>
      <c r="B2129" s="17"/>
      <c r="C2129" s="16" t="s">
        <v>3853</v>
      </c>
      <c r="D2129" s="17"/>
      <c r="E2129" s="17" t="s">
        <v>608</v>
      </c>
      <c r="F2129" s="18" t="s">
        <v>934</v>
      </c>
      <c r="G2129" s="49" t="s">
        <v>953</v>
      </c>
      <c r="H2129" s="17">
        <v>20</v>
      </c>
      <c r="O2129" s="62" t="str">
        <f>IF(E2129="PA",IF(K2129&lt;&gt;"",ISERROR(VLOOKUP(K2129,ABBR!A:D,1,FALSE)),ISERROR(VLOOKUP(C2129,ABBR!A:D,1,FALSE))),"")</f>
        <v/>
      </c>
      <c r="P2129" t="str">
        <f>VLOOKUP(A2129,Groups!A:L,5,FALSE)</f>
        <v>SAMP</v>
      </c>
      <c r="Q2129" s="62" t="str">
        <f>IF(G2129="PA",IF(M2129&lt;&gt;"",ISERROR(VLOOKUP(M2129,ABBR!C:F,1,FALSE)),ISERROR(VLOOKUP(E2129,ABBR!C:F,1,FALSE))),"")</f>
        <v/>
      </c>
    </row>
    <row r="2130" spans="1:17" hidden="1" x14ac:dyDescent="0.25">
      <c r="A2130" s="16" t="s">
        <v>273</v>
      </c>
      <c r="B2130" s="17"/>
      <c r="C2130" s="16" t="s">
        <v>936</v>
      </c>
      <c r="D2130" s="17"/>
      <c r="E2130" s="22" t="s">
        <v>608</v>
      </c>
      <c r="F2130" s="18" t="s">
        <v>937</v>
      </c>
      <c r="G2130" s="49" t="s">
        <v>938</v>
      </c>
      <c r="H2130" s="17">
        <v>21</v>
      </c>
      <c r="O2130" s="62" t="str">
        <f>IF(E2130="PA",IF(K2130&lt;&gt;"",ISERROR(VLOOKUP(K2130,ABBR!A:D,1,FALSE)),ISERROR(VLOOKUP(C2130,ABBR!A:D,1,FALSE))),"")</f>
        <v/>
      </c>
      <c r="P2130" t="str">
        <f>VLOOKUP(A2130,Groups!A:L,5,FALSE)</f>
        <v>SAMP</v>
      </c>
      <c r="Q2130" s="62" t="str">
        <f>IF(G2130="PA",IF(M2130&lt;&gt;"",ISERROR(VLOOKUP(M2130,ABBR!C:F,1,FALSE)),ISERROR(VLOOKUP(E2130,ABBR!C:F,1,FALSE))),"")</f>
        <v/>
      </c>
    </row>
    <row r="2131" spans="1:17" hidden="1" x14ac:dyDescent="0.25">
      <c r="A2131" s="16" t="s">
        <v>273</v>
      </c>
      <c r="B2131" s="17"/>
      <c r="C2131" s="16" t="s">
        <v>643</v>
      </c>
      <c r="D2131" s="17"/>
      <c r="E2131" s="17" t="s">
        <v>608</v>
      </c>
      <c r="F2131" s="18" t="s">
        <v>954</v>
      </c>
      <c r="G2131" s="49" t="s">
        <v>940</v>
      </c>
      <c r="H2131" s="17">
        <v>22</v>
      </c>
      <c r="O2131" s="62" t="str">
        <f>IF(E2131="PA",IF(K2131&lt;&gt;"",ISERROR(VLOOKUP(K2131,ABBR!A:D,1,FALSE)),ISERROR(VLOOKUP(C2131,ABBR!A:D,1,FALSE))),"")</f>
        <v/>
      </c>
      <c r="P2131" t="str">
        <f>VLOOKUP(A2131,Groups!A:L,5,FALSE)</f>
        <v>SAMP</v>
      </c>
      <c r="Q2131" s="62" t="str">
        <f>IF(G2131="PA",IF(M2131&lt;&gt;"",ISERROR(VLOOKUP(M2131,ABBR!C:F,1,FALSE)),ISERROR(VLOOKUP(E2131,ABBR!C:F,1,FALSE))),"")</f>
        <v/>
      </c>
    </row>
    <row r="2132" spans="1:17" hidden="1" x14ac:dyDescent="0.25">
      <c r="A2132" s="16" t="s">
        <v>273</v>
      </c>
      <c r="B2132" s="17"/>
      <c r="C2132" s="16" t="s">
        <v>877</v>
      </c>
      <c r="D2132" s="17" t="s">
        <v>600</v>
      </c>
      <c r="E2132" s="17" t="s">
        <v>601</v>
      </c>
      <c r="F2132" s="18" t="s">
        <v>878</v>
      </c>
      <c r="G2132" s="49" t="s">
        <v>879</v>
      </c>
      <c r="H2132" s="17">
        <v>23</v>
      </c>
      <c r="I2132" s="30" t="s">
        <v>955</v>
      </c>
      <c r="J2132" s="80">
        <v>4.0999999999999996</v>
      </c>
      <c r="O2132" s="62" t="str">
        <f>IF(E2132="PA",IF(K2132&lt;&gt;"",ISERROR(VLOOKUP(K2132,ABBR!A:D,1,FALSE)),ISERROR(VLOOKUP(C2132,ABBR!A:D,1,FALSE))),"")</f>
        <v/>
      </c>
      <c r="P2132" t="str">
        <f>VLOOKUP(A2132,Groups!A:L,5,FALSE)</f>
        <v>SAMP</v>
      </c>
      <c r="Q2132" s="62" t="str">
        <f>IF(G2132="PA",IF(M2132&lt;&gt;"",ISERROR(VLOOKUP(M2132,ABBR!C:F,1,FALSE)),ISERROR(VLOOKUP(E2132,ABBR!C:F,1,FALSE))),"")</f>
        <v/>
      </c>
    </row>
    <row r="2133" spans="1:17" hidden="1" x14ac:dyDescent="0.25">
      <c r="A2133" s="16" t="s">
        <v>273</v>
      </c>
      <c r="B2133" s="17"/>
      <c r="C2133" s="16" t="s">
        <v>3854</v>
      </c>
      <c r="D2133" s="17"/>
      <c r="E2133" s="17" t="s">
        <v>608</v>
      </c>
      <c r="F2133" s="18" t="s">
        <v>921</v>
      </c>
      <c r="G2133" s="94" t="s">
        <v>922</v>
      </c>
      <c r="H2133" s="17">
        <v>24</v>
      </c>
      <c r="I2133" s="30" t="s">
        <v>955</v>
      </c>
      <c r="J2133" s="80">
        <v>4.0999999999999996</v>
      </c>
      <c r="M2133" s="101"/>
      <c r="O2133" s="62" t="str">
        <f>IF(E2133="PA",IF(K2133&lt;&gt;"",ISERROR(VLOOKUP(K2133,ABBR!A:D,1,FALSE)),ISERROR(VLOOKUP(C2133,ABBR!A:D,1,FALSE))),"")</f>
        <v/>
      </c>
      <c r="P2133" t="str">
        <f>VLOOKUP(A2133,Groups!A:L,5,FALSE)</f>
        <v>SAMP</v>
      </c>
      <c r="Q2133" s="62" t="str">
        <f>IF(G2133="PA",IF(M2133&lt;&gt;"",ISERROR(VLOOKUP(M2133,ABBR!C:F,1,FALSE)),ISERROR(VLOOKUP(E2133,ABBR!C:F,1,FALSE))),"")</f>
        <v/>
      </c>
    </row>
    <row r="2134" spans="1:17" hidden="1" x14ac:dyDescent="0.25">
      <c r="A2134" s="16" t="s">
        <v>273</v>
      </c>
      <c r="B2134" s="17"/>
      <c r="C2134" s="16" t="s">
        <v>3855</v>
      </c>
      <c r="D2134" s="17"/>
      <c r="E2134" s="17" t="s">
        <v>618</v>
      </c>
      <c r="F2134" s="18" t="s">
        <v>1149</v>
      </c>
      <c r="G2134" s="49" t="s">
        <v>3856</v>
      </c>
      <c r="H2134" s="17">
        <v>25</v>
      </c>
      <c r="I2134" s="30" t="s">
        <v>955</v>
      </c>
      <c r="J2134" s="80">
        <v>4.0999999999999996</v>
      </c>
      <c r="O2134" s="62" t="b">
        <f>IF(E2134="PA",IF(K2134&lt;&gt;"",ISERROR(VLOOKUP(K2134,ABBR!A:D,1,FALSE)),ISERROR(VLOOKUP(C2134,ABBR!A:D,1,FALSE))),"")</f>
        <v>0</v>
      </c>
      <c r="P2134" t="str">
        <f>VLOOKUP(A2134,Groups!A:L,5,FALSE)</f>
        <v>SAMP</v>
      </c>
      <c r="Q2134" s="62" t="str">
        <f>IF(G2134="PA",IF(M2134&lt;&gt;"",ISERROR(VLOOKUP(M2134,ABBR!C:F,1,FALSE)),ISERROR(VLOOKUP(E2134,ABBR!C:F,1,FALSE))),"")</f>
        <v/>
      </c>
    </row>
    <row r="2135" spans="1:17" hidden="1" x14ac:dyDescent="0.25">
      <c r="A2135" s="16" t="s">
        <v>273</v>
      </c>
      <c r="B2135" s="17"/>
      <c r="C2135" s="16" t="s">
        <v>3857</v>
      </c>
      <c r="D2135" s="17"/>
      <c r="E2135" s="17" t="s">
        <v>618</v>
      </c>
      <c r="F2135" s="18" t="s">
        <v>3858</v>
      </c>
      <c r="G2135" s="49" t="s">
        <v>3859</v>
      </c>
      <c r="H2135" s="17">
        <v>26</v>
      </c>
      <c r="I2135" s="30" t="s">
        <v>955</v>
      </c>
      <c r="J2135" s="80">
        <v>4.0999999999999996</v>
      </c>
      <c r="O2135" s="62" t="b">
        <f>IF(E2135="PA",IF(K2135&lt;&gt;"",ISERROR(VLOOKUP(K2135,ABBR!A:D,1,FALSE)),ISERROR(VLOOKUP(C2135,ABBR!A:D,1,FALSE))),"")</f>
        <v>0</v>
      </c>
      <c r="P2135" t="str">
        <f>VLOOKUP(A2135,Groups!A:L,5,FALSE)</f>
        <v>SAMP</v>
      </c>
      <c r="Q2135" s="62" t="str">
        <f>IF(G2135="PA",IF(M2135&lt;&gt;"",ISERROR(VLOOKUP(M2135,ABBR!C:F,1,FALSE)),ISERROR(VLOOKUP(E2135,ABBR!C:F,1,FALSE))),"")</f>
        <v/>
      </c>
    </row>
    <row r="2136" spans="1:17" hidden="1" x14ac:dyDescent="0.25">
      <c r="A2136" s="16" t="s">
        <v>273</v>
      </c>
      <c r="B2136" s="17"/>
      <c r="C2136" s="16" t="s">
        <v>3860</v>
      </c>
      <c r="D2136" s="17"/>
      <c r="E2136" s="17" t="s">
        <v>618</v>
      </c>
      <c r="F2136" s="18" t="s">
        <v>3861</v>
      </c>
      <c r="G2136" s="49" t="s">
        <v>3862</v>
      </c>
      <c r="H2136" s="17">
        <v>27</v>
      </c>
      <c r="I2136" s="30" t="s">
        <v>955</v>
      </c>
      <c r="J2136" s="80">
        <v>4.0999999999999996</v>
      </c>
      <c r="O2136" s="62" t="b">
        <f>IF(E2136="PA",IF(K2136&lt;&gt;"",ISERROR(VLOOKUP(K2136,ABBR!A:D,1,FALSE)),ISERROR(VLOOKUP(C2136,ABBR!A:D,1,FALSE))),"")</f>
        <v>0</v>
      </c>
      <c r="P2136" t="str">
        <f>VLOOKUP(A2136,Groups!A:L,5,FALSE)</f>
        <v>SAMP</v>
      </c>
      <c r="Q2136" s="62" t="str">
        <f>IF(G2136="PA",IF(M2136&lt;&gt;"",ISERROR(VLOOKUP(M2136,ABBR!C:F,1,FALSE)),ISERROR(VLOOKUP(E2136,ABBR!C:F,1,FALSE))),"")</f>
        <v/>
      </c>
    </row>
    <row r="2137" spans="1:17" hidden="1" x14ac:dyDescent="0.25">
      <c r="A2137" s="16" t="s">
        <v>273</v>
      </c>
      <c r="B2137" s="17"/>
      <c r="C2137" s="16" t="s">
        <v>3863</v>
      </c>
      <c r="D2137" s="17" t="s">
        <v>722</v>
      </c>
      <c r="E2137" s="17" t="s">
        <v>723</v>
      </c>
      <c r="F2137" s="18" t="s">
        <v>3864</v>
      </c>
      <c r="G2137" s="49" t="s">
        <v>3865</v>
      </c>
      <c r="H2137" s="17">
        <v>28</v>
      </c>
      <c r="I2137" s="30" t="s">
        <v>955</v>
      </c>
      <c r="J2137" s="80">
        <v>4.0999999999999996</v>
      </c>
      <c r="O2137" s="62" t="str">
        <f>IF(E2137="PA",IF(K2137&lt;&gt;"",ISERROR(VLOOKUP(K2137,ABBR!A:D,1,FALSE)),ISERROR(VLOOKUP(C2137,ABBR!A:D,1,FALSE))),"")</f>
        <v/>
      </c>
      <c r="P2137" t="str">
        <f>VLOOKUP(A2137,Groups!A:L,5,FALSE)</f>
        <v>SAMP</v>
      </c>
      <c r="Q2137" s="62" t="str">
        <f>IF(G2137="PA",IF(M2137&lt;&gt;"",ISERROR(VLOOKUP(M2137,ABBR!C:F,1,FALSE)),ISERROR(VLOOKUP(E2137,ABBR!C:F,1,FALSE))),"")</f>
        <v/>
      </c>
    </row>
    <row r="2138" spans="1:17" hidden="1" x14ac:dyDescent="0.25">
      <c r="A2138" s="16" t="s">
        <v>273</v>
      </c>
      <c r="B2138" s="17"/>
      <c r="C2138" s="16" t="s">
        <v>3866</v>
      </c>
      <c r="D2138" s="17"/>
      <c r="E2138" s="17" t="s">
        <v>1321</v>
      </c>
      <c r="F2138" s="18" t="s">
        <v>3867</v>
      </c>
      <c r="G2138" s="49" t="s">
        <v>3868</v>
      </c>
      <c r="H2138" s="17">
        <v>29</v>
      </c>
      <c r="I2138" s="30" t="s">
        <v>955</v>
      </c>
      <c r="J2138" s="80">
        <v>4.0999999999999996</v>
      </c>
      <c r="O2138" s="62" t="str">
        <f>IF(E2138="PA",IF(K2138&lt;&gt;"",ISERROR(VLOOKUP(K2138,ABBR!A:D,1,FALSE)),ISERROR(VLOOKUP(C2138,ABBR!A:D,1,FALSE))),"")</f>
        <v/>
      </c>
      <c r="P2138" t="str">
        <f>VLOOKUP(A2138,Groups!A:L,5,FALSE)</f>
        <v>SAMP</v>
      </c>
      <c r="Q2138" s="62" t="str">
        <f>IF(G2138="PA",IF(M2138&lt;&gt;"",ISERROR(VLOOKUP(M2138,ABBR!C:F,1,FALSE)),ISERROR(VLOOKUP(E2138,ABBR!C:F,1,FALSE))),"")</f>
        <v/>
      </c>
    </row>
    <row r="2139" spans="1:17" hidden="1" x14ac:dyDescent="0.25">
      <c r="A2139" s="16" t="s">
        <v>273</v>
      </c>
      <c r="B2139" s="17"/>
      <c r="C2139" s="16" t="s">
        <v>3869</v>
      </c>
      <c r="D2139" s="17" t="s">
        <v>722</v>
      </c>
      <c r="E2139" s="17" t="s">
        <v>859</v>
      </c>
      <c r="F2139" s="18" t="s">
        <v>3870</v>
      </c>
      <c r="G2139" s="49" t="s">
        <v>3871</v>
      </c>
      <c r="H2139" s="17">
        <v>30</v>
      </c>
      <c r="I2139" s="30" t="s">
        <v>955</v>
      </c>
      <c r="J2139" s="80">
        <v>4.0999999999999996</v>
      </c>
      <c r="O2139" s="62" t="str">
        <f>IF(E2139="PA",IF(K2139&lt;&gt;"",ISERROR(VLOOKUP(K2139,ABBR!A:D,1,FALSE)),ISERROR(VLOOKUP(C2139,ABBR!A:D,1,FALSE))),"")</f>
        <v/>
      </c>
      <c r="P2139" t="str">
        <f>VLOOKUP(A2139,Groups!A:L,5,FALSE)</f>
        <v>SAMP</v>
      </c>
      <c r="Q2139" s="62" t="str">
        <f>IF(G2139="PA",IF(M2139&lt;&gt;"",ISERROR(VLOOKUP(M2139,ABBR!C:F,1,FALSE)),ISERROR(VLOOKUP(E2139,ABBR!C:F,1,FALSE))),"")</f>
        <v/>
      </c>
    </row>
    <row r="2140" spans="1:17" ht="25" hidden="1" x14ac:dyDescent="0.25">
      <c r="A2140" s="16" t="s">
        <v>273</v>
      </c>
      <c r="B2140" s="17"/>
      <c r="C2140" s="16" t="s">
        <v>3872</v>
      </c>
      <c r="D2140" s="17" t="s">
        <v>766</v>
      </c>
      <c r="E2140" s="17" t="s">
        <v>882</v>
      </c>
      <c r="F2140" s="18" t="s">
        <v>3873</v>
      </c>
      <c r="G2140" s="49" t="s">
        <v>1537</v>
      </c>
      <c r="H2140" s="17">
        <v>31</v>
      </c>
      <c r="I2140" s="30" t="s">
        <v>955</v>
      </c>
      <c r="J2140" s="80">
        <v>4.0999999999999996</v>
      </c>
      <c r="O2140" s="62" t="str">
        <f>IF(E2140="PA",IF(K2140&lt;&gt;"",ISERROR(VLOOKUP(K2140,ABBR!A:D,1,FALSE)),ISERROR(VLOOKUP(C2140,ABBR!A:D,1,FALSE))),"")</f>
        <v/>
      </c>
      <c r="P2140" t="str">
        <f>VLOOKUP(A2140,Groups!A:L,5,FALSE)</f>
        <v>SAMP</v>
      </c>
      <c r="Q2140" s="62" t="str">
        <f>IF(G2140="PA",IF(M2140&lt;&gt;"",ISERROR(VLOOKUP(M2140,ABBR!C:F,1,FALSE)),ISERROR(VLOOKUP(E2140,ABBR!C:F,1,FALSE))),"")</f>
        <v/>
      </c>
    </row>
    <row r="2141" spans="1:17" ht="37.5" hidden="1" x14ac:dyDescent="0.25">
      <c r="A2141" s="16" t="s">
        <v>273</v>
      </c>
      <c r="B2141" s="17"/>
      <c r="C2141" s="16" t="s">
        <v>3874</v>
      </c>
      <c r="D2141" s="17" t="s">
        <v>766</v>
      </c>
      <c r="E2141" s="17" t="s">
        <v>608</v>
      </c>
      <c r="F2141" s="18" t="s">
        <v>3875</v>
      </c>
      <c r="G2141" s="49" t="s">
        <v>1337</v>
      </c>
      <c r="H2141" s="17">
        <v>32</v>
      </c>
      <c r="I2141" s="30" t="s">
        <v>955</v>
      </c>
      <c r="J2141" s="80">
        <v>4.0999999999999996</v>
      </c>
      <c r="O2141" s="62" t="str">
        <f>IF(E2141="PA",IF(K2141&lt;&gt;"",ISERROR(VLOOKUP(K2141,ABBR!A:D,1,FALSE)),ISERROR(VLOOKUP(C2141,ABBR!A:D,1,FALSE))),"")</f>
        <v/>
      </c>
      <c r="P2141" t="str">
        <f>VLOOKUP(A2141,Groups!A:L,5,FALSE)</f>
        <v>SAMP</v>
      </c>
      <c r="Q2141" s="62" t="str">
        <f>IF(G2141="PA",IF(M2141&lt;&gt;"",ISERROR(VLOOKUP(M2141,ABBR!C:F,1,FALSE)),ISERROR(VLOOKUP(E2141,ABBR!C:F,1,FALSE))),"")</f>
        <v/>
      </c>
    </row>
    <row r="2142" spans="1:17" hidden="1" x14ac:dyDescent="0.25">
      <c r="A2142" s="16" t="s">
        <v>273</v>
      </c>
      <c r="B2142" s="17"/>
      <c r="C2142" s="16" t="s">
        <v>3876</v>
      </c>
      <c r="D2142" s="17" t="s">
        <v>924</v>
      </c>
      <c r="E2142" s="17" t="s">
        <v>925</v>
      </c>
      <c r="F2142" s="18" t="s">
        <v>926</v>
      </c>
      <c r="G2142" s="49" t="s">
        <v>927</v>
      </c>
      <c r="H2142" s="17">
        <v>33</v>
      </c>
      <c r="J2142" s="62" t="s">
        <v>473</v>
      </c>
      <c r="K2142" s="62"/>
      <c r="L2142" s="62"/>
      <c r="M2142" s="62"/>
      <c r="N2142" s="62"/>
      <c r="O2142" s="62" t="str">
        <f>IF(E2142="PA",IF(K2142&lt;&gt;"",ISERROR(VLOOKUP(K2142,ABBR!A:D,1,FALSE)),ISERROR(VLOOKUP(C2142,ABBR!A:D,1,FALSE))),"")</f>
        <v/>
      </c>
      <c r="P2142" t="str">
        <f>VLOOKUP(A2142,Groups!A:L,5,FALSE)</f>
        <v>SAMP</v>
      </c>
      <c r="Q2142" s="62" t="str">
        <f>IF(G2142="PA",IF(M2142&lt;&gt;"",ISERROR(VLOOKUP(M2142,ABBR!C:F,1,FALSE)),ISERROR(VLOOKUP(E2142,ABBR!C:F,1,FALSE))),"")</f>
        <v/>
      </c>
    </row>
    <row r="2143" spans="1:17" hidden="1" x14ac:dyDescent="0.25">
      <c r="A2143" s="16" t="s">
        <v>273</v>
      </c>
      <c r="B2143" s="17"/>
      <c r="C2143" s="16" t="s">
        <v>3877</v>
      </c>
      <c r="D2143" s="17"/>
      <c r="E2143" s="17" t="s">
        <v>608</v>
      </c>
      <c r="F2143" s="18" t="s">
        <v>875</v>
      </c>
      <c r="G2143" s="49" t="s">
        <v>876</v>
      </c>
      <c r="H2143" s="17">
        <v>34</v>
      </c>
      <c r="J2143" s="62" t="s">
        <v>473</v>
      </c>
      <c r="K2143" s="62"/>
      <c r="L2143" s="62"/>
      <c r="M2143" s="62"/>
      <c r="N2143" s="62"/>
      <c r="O2143" s="62" t="str">
        <f>IF(E2143="PA",IF(K2143&lt;&gt;"",ISERROR(VLOOKUP(K2143,ABBR!A:D,1,FALSE)),ISERROR(VLOOKUP(C2143,ABBR!A:D,1,FALSE))),"")</f>
        <v/>
      </c>
      <c r="P2143" t="str">
        <f>VLOOKUP(A2143,Groups!A:L,5,FALSE)</f>
        <v>SAMP</v>
      </c>
      <c r="Q2143" s="62" t="str">
        <f>IF(G2143="PA",IF(M2143&lt;&gt;"",ISERROR(VLOOKUP(M2143,ABBR!C:F,1,FALSE)),ISERROR(VLOOKUP(E2143,ABBR!C:F,1,FALSE))),"")</f>
        <v/>
      </c>
    </row>
    <row r="2144" spans="1:17" hidden="1" x14ac:dyDescent="0.25">
      <c r="A2144" s="16" t="s">
        <v>273</v>
      </c>
      <c r="B2144" s="17"/>
      <c r="C2144" s="16" t="s">
        <v>3878</v>
      </c>
      <c r="D2144" s="17"/>
      <c r="E2144" s="17" t="s">
        <v>608</v>
      </c>
      <c r="F2144" s="18" t="s">
        <v>929</v>
      </c>
      <c r="G2144" s="49" t="s">
        <v>876</v>
      </c>
      <c r="H2144" s="17">
        <v>35</v>
      </c>
      <c r="J2144" s="62" t="s">
        <v>473</v>
      </c>
      <c r="K2144" s="62"/>
      <c r="L2144" s="62"/>
      <c r="M2144" s="62"/>
      <c r="N2144" s="62"/>
      <c r="O2144" s="62" t="str">
        <f>IF(E2144="PA",IF(K2144&lt;&gt;"",ISERROR(VLOOKUP(K2144,ABBR!A:D,1,FALSE)),ISERROR(VLOOKUP(C2144,ABBR!A:D,1,FALSE))),"")</f>
        <v/>
      </c>
      <c r="P2144" t="str">
        <f>VLOOKUP(A2144,Groups!A:L,5,FALSE)</f>
        <v>SAMP</v>
      </c>
      <c r="Q2144" s="62" t="str">
        <f>IF(G2144="PA",IF(M2144&lt;&gt;"",ISERROR(VLOOKUP(M2144,ABBR!C:F,1,FALSE)),ISERROR(VLOOKUP(E2144,ABBR!C:F,1,FALSE))),"")</f>
        <v/>
      </c>
    </row>
    <row r="2145" spans="1:17" hidden="1" x14ac:dyDescent="0.25">
      <c r="A2145" s="16" t="s">
        <v>275</v>
      </c>
      <c r="B2145" s="17" t="s">
        <v>594</v>
      </c>
      <c r="C2145" s="16" t="s">
        <v>595</v>
      </c>
      <c r="D2145" s="17"/>
      <c r="E2145" s="17" t="s">
        <v>596</v>
      </c>
      <c r="F2145" s="18" t="s">
        <v>597</v>
      </c>
      <c r="G2145" s="49" t="s">
        <v>598</v>
      </c>
      <c r="H2145" s="17">
        <v>1</v>
      </c>
      <c r="O2145" s="62" t="str">
        <f>IF(E2145="PA",IF(K2145&lt;&gt;"",ISERROR(VLOOKUP(K2145,ABBR!A:D,1,FALSE)),ISERROR(VLOOKUP(C2145,ABBR!A:D,1,FALSE))),"")</f>
        <v/>
      </c>
      <c r="P2145" t="str">
        <f>VLOOKUP(A2145,Groups!A:L,5,FALSE)</f>
        <v>SAMP</v>
      </c>
      <c r="Q2145" s="62" t="str">
        <f>IF(G2145="PA",IF(M2145&lt;&gt;"",ISERROR(VLOOKUP(M2145,ABBR!C:F,1,FALSE)),ISERROR(VLOOKUP(E2145,ABBR!C:F,1,FALSE))),"")</f>
        <v/>
      </c>
    </row>
    <row r="2146" spans="1:17" hidden="1" x14ac:dyDescent="0.25">
      <c r="A2146" s="16" t="s">
        <v>275</v>
      </c>
      <c r="B2146" s="17" t="s">
        <v>594</v>
      </c>
      <c r="C2146" s="16" t="s">
        <v>851</v>
      </c>
      <c r="D2146" s="17" t="s">
        <v>600</v>
      </c>
      <c r="E2146" s="17" t="s">
        <v>601</v>
      </c>
      <c r="F2146" s="18" t="s">
        <v>852</v>
      </c>
      <c r="G2146" s="49" t="s">
        <v>853</v>
      </c>
      <c r="H2146" s="17">
        <v>2</v>
      </c>
      <c r="O2146" s="62" t="str">
        <f>IF(E2146="PA",IF(K2146&lt;&gt;"",ISERROR(VLOOKUP(K2146,ABBR!A:D,1,FALSE)),ISERROR(VLOOKUP(C2146,ABBR!A:D,1,FALSE))),"")</f>
        <v/>
      </c>
      <c r="P2146" t="str">
        <f>VLOOKUP(A2146,Groups!A:L,5,FALSE)</f>
        <v>SAMP</v>
      </c>
      <c r="Q2146" s="62" t="str">
        <f>IF(G2146="PA",IF(M2146&lt;&gt;"",ISERROR(VLOOKUP(M2146,ABBR!C:F,1,FALSE)),ISERROR(VLOOKUP(E2146,ABBR!C:F,1,FALSE))),"")</f>
        <v/>
      </c>
    </row>
    <row r="2147" spans="1:17" hidden="1" x14ac:dyDescent="0.25">
      <c r="A2147" s="16" t="s">
        <v>275</v>
      </c>
      <c r="B2147" s="17" t="s">
        <v>594</v>
      </c>
      <c r="C2147" s="16" t="s">
        <v>854</v>
      </c>
      <c r="D2147" s="17"/>
      <c r="E2147" s="17" t="s">
        <v>608</v>
      </c>
      <c r="F2147" s="18" t="s">
        <v>855</v>
      </c>
      <c r="G2147" s="49" t="s">
        <v>941</v>
      </c>
      <c r="H2147" s="17">
        <v>3</v>
      </c>
      <c r="O2147" s="62" t="str">
        <f>IF(E2147="PA",IF(K2147&lt;&gt;"",ISERROR(VLOOKUP(K2147,ABBR!A:D,1,FALSE)),ISERROR(VLOOKUP(C2147,ABBR!A:D,1,FALSE))),"")</f>
        <v/>
      </c>
      <c r="P2147" t="str">
        <f>VLOOKUP(A2147,Groups!A:L,5,FALSE)</f>
        <v>SAMP</v>
      </c>
      <c r="Q2147" s="62" t="str">
        <f>IF(G2147="PA",IF(M2147&lt;&gt;"",ISERROR(VLOOKUP(M2147,ABBR!C:F,1,FALSE)),ISERROR(VLOOKUP(E2147,ABBR!C:F,1,FALSE))),"")</f>
        <v/>
      </c>
    </row>
    <row r="2148" spans="1:17" hidden="1" x14ac:dyDescent="0.25">
      <c r="A2148" s="16" t="s">
        <v>275</v>
      </c>
      <c r="B2148" s="17" t="s">
        <v>594</v>
      </c>
      <c r="C2148" s="16" t="s">
        <v>857</v>
      </c>
      <c r="D2148" s="17"/>
      <c r="E2148" s="17" t="s">
        <v>618</v>
      </c>
      <c r="F2148" s="18" t="s">
        <v>858</v>
      </c>
      <c r="G2148" s="49" t="s">
        <v>3547</v>
      </c>
      <c r="H2148" s="17">
        <v>4</v>
      </c>
      <c r="O2148" s="62" t="b">
        <f>IF(E2148="PA",IF(K2148&lt;&gt;"",ISERROR(VLOOKUP(K2148,ABBR!A:D,1,FALSE)),ISERROR(VLOOKUP(C2148,ABBR!A:D,1,FALSE))),"")</f>
        <v>0</v>
      </c>
      <c r="P2148" t="str">
        <f>VLOOKUP(A2148,Groups!A:L,5,FALSE)</f>
        <v>SAMP</v>
      </c>
      <c r="Q2148" s="62" t="str">
        <f>IF(G2148="PA",IF(M2148&lt;&gt;"",ISERROR(VLOOKUP(M2148,ABBR!C:F,1,FALSE)),ISERROR(VLOOKUP(E2148,ABBR!C:F,1,FALSE))),"")</f>
        <v/>
      </c>
    </row>
    <row r="2149" spans="1:17" hidden="1" x14ac:dyDescent="0.25">
      <c r="A2149" s="16" t="s">
        <v>275</v>
      </c>
      <c r="B2149" s="17" t="s">
        <v>594</v>
      </c>
      <c r="C2149" s="16" t="s">
        <v>860</v>
      </c>
      <c r="D2149" s="17"/>
      <c r="E2149" s="17" t="s">
        <v>596</v>
      </c>
      <c r="F2149" s="18" t="s">
        <v>942</v>
      </c>
      <c r="G2149" s="49" t="s">
        <v>862</v>
      </c>
      <c r="H2149" s="17">
        <v>5</v>
      </c>
      <c r="O2149" s="62" t="str">
        <f>IF(E2149="PA",IF(K2149&lt;&gt;"",ISERROR(VLOOKUP(K2149,ABBR!A:D,1,FALSE)),ISERROR(VLOOKUP(C2149,ABBR!A:D,1,FALSE))),"")</f>
        <v/>
      </c>
      <c r="P2149" t="str">
        <f>VLOOKUP(A2149,Groups!A:L,5,FALSE)</f>
        <v>SAMP</v>
      </c>
      <c r="Q2149" s="62" t="str">
        <f>IF(G2149="PA",IF(M2149&lt;&gt;"",ISERROR(VLOOKUP(M2149,ABBR!C:F,1,FALSE)),ISERROR(VLOOKUP(E2149,ABBR!C:F,1,FALSE))),"")</f>
        <v/>
      </c>
    </row>
    <row r="2150" spans="1:17" hidden="1" x14ac:dyDescent="0.25">
      <c r="A2150" s="16" t="s">
        <v>275</v>
      </c>
      <c r="B2150" s="17" t="s">
        <v>594</v>
      </c>
      <c r="C2150" s="16" t="s">
        <v>863</v>
      </c>
      <c r="D2150" s="17"/>
      <c r="E2150" s="17" t="s">
        <v>608</v>
      </c>
      <c r="F2150" s="18" t="s">
        <v>864</v>
      </c>
      <c r="G2150" s="49" t="s">
        <v>865</v>
      </c>
      <c r="H2150" s="17">
        <v>6</v>
      </c>
      <c r="O2150" s="62" t="str">
        <f>IF(E2150="PA",IF(K2150&lt;&gt;"",ISERROR(VLOOKUP(K2150,ABBR!A:D,1,FALSE)),ISERROR(VLOOKUP(C2150,ABBR!A:D,1,FALSE))),"")</f>
        <v/>
      </c>
      <c r="P2150" t="str">
        <f>VLOOKUP(A2150,Groups!A:L,5,FALSE)</f>
        <v>SAMP</v>
      </c>
      <c r="Q2150" s="62" t="str">
        <f>IF(G2150="PA",IF(M2150&lt;&gt;"",ISERROR(VLOOKUP(M2150,ABBR!C:F,1,FALSE)),ISERROR(VLOOKUP(E2150,ABBR!C:F,1,FALSE))),"")</f>
        <v/>
      </c>
    </row>
    <row r="2151" spans="1:17" hidden="1" x14ac:dyDescent="0.25">
      <c r="A2151" s="16" t="s">
        <v>275</v>
      </c>
      <c r="B2151" s="17" t="s">
        <v>594</v>
      </c>
      <c r="C2151" s="16" t="s">
        <v>866</v>
      </c>
      <c r="D2151" s="17" t="s">
        <v>600</v>
      </c>
      <c r="E2151" s="17" t="s">
        <v>601</v>
      </c>
      <c r="F2151" s="18" t="s">
        <v>867</v>
      </c>
      <c r="G2151" s="49" t="s">
        <v>853</v>
      </c>
      <c r="H2151" s="17">
        <v>7</v>
      </c>
      <c r="O2151" s="62" t="str">
        <f>IF(E2151="PA",IF(K2151&lt;&gt;"",ISERROR(VLOOKUP(K2151,ABBR!A:D,1,FALSE)),ISERROR(VLOOKUP(C2151,ABBR!A:D,1,FALSE))),"")</f>
        <v/>
      </c>
      <c r="P2151" t="str">
        <f>VLOOKUP(A2151,Groups!A:L,5,FALSE)</f>
        <v>SAMP</v>
      </c>
      <c r="Q2151" s="62" t="str">
        <f>IF(G2151="PA",IF(M2151&lt;&gt;"",ISERROR(VLOOKUP(M2151,ABBR!C:F,1,FALSE)),ISERROR(VLOOKUP(E2151,ABBR!C:F,1,FALSE))),"")</f>
        <v/>
      </c>
    </row>
    <row r="2152" spans="1:17" hidden="1" x14ac:dyDescent="0.25">
      <c r="A2152" s="16" t="s">
        <v>275</v>
      </c>
      <c r="B2152" s="17"/>
      <c r="C2152" s="16" t="s">
        <v>868</v>
      </c>
      <c r="D2152" s="17"/>
      <c r="E2152" s="17" t="s">
        <v>608</v>
      </c>
      <c r="F2152" s="18" t="s">
        <v>869</v>
      </c>
      <c r="G2152" s="51" t="s">
        <v>1269</v>
      </c>
      <c r="H2152" s="17">
        <v>8</v>
      </c>
      <c r="O2152" s="62" t="str">
        <f>IF(E2152="PA",IF(K2152&lt;&gt;"",ISERROR(VLOOKUP(K2152,ABBR!A:D,1,FALSE)),ISERROR(VLOOKUP(C2152,ABBR!A:D,1,FALSE))),"")</f>
        <v/>
      </c>
      <c r="P2152" t="str">
        <f>VLOOKUP(A2152,Groups!A:L,5,FALSE)</f>
        <v>SAMP</v>
      </c>
      <c r="Q2152" s="62" t="str">
        <f>IF(G2152="PA",IF(M2152&lt;&gt;"",ISERROR(VLOOKUP(M2152,ABBR!C:F,1,FALSE)),ISERROR(VLOOKUP(E2152,ABBR!C:F,1,FALSE))),"")</f>
        <v/>
      </c>
    </row>
    <row r="2153" spans="1:17" ht="25" hidden="1" x14ac:dyDescent="0.25">
      <c r="A2153" s="16" t="s">
        <v>275</v>
      </c>
      <c r="B2153" s="17"/>
      <c r="C2153" s="16" t="s">
        <v>871</v>
      </c>
      <c r="D2153" s="17"/>
      <c r="E2153" s="17" t="s">
        <v>608</v>
      </c>
      <c r="F2153" s="18" t="s">
        <v>872</v>
      </c>
      <c r="G2153" s="49" t="s">
        <v>873</v>
      </c>
      <c r="H2153" s="17">
        <v>9</v>
      </c>
      <c r="O2153" s="62" t="str">
        <f>IF(E2153="PA",IF(K2153&lt;&gt;"",ISERROR(VLOOKUP(K2153,ABBR!A:D,1,FALSE)),ISERROR(VLOOKUP(C2153,ABBR!A:D,1,FALSE))),"")</f>
        <v/>
      </c>
      <c r="P2153" t="str">
        <f>VLOOKUP(A2153,Groups!A:L,5,FALSE)</f>
        <v>SAMP</v>
      </c>
      <c r="Q2153" s="62" t="str">
        <f>IF(G2153="PA",IF(M2153&lt;&gt;"",ISERROR(VLOOKUP(M2153,ABBR!C:F,1,FALSE)),ISERROR(VLOOKUP(E2153,ABBR!C:F,1,FALSE))),"")</f>
        <v/>
      </c>
    </row>
    <row r="2154" spans="1:17" hidden="1" x14ac:dyDescent="0.25">
      <c r="A2154" s="16" t="s">
        <v>275</v>
      </c>
      <c r="B2154" s="17"/>
      <c r="C2154" s="16" t="s">
        <v>3879</v>
      </c>
      <c r="D2154" s="17" t="s">
        <v>766</v>
      </c>
      <c r="E2154" s="17" t="s">
        <v>608</v>
      </c>
      <c r="F2154" s="18" t="s">
        <v>1499</v>
      </c>
      <c r="G2154" s="49" t="s">
        <v>2022</v>
      </c>
      <c r="H2154" s="17">
        <v>10</v>
      </c>
      <c r="O2154" s="62" t="str">
        <f>IF(E2154="PA",IF(K2154&lt;&gt;"",ISERROR(VLOOKUP(K2154,ABBR!A:D,1,FALSE)),ISERROR(VLOOKUP(C2154,ABBR!A:D,1,FALSE))),"")</f>
        <v/>
      </c>
      <c r="P2154" t="str">
        <f>VLOOKUP(A2154,Groups!A:L,5,FALSE)</f>
        <v>SAMP</v>
      </c>
      <c r="Q2154" s="62" t="str">
        <f>IF(G2154="PA",IF(M2154&lt;&gt;"",ISERROR(VLOOKUP(M2154,ABBR!C:F,1,FALSE)),ISERROR(VLOOKUP(E2154,ABBR!C:F,1,FALSE))),"")</f>
        <v/>
      </c>
    </row>
    <row r="2155" spans="1:17" hidden="1" x14ac:dyDescent="0.25">
      <c r="A2155" s="16" t="s">
        <v>275</v>
      </c>
      <c r="B2155" s="17"/>
      <c r="C2155" s="16" t="s">
        <v>3880</v>
      </c>
      <c r="D2155" s="17" t="s">
        <v>1590</v>
      </c>
      <c r="E2155" s="17" t="s">
        <v>767</v>
      </c>
      <c r="F2155" s="18" t="s">
        <v>3881</v>
      </c>
      <c r="G2155" s="49" t="s">
        <v>3882</v>
      </c>
      <c r="H2155" s="17">
        <v>11</v>
      </c>
      <c r="O2155" s="62" t="str">
        <f>IF(E2155="PA",IF(K2155&lt;&gt;"",ISERROR(VLOOKUP(K2155,ABBR!A:D,1,FALSE)),ISERROR(VLOOKUP(C2155,ABBR!A:D,1,FALSE))),"")</f>
        <v/>
      </c>
      <c r="P2155" t="str">
        <f>VLOOKUP(A2155,Groups!A:L,5,FALSE)</f>
        <v>SAMP</v>
      </c>
      <c r="Q2155" s="62" t="str">
        <f>IF(G2155="PA",IF(M2155&lt;&gt;"",ISERROR(VLOOKUP(M2155,ABBR!C:F,1,FALSE)),ISERROR(VLOOKUP(E2155,ABBR!C:F,1,FALSE))),"")</f>
        <v/>
      </c>
    </row>
    <row r="2156" spans="1:17" hidden="1" x14ac:dyDescent="0.25">
      <c r="A2156" s="16" t="s">
        <v>275</v>
      </c>
      <c r="B2156" s="17"/>
      <c r="C2156" s="16" t="s">
        <v>3883</v>
      </c>
      <c r="D2156" s="17" t="s">
        <v>766</v>
      </c>
      <c r="E2156" s="17" t="s">
        <v>882</v>
      </c>
      <c r="F2156" s="18" t="s">
        <v>1281</v>
      </c>
      <c r="G2156" s="49" t="s">
        <v>1282</v>
      </c>
      <c r="H2156" s="17">
        <v>12</v>
      </c>
      <c r="O2156" s="62" t="str">
        <f>IF(E2156="PA",IF(K2156&lt;&gt;"",ISERROR(VLOOKUP(K2156,ABBR!A:D,1,FALSE)),ISERROR(VLOOKUP(C2156,ABBR!A:D,1,FALSE))),"")</f>
        <v/>
      </c>
      <c r="P2156" t="str">
        <f>VLOOKUP(A2156,Groups!A:L,5,FALSE)</f>
        <v>SAMP</v>
      </c>
      <c r="Q2156" s="62" t="str">
        <f>IF(G2156="PA",IF(M2156&lt;&gt;"",ISERROR(VLOOKUP(M2156,ABBR!C:F,1,FALSE)),ISERROR(VLOOKUP(E2156,ABBR!C:F,1,FALSE))),"")</f>
        <v/>
      </c>
    </row>
    <row r="2157" spans="1:17" hidden="1" x14ac:dyDescent="0.25">
      <c r="A2157" s="16" t="s">
        <v>275</v>
      </c>
      <c r="B2157" s="17"/>
      <c r="C2157" s="16" t="s">
        <v>3884</v>
      </c>
      <c r="D2157" s="17"/>
      <c r="E2157" s="17" t="s">
        <v>608</v>
      </c>
      <c r="F2157" s="18" t="s">
        <v>1284</v>
      </c>
      <c r="G2157" s="49" t="s">
        <v>1285</v>
      </c>
      <c r="H2157" s="17">
        <v>13</v>
      </c>
      <c r="O2157" s="62" t="str">
        <f>IF(E2157="PA",IF(K2157&lt;&gt;"",ISERROR(VLOOKUP(K2157,ABBR!A:D,1,FALSE)),ISERROR(VLOOKUP(C2157,ABBR!A:D,1,FALSE))),"")</f>
        <v/>
      </c>
      <c r="P2157" t="str">
        <f>VLOOKUP(A2157,Groups!A:L,5,FALSE)</f>
        <v>SAMP</v>
      </c>
      <c r="Q2157" s="62" t="str">
        <f>IF(G2157="PA",IF(M2157&lt;&gt;"",ISERROR(VLOOKUP(M2157,ABBR!C:F,1,FALSE)),ISERROR(VLOOKUP(E2157,ABBR!C:F,1,FALSE))),"")</f>
        <v/>
      </c>
    </row>
    <row r="2158" spans="1:17" ht="25" hidden="1" x14ac:dyDescent="0.25">
      <c r="A2158" s="16" t="s">
        <v>275</v>
      </c>
      <c r="B2158" s="17"/>
      <c r="C2158" s="16" t="s">
        <v>3885</v>
      </c>
      <c r="D2158" s="17"/>
      <c r="E2158" s="17" t="s">
        <v>674</v>
      </c>
      <c r="F2158" s="18" t="s">
        <v>3886</v>
      </c>
      <c r="G2158" s="49" t="s">
        <v>677</v>
      </c>
      <c r="H2158" s="17">
        <v>14</v>
      </c>
      <c r="O2158" s="62" t="str">
        <f>IF(E2158="PA",IF(K2158&lt;&gt;"",ISERROR(VLOOKUP(K2158,ABBR!A:D,1,FALSE)),ISERROR(VLOOKUP(C2158,ABBR!A:D,1,FALSE))),"")</f>
        <v/>
      </c>
      <c r="P2158" t="str">
        <f>VLOOKUP(A2158,Groups!A:L,5,FALSE)</f>
        <v>SAMP</v>
      </c>
      <c r="Q2158" s="62" t="str">
        <f>IF(G2158="PA",IF(M2158&lt;&gt;"",ISERROR(VLOOKUP(M2158,ABBR!C:F,1,FALSE)),ISERROR(VLOOKUP(E2158,ABBR!C:F,1,FALSE))),"")</f>
        <v/>
      </c>
    </row>
    <row r="2159" spans="1:17" ht="25" hidden="1" x14ac:dyDescent="0.25">
      <c r="A2159" s="16" t="s">
        <v>275</v>
      </c>
      <c r="B2159" s="17"/>
      <c r="C2159" s="16" t="s">
        <v>3887</v>
      </c>
      <c r="D2159" s="17"/>
      <c r="E2159" s="17" t="s">
        <v>608</v>
      </c>
      <c r="F2159" s="18" t="s">
        <v>3888</v>
      </c>
      <c r="G2159" s="49"/>
      <c r="H2159" s="17">
        <v>15</v>
      </c>
      <c r="M2159" s="101" t="s">
        <v>1044</v>
      </c>
      <c r="O2159" s="62" t="str">
        <f>IF(E2159="PA",IF(K2159&lt;&gt;"",ISERROR(VLOOKUP(K2159,ABBR!A:D,1,FALSE)),ISERROR(VLOOKUP(C2159,ABBR!A:D,1,FALSE))),"")</f>
        <v/>
      </c>
      <c r="P2159" t="str">
        <f>VLOOKUP(A2159,Groups!A:L,5,FALSE)</f>
        <v>SAMP</v>
      </c>
      <c r="Q2159" s="62" t="str">
        <f>IF(G2159="PA",IF(M2159&lt;&gt;"",ISERROR(VLOOKUP(M2159,ABBR!C:F,1,FALSE)),ISERROR(VLOOKUP(E2159,ABBR!C:F,1,FALSE))),"")</f>
        <v/>
      </c>
    </row>
    <row r="2160" spans="1:17" hidden="1" x14ac:dyDescent="0.25">
      <c r="A2160" s="16" t="s">
        <v>275</v>
      </c>
      <c r="B2160" s="17"/>
      <c r="C2160" s="16" t="s">
        <v>3889</v>
      </c>
      <c r="D2160" s="17"/>
      <c r="E2160" s="17" t="s">
        <v>608</v>
      </c>
      <c r="F2160" s="18" t="s">
        <v>642</v>
      </c>
      <c r="G2160" s="49" t="s">
        <v>16</v>
      </c>
      <c r="H2160" s="17">
        <v>16</v>
      </c>
      <c r="M2160" s="101"/>
      <c r="O2160" s="62" t="str">
        <f>IF(E2160="PA",IF(K2160&lt;&gt;"",ISERROR(VLOOKUP(K2160,ABBR!A:D,1,FALSE)),ISERROR(VLOOKUP(C2160,ABBR!A:D,1,FALSE))),"")</f>
        <v/>
      </c>
      <c r="P2160" t="str">
        <f>VLOOKUP(A2160,Groups!A:L,5,FALSE)</f>
        <v>SAMP</v>
      </c>
      <c r="Q2160" s="62" t="str">
        <f>IF(G2160="PA",IF(M2160&lt;&gt;"",ISERROR(VLOOKUP(M2160,ABBR!C:F,1,FALSE)),ISERROR(VLOOKUP(E2160,ABBR!C:F,1,FALSE))),"")</f>
        <v/>
      </c>
    </row>
    <row r="2161" spans="1:17" ht="25" hidden="1" x14ac:dyDescent="0.25">
      <c r="A2161" s="16" t="s">
        <v>275</v>
      </c>
      <c r="B2161" s="17"/>
      <c r="C2161" s="16" t="s">
        <v>3890</v>
      </c>
      <c r="D2161" s="17"/>
      <c r="E2161" s="17" t="s">
        <v>608</v>
      </c>
      <c r="F2161" s="18" t="s">
        <v>918</v>
      </c>
      <c r="G2161" s="49" t="s">
        <v>3891</v>
      </c>
      <c r="H2161" s="17">
        <v>17</v>
      </c>
      <c r="O2161" s="62" t="str">
        <f>IF(E2161="PA",IF(K2161&lt;&gt;"",ISERROR(VLOOKUP(K2161,ABBR!A:D,1,FALSE)),ISERROR(VLOOKUP(C2161,ABBR!A:D,1,FALSE))),"")</f>
        <v/>
      </c>
      <c r="P2161" t="str">
        <f>VLOOKUP(A2161,Groups!A:L,5,FALSE)</f>
        <v>SAMP</v>
      </c>
      <c r="Q2161" s="62" t="str">
        <f>IF(G2161="PA",IF(M2161&lt;&gt;"",ISERROR(VLOOKUP(M2161,ABBR!C:F,1,FALSE)),ISERROR(VLOOKUP(E2161,ABBR!C:F,1,FALSE))),"")</f>
        <v/>
      </c>
    </row>
    <row r="2162" spans="1:17" hidden="1" x14ac:dyDescent="0.25">
      <c r="A2162" s="16" t="s">
        <v>275</v>
      </c>
      <c r="B2162" s="17"/>
      <c r="C2162" s="16" t="s">
        <v>3892</v>
      </c>
      <c r="D2162" s="17"/>
      <c r="E2162" s="17" t="s">
        <v>608</v>
      </c>
      <c r="F2162" s="18" t="s">
        <v>950</v>
      </c>
      <c r="G2162" s="27" t="s">
        <v>951</v>
      </c>
      <c r="H2162" s="17">
        <v>18</v>
      </c>
      <c r="O2162" s="62" t="str">
        <f>IF(E2162="PA",IF(K2162&lt;&gt;"",ISERROR(VLOOKUP(K2162,ABBR!A:D,1,FALSE)),ISERROR(VLOOKUP(C2162,ABBR!A:D,1,FALSE))),"")</f>
        <v/>
      </c>
      <c r="P2162" t="str">
        <f>VLOOKUP(A2162,Groups!A:L,5,FALSE)</f>
        <v>SAMP</v>
      </c>
      <c r="Q2162" s="62" t="str">
        <f>IF(G2162="PA",IF(M2162&lt;&gt;"",ISERROR(VLOOKUP(M2162,ABBR!C:F,1,FALSE)),ISERROR(VLOOKUP(E2162,ABBR!C:F,1,FALSE))),"")</f>
        <v/>
      </c>
    </row>
    <row r="2163" spans="1:17" ht="25" hidden="1" x14ac:dyDescent="0.25">
      <c r="A2163" s="16" t="s">
        <v>275</v>
      </c>
      <c r="B2163" s="17"/>
      <c r="C2163" s="16" t="s">
        <v>3893</v>
      </c>
      <c r="D2163" s="17"/>
      <c r="E2163" s="17" t="s">
        <v>608</v>
      </c>
      <c r="F2163" s="18" t="s">
        <v>934</v>
      </c>
      <c r="G2163" s="49" t="s">
        <v>953</v>
      </c>
      <c r="H2163" s="17">
        <v>19</v>
      </c>
      <c r="O2163" s="62" t="str">
        <f>IF(E2163="PA",IF(K2163&lt;&gt;"",ISERROR(VLOOKUP(K2163,ABBR!A:D,1,FALSE)),ISERROR(VLOOKUP(C2163,ABBR!A:D,1,FALSE))),"")</f>
        <v/>
      </c>
      <c r="P2163" t="str">
        <f>VLOOKUP(A2163,Groups!A:L,5,FALSE)</f>
        <v>SAMP</v>
      </c>
      <c r="Q2163" s="62" t="str">
        <f>IF(G2163="PA",IF(M2163&lt;&gt;"",ISERROR(VLOOKUP(M2163,ABBR!C:F,1,FALSE)),ISERROR(VLOOKUP(E2163,ABBR!C:F,1,FALSE))),"")</f>
        <v/>
      </c>
    </row>
    <row r="2164" spans="1:17" hidden="1" x14ac:dyDescent="0.25">
      <c r="A2164" s="16" t="s">
        <v>275</v>
      </c>
      <c r="B2164" s="17"/>
      <c r="C2164" s="16" t="s">
        <v>936</v>
      </c>
      <c r="D2164" s="17"/>
      <c r="E2164" s="22" t="s">
        <v>608</v>
      </c>
      <c r="F2164" s="18" t="s">
        <v>937</v>
      </c>
      <c r="G2164" s="49" t="s">
        <v>938</v>
      </c>
      <c r="H2164" s="17">
        <v>20</v>
      </c>
      <c r="O2164" s="62" t="str">
        <f>IF(E2164="PA",IF(K2164&lt;&gt;"",ISERROR(VLOOKUP(K2164,ABBR!A:D,1,FALSE)),ISERROR(VLOOKUP(C2164,ABBR!A:D,1,FALSE))),"")</f>
        <v/>
      </c>
      <c r="P2164" t="str">
        <f>VLOOKUP(A2164,Groups!A:L,5,FALSE)</f>
        <v>SAMP</v>
      </c>
      <c r="Q2164" s="62" t="str">
        <f>IF(G2164="PA",IF(M2164&lt;&gt;"",ISERROR(VLOOKUP(M2164,ABBR!C:F,1,FALSE)),ISERROR(VLOOKUP(E2164,ABBR!C:F,1,FALSE))),"")</f>
        <v/>
      </c>
    </row>
    <row r="2165" spans="1:17" hidden="1" x14ac:dyDescent="0.25">
      <c r="A2165" s="16" t="s">
        <v>275</v>
      </c>
      <c r="B2165" s="17"/>
      <c r="C2165" s="16" t="s">
        <v>643</v>
      </c>
      <c r="D2165" s="17"/>
      <c r="E2165" s="17" t="s">
        <v>608</v>
      </c>
      <c r="F2165" s="18" t="s">
        <v>954</v>
      </c>
      <c r="G2165" s="49" t="s">
        <v>940</v>
      </c>
      <c r="H2165" s="17">
        <v>21</v>
      </c>
      <c r="O2165" s="62" t="str">
        <f>IF(E2165="PA",IF(K2165&lt;&gt;"",ISERROR(VLOOKUP(K2165,ABBR!A:D,1,FALSE)),ISERROR(VLOOKUP(C2165,ABBR!A:D,1,FALSE))),"")</f>
        <v/>
      </c>
      <c r="P2165" t="str">
        <f>VLOOKUP(A2165,Groups!A:L,5,FALSE)</f>
        <v>SAMP</v>
      </c>
      <c r="Q2165" s="62" t="str">
        <f>IF(G2165="PA",IF(M2165&lt;&gt;"",ISERROR(VLOOKUP(M2165,ABBR!C:F,1,FALSE)),ISERROR(VLOOKUP(E2165,ABBR!C:F,1,FALSE))),"")</f>
        <v/>
      </c>
    </row>
    <row r="2166" spans="1:17" hidden="1" x14ac:dyDescent="0.25">
      <c r="A2166" s="16" t="s">
        <v>275</v>
      </c>
      <c r="B2166" s="17"/>
      <c r="C2166" s="16" t="s">
        <v>877</v>
      </c>
      <c r="D2166" s="17" t="s">
        <v>600</v>
      </c>
      <c r="E2166" s="17" t="s">
        <v>601</v>
      </c>
      <c r="F2166" s="18" t="s">
        <v>878</v>
      </c>
      <c r="G2166" s="49" t="s">
        <v>879</v>
      </c>
      <c r="H2166" s="17">
        <v>22</v>
      </c>
      <c r="I2166" s="30" t="s">
        <v>955</v>
      </c>
      <c r="J2166" s="80">
        <v>4.0999999999999996</v>
      </c>
      <c r="O2166" s="62" t="str">
        <f>IF(E2166="PA",IF(K2166&lt;&gt;"",ISERROR(VLOOKUP(K2166,ABBR!A:D,1,FALSE)),ISERROR(VLOOKUP(C2166,ABBR!A:D,1,FALSE))),"")</f>
        <v/>
      </c>
      <c r="P2166" t="str">
        <f>VLOOKUP(A2166,Groups!A:L,5,FALSE)</f>
        <v>SAMP</v>
      </c>
      <c r="Q2166" s="62" t="str">
        <f>IF(G2166="PA",IF(M2166&lt;&gt;"",ISERROR(VLOOKUP(M2166,ABBR!C:F,1,FALSE)),ISERROR(VLOOKUP(E2166,ABBR!C:F,1,FALSE))),"")</f>
        <v/>
      </c>
    </row>
    <row r="2167" spans="1:17" hidden="1" x14ac:dyDescent="0.25">
      <c r="A2167" s="16" t="s">
        <v>275</v>
      </c>
      <c r="B2167" s="17"/>
      <c r="C2167" s="16" t="s">
        <v>3894</v>
      </c>
      <c r="D2167" s="17"/>
      <c r="E2167" s="17" t="s">
        <v>608</v>
      </c>
      <c r="F2167" s="18" t="s">
        <v>921</v>
      </c>
      <c r="G2167" s="94" t="s">
        <v>922</v>
      </c>
      <c r="H2167" s="17">
        <v>23</v>
      </c>
      <c r="I2167" s="30" t="s">
        <v>955</v>
      </c>
      <c r="J2167" s="80">
        <v>4.0999999999999996</v>
      </c>
      <c r="M2167" s="101"/>
      <c r="O2167" s="62" t="str">
        <f>IF(E2167="PA",IF(K2167&lt;&gt;"",ISERROR(VLOOKUP(K2167,ABBR!A:D,1,FALSE)),ISERROR(VLOOKUP(C2167,ABBR!A:D,1,FALSE))),"")</f>
        <v/>
      </c>
      <c r="P2167" t="str">
        <f>VLOOKUP(A2167,Groups!A:L,5,FALSE)</f>
        <v>SAMP</v>
      </c>
      <c r="Q2167" s="62" t="str">
        <f>IF(G2167="PA",IF(M2167&lt;&gt;"",ISERROR(VLOOKUP(M2167,ABBR!C:F,1,FALSE)),ISERROR(VLOOKUP(E2167,ABBR!C:F,1,FALSE))),"")</f>
        <v/>
      </c>
    </row>
    <row r="2168" spans="1:17" hidden="1" x14ac:dyDescent="0.25">
      <c r="A2168" s="16" t="s">
        <v>275</v>
      </c>
      <c r="B2168" s="17"/>
      <c r="C2168" s="16" t="s">
        <v>3895</v>
      </c>
      <c r="D2168" s="17" t="s">
        <v>924</v>
      </c>
      <c r="E2168" s="17" t="s">
        <v>925</v>
      </c>
      <c r="F2168" s="18" t="s">
        <v>926</v>
      </c>
      <c r="G2168" s="49" t="s">
        <v>927</v>
      </c>
      <c r="H2168" s="17">
        <v>24</v>
      </c>
      <c r="J2168" s="62" t="s">
        <v>473</v>
      </c>
      <c r="K2168" s="62"/>
      <c r="L2168" s="62"/>
      <c r="M2168" s="62"/>
      <c r="N2168" s="62"/>
      <c r="O2168" s="62" t="str">
        <f>IF(E2168="PA",IF(K2168&lt;&gt;"",ISERROR(VLOOKUP(K2168,ABBR!A:D,1,FALSE)),ISERROR(VLOOKUP(C2168,ABBR!A:D,1,FALSE))),"")</f>
        <v/>
      </c>
      <c r="P2168" t="str">
        <f>VLOOKUP(A2168,Groups!A:L,5,FALSE)</f>
        <v>SAMP</v>
      </c>
      <c r="Q2168" s="62" t="str">
        <f>IF(G2168="PA",IF(M2168&lt;&gt;"",ISERROR(VLOOKUP(M2168,ABBR!C:F,1,FALSE)),ISERROR(VLOOKUP(E2168,ABBR!C:F,1,FALSE))),"")</f>
        <v/>
      </c>
    </row>
    <row r="2169" spans="1:17" hidden="1" x14ac:dyDescent="0.25">
      <c r="A2169" s="16" t="s">
        <v>275</v>
      </c>
      <c r="B2169" s="17"/>
      <c r="C2169" s="16" t="s">
        <v>3896</v>
      </c>
      <c r="D2169" s="17"/>
      <c r="E2169" s="17" t="s">
        <v>608</v>
      </c>
      <c r="F2169" s="18" t="s">
        <v>875</v>
      </c>
      <c r="G2169" s="49" t="s">
        <v>876</v>
      </c>
      <c r="H2169" s="17">
        <v>25</v>
      </c>
      <c r="J2169" s="62" t="s">
        <v>473</v>
      </c>
      <c r="K2169" s="62"/>
      <c r="L2169" s="62"/>
      <c r="M2169" s="62"/>
      <c r="N2169" s="62"/>
      <c r="O2169" s="62" t="str">
        <f>IF(E2169="PA",IF(K2169&lt;&gt;"",ISERROR(VLOOKUP(K2169,ABBR!A:D,1,FALSE)),ISERROR(VLOOKUP(C2169,ABBR!A:D,1,FALSE))),"")</f>
        <v/>
      </c>
      <c r="P2169" t="str">
        <f>VLOOKUP(A2169,Groups!A:L,5,FALSE)</f>
        <v>SAMP</v>
      </c>
      <c r="Q2169" s="62" t="str">
        <f>IF(G2169="PA",IF(M2169&lt;&gt;"",ISERROR(VLOOKUP(M2169,ABBR!C:F,1,FALSE)),ISERROR(VLOOKUP(E2169,ABBR!C:F,1,FALSE))),"")</f>
        <v/>
      </c>
    </row>
    <row r="2170" spans="1:17" hidden="1" x14ac:dyDescent="0.25">
      <c r="A2170" s="16" t="s">
        <v>275</v>
      </c>
      <c r="B2170" s="17"/>
      <c r="C2170" s="16" t="s">
        <v>3897</v>
      </c>
      <c r="D2170" s="17"/>
      <c r="E2170" s="17" t="s">
        <v>608</v>
      </c>
      <c r="F2170" s="18" t="s">
        <v>929</v>
      </c>
      <c r="G2170" s="49" t="s">
        <v>876</v>
      </c>
      <c r="H2170" s="17">
        <v>26</v>
      </c>
      <c r="J2170" s="62" t="s">
        <v>473</v>
      </c>
      <c r="K2170" s="62"/>
      <c r="L2170" s="62"/>
      <c r="M2170" s="62"/>
      <c r="N2170" s="62"/>
      <c r="O2170" s="62" t="str">
        <f>IF(E2170="PA",IF(K2170&lt;&gt;"",ISERROR(VLOOKUP(K2170,ABBR!A:D,1,FALSE)),ISERROR(VLOOKUP(C2170,ABBR!A:D,1,FALSE))),"")</f>
        <v/>
      </c>
      <c r="P2170" t="str">
        <f>VLOOKUP(A2170,Groups!A:L,5,FALSE)</f>
        <v>SAMP</v>
      </c>
      <c r="Q2170" s="62" t="str">
        <f>IF(G2170="PA",IF(M2170&lt;&gt;"",ISERROR(VLOOKUP(M2170,ABBR!C:F,1,FALSE)),ISERROR(VLOOKUP(E2170,ABBR!C:F,1,FALSE))),"")</f>
        <v/>
      </c>
    </row>
    <row r="2171" spans="1:17" hidden="1" x14ac:dyDescent="0.25">
      <c r="A2171" s="16" t="s">
        <v>80</v>
      </c>
      <c r="B2171" s="17" t="s">
        <v>594</v>
      </c>
      <c r="C2171" s="16" t="s">
        <v>595</v>
      </c>
      <c r="D2171" s="17"/>
      <c r="E2171" s="17" t="s">
        <v>596</v>
      </c>
      <c r="F2171" s="18" t="s">
        <v>597</v>
      </c>
      <c r="G2171" s="49" t="s">
        <v>598</v>
      </c>
      <c r="H2171" s="17">
        <v>1</v>
      </c>
      <c r="O2171" s="62" t="str">
        <f>IF(E2171="PA",IF(K2171&lt;&gt;"",ISERROR(VLOOKUP(K2171,ABBR!A:D,1,FALSE)),ISERROR(VLOOKUP(C2171,ABBR!A:D,1,FALSE))),"")</f>
        <v/>
      </c>
      <c r="P2171" t="str">
        <f>VLOOKUP(A2171,Groups!A:L,5,FALSE)</f>
        <v>PROJ</v>
      </c>
      <c r="Q2171" s="62" t="str">
        <f>IF(G2171="PA",IF(M2171&lt;&gt;"",ISERROR(VLOOKUP(M2171,ABBR!C:F,1,FALSE)),ISERROR(VLOOKUP(E2171,ABBR!C:F,1,FALSE))),"")</f>
        <v/>
      </c>
    </row>
    <row r="2172" spans="1:17" ht="12.65" hidden="1" customHeight="1" x14ac:dyDescent="0.35">
      <c r="A2172" s="16" t="s">
        <v>80</v>
      </c>
      <c r="B2172" s="17"/>
      <c r="C2172" s="16" t="s">
        <v>962</v>
      </c>
      <c r="D2172" s="17"/>
      <c r="E2172" s="17" t="s">
        <v>618</v>
      </c>
      <c r="F2172" s="18" t="s">
        <v>3898</v>
      </c>
      <c r="G2172" s="49" t="s">
        <v>3899</v>
      </c>
      <c r="H2172" s="17">
        <v>2</v>
      </c>
      <c r="M2172" s="81" t="s">
        <v>3900</v>
      </c>
      <c r="O2172" s="62" t="b">
        <f>IF(E2172="PA",IF(K2172&lt;&gt;"",ISERROR(VLOOKUP(K2172,ABBR!A:D,1,FALSE)),ISERROR(VLOOKUP(C2172,ABBR!A:D,1,FALSE))),"")</f>
        <v>0</v>
      </c>
      <c r="P2172" t="str">
        <f>VLOOKUP(A2172,Groups!A:L,5,FALSE)</f>
        <v>PROJ</v>
      </c>
      <c r="Q2172" s="62" t="str">
        <f>IF(G2172="PA",IF(M2172&lt;&gt;"",ISERROR(VLOOKUP(M2172,ABBR!C:F,1,FALSE)),ISERROR(VLOOKUP(E2172,ABBR!C:F,1,FALSE))),"")</f>
        <v/>
      </c>
    </row>
    <row r="2173" spans="1:17" hidden="1" x14ac:dyDescent="0.25">
      <c r="A2173" s="16" t="s">
        <v>80</v>
      </c>
      <c r="B2173" s="17"/>
      <c r="C2173" s="16" t="s">
        <v>3901</v>
      </c>
      <c r="D2173" s="17"/>
      <c r="E2173" s="17" t="s">
        <v>618</v>
      </c>
      <c r="F2173" s="18" t="s">
        <v>3902</v>
      </c>
      <c r="G2173" s="49" t="s">
        <v>3903</v>
      </c>
      <c r="H2173" s="17">
        <v>3</v>
      </c>
      <c r="O2173" s="62" t="b">
        <f>IF(E2173="PA",IF(K2173&lt;&gt;"",ISERROR(VLOOKUP(K2173,ABBR!A:D,1,FALSE)),ISERROR(VLOOKUP(C2173,ABBR!A:D,1,FALSE))),"")</f>
        <v>0</v>
      </c>
      <c r="P2173" t="str">
        <f>VLOOKUP(A2173,Groups!A:L,5,FALSE)</f>
        <v>PROJ</v>
      </c>
      <c r="Q2173" s="62" t="str">
        <f>IF(G2173="PA",IF(M2173&lt;&gt;"",ISERROR(VLOOKUP(M2173,ABBR!C:F,1,FALSE)),ISERROR(VLOOKUP(E2173,ABBR!C:F,1,FALSE))),"")</f>
        <v/>
      </c>
    </row>
    <row r="2174" spans="1:17" hidden="1" x14ac:dyDescent="0.25">
      <c r="A2174" s="16" t="s">
        <v>80</v>
      </c>
      <c r="B2174" s="17"/>
      <c r="C2174" s="16" t="s">
        <v>3904</v>
      </c>
      <c r="D2174" s="17" t="s">
        <v>600</v>
      </c>
      <c r="E2174" s="17" t="s">
        <v>601</v>
      </c>
      <c r="F2174" s="18" t="s">
        <v>3905</v>
      </c>
      <c r="G2174" s="49" t="s">
        <v>3906</v>
      </c>
      <c r="H2174" s="17">
        <v>4</v>
      </c>
      <c r="O2174" s="62" t="str">
        <f>IF(E2174="PA",IF(K2174&lt;&gt;"",ISERROR(VLOOKUP(K2174,ABBR!A:D,1,FALSE)),ISERROR(VLOOKUP(C2174,ABBR!A:D,1,FALSE))),"")</f>
        <v/>
      </c>
      <c r="P2174" t="str">
        <f>VLOOKUP(A2174,Groups!A:L,5,FALSE)</f>
        <v>PROJ</v>
      </c>
      <c r="Q2174" s="62" t="str">
        <f>IF(G2174="PA",IF(M2174&lt;&gt;"",ISERROR(VLOOKUP(M2174,ABBR!C:F,1,FALSE)),ISERROR(VLOOKUP(E2174,ABBR!C:F,1,FALSE))),"")</f>
        <v/>
      </c>
    </row>
    <row r="2175" spans="1:17" hidden="1" x14ac:dyDescent="0.25">
      <c r="A2175" s="16" t="s">
        <v>80</v>
      </c>
      <c r="B2175" s="17"/>
      <c r="C2175" s="16" t="s">
        <v>3907</v>
      </c>
      <c r="D2175" s="17" t="s">
        <v>600</v>
      </c>
      <c r="E2175" s="17" t="s">
        <v>601</v>
      </c>
      <c r="F2175" s="18" t="s">
        <v>3908</v>
      </c>
      <c r="G2175" s="49" t="s">
        <v>3909</v>
      </c>
      <c r="H2175" s="17">
        <v>5</v>
      </c>
      <c r="O2175" s="62" t="str">
        <f>IF(E2175="PA",IF(K2175&lt;&gt;"",ISERROR(VLOOKUP(K2175,ABBR!A:D,1,FALSE)),ISERROR(VLOOKUP(C2175,ABBR!A:D,1,FALSE))),"")</f>
        <v/>
      </c>
      <c r="P2175" t="str">
        <f>VLOOKUP(A2175,Groups!A:L,5,FALSE)</f>
        <v>PROJ</v>
      </c>
      <c r="Q2175" s="62" t="str">
        <f>IF(G2175="PA",IF(M2175&lt;&gt;"",ISERROR(VLOOKUP(M2175,ABBR!C:F,1,FALSE)),ISERROR(VLOOKUP(E2175,ABBR!C:F,1,FALSE))),"")</f>
        <v/>
      </c>
    </row>
    <row r="2176" spans="1:17" hidden="1" x14ac:dyDescent="0.25">
      <c r="A2176" s="16" t="s">
        <v>80</v>
      </c>
      <c r="B2176" s="17"/>
      <c r="C2176" s="16" t="s">
        <v>3910</v>
      </c>
      <c r="D2176" s="17"/>
      <c r="E2176" s="17" t="s">
        <v>618</v>
      </c>
      <c r="F2176" s="18" t="s">
        <v>3911</v>
      </c>
      <c r="G2176" s="49" t="s">
        <v>3912</v>
      </c>
      <c r="H2176" s="17">
        <v>6</v>
      </c>
      <c r="O2176" s="62" t="b">
        <f>IF(E2176="PA",IF(K2176&lt;&gt;"",ISERROR(VLOOKUP(K2176,ABBR!A:D,1,FALSE)),ISERROR(VLOOKUP(C2176,ABBR!A:D,1,FALSE))),"")</f>
        <v>0</v>
      </c>
      <c r="P2176" t="str">
        <f>VLOOKUP(A2176,Groups!A:L,5,FALSE)</f>
        <v>PROJ</v>
      </c>
      <c r="Q2176" s="62" t="str">
        <f>IF(G2176="PA",IF(M2176&lt;&gt;"",ISERROR(VLOOKUP(M2176,ABBR!C:F,1,FALSE)),ISERROR(VLOOKUP(E2176,ABBR!C:F,1,FALSE))),"")</f>
        <v/>
      </c>
    </row>
    <row r="2177" spans="1:17" ht="25" hidden="1" x14ac:dyDescent="0.25">
      <c r="A2177" s="16" t="s">
        <v>80</v>
      </c>
      <c r="B2177" s="17"/>
      <c r="C2177" s="16" t="s">
        <v>3913</v>
      </c>
      <c r="D2177" s="17" t="s">
        <v>600</v>
      </c>
      <c r="E2177" s="17" t="s">
        <v>601</v>
      </c>
      <c r="F2177" s="18" t="s">
        <v>3914</v>
      </c>
      <c r="G2177" s="49" t="s">
        <v>3915</v>
      </c>
      <c r="H2177" s="17">
        <v>7</v>
      </c>
      <c r="O2177" s="62" t="str">
        <f>IF(E2177="PA",IF(K2177&lt;&gt;"",ISERROR(VLOOKUP(K2177,ABBR!A:D,1,FALSE)),ISERROR(VLOOKUP(C2177,ABBR!A:D,1,FALSE))),"")</f>
        <v/>
      </c>
      <c r="P2177" t="str">
        <f>VLOOKUP(A2177,Groups!A:L,5,FALSE)</f>
        <v>PROJ</v>
      </c>
      <c r="Q2177" s="62" t="str">
        <f>IF(G2177="PA",IF(M2177&lt;&gt;"",ISERROR(VLOOKUP(M2177,ABBR!C:F,1,FALSE)),ISERROR(VLOOKUP(E2177,ABBR!C:F,1,FALSE))),"")</f>
        <v/>
      </c>
    </row>
    <row r="2178" spans="1:17" hidden="1" x14ac:dyDescent="0.25">
      <c r="A2178" s="16" t="s">
        <v>80</v>
      </c>
      <c r="B2178" s="17"/>
      <c r="C2178" s="16" t="s">
        <v>3916</v>
      </c>
      <c r="D2178" s="17"/>
      <c r="E2178" s="17" t="s">
        <v>608</v>
      </c>
      <c r="F2178" s="18" t="s">
        <v>2396</v>
      </c>
      <c r="G2178" s="49" t="s">
        <v>16</v>
      </c>
      <c r="H2178" s="17">
        <v>8</v>
      </c>
      <c r="M2178" s="101"/>
      <c r="O2178" s="62" t="str">
        <f>IF(E2178="PA",IF(K2178&lt;&gt;"",ISERROR(VLOOKUP(K2178,ABBR!A:D,1,FALSE)),ISERROR(VLOOKUP(C2178,ABBR!A:D,1,FALSE))),"")</f>
        <v/>
      </c>
      <c r="P2178" t="str">
        <f>VLOOKUP(A2178,Groups!A:L,5,FALSE)</f>
        <v>PROJ</v>
      </c>
      <c r="Q2178" s="62" t="str">
        <f>IF(G2178="PA",IF(M2178&lt;&gt;"",ISERROR(VLOOKUP(M2178,ABBR!C:F,1,FALSE)),ISERROR(VLOOKUP(E2178,ABBR!C:F,1,FALSE))),"")</f>
        <v/>
      </c>
    </row>
    <row r="2179" spans="1:17" hidden="1" x14ac:dyDescent="0.25">
      <c r="A2179" s="16" t="s">
        <v>80</v>
      </c>
      <c r="B2179" s="17"/>
      <c r="C2179" s="16" t="s">
        <v>3917</v>
      </c>
      <c r="D2179" s="17" t="s">
        <v>600</v>
      </c>
      <c r="E2179" s="17" t="s">
        <v>601</v>
      </c>
      <c r="F2179" s="18" t="s">
        <v>3918</v>
      </c>
      <c r="G2179" s="49" t="s">
        <v>3919</v>
      </c>
      <c r="H2179" s="17">
        <v>9</v>
      </c>
      <c r="O2179" s="62" t="str">
        <f>IF(E2179="PA",IF(K2179&lt;&gt;"",ISERROR(VLOOKUP(K2179,ABBR!A:D,1,FALSE)),ISERROR(VLOOKUP(C2179,ABBR!A:D,1,FALSE))),"")</f>
        <v/>
      </c>
      <c r="P2179" t="str">
        <f>VLOOKUP(A2179,Groups!A:L,5,FALSE)</f>
        <v>PROJ</v>
      </c>
      <c r="Q2179" s="62" t="str">
        <f>IF(G2179="PA",IF(M2179&lt;&gt;"",ISERROR(VLOOKUP(M2179,ABBR!C:F,1,FALSE)),ISERROR(VLOOKUP(E2179,ABBR!C:F,1,FALSE))),"")</f>
        <v/>
      </c>
    </row>
    <row r="2180" spans="1:17" hidden="1" x14ac:dyDescent="0.25">
      <c r="A2180" s="16" t="s">
        <v>80</v>
      </c>
      <c r="B2180" s="17"/>
      <c r="C2180" s="16" t="s">
        <v>3920</v>
      </c>
      <c r="D2180" s="17" t="s">
        <v>924</v>
      </c>
      <c r="E2180" s="17" t="s">
        <v>925</v>
      </c>
      <c r="F2180" s="18" t="s">
        <v>3921</v>
      </c>
      <c r="G2180" s="49" t="s">
        <v>3922</v>
      </c>
      <c r="H2180" s="17">
        <v>10</v>
      </c>
      <c r="O2180" s="62" t="str">
        <f>IF(E2180="PA",IF(K2180&lt;&gt;"",ISERROR(VLOOKUP(K2180,ABBR!A:D,1,FALSE)),ISERROR(VLOOKUP(C2180,ABBR!A:D,1,FALSE))),"")</f>
        <v/>
      </c>
      <c r="P2180" t="str">
        <f>VLOOKUP(A2180,Groups!A:L,5,FALSE)</f>
        <v>PROJ</v>
      </c>
      <c r="Q2180" s="62" t="str">
        <f>IF(G2180="PA",IF(M2180&lt;&gt;"",ISERROR(VLOOKUP(M2180,ABBR!C:F,1,FALSE)),ISERROR(VLOOKUP(E2180,ABBR!C:F,1,FALSE))),"")</f>
        <v/>
      </c>
    </row>
    <row r="2181" spans="1:17" ht="25" hidden="1" x14ac:dyDescent="0.25">
      <c r="A2181" s="16" t="s">
        <v>80</v>
      </c>
      <c r="B2181" s="17"/>
      <c r="C2181" s="16" t="s">
        <v>3923</v>
      </c>
      <c r="D2181" s="17"/>
      <c r="E2181" s="17" t="s">
        <v>618</v>
      </c>
      <c r="F2181" s="18" t="s">
        <v>3924</v>
      </c>
      <c r="G2181" s="49" t="s">
        <v>3925</v>
      </c>
      <c r="H2181" s="17">
        <v>11</v>
      </c>
      <c r="J2181" s="62" t="s">
        <v>1279</v>
      </c>
      <c r="K2181" s="62"/>
      <c r="L2181" s="62"/>
      <c r="M2181" s="62"/>
      <c r="N2181" s="62"/>
      <c r="O2181" s="62" t="b">
        <f>IF(E2181="PA",IF(K2181&lt;&gt;"",ISERROR(VLOOKUP(K2181,ABBR!A:D,1,FALSE)),ISERROR(VLOOKUP(C2181,ABBR!A:D,1,FALSE))),"")</f>
        <v>0</v>
      </c>
      <c r="P2181" t="str">
        <f>VLOOKUP(A2181,Groups!A:L,5,FALSE)</f>
        <v>PROJ</v>
      </c>
      <c r="Q2181" s="62" t="str">
        <f>IF(G2181="PA",IF(M2181&lt;&gt;"",ISERROR(VLOOKUP(M2181,ABBR!C:F,1,FALSE)),ISERROR(VLOOKUP(E2181,ABBR!C:F,1,FALSE))),"")</f>
        <v/>
      </c>
    </row>
    <row r="2182" spans="1:17" ht="25" hidden="1" x14ac:dyDescent="0.25">
      <c r="A2182" s="16" t="s">
        <v>80</v>
      </c>
      <c r="B2182" s="17"/>
      <c r="C2182" s="16" t="s">
        <v>3926</v>
      </c>
      <c r="D2182" s="17"/>
      <c r="E2182" s="17" t="s">
        <v>618</v>
      </c>
      <c r="F2182" s="18" t="s">
        <v>3927</v>
      </c>
      <c r="G2182" s="49" t="s">
        <v>3928</v>
      </c>
      <c r="H2182" s="17">
        <v>12</v>
      </c>
      <c r="J2182" s="62" t="s">
        <v>1279</v>
      </c>
      <c r="K2182" s="62"/>
      <c r="L2182" s="62"/>
      <c r="M2182" s="62"/>
      <c r="N2182" s="62"/>
      <c r="O2182" s="62" t="b">
        <f>IF(E2182="PA",IF(K2182&lt;&gt;"",ISERROR(VLOOKUP(K2182,ABBR!A:D,1,FALSE)),ISERROR(VLOOKUP(C2182,ABBR!A:D,1,FALSE))),"")</f>
        <v>0</v>
      </c>
      <c r="P2182" t="str">
        <f>VLOOKUP(A2182,Groups!A:L,5,FALSE)</f>
        <v>PROJ</v>
      </c>
      <c r="Q2182" s="62" t="str">
        <f>IF(G2182="PA",IF(M2182&lt;&gt;"",ISERROR(VLOOKUP(M2182,ABBR!C:F,1,FALSE)),ISERROR(VLOOKUP(E2182,ABBR!C:F,1,FALSE))),"")</f>
        <v/>
      </c>
    </row>
    <row r="2183" spans="1:17" hidden="1" x14ac:dyDescent="0.25">
      <c r="A2183" s="16" t="s">
        <v>80</v>
      </c>
      <c r="B2183" s="17"/>
      <c r="C2183" s="16" t="s">
        <v>3929</v>
      </c>
      <c r="D2183" s="17" t="s">
        <v>924</v>
      </c>
      <c r="E2183" s="17" t="s">
        <v>925</v>
      </c>
      <c r="F2183" s="18" t="s">
        <v>3930</v>
      </c>
      <c r="G2183" s="49" t="s">
        <v>3931</v>
      </c>
      <c r="H2183" s="17">
        <v>13</v>
      </c>
      <c r="O2183" s="62" t="str">
        <f>IF(E2183="PA",IF(K2183&lt;&gt;"",ISERROR(VLOOKUP(K2183,ABBR!A:D,1,FALSE)),ISERROR(VLOOKUP(C2183,ABBR!A:D,1,FALSE))),"")</f>
        <v/>
      </c>
      <c r="P2183" t="str">
        <f>VLOOKUP(A2183,Groups!A:L,5,FALSE)</f>
        <v>PROJ</v>
      </c>
      <c r="Q2183" s="62" t="str">
        <f>IF(G2183="PA",IF(M2183&lt;&gt;"",ISERROR(VLOOKUP(M2183,ABBR!C:F,1,FALSE)),ISERROR(VLOOKUP(E2183,ABBR!C:F,1,FALSE))),"")</f>
        <v/>
      </c>
    </row>
    <row r="2184" spans="1:17" hidden="1" x14ac:dyDescent="0.25">
      <c r="A2184" s="16" t="s">
        <v>80</v>
      </c>
      <c r="B2184" s="17"/>
      <c r="C2184" s="16" t="s">
        <v>3932</v>
      </c>
      <c r="D2184" s="17"/>
      <c r="E2184" s="17" t="s">
        <v>608</v>
      </c>
      <c r="F2184" s="18" t="s">
        <v>3933</v>
      </c>
      <c r="G2184" s="49" t="s">
        <v>3934</v>
      </c>
      <c r="H2184" s="17">
        <v>14</v>
      </c>
      <c r="O2184" s="62" t="str">
        <f>IF(E2184="PA",IF(K2184&lt;&gt;"",ISERROR(VLOOKUP(K2184,ABBR!A:D,1,FALSE)),ISERROR(VLOOKUP(C2184,ABBR!A:D,1,FALSE))),"")</f>
        <v/>
      </c>
      <c r="P2184" t="str">
        <f>VLOOKUP(A2184,Groups!A:L,5,FALSE)</f>
        <v>PROJ</v>
      </c>
      <c r="Q2184" s="62" t="str">
        <f>IF(G2184="PA",IF(M2184&lt;&gt;"",ISERROR(VLOOKUP(M2184,ABBR!C:F,1,FALSE)),ISERROR(VLOOKUP(E2184,ABBR!C:F,1,FALSE))),"")</f>
        <v/>
      </c>
    </row>
    <row r="2185" spans="1:17" hidden="1" x14ac:dyDescent="0.25">
      <c r="A2185" s="16" t="s">
        <v>80</v>
      </c>
      <c r="B2185" s="17"/>
      <c r="C2185" s="16" t="s">
        <v>3935</v>
      </c>
      <c r="D2185" s="17" t="s">
        <v>600</v>
      </c>
      <c r="E2185" s="17" t="s">
        <v>601</v>
      </c>
      <c r="F2185" s="18" t="s">
        <v>3936</v>
      </c>
      <c r="G2185" s="49" t="s">
        <v>3937</v>
      </c>
      <c r="H2185" s="17">
        <v>15</v>
      </c>
      <c r="O2185" s="62" t="str">
        <f>IF(E2185="PA",IF(K2185&lt;&gt;"",ISERROR(VLOOKUP(K2185,ABBR!A:D,1,FALSE)),ISERROR(VLOOKUP(C2185,ABBR!A:D,1,FALSE))),"")</f>
        <v/>
      </c>
      <c r="P2185" t="str">
        <f>VLOOKUP(A2185,Groups!A:L,5,FALSE)</f>
        <v>PROJ</v>
      </c>
      <c r="Q2185" s="62" t="str">
        <f>IF(G2185="PA",IF(M2185&lt;&gt;"",ISERROR(VLOOKUP(M2185,ABBR!C:F,1,FALSE)),ISERROR(VLOOKUP(E2185,ABBR!C:F,1,FALSE))),"")</f>
        <v/>
      </c>
    </row>
    <row r="2186" spans="1:17" hidden="1" x14ac:dyDescent="0.25">
      <c r="A2186" s="16" t="s">
        <v>80</v>
      </c>
      <c r="B2186" s="17"/>
      <c r="C2186" s="16" t="s">
        <v>3938</v>
      </c>
      <c r="D2186" s="17" t="s">
        <v>600</v>
      </c>
      <c r="E2186" s="17" t="s">
        <v>601</v>
      </c>
      <c r="F2186" s="18" t="s">
        <v>3939</v>
      </c>
      <c r="G2186" s="49" t="s">
        <v>3940</v>
      </c>
      <c r="H2186" s="17">
        <v>16</v>
      </c>
      <c r="O2186" s="62" t="str">
        <f>IF(E2186="PA",IF(K2186&lt;&gt;"",ISERROR(VLOOKUP(K2186,ABBR!A:D,1,FALSE)),ISERROR(VLOOKUP(C2186,ABBR!A:D,1,FALSE))),"")</f>
        <v/>
      </c>
      <c r="P2186" t="str">
        <f>VLOOKUP(A2186,Groups!A:L,5,FALSE)</f>
        <v>PROJ</v>
      </c>
      <c r="Q2186" s="62" t="str">
        <f>IF(G2186="PA",IF(M2186&lt;&gt;"",ISERROR(VLOOKUP(M2186,ABBR!C:F,1,FALSE)),ISERROR(VLOOKUP(E2186,ABBR!C:F,1,FALSE))),"")</f>
        <v/>
      </c>
    </row>
    <row r="2187" spans="1:17" hidden="1" x14ac:dyDescent="0.25">
      <c r="A2187" s="16" t="s">
        <v>80</v>
      </c>
      <c r="B2187" s="17"/>
      <c r="C2187" s="16" t="s">
        <v>3941</v>
      </c>
      <c r="D2187" s="17" t="s">
        <v>600</v>
      </c>
      <c r="E2187" s="17" t="s">
        <v>601</v>
      </c>
      <c r="F2187" s="18" t="s">
        <v>3942</v>
      </c>
      <c r="G2187" s="49" t="s">
        <v>3943</v>
      </c>
      <c r="H2187" s="17">
        <v>17</v>
      </c>
      <c r="O2187" s="62" t="str">
        <f>IF(E2187="PA",IF(K2187&lt;&gt;"",ISERROR(VLOOKUP(K2187,ABBR!A:D,1,FALSE)),ISERROR(VLOOKUP(C2187,ABBR!A:D,1,FALSE))),"")</f>
        <v/>
      </c>
      <c r="P2187" t="str">
        <f>VLOOKUP(A2187,Groups!A:L,5,FALSE)</f>
        <v>PROJ</v>
      </c>
      <c r="Q2187" s="62" t="str">
        <f>IF(G2187="PA",IF(M2187&lt;&gt;"",ISERROR(VLOOKUP(M2187,ABBR!C:F,1,FALSE)),ISERROR(VLOOKUP(E2187,ABBR!C:F,1,FALSE))),"")</f>
        <v/>
      </c>
    </row>
    <row r="2188" spans="1:17" hidden="1" x14ac:dyDescent="0.25">
      <c r="A2188" s="16" t="s">
        <v>80</v>
      </c>
      <c r="B2188" s="17"/>
      <c r="C2188" s="16" t="s">
        <v>3944</v>
      </c>
      <c r="D2188" s="17"/>
      <c r="E2188" s="17" t="s">
        <v>608</v>
      </c>
      <c r="F2188" s="18" t="s">
        <v>3945</v>
      </c>
      <c r="G2188" s="49" t="s">
        <v>3946</v>
      </c>
      <c r="H2188" s="17">
        <v>18</v>
      </c>
      <c r="O2188" s="62" t="str">
        <f>IF(E2188="PA",IF(K2188&lt;&gt;"",ISERROR(VLOOKUP(K2188,ABBR!A:D,1,FALSE)),ISERROR(VLOOKUP(C2188,ABBR!A:D,1,FALSE))),"")</f>
        <v/>
      </c>
      <c r="P2188" t="str">
        <f>VLOOKUP(A2188,Groups!A:L,5,FALSE)</f>
        <v>PROJ</v>
      </c>
      <c r="Q2188" s="62" t="str">
        <f>IF(G2188="PA",IF(M2188&lt;&gt;"",ISERROR(VLOOKUP(M2188,ABBR!C:F,1,FALSE)),ISERROR(VLOOKUP(E2188,ABBR!C:F,1,FALSE))),"")</f>
        <v/>
      </c>
    </row>
    <row r="2189" spans="1:17" hidden="1" x14ac:dyDescent="0.25">
      <c r="A2189" s="16" t="s">
        <v>80</v>
      </c>
      <c r="B2189" s="17"/>
      <c r="C2189" s="16" t="s">
        <v>3947</v>
      </c>
      <c r="D2189" s="17"/>
      <c r="E2189" s="17" t="s">
        <v>608</v>
      </c>
      <c r="F2189" s="18" t="s">
        <v>3948</v>
      </c>
      <c r="G2189" s="49" t="s">
        <v>3949</v>
      </c>
      <c r="H2189" s="17">
        <v>19</v>
      </c>
      <c r="O2189" s="62" t="str">
        <f>IF(E2189="PA",IF(K2189&lt;&gt;"",ISERROR(VLOOKUP(K2189,ABBR!A:D,1,FALSE)),ISERROR(VLOOKUP(C2189,ABBR!A:D,1,FALSE))),"")</f>
        <v/>
      </c>
      <c r="P2189" t="str">
        <f>VLOOKUP(A2189,Groups!A:L,5,FALSE)</f>
        <v>PROJ</v>
      </c>
      <c r="Q2189" s="62" t="str">
        <f>IF(G2189="PA",IF(M2189&lt;&gt;"",ISERROR(VLOOKUP(M2189,ABBR!C:F,1,FALSE)),ISERROR(VLOOKUP(E2189,ABBR!C:F,1,FALSE))),"")</f>
        <v/>
      </c>
    </row>
    <row r="2190" spans="1:17" hidden="1" x14ac:dyDescent="0.25">
      <c r="A2190" s="16" t="s">
        <v>80</v>
      </c>
      <c r="B2190" s="17"/>
      <c r="C2190" s="16" t="s">
        <v>3950</v>
      </c>
      <c r="D2190" s="17" t="s">
        <v>600</v>
      </c>
      <c r="E2190" s="17" t="s">
        <v>601</v>
      </c>
      <c r="F2190" s="18" t="s">
        <v>3951</v>
      </c>
      <c r="G2190" s="49" t="s">
        <v>3952</v>
      </c>
      <c r="H2190" s="17">
        <v>20</v>
      </c>
      <c r="O2190" s="62" t="str">
        <f>IF(E2190="PA",IF(K2190&lt;&gt;"",ISERROR(VLOOKUP(K2190,ABBR!A:D,1,FALSE)),ISERROR(VLOOKUP(C2190,ABBR!A:D,1,FALSE))),"")</f>
        <v/>
      </c>
      <c r="P2190" t="str">
        <f>VLOOKUP(A2190,Groups!A:L,5,FALSE)</f>
        <v>PROJ</v>
      </c>
      <c r="Q2190" s="62" t="str">
        <f>IF(G2190="PA",IF(M2190&lt;&gt;"",ISERROR(VLOOKUP(M2190,ABBR!C:F,1,FALSE)),ISERROR(VLOOKUP(E2190,ABBR!C:F,1,FALSE))),"")</f>
        <v/>
      </c>
    </row>
    <row r="2191" spans="1:17" hidden="1" x14ac:dyDescent="0.25">
      <c r="A2191" s="16" t="s">
        <v>80</v>
      </c>
      <c r="B2191" s="17"/>
      <c r="C2191" s="16" t="s">
        <v>3953</v>
      </c>
      <c r="D2191" s="17" t="s">
        <v>600</v>
      </c>
      <c r="E2191" s="17" t="s">
        <v>601</v>
      </c>
      <c r="F2191" s="18" t="s">
        <v>3954</v>
      </c>
      <c r="G2191" s="49" t="s">
        <v>3955</v>
      </c>
      <c r="H2191" s="17">
        <v>21</v>
      </c>
      <c r="O2191" s="62" t="str">
        <f>IF(E2191="PA",IF(K2191&lt;&gt;"",ISERROR(VLOOKUP(K2191,ABBR!A:D,1,FALSE)),ISERROR(VLOOKUP(C2191,ABBR!A:D,1,FALSE))),"")</f>
        <v/>
      </c>
      <c r="P2191" t="str">
        <f>VLOOKUP(A2191,Groups!A:L,5,FALSE)</f>
        <v>PROJ</v>
      </c>
      <c r="Q2191" s="62" t="str">
        <f>IF(G2191="PA",IF(M2191&lt;&gt;"",ISERROR(VLOOKUP(M2191,ABBR!C:F,1,FALSE)),ISERROR(VLOOKUP(E2191,ABBR!C:F,1,FALSE))),"")</f>
        <v/>
      </c>
    </row>
    <row r="2192" spans="1:17" hidden="1" x14ac:dyDescent="0.25">
      <c r="A2192" s="16" t="s">
        <v>80</v>
      </c>
      <c r="B2192" s="17"/>
      <c r="C2192" s="16" t="s">
        <v>3956</v>
      </c>
      <c r="D2192" s="17" t="s">
        <v>600</v>
      </c>
      <c r="E2192" s="17" t="s">
        <v>601</v>
      </c>
      <c r="F2192" s="18" t="s">
        <v>3957</v>
      </c>
      <c r="G2192" s="49" t="s">
        <v>3958</v>
      </c>
      <c r="H2192" s="17">
        <v>22</v>
      </c>
      <c r="O2192" s="62" t="str">
        <f>IF(E2192="PA",IF(K2192&lt;&gt;"",ISERROR(VLOOKUP(K2192,ABBR!A:D,1,FALSE)),ISERROR(VLOOKUP(C2192,ABBR!A:D,1,FALSE))),"")</f>
        <v/>
      </c>
      <c r="P2192" t="str">
        <f>VLOOKUP(A2192,Groups!A:L,5,FALSE)</f>
        <v>PROJ</v>
      </c>
      <c r="Q2192" s="62" t="str">
        <f>IF(G2192="PA",IF(M2192&lt;&gt;"",ISERROR(VLOOKUP(M2192,ABBR!C:F,1,FALSE)),ISERROR(VLOOKUP(E2192,ABBR!C:F,1,FALSE))),"")</f>
        <v/>
      </c>
    </row>
    <row r="2193" spans="1:17" hidden="1" x14ac:dyDescent="0.25">
      <c r="A2193" s="16" t="s">
        <v>80</v>
      </c>
      <c r="B2193" s="17"/>
      <c r="C2193" s="16" t="s">
        <v>3959</v>
      </c>
      <c r="D2193" s="17" t="s">
        <v>600</v>
      </c>
      <c r="E2193" s="17" t="s">
        <v>601</v>
      </c>
      <c r="F2193" s="18" t="s">
        <v>3960</v>
      </c>
      <c r="G2193" s="49" t="s">
        <v>3952</v>
      </c>
      <c r="H2193" s="17">
        <v>23</v>
      </c>
      <c r="O2193" s="62" t="str">
        <f>IF(E2193="PA",IF(K2193&lt;&gt;"",ISERROR(VLOOKUP(K2193,ABBR!A:D,1,FALSE)),ISERROR(VLOOKUP(C2193,ABBR!A:D,1,FALSE))),"")</f>
        <v/>
      </c>
      <c r="P2193" t="str">
        <f>VLOOKUP(A2193,Groups!A:L,5,FALSE)</f>
        <v>PROJ</v>
      </c>
      <c r="Q2193" s="62" t="str">
        <f>IF(G2193="PA",IF(M2193&lt;&gt;"",ISERROR(VLOOKUP(M2193,ABBR!C:F,1,FALSE)),ISERROR(VLOOKUP(E2193,ABBR!C:F,1,FALSE))),"")</f>
        <v/>
      </c>
    </row>
    <row r="2194" spans="1:17" hidden="1" x14ac:dyDescent="0.25">
      <c r="A2194" s="16" t="s">
        <v>80</v>
      </c>
      <c r="B2194" s="17"/>
      <c r="C2194" s="16" t="s">
        <v>3961</v>
      </c>
      <c r="D2194" s="17" t="s">
        <v>600</v>
      </c>
      <c r="E2194" s="17" t="s">
        <v>601</v>
      </c>
      <c r="F2194" s="18" t="s">
        <v>3962</v>
      </c>
      <c r="G2194" s="49" t="s">
        <v>3955</v>
      </c>
      <c r="H2194" s="17">
        <v>24</v>
      </c>
      <c r="O2194" s="62" t="str">
        <f>IF(E2194="PA",IF(K2194&lt;&gt;"",ISERROR(VLOOKUP(K2194,ABBR!A:D,1,FALSE)),ISERROR(VLOOKUP(C2194,ABBR!A:D,1,FALSE))),"")</f>
        <v/>
      </c>
      <c r="P2194" t="str">
        <f>VLOOKUP(A2194,Groups!A:L,5,FALSE)</f>
        <v>PROJ</v>
      </c>
      <c r="Q2194" s="62" t="str">
        <f>IF(G2194="PA",IF(M2194&lt;&gt;"",ISERROR(VLOOKUP(M2194,ABBR!C:F,1,FALSE)),ISERROR(VLOOKUP(E2194,ABBR!C:F,1,FALSE))),"")</f>
        <v/>
      </c>
    </row>
    <row r="2195" spans="1:17" hidden="1" x14ac:dyDescent="0.25">
      <c r="A2195" s="16" t="s">
        <v>80</v>
      </c>
      <c r="B2195" s="17"/>
      <c r="C2195" s="16" t="s">
        <v>3963</v>
      </c>
      <c r="D2195" s="17" t="s">
        <v>600</v>
      </c>
      <c r="E2195" s="17" t="s">
        <v>601</v>
      </c>
      <c r="F2195" s="18" t="s">
        <v>3964</v>
      </c>
      <c r="G2195" s="49" t="s">
        <v>3958</v>
      </c>
      <c r="H2195" s="17">
        <v>25</v>
      </c>
      <c r="O2195" s="62" t="str">
        <f>IF(E2195="PA",IF(K2195&lt;&gt;"",ISERROR(VLOOKUP(K2195,ABBR!A:D,1,FALSE)),ISERROR(VLOOKUP(C2195,ABBR!A:D,1,FALSE))),"")</f>
        <v/>
      </c>
      <c r="P2195" t="str">
        <f>VLOOKUP(A2195,Groups!A:L,5,FALSE)</f>
        <v>PROJ</v>
      </c>
      <c r="Q2195" s="62" t="str">
        <f>IF(G2195="PA",IF(M2195&lt;&gt;"",ISERROR(VLOOKUP(M2195,ABBR!C:F,1,FALSE)),ISERROR(VLOOKUP(E2195,ABBR!C:F,1,FALSE))),"")</f>
        <v/>
      </c>
    </row>
    <row r="2196" spans="1:17" hidden="1" x14ac:dyDescent="0.25">
      <c r="A2196" s="16" t="s">
        <v>80</v>
      </c>
      <c r="B2196" s="17"/>
      <c r="C2196" s="16" t="s">
        <v>3965</v>
      </c>
      <c r="D2196" s="17"/>
      <c r="E2196" s="17" t="s">
        <v>3966</v>
      </c>
      <c r="F2196" s="18" t="s">
        <v>3967</v>
      </c>
      <c r="G2196" s="49" t="s">
        <v>3968</v>
      </c>
      <c r="H2196" s="17">
        <v>26</v>
      </c>
      <c r="O2196" s="62" t="str">
        <f>IF(E2196="PA",IF(K2196&lt;&gt;"",ISERROR(VLOOKUP(K2196,ABBR!A:D,1,FALSE)),ISERROR(VLOOKUP(C2196,ABBR!A:D,1,FALSE))),"")</f>
        <v/>
      </c>
      <c r="P2196" t="str">
        <f>VLOOKUP(A2196,Groups!A:L,5,FALSE)</f>
        <v>PROJ</v>
      </c>
      <c r="Q2196" s="62" t="str">
        <f>IF(G2196="PA",IF(M2196&lt;&gt;"",ISERROR(VLOOKUP(M2196,ABBR!C:F,1,FALSE)),ISERROR(VLOOKUP(E2196,ABBR!C:F,1,FALSE))),"")</f>
        <v/>
      </c>
    </row>
    <row r="2197" spans="1:17" hidden="1" x14ac:dyDescent="0.25">
      <c r="A2197" s="16" t="s">
        <v>80</v>
      </c>
      <c r="B2197" s="17"/>
      <c r="C2197" s="16" t="s">
        <v>3969</v>
      </c>
      <c r="D2197" s="17"/>
      <c r="E2197" s="17" t="s">
        <v>3966</v>
      </c>
      <c r="F2197" s="18" t="s">
        <v>3970</v>
      </c>
      <c r="G2197" s="49" t="s">
        <v>3971</v>
      </c>
      <c r="H2197" s="17">
        <v>27</v>
      </c>
      <c r="O2197" s="62" t="str">
        <f>IF(E2197="PA",IF(K2197&lt;&gt;"",ISERROR(VLOOKUP(K2197,ABBR!A:D,1,FALSE)),ISERROR(VLOOKUP(C2197,ABBR!A:D,1,FALSE))),"")</f>
        <v/>
      </c>
      <c r="P2197" t="str">
        <f>VLOOKUP(A2197,Groups!A:L,5,FALSE)</f>
        <v>PROJ</v>
      </c>
      <c r="Q2197" s="62" t="str">
        <f>IF(G2197="PA",IF(M2197&lt;&gt;"",ISERROR(VLOOKUP(M2197,ABBR!C:F,1,FALSE)),ISERROR(VLOOKUP(E2197,ABBR!C:F,1,FALSE))),"")</f>
        <v/>
      </c>
    </row>
    <row r="2198" spans="1:17" hidden="1" x14ac:dyDescent="0.25">
      <c r="A2198" s="16" t="s">
        <v>80</v>
      </c>
      <c r="B2198" s="17"/>
      <c r="C2198" s="16" t="s">
        <v>3972</v>
      </c>
      <c r="D2198" s="17"/>
      <c r="E2198" s="17" t="s">
        <v>3966</v>
      </c>
      <c r="F2198" s="18" t="s">
        <v>3973</v>
      </c>
      <c r="G2198" s="49" t="s">
        <v>3974</v>
      </c>
      <c r="H2198" s="17">
        <v>28</v>
      </c>
      <c r="O2198" s="62" t="str">
        <f>IF(E2198="PA",IF(K2198&lt;&gt;"",ISERROR(VLOOKUP(K2198,ABBR!A:D,1,FALSE)),ISERROR(VLOOKUP(C2198,ABBR!A:D,1,FALSE))),"")</f>
        <v/>
      </c>
      <c r="P2198" t="str">
        <f>VLOOKUP(A2198,Groups!A:L,5,FALSE)</f>
        <v>PROJ</v>
      </c>
      <c r="Q2198" s="62" t="str">
        <f>IF(G2198="PA",IF(M2198&lt;&gt;"",ISERROR(VLOOKUP(M2198,ABBR!C:F,1,FALSE)),ISERROR(VLOOKUP(E2198,ABBR!C:F,1,FALSE))),"")</f>
        <v/>
      </c>
    </row>
    <row r="2199" spans="1:17" hidden="1" x14ac:dyDescent="0.25">
      <c r="A2199" s="16" t="s">
        <v>80</v>
      </c>
      <c r="B2199" s="17"/>
      <c r="C2199" s="16" t="s">
        <v>3975</v>
      </c>
      <c r="D2199" s="17"/>
      <c r="E2199" s="17" t="s">
        <v>3966</v>
      </c>
      <c r="F2199" s="18" t="s">
        <v>3976</v>
      </c>
      <c r="G2199" s="49" t="s">
        <v>3971</v>
      </c>
      <c r="H2199" s="17">
        <v>29</v>
      </c>
      <c r="O2199" s="62" t="str">
        <f>IF(E2199="PA",IF(K2199&lt;&gt;"",ISERROR(VLOOKUP(K2199,ABBR!A:D,1,FALSE)),ISERROR(VLOOKUP(C2199,ABBR!A:D,1,FALSE))),"")</f>
        <v/>
      </c>
      <c r="P2199" t="str">
        <f>VLOOKUP(A2199,Groups!A:L,5,FALSE)</f>
        <v>PROJ</v>
      </c>
      <c r="Q2199" s="62" t="str">
        <f>IF(G2199="PA",IF(M2199&lt;&gt;"",ISERROR(VLOOKUP(M2199,ABBR!C:F,1,FALSE)),ISERROR(VLOOKUP(E2199,ABBR!C:F,1,FALSE))),"")</f>
        <v/>
      </c>
    </row>
    <row r="2200" spans="1:17" hidden="1" x14ac:dyDescent="0.25">
      <c r="A2200" s="16" t="s">
        <v>80</v>
      </c>
      <c r="B2200" s="17"/>
      <c r="C2200" s="16" t="s">
        <v>3977</v>
      </c>
      <c r="D2200" s="17"/>
      <c r="E2200" s="17" t="s">
        <v>608</v>
      </c>
      <c r="F2200" s="18" t="s">
        <v>3978</v>
      </c>
      <c r="G2200" s="49" t="s">
        <v>3979</v>
      </c>
      <c r="H2200" s="17">
        <v>30</v>
      </c>
      <c r="O2200" s="62" t="str">
        <f>IF(E2200="PA",IF(K2200&lt;&gt;"",ISERROR(VLOOKUP(K2200,ABBR!A:D,1,FALSE)),ISERROR(VLOOKUP(C2200,ABBR!A:D,1,FALSE))),"")</f>
        <v/>
      </c>
      <c r="P2200" t="str">
        <f>VLOOKUP(A2200,Groups!A:L,5,FALSE)</f>
        <v>PROJ</v>
      </c>
      <c r="Q2200" s="62" t="str">
        <f>IF(G2200="PA",IF(M2200&lt;&gt;"",ISERROR(VLOOKUP(M2200,ABBR!C:F,1,FALSE)),ISERROR(VLOOKUP(E2200,ABBR!C:F,1,FALSE))),"")</f>
        <v/>
      </c>
    </row>
    <row r="2201" spans="1:17" hidden="1" x14ac:dyDescent="0.25">
      <c r="A2201" s="16" t="s">
        <v>80</v>
      </c>
      <c r="B2201" s="17"/>
      <c r="C2201" s="16" t="s">
        <v>3980</v>
      </c>
      <c r="D2201" s="17"/>
      <c r="E2201" s="17" t="s">
        <v>608</v>
      </c>
      <c r="F2201" s="18" t="s">
        <v>3981</v>
      </c>
      <c r="G2201" s="49" t="s">
        <v>3982</v>
      </c>
      <c r="H2201" s="17">
        <v>31</v>
      </c>
      <c r="O2201" s="62" t="str">
        <f>IF(E2201="PA",IF(K2201&lt;&gt;"",ISERROR(VLOOKUP(K2201,ABBR!A:D,1,FALSE)),ISERROR(VLOOKUP(C2201,ABBR!A:D,1,FALSE))),"")</f>
        <v/>
      </c>
      <c r="P2201" t="str">
        <f>VLOOKUP(A2201,Groups!A:L,5,FALSE)</f>
        <v>PROJ</v>
      </c>
      <c r="Q2201" s="62" t="str">
        <f>IF(G2201="PA",IF(M2201&lt;&gt;"",ISERROR(VLOOKUP(M2201,ABBR!C:F,1,FALSE)),ISERROR(VLOOKUP(E2201,ABBR!C:F,1,FALSE))),"")</f>
        <v/>
      </c>
    </row>
    <row r="2202" spans="1:17" ht="25" hidden="1" x14ac:dyDescent="0.25">
      <c r="A2202" s="16" t="s">
        <v>80</v>
      </c>
      <c r="B2202" s="17"/>
      <c r="C2202" s="16" t="s">
        <v>3983</v>
      </c>
      <c r="D2202" s="17"/>
      <c r="E2202" s="17" t="s">
        <v>608</v>
      </c>
      <c r="F2202" s="18" t="s">
        <v>3984</v>
      </c>
      <c r="G2202" s="49" t="s">
        <v>3985</v>
      </c>
      <c r="H2202" s="17">
        <v>32</v>
      </c>
      <c r="O2202" s="62" t="str">
        <f>IF(E2202="PA",IF(K2202&lt;&gt;"",ISERROR(VLOOKUP(K2202,ABBR!A:D,1,FALSE)),ISERROR(VLOOKUP(C2202,ABBR!A:D,1,FALSE))),"")</f>
        <v/>
      </c>
      <c r="P2202" t="str">
        <f>VLOOKUP(A2202,Groups!A:L,5,FALSE)</f>
        <v>PROJ</v>
      </c>
      <c r="Q2202" s="62" t="str">
        <f>IF(G2202="PA",IF(M2202&lt;&gt;"",ISERROR(VLOOKUP(M2202,ABBR!C:F,1,FALSE)),ISERROR(VLOOKUP(E2202,ABBR!C:F,1,FALSE))),"")</f>
        <v/>
      </c>
    </row>
    <row r="2203" spans="1:17" hidden="1" x14ac:dyDescent="0.25">
      <c r="A2203" s="16" t="s">
        <v>80</v>
      </c>
      <c r="B2203" s="17"/>
      <c r="C2203" s="16" t="s">
        <v>3986</v>
      </c>
      <c r="D2203" s="17"/>
      <c r="E2203" s="17" t="s">
        <v>608</v>
      </c>
      <c r="F2203" s="18" t="s">
        <v>3987</v>
      </c>
      <c r="G2203" s="49" t="s">
        <v>3988</v>
      </c>
      <c r="H2203" s="17">
        <v>33</v>
      </c>
      <c r="O2203" s="62" t="str">
        <f>IF(E2203="PA",IF(K2203&lt;&gt;"",ISERROR(VLOOKUP(K2203,ABBR!A:D,1,FALSE)),ISERROR(VLOOKUP(C2203,ABBR!A:D,1,FALSE))),"")</f>
        <v/>
      </c>
      <c r="P2203" t="str">
        <f>VLOOKUP(A2203,Groups!A:L,5,FALSE)</f>
        <v>PROJ</v>
      </c>
      <c r="Q2203" s="62" t="str">
        <f>IF(G2203="PA",IF(M2203&lt;&gt;"",ISERROR(VLOOKUP(M2203,ABBR!C:F,1,FALSE)),ISERROR(VLOOKUP(E2203,ABBR!C:F,1,FALSE))),"")</f>
        <v/>
      </c>
    </row>
    <row r="2204" spans="1:17" hidden="1" x14ac:dyDescent="0.25">
      <c r="A2204" s="16" t="s">
        <v>80</v>
      </c>
      <c r="B2204" s="17"/>
      <c r="C2204" s="16" t="s">
        <v>3989</v>
      </c>
      <c r="D2204" s="17"/>
      <c r="E2204" s="17" t="s">
        <v>608</v>
      </c>
      <c r="F2204" s="18" t="s">
        <v>3990</v>
      </c>
      <c r="G2204" s="49" t="s">
        <v>3991</v>
      </c>
      <c r="H2204" s="17">
        <v>34</v>
      </c>
      <c r="O2204" s="62" t="str">
        <f>IF(E2204="PA",IF(K2204&lt;&gt;"",ISERROR(VLOOKUP(K2204,ABBR!A:D,1,FALSE)),ISERROR(VLOOKUP(C2204,ABBR!A:D,1,FALSE))),"")</f>
        <v/>
      </c>
      <c r="P2204" t="str">
        <f>VLOOKUP(A2204,Groups!A:L,5,FALSE)</f>
        <v>PROJ</v>
      </c>
      <c r="Q2204" s="62" t="str">
        <f>IF(G2204="PA",IF(M2204&lt;&gt;"",ISERROR(VLOOKUP(M2204,ABBR!C:F,1,FALSE)),ISERROR(VLOOKUP(E2204,ABBR!C:F,1,FALSE))),"")</f>
        <v/>
      </c>
    </row>
    <row r="2205" spans="1:17" hidden="1" x14ac:dyDescent="0.25">
      <c r="A2205" s="16" t="s">
        <v>80</v>
      </c>
      <c r="B2205" s="17"/>
      <c r="C2205" s="16" t="s">
        <v>3992</v>
      </c>
      <c r="D2205" s="17"/>
      <c r="E2205" s="17" t="s">
        <v>601</v>
      </c>
      <c r="F2205" s="18" t="s">
        <v>3993</v>
      </c>
      <c r="G2205" s="49" t="s">
        <v>3994</v>
      </c>
      <c r="H2205" s="17">
        <v>35</v>
      </c>
      <c r="O2205" s="62" t="str">
        <f>IF(E2205="PA",IF(K2205&lt;&gt;"",ISERROR(VLOOKUP(K2205,ABBR!A:D,1,FALSE)),ISERROR(VLOOKUP(C2205,ABBR!A:D,1,FALSE))),"")</f>
        <v/>
      </c>
      <c r="P2205" t="str">
        <f>VLOOKUP(A2205,Groups!A:L,5,FALSE)</f>
        <v>PROJ</v>
      </c>
      <c r="Q2205" s="62" t="str">
        <f>IF(G2205="PA",IF(M2205&lt;&gt;"",ISERROR(VLOOKUP(M2205,ABBR!C:F,1,FALSE)),ISERROR(VLOOKUP(E2205,ABBR!C:F,1,FALSE))),"")</f>
        <v/>
      </c>
    </row>
    <row r="2206" spans="1:17" hidden="1" x14ac:dyDescent="0.25">
      <c r="A2206" s="16" t="s">
        <v>80</v>
      </c>
      <c r="B2206" s="17"/>
      <c r="C2206" s="16" t="s">
        <v>3995</v>
      </c>
      <c r="D2206" s="17"/>
      <c r="E2206" s="17" t="s">
        <v>608</v>
      </c>
      <c r="F2206" s="18" t="s">
        <v>3996</v>
      </c>
      <c r="G2206" s="49" t="s">
        <v>3997</v>
      </c>
      <c r="H2206" s="17">
        <v>36</v>
      </c>
      <c r="O2206" s="62" t="str">
        <f>IF(E2206="PA",IF(K2206&lt;&gt;"",ISERROR(VLOOKUP(K2206,ABBR!A:D,1,FALSE)),ISERROR(VLOOKUP(C2206,ABBR!A:D,1,FALSE))),"")</f>
        <v/>
      </c>
      <c r="P2206" t="str">
        <f>VLOOKUP(A2206,Groups!A:L,5,FALSE)</f>
        <v>PROJ</v>
      </c>
      <c r="Q2206" s="62" t="str">
        <f>IF(G2206="PA",IF(M2206&lt;&gt;"",ISERROR(VLOOKUP(M2206,ABBR!C:F,1,FALSE)),ISERROR(VLOOKUP(E2206,ABBR!C:F,1,FALSE))),"")</f>
        <v/>
      </c>
    </row>
    <row r="2207" spans="1:17" ht="37.5" hidden="1" x14ac:dyDescent="0.25">
      <c r="A2207" s="16" t="s">
        <v>80</v>
      </c>
      <c r="B2207" s="17"/>
      <c r="C2207" s="25" t="s">
        <v>3998</v>
      </c>
      <c r="D2207" s="17"/>
      <c r="E2207" s="22" t="s">
        <v>608</v>
      </c>
      <c r="F2207" s="26" t="s">
        <v>3999</v>
      </c>
      <c r="G2207" s="55" t="s">
        <v>4000</v>
      </c>
      <c r="H2207" s="17">
        <v>37</v>
      </c>
      <c r="O2207" s="62" t="str">
        <f>IF(E2207="PA",IF(K2207&lt;&gt;"",ISERROR(VLOOKUP(K2207,ABBR!A:D,1,FALSE)),ISERROR(VLOOKUP(C2207,ABBR!A:D,1,FALSE))),"")</f>
        <v/>
      </c>
      <c r="P2207" t="str">
        <f>VLOOKUP(A2207,Groups!A:L,5,FALSE)</f>
        <v>PROJ</v>
      </c>
      <c r="Q2207" s="62" t="str">
        <f>IF(G2207="PA",IF(M2207&lt;&gt;"",ISERROR(VLOOKUP(M2207,ABBR!C:F,1,FALSE)),ISERROR(VLOOKUP(E2207,ABBR!C:F,1,FALSE))),"")</f>
        <v/>
      </c>
    </row>
    <row r="2208" spans="1:17" ht="25" hidden="1" x14ac:dyDescent="0.25">
      <c r="A2208" s="16" t="s">
        <v>80</v>
      </c>
      <c r="B2208" s="17"/>
      <c r="C2208" s="16" t="s">
        <v>643</v>
      </c>
      <c r="D2208" s="17"/>
      <c r="E2208" s="17" t="s">
        <v>608</v>
      </c>
      <c r="F2208" s="18" t="s">
        <v>4001</v>
      </c>
      <c r="G2208" s="49" t="s">
        <v>4002</v>
      </c>
      <c r="H2208" s="17">
        <v>38</v>
      </c>
      <c r="O2208" s="62" t="str">
        <f>IF(E2208="PA",IF(K2208&lt;&gt;"",ISERROR(VLOOKUP(K2208,ABBR!A:D,1,FALSE)),ISERROR(VLOOKUP(C2208,ABBR!A:D,1,FALSE))),"")</f>
        <v/>
      </c>
      <c r="P2208" t="str">
        <f>VLOOKUP(A2208,Groups!A:L,5,FALSE)</f>
        <v>PROJ</v>
      </c>
      <c r="Q2208" s="62" t="str">
        <f>IF(G2208="PA",IF(M2208&lt;&gt;"",ISERROR(VLOOKUP(M2208,ABBR!C:F,1,FALSE)),ISERROR(VLOOKUP(E2208,ABBR!C:F,1,FALSE))),"")</f>
        <v/>
      </c>
    </row>
    <row r="2209" spans="1:17" hidden="1" x14ac:dyDescent="0.25">
      <c r="A2209" s="16" t="s">
        <v>80</v>
      </c>
      <c r="B2209" s="17"/>
      <c r="C2209" s="16" t="s">
        <v>4003</v>
      </c>
      <c r="D2209" s="17"/>
      <c r="E2209" s="17" t="s">
        <v>608</v>
      </c>
      <c r="F2209" s="18" t="s">
        <v>4004</v>
      </c>
      <c r="G2209" s="49" t="s">
        <v>4005</v>
      </c>
      <c r="H2209" s="17">
        <v>39</v>
      </c>
      <c r="O2209" s="62" t="str">
        <f>IF(E2209="PA",IF(K2209&lt;&gt;"",ISERROR(VLOOKUP(K2209,ABBR!A:D,1,FALSE)),ISERROR(VLOOKUP(C2209,ABBR!A:D,1,FALSE))),"")</f>
        <v/>
      </c>
      <c r="P2209" t="str">
        <f>VLOOKUP(A2209,Groups!A:L,5,FALSE)</f>
        <v>PROJ</v>
      </c>
      <c r="Q2209" s="62" t="str">
        <f>IF(G2209="PA",IF(M2209&lt;&gt;"",ISERROR(VLOOKUP(M2209,ABBR!C:F,1,FALSE)),ISERROR(VLOOKUP(E2209,ABBR!C:F,1,FALSE))),"")</f>
        <v/>
      </c>
    </row>
    <row r="2210" spans="1:17" hidden="1" x14ac:dyDescent="0.25">
      <c r="A2210" s="16" t="s">
        <v>80</v>
      </c>
      <c r="B2210" s="17"/>
      <c r="C2210" s="16" t="s">
        <v>4006</v>
      </c>
      <c r="D2210" s="17"/>
      <c r="E2210" s="17" t="s">
        <v>608</v>
      </c>
      <c r="F2210" s="18" t="s">
        <v>4007</v>
      </c>
      <c r="G2210" s="49" t="s">
        <v>4008</v>
      </c>
      <c r="H2210" s="17">
        <v>40</v>
      </c>
      <c r="O2210" s="62" t="str">
        <f>IF(E2210="PA",IF(K2210&lt;&gt;"",ISERROR(VLOOKUP(K2210,ABBR!A:D,1,FALSE)),ISERROR(VLOOKUP(C2210,ABBR!A:D,1,FALSE))),"")</f>
        <v/>
      </c>
      <c r="P2210" t="str">
        <f>VLOOKUP(A2210,Groups!A:L,5,FALSE)</f>
        <v>PROJ</v>
      </c>
      <c r="Q2210" s="62" t="str">
        <f>IF(G2210="PA",IF(M2210&lt;&gt;"",ISERROR(VLOOKUP(M2210,ABBR!C:F,1,FALSE)),ISERROR(VLOOKUP(E2210,ABBR!C:F,1,FALSE))),"")</f>
        <v/>
      </c>
    </row>
    <row r="2211" spans="1:17" hidden="1" x14ac:dyDescent="0.25">
      <c r="A2211" s="16" t="s">
        <v>80</v>
      </c>
      <c r="B2211" s="17"/>
      <c r="C2211" s="16" t="s">
        <v>4009</v>
      </c>
      <c r="D2211" s="17"/>
      <c r="E2211" s="17" t="s">
        <v>608</v>
      </c>
      <c r="F2211" s="18" t="s">
        <v>4010</v>
      </c>
      <c r="G2211" s="49" t="s">
        <v>4011</v>
      </c>
      <c r="H2211" s="17">
        <v>41</v>
      </c>
      <c r="O2211" s="62" t="str">
        <f>IF(E2211="PA",IF(K2211&lt;&gt;"",ISERROR(VLOOKUP(K2211,ABBR!A:D,1,FALSE)),ISERROR(VLOOKUP(C2211,ABBR!A:D,1,FALSE))),"")</f>
        <v/>
      </c>
      <c r="P2211" t="str">
        <f>VLOOKUP(A2211,Groups!A:L,5,FALSE)</f>
        <v>PROJ</v>
      </c>
      <c r="Q2211" s="62" t="str">
        <f>IF(G2211="PA",IF(M2211&lt;&gt;"",ISERROR(VLOOKUP(M2211,ABBR!C:F,1,FALSE)),ISERROR(VLOOKUP(E2211,ABBR!C:F,1,FALSE))),"")</f>
        <v/>
      </c>
    </row>
    <row r="2212" spans="1:17" hidden="1" x14ac:dyDescent="0.25">
      <c r="A2212" s="16" t="s">
        <v>80</v>
      </c>
      <c r="B2212" s="17"/>
      <c r="C2212" s="16" t="s">
        <v>4012</v>
      </c>
      <c r="D2212" s="17"/>
      <c r="E2212" s="17" t="s">
        <v>608</v>
      </c>
      <c r="F2212" s="18" t="s">
        <v>4013</v>
      </c>
      <c r="G2212" s="49" t="s">
        <v>4014</v>
      </c>
      <c r="H2212" s="17">
        <v>42</v>
      </c>
      <c r="O2212" s="62" t="str">
        <f>IF(E2212="PA",IF(K2212&lt;&gt;"",ISERROR(VLOOKUP(K2212,ABBR!A:D,1,FALSE)),ISERROR(VLOOKUP(C2212,ABBR!A:D,1,FALSE))),"")</f>
        <v/>
      </c>
      <c r="P2212" t="str">
        <f>VLOOKUP(A2212,Groups!A:L,5,FALSE)</f>
        <v>PROJ</v>
      </c>
      <c r="Q2212" s="62" t="str">
        <f>IF(G2212="PA",IF(M2212&lt;&gt;"",ISERROR(VLOOKUP(M2212,ABBR!C:F,1,FALSE)),ISERROR(VLOOKUP(E2212,ABBR!C:F,1,FALSE))),"")</f>
        <v/>
      </c>
    </row>
    <row r="2213" spans="1:17" hidden="1" x14ac:dyDescent="0.25">
      <c r="A2213" s="16" t="s">
        <v>80</v>
      </c>
      <c r="B2213" s="17"/>
      <c r="C2213" s="16" t="s">
        <v>4015</v>
      </c>
      <c r="D2213" s="17"/>
      <c r="E2213" s="17" t="s">
        <v>608</v>
      </c>
      <c r="F2213" s="18" t="s">
        <v>4016</v>
      </c>
      <c r="G2213" s="49" t="s">
        <v>876</v>
      </c>
      <c r="H2213" s="17">
        <v>43</v>
      </c>
      <c r="J2213" s="62" t="s">
        <v>478</v>
      </c>
      <c r="K2213" s="62"/>
      <c r="L2213" s="62"/>
      <c r="M2213" s="62"/>
      <c r="N2213" s="62"/>
      <c r="O2213" s="62" t="str">
        <f>IF(E2213="PA",IF(K2213&lt;&gt;"",ISERROR(VLOOKUP(K2213,ABBR!A:D,1,FALSE)),ISERROR(VLOOKUP(C2213,ABBR!A:D,1,FALSE))),"")</f>
        <v/>
      </c>
      <c r="P2213" t="str">
        <f>VLOOKUP(A2213,Groups!A:L,5,FALSE)</f>
        <v>PROJ</v>
      </c>
      <c r="Q2213" s="62" t="str">
        <f>IF(G2213="PA",IF(M2213&lt;&gt;"",ISERROR(VLOOKUP(M2213,ABBR!C:F,1,FALSE)),ISERROR(VLOOKUP(E2213,ABBR!C:F,1,FALSE))),"")</f>
        <v/>
      </c>
    </row>
    <row r="2214" spans="1:17" hidden="1" x14ac:dyDescent="0.25">
      <c r="A2214" s="16" t="s">
        <v>80</v>
      </c>
      <c r="B2214" s="17"/>
      <c r="C2214" s="16" t="s">
        <v>4017</v>
      </c>
      <c r="D2214" s="17" t="s">
        <v>924</v>
      </c>
      <c r="E2214" s="17" t="s">
        <v>925</v>
      </c>
      <c r="F2214" s="18" t="s">
        <v>4018</v>
      </c>
      <c r="G2214" s="49" t="s">
        <v>3931</v>
      </c>
      <c r="H2214" s="17">
        <v>44</v>
      </c>
      <c r="J2214" s="62" t="s">
        <v>478</v>
      </c>
      <c r="K2214" s="62"/>
      <c r="L2214" s="62"/>
      <c r="M2214" s="62"/>
      <c r="N2214" s="62"/>
      <c r="O2214" s="62" t="str">
        <f>IF(E2214="PA",IF(K2214&lt;&gt;"",ISERROR(VLOOKUP(K2214,ABBR!A:D,1,FALSE)),ISERROR(VLOOKUP(C2214,ABBR!A:D,1,FALSE))),"")</f>
        <v/>
      </c>
      <c r="P2214" t="str">
        <f>VLOOKUP(A2214,Groups!A:L,5,FALSE)</f>
        <v>PROJ</v>
      </c>
      <c r="Q2214" s="62" t="str">
        <f>IF(G2214="PA",IF(M2214&lt;&gt;"",ISERROR(VLOOKUP(M2214,ABBR!C:F,1,FALSE)),ISERROR(VLOOKUP(E2214,ABBR!C:F,1,FALSE))),"")</f>
        <v/>
      </c>
    </row>
    <row r="2215" spans="1:17" ht="25" hidden="1" x14ac:dyDescent="0.25">
      <c r="A2215" s="16" t="s">
        <v>80</v>
      </c>
      <c r="B2215" s="17"/>
      <c r="C2215" s="16" t="s">
        <v>4019</v>
      </c>
      <c r="D2215" s="17"/>
      <c r="E2215" s="17" t="s">
        <v>618</v>
      </c>
      <c r="F2215" s="18" t="s">
        <v>4020</v>
      </c>
      <c r="G2215" s="49" t="s">
        <v>4021</v>
      </c>
      <c r="H2215" s="17">
        <v>45</v>
      </c>
      <c r="J2215" s="62" t="s">
        <v>478</v>
      </c>
      <c r="K2215" s="62"/>
      <c r="L2215" s="62"/>
      <c r="M2215" s="62"/>
      <c r="N2215" s="62"/>
      <c r="O2215" s="62" t="b">
        <f>IF(E2215="PA",IF(K2215&lt;&gt;"",ISERROR(VLOOKUP(K2215,ABBR!A:D,1,FALSE)),ISERROR(VLOOKUP(C2215,ABBR!A:D,1,FALSE))),"")</f>
        <v>0</v>
      </c>
      <c r="P2215" t="str">
        <f>VLOOKUP(A2215,Groups!A:L,5,FALSE)</f>
        <v>PROJ</v>
      </c>
      <c r="Q2215" s="62" t="str">
        <f>IF(G2215="PA",IF(M2215&lt;&gt;"",ISERROR(VLOOKUP(M2215,ABBR!C:F,1,FALSE)),ISERROR(VLOOKUP(E2215,ABBR!C:F,1,FALSE))),"")</f>
        <v/>
      </c>
    </row>
    <row r="2216" spans="1:17" hidden="1" x14ac:dyDescent="0.25">
      <c r="A2216" s="16" t="s">
        <v>80</v>
      </c>
      <c r="B2216" s="17"/>
      <c r="C2216" s="16" t="s">
        <v>4022</v>
      </c>
      <c r="D2216" s="17"/>
      <c r="E2216" s="17" t="s">
        <v>608</v>
      </c>
      <c r="F2216" s="18" t="s">
        <v>4023</v>
      </c>
      <c r="G2216" s="49" t="s">
        <v>4024</v>
      </c>
      <c r="H2216" s="17">
        <v>46</v>
      </c>
      <c r="J2216" s="62" t="s">
        <v>491</v>
      </c>
      <c r="K2216" s="62"/>
      <c r="L2216" s="62"/>
      <c r="M2216" s="62"/>
      <c r="N2216" s="62"/>
      <c r="O2216" s="62" t="str">
        <f>IF(E2216="PA",IF(K2216&lt;&gt;"",ISERROR(VLOOKUP(K2216,ABBR!A:D,1,FALSE)),ISERROR(VLOOKUP(C2216,ABBR!A:D,1,FALSE))),"")</f>
        <v/>
      </c>
      <c r="P2216" t="str">
        <f>VLOOKUP(A2216,Groups!A:L,5,FALSE)</f>
        <v>PROJ</v>
      </c>
      <c r="Q2216" s="62" t="str">
        <f>IF(G2216="PA",IF(M2216&lt;&gt;"",ISERROR(VLOOKUP(M2216,ABBR!C:F,1,FALSE)),ISERROR(VLOOKUP(E2216,ABBR!C:F,1,FALSE))),"")</f>
        <v/>
      </c>
    </row>
    <row r="2217" spans="1:17" hidden="1" x14ac:dyDescent="0.25">
      <c r="A2217" s="16" t="s">
        <v>80</v>
      </c>
      <c r="B2217" s="17"/>
      <c r="C2217" s="16" t="s">
        <v>4025</v>
      </c>
      <c r="D2217" s="17"/>
      <c r="E2217" s="17" t="s">
        <v>608</v>
      </c>
      <c r="F2217" s="18" t="s">
        <v>4026</v>
      </c>
      <c r="G2217" s="49" t="s">
        <v>3982</v>
      </c>
      <c r="H2217" s="17">
        <v>47</v>
      </c>
      <c r="J2217" s="62" t="s">
        <v>478</v>
      </c>
      <c r="K2217" s="62" t="s">
        <v>3980</v>
      </c>
      <c r="L2217" s="62"/>
      <c r="M2217" s="62"/>
      <c r="N2217" s="62"/>
      <c r="O2217" s="62" t="str">
        <f>IF(E2217="PA",IF(K2217&lt;&gt;"",ISERROR(VLOOKUP(K2217,ABBR!A:D,1,FALSE)),ISERROR(VLOOKUP(C2217,ABBR!A:D,1,FALSE))),"")</f>
        <v/>
      </c>
      <c r="P2217" t="str">
        <f>VLOOKUP(A2217,Groups!A:L,5,FALSE)</f>
        <v>PROJ</v>
      </c>
      <c r="Q2217" s="62" t="str">
        <f>IF(G2217="PA",IF(M2217&lt;&gt;"",ISERROR(VLOOKUP(M2217,ABBR!C:F,1,FALSE)),ISERROR(VLOOKUP(E2217,ABBR!C:F,1,FALSE))),"")</f>
        <v/>
      </c>
    </row>
    <row r="2218" spans="1:17" ht="14.5" hidden="1" x14ac:dyDescent="0.25">
      <c r="A2218" s="16" t="s">
        <v>80</v>
      </c>
      <c r="B2218" s="17"/>
      <c r="C2218" s="196" t="s">
        <v>8841</v>
      </c>
      <c r="D2218" s="17"/>
      <c r="E2218" s="17" t="s">
        <v>608</v>
      </c>
      <c r="F2218" s="18" t="s">
        <v>8842</v>
      </c>
      <c r="G2218" s="49" t="s">
        <v>8843</v>
      </c>
      <c r="H2218" s="17">
        <v>48</v>
      </c>
      <c r="J2218" s="62" t="s">
        <v>473</v>
      </c>
      <c r="K2218" s="62"/>
      <c r="L2218" s="62"/>
      <c r="M2218" s="62"/>
      <c r="N2218" s="62"/>
      <c r="O2218" s="62" t="str">
        <f>IF(E2218="PA",IF(K2218&lt;&gt;"",ISERROR(VLOOKUP(K2218,ABBR!A:D,1,FALSE)),ISERROR(VLOOKUP(C2218,ABBR!A:D,1,FALSE))),"")</f>
        <v/>
      </c>
      <c r="P2218" t="str">
        <f>VLOOKUP(A2218,Groups!A:L,5,FALSE)</f>
        <v>PROJ</v>
      </c>
      <c r="Q2218" s="62" t="str">
        <f>IF(G2218="PA",IF(M2218&lt;&gt;"",ISERROR(VLOOKUP(M2218,ABBR!C:F,1,FALSE)),ISERROR(VLOOKUP(E2218,ABBR!C:F,1,FALSE))),"")</f>
        <v/>
      </c>
    </row>
    <row r="2219" spans="1:17" hidden="1" x14ac:dyDescent="0.25">
      <c r="A2219" s="16" t="s">
        <v>282</v>
      </c>
      <c r="B2219" s="17" t="s">
        <v>594</v>
      </c>
      <c r="C2219" s="16" t="s">
        <v>595</v>
      </c>
      <c r="D2219" s="17"/>
      <c r="E2219" s="17" t="s">
        <v>596</v>
      </c>
      <c r="F2219" s="18" t="s">
        <v>597</v>
      </c>
      <c r="G2219" s="49" t="s">
        <v>598</v>
      </c>
      <c r="H2219" s="17">
        <v>1</v>
      </c>
      <c r="O2219" s="62" t="str">
        <f>IF(E2219="PA",IF(K2219&lt;&gt;"",ISERROR(VLOOKUP(K2219,ABBR!A:D,1,FALSE)),ISERROR(VLOOKUP(C2219,ABBR!A:D,1,FALSE))),"")</f>
        <v/>
      </c>
      <c r="P2219" t="str">
        <f>VLOOKUP(A2219,Groups!A:L,5,FALSE)</f>
        <v>SAMP</v>
      </c>
      <c r="Q2219" s="62" t="str">
        <f>IF(G2219="PA",IF(M2219&lt;&gt;"",ISERROR(VLOOKUP(M2219,ABBR!C:F,1,FALSE)),ISERROR(VLOOKUP(E2219,ABBR!C:F,1,FALSE))),"")</f>
        <v/>
      </c>
    </row>
    <row r="2220" spans="1:17" hidden="1" x14ac:dyDescent="0.25">
      <c r="A2220" s="16" t="s">
        <v>282</v>
      </c>
      <c r="B2220" s="17" t="s">
        <v>594</v>
      </c>
      <c r="C2220" s="16" t="s">
        <v>851</v>
      </c>
      <c r="D2220" s="17" t="s">
        <v>600</v>
      </c>
      <c r="E2220" s="17" t="s">
        <v>601</v>
      </c>
      <c r="F2220" s="18" t="s">
        <v>852</v>
      </c>
      <c r="G2220" s="49" t="s">
        <v>853</v>
      </c>
      <c r="H2220" s="17">
        <v>2</v>
      </c>
      <c r="O2220" s="62" t="str">
        <f>IF(E2220="PA",IF(K2220&lt;&gt;"",ISERROR(VLOOKUP(K2220,ABBR!A:D,1,FALSE)),ISERROR(VLOOKUP(C2220,ABBR!A:D,1,FALSE))),"")</f>
        <v/>
      </c>
      <c r="P2220" t="str">
        <f>VLOOKUP(A2220,Groups!A:L,5,FALSE)</f>
        <v>SAMP</v>
      </c>
      <c r="Q2220" s="62" t="str">
        <f>IF(G2220="PA",IF(M2220&lt;&gt;"",ISERROR(VLOOKUP(M2220,ABBR!C:F,1,FALSE)),ISERROR(VLOOKUP(E2220,ABBR!C:F,1,FALSE))),"")</f>
        <v/>
      </c>
    </row>
    <row r="2221" spans="1:17" hidden="1" x14ac:dyDescent="0.25">
      <c r="A2221" s="16" t="s">
        <v>282</v>
      </c>
      <c r="B2221" s="17" t="s">
        <v>594</v>
      </c>
      <c r="C2221" s="16" t="s">
        <v>854</v>
      </c>
      <c r="D2221" s="17"/>
      <c r="E2221" s="17" t="s">
        <v>608</v>
      </c>
      <c r="F2221" s="18" t="s">
        <v>855</v>
      </c>
      <c r="G2221" s="49" t="s">
        <v>941</v>
      </c>
      <c r="H2221" s="17">
        <v>3</v>
      </c>
      <c r="O2221" s="62" t="str">
        <f>IF(E2221="PA",IF(K2221&lt;&gt;"",ISERROR(VLOOKUP(K2221,ABBR!A:D,1,FALSE)),ISERROR(VLOOKUP(C2221,ABBR!A:D,1,FALSE))),"")</f>
        <v/>
      </c>
      <c r="P2221" t="str">
        <f>VLOOKUP(A2221,Groups!A:L,5,FALSE)</f>
        <v>SAMP</v>
      </c>
      <c r="Q2221" s="62" t="str">
        <f>IF(G2221="PA",IF(M2221&lt;&gt;"",ISERROR(VLOOKUP(M2221,ABBR!C:F,1,FALSE)),ISERROR(VLOOKUP(E2221,ABBR!C:F,1,FALSE))),"")</f>
        <v/>
      </c>
    </row>
    <row r="2222" spans="1:17" hidden="1" x14ac:dyDescent="0.25">
      <c r="A2222" s="16" t="s">
        <v>282</v>
      </c>
      <c r="B2222" s="17" t="s">
        <v>594</v>
      </c>
      <c r="C2222" s="16" t="s">
        <v>857</v>
      </c>
      <c r="D2222" s="17"/>
      <c r="E2222" s="17" t="s">
        <v>618</v>
      </c>
      <c r="F2222" s="18" t="s">
        <v>858</v>
      </c>
      <c r="G2222" s="49" t="s">
        <v>3547</v>
      </c>
      <c r="H2222" s="17">
        <v>4</v>
      </c>
      <c r="O2222" s="62" t="b">
        <f>IF(E2222="PA",IF(K2222&lt;&gt;"",ISERROR(VLOOKUP(K2222,ABBR!A:D,1,FALSE)),ISERROR(VLOOKUP(C2222,ABBR!A:D,1,FALSE))),"")</f>
        <v>0</v>
      </c>
      <c r="P2222" t="str">
        <f>VLOOKUP(A2222,Groups!A:L,5,FALSE)</f>
        <v>SAMP</v>
      </c>
      <c r="Q2222" s="62" t="str">
        <f>IF(G2222="PA",IF(M2222&lt;&gt;"",ISERROR(VLOOKUP(M2222,ABBR!C:F,1,FALSE)),ISERROR(VLOOKUP(E2222,ABBR!C:F,1,FALSE))),"")</f>
        <v/>
      </c>
    </row>
    <row r="2223" spans="1:17" hidden="1" x14ac:dyDescent="0.25">
      <c r="A2223" s="16" t="s">
        <v>282</v>
      </c>
      <c r="B2223" s="17" t="s">
        <v>594</v>
      </c>
      <c r="C2223" s="16" t="s">
        <v>860</v>
      </c>
      <c r="D2223" s="17"/>
      <c r="E2223" s="17" t="s">
        <v>596</v>
      </c>
      <c r="F2223" s="18" t="s">
        <v>942</v>
      </c>
      <c r="G2223" s="49" t="s">
        <v>862</v>
      </c>
      <c r="H2223" s="17">
        <v>5</v>
      </c>
      <c r="O2223" s="62" t="str">
        <f>IF(E2223="PA",IF(K2223&lt;&gt;"",ISERROR(VLOOKUP(K2223,ABBR!A:D,1,FALSE)),ISERROR(VLOOKUP(C2223,ABBR!A:D,1,FALSE))),"")</f>
        <v/>
      </c>
      <c r="P2223" t="str">
        <f>VLOOKUP(A2223,Groups!A:L,5,FALSE)</f>
        <v>SAMP</v>
      </c>
      <c r="Q2223" s="62" t="str">
        <f>IF(G2223="PA",IF(M2223&lt;&gt;"",ISERROR(VLOOKUP(M2223,ABBR!C:F,1,FALSE)),ISERROR(VLOOKUP(E2223,ABBR!C:F,1,FALSE))),"")</f>
        <v/>
      </c>
    </row>
    <row r="2224" spans="1:17" hidden="1" x14ac:dyDescent="0.25">
      <c r="A2224" s="16" t="s">
        <v>282</v>
      </c>
      <c r="B2224" s="17" t="s">
        <v>594</v>
      </c>
      <c r="C2224" s="16" t="s">
        <v>863</v>
      </c>
      <c r="D2224" s="17"/>
      <c r="E2224" s="17" t="s">
        <v>608</v>
      </c>
      <c r="F2224" s="18" t="s">
        <v>864</v>
      </c>
      <c r="G2224" s="49" t="s">
        <v>865</v>
      </c>
      <c r="H2224" s="17">
        <v>6</v>
      </c>
      <c r="O2224" s="62" t="str">
        <f>IF(E2224="PA",IF(K2224&lt;&gt;"",ISERROR(VLOOKUP(K2224,ABBR!A:D,1,FALSE)),ISERROR(VLOOKUP(C2224,ABBR!A:D,1,FALSE))),"")</f>
        <v/>
      </c>
      <c r="P2224" t="str">
        <f>VLOOKUP(A2224,Groups!A:L,5,FALSE)</f>
        <v>SAMP</v>
      </c>
      <c r="Q2224" s="62" t="str">
        <f>IF(G2224="PA",IF(M2224&lt;&gt;"",ISERROR(VLOOKUP(M2224,ABBR!C:F,1,FALSE)),ISERROR(VLOOKUP(E2224,ABBR!C:F,1,FALSE))),"")</f>
        <v/>
      </c>
    </row>
    <row r="2225" spans="1:17" hidden="1" x14ac:dyDescent="0.25">
      <c r="A2225" s="16" t="s">
        <v>282</v>
      </c>
      <c r="B2225" s="17" t="s">
        <v>594</v>
      </c>
      <c r="C2225" s="16" t="s">
        <v>866</v>
      </c>
      <c r="D2225" s="17" t="s">
        <v>600</v>
      </c>
      <c r="E2225" s="17" t="s">
        <v>601</v>
      </c>
      <c r="F2225" s="18" t="s">
        <v>867</v>
      </c>
      <c r="G2225" s="49" t="s">
        <v>853</v>
      </c>
      <c r="H2225" s="17">
        <v>7</v>
      </c>
      <c r="O2225" s="62" t="str">
        <f>IF(E2225="PA",IF(K2225&lt;&gt;"",ISERROR(VLOOKUP(K2225,ABBR!A:D,1,FALSE)),ISERROR(VLOOKUP(C2225,ABBR!A:D,1,FALSE))),"")</f>
        <v/>
      </c>
      <c r="P2225" t="str">
        <f>VLOOKUP(A2225,Groups!A:L,5,FALSE)</f>
        <v>SAMP</v>
      </c>
      <c r="Q2225" s="62" t="str">
        <f>IF(G2225="PA",IF(M2225&lt;&gt;"",ISERROR(VLOOKUP(M2225,ABBR!C:F,1,FALSE)),ISERROR(VLOOKUP(E2225,ABBR!C:F,1,FALSE))),"")</f>
        <v/>
      </c>
    </row>
    <row r="2226" spans="1:17" hidden="1" x14ac:dyDescent="0.25">
      <c r="A2226" s="16" t="s">
        <v>282</v>
      </c>
      <c r="B2226" s="17"/>
      <c r="C2226" s="16" t="s">
        <v>868</v>
      </c>
      <c r="D2226" s="17"/>
      <c r="E2226" s="17" t="s">
        <v>608</v>
      </c>
      <c r="F2226" s="18" t="s">
        <v>869</v>
      </c>
      <c r="G2226" s="51" t="s">
        <v>1269</v>
      </c>
      <c r="H2226" s="17">
        <v>8</v>
      </c>
      <c r="O2226" s="62" t="str">
        <f>IF(E2226="PA",IF(K2226&lt;&gt;"",ISERROR(VLOOKUP(K2226,ABBR!A:D,1,FALSE)),ISERROR(VLOOKUP(C2226,ABBR!A:D,1,FALSE))),"")</f>
        <v/>
      </c>
      <c r="P2226" t="str">
        <f>VLOOKUP(A2226,Groups!A:L,5,FALSE)</f>
        <v>SAMP</v>
      </c>
      <c r="Q2226" s="62" t="str">
        <f>IF(G2226="PA",IF(M2226&lt;&gt;"",ISERROR(VLOOKUP(M2226,ABBR!C:F,1,FALSE)),ISERROR(VLOOKUP(E2226,ABBR!C:F,1,FALSE))),"")</f>
        <v/>
      </c>
    </row>
    <row r="2227" spans="1:17" ht="25" hidden="1" x14ac:dyDescent="0.25">
      <c r="A2227" s="16" t="s">
        <v>282</v>
      </c>
      <c r="B2227" s="17"/>
      <c r="C2227" s="16" t="s">
        <v>871</v>
      </c>
      <c r="D2227" s="17"/>
      <c r="E2227" s="17" t="s">
        <v>608</v>
      </c>
      <c r="F2227" s="18" t="s">
        <v>872</v>
      </c>
      <c r="G2227" s="49" t="s">
        <v>873</v>
      </c>
      <c r="H2227" s="17">
        <v>9</v>
      </c>
      <c r="O2227" s="62" t="str">
        <f>IF(E2227="PA",IF(K2227&lt;&gt;"",ISERROR(VLOOKUP(K2227,ABBR!A:D,1,FALSE)),ISERROR(VLOOKUP(C2227,ABBR!A:D,1,FALSE))),"")</f>
        <v/>
      </c>
      <c r="P2227" t="str">
        <f>VLOOKUP(A2227,Groups!A:L,5,FALSE)</f>
        <v>SAMP</v>
      </c>
      <c r="Q2227" s="62" t="str">
        <f>IF(G2227="PA",IF(M2227&lt;&gt;"",ISERROR(VLOOKUP(M2227,ABBR!C:F,1,FALSE)),ISERROR(VLOOKUP(E2227,ABBR!C:F,1,FALSE))),"")</f>
        <v/>
      </c>
    </row>
    <row r="2228" spans="1:17" hidden="1" x14ac:dyDescent="0.25">
      <c r="A2228" s="16" t="s">
        <v>282</v>
      </c>
      <c r="B2228" s="17"/>
      <c r="C2228" s="16" t="s">
        <v>4027</v>
      </c>
      <c r="D2228" s="17" t="s">
        <v>1077</v>
      </c>
      <c r="E2228" s="17" t="s">
        <v>1391</v>
      </c>
      <c r="F2228" s="18" t="s">
        <v>1462</v>
      </c>
      <c r="G2228" s="49" t="s">
        <v>1463</v>
      </c>
      <c r="H2228" s="17">
        <v>10</v>
      </c>
      <c r="O2228" s="62" t="str">
        <f>IF(E2228="PA",IF(K2228&lt;&gt;"",ISERROR(VLOOKUP(K2228,ABBR!A:D,1,FALSE)),ISERROR(VLOOKUP(C2228,ABBR!A:D,1,FALSE))),"")</f>
        <v/>
      </c>
      <c r="P2228" t="str">
        <f>VLOOKUP(A2228,Groups!A:L,5,FALSE)</f>
        <v>SAMP</v>
      </c>
      <c r="Q2228" s="62" t="str">
        <f>IF(G2228="PA",IF(M2228&lt;&gt;"",ISERROR(VLOOKUP(M2228,ABBR!C:F,1,FALSE)),ISERROR(VLOOKUP(E2228,ABBR!C:F,1,FALSE))),"")</f>
        <v/>
      </c>
    </row>
    <row r="2229" spans="1:17" hidden="1" x14ac:dyDescent="0.25">
      <c r="A2229" s="16" t="s">
        <v>282</v>
      </c>
      <c r="B2229" s="17"/>
      <c r="C2229" s="16" t="s">
        <v>4028</v>
      </c>
      <c r="D2229" s="17"/>
      <c r="E2229" s="17" t="s">
        <v>618</v>
      </c>
      <c r="F2229" s="18" t="s">
        <v>4029</v>
      </c>
      <c r="G2229" s="49" t="s">
        <v>4030</v>
      </c>
      <c r="H2229" s="17">
        <v>11</v>
      </c>
      <c r="O2229" s="62" t="b">
        <f>IF(E2229="PA",IF(K2229&lt;&gt;"",ISERROR(VLOOKUP(K2229,ABBR!A:D,1,FALSE)),ISERROR(VLOOKUP(C2229,ABBR!A:D,1,FALSE))),"")</f>
        <v>0</v>
      </c>
      <c r="P2229" t="str">
        <f>VLOOKUP(A2229,Groups!A:L,5,FALSE)</f>
        <v>SAMP</v>
      </c>
      <c r="Q2229" s="62" t="str">
        <f>IF(G2229="PA",IF(M2229&lt;&gt;"",ISERROR(VLOOKUP(M2229,ABBR!C:F,1,FALSE)),ISERROR(VLOOKUP(E2229,ABBR!C:F,1,FALSE))),"")</f>
        <v/>
      </c>
    </row>
    <row r="2230" spans="1:17" ht="25" hidden="1" x14ac:dyDescent="0.25">
      <c r="A2230" s="16" t="s">
        <v>282</v>
      </c>
      <c r="B2230" s="17"/>
      <c r="C2230" s="16" t="s">
        <v>4031</v>
      </c>
      <c r="D2230" s="17"/>
      <c r="E2230" s="17" t="s">
        <v>608</v>
      </c>
      <c r="F2230" s="18" t="s">
        <v>642</v>
      </c>
      <c r="G2230" s="49" t="s">
        <v>4032</v>
      </c>
      <c r="H2230" s="17">
        <v>12</v>
      </c>
      <c r="O2230" s="62" t="str">
        <f>IF(E2230="PA",IF(K2230&lt;&gt;"",ISERROR(VLOOKUP(K2230,ABBR!A:D,1,FALSE)),ISERROR(VLOOKUP(C2230,ABBR!A:D,1,FALSE))),"")</f>
        <v/>
      </c>
      <c r="P2230" t="str">
        <f>VLOOKUP(A2230,Groups!A:L,5,FALSE)</f>
        <v>SAMP</v>
      </c>
      <c r="Q2230" s="62" t="str">
        <f>IF(G2230="PA",IF(M2230&lt;&gt;"",ISERROR(VLOOKUP(M2230,ABBR!C:F,1,FALSE)),ISERROR(VLOOKUP(E2230,ABBR!C:F,1,FALSE))),"")</f>
        <v/>
      </c>
    </row>
    <row r="2231" spans="1:17" ht="25" hidden="1" x14ac:dyDescent="0.25">
      <c r="A2231" s="16" t="s">
        <v>282</v>
      </c>
      <c r="B2231" s="17"/>
      <c r="C2231" s="16" t="s">
        <v>4033</v>
      </c>
      <c r="D2231" s="17"/>
      <c r="E2231" s="17" t="s">
        <v>608</v>
      </c>
      <c r="F2231" s="18" t="s">
        <v>918</v>
      </c>
      <c r="G2231" s="49" t="s">
        <v>4034</v>
      </c>
      <c r="H2231" s="17">
        <v>13</v>
      </c>
      <c r="O2231" s="62" t="str">
        <f>IF(E2231="PA",IF(K2231&lt;&gt;"",ISERROR(VLOOKUP(K2231,ABBR!A:D,1,FALSE)),ISERROR(VLOOKUP(C2231,ABBR!A:D,1,FALSE))),"")</f>
        <v/>
      </c>
      <c r="P2231" t="str">
        <f>VLOOKUP(A2231,Groups!A:L,5,FALSE)</f>
        <v>SAMP</v>
      </c>
      <c r="Q2231" s="62" t="str">
        <f>IF(G2231="PA",IF(M2231&lt;&gt;"",ISERROR(VLOOKUP(M2231,ABBR!C:F,1,FALSE)),ISERROR(VLOOKUP(E2231,ABBR!C:F,1,FALSE))),"")</f>
        <v/>
      </c>
    </row>
    <row r="2232" spans="1:17" hidden="1" x14ac:dyDescent="0.25">
      <c r="A2232" s="16" t="s">
        <v>282</v>
      </c>
      <c r="B2232" s="17"/>
      <c r="C2232" s="16" t="s">
        <v>4035</v>
      </c>
      <c r="D2232" s="17"/>
      <c r="E2232" s="17" t="s">
        <v>608</v>
      </c>
      <c r="F2232" s="18" t="s">
        <v>950</v>
      </c>
      <c r="G2232" s="27" t="s">
        <v>951</v>
      </c>
      <c r="H2232" s="17">
        <v>14</v>
      </c>
      <c r="O2232" s="62" t="str">
        <f>IF(E2232="PA",IF(K2232&lt;&gt;"",ISERROR(VLOOKUP(K2232,ABBR!A:D,1,FALSE)),ISERROR(VLOOKUP(C2232,ABBR!A:D,1,FALSE))),"")</f>
        <v/>
      </c>
      <c r="P2232" t="str">
        <f>VLOOKUP(A2232,Groups!A:L,5,FALSE)</f>
        <v>SAMP</v>
      </c>
      <c r="Q2232" s="62" t="str">
        <f>IF(G2232="PA",IF(M2232&lt;&gt;"",ISERROR(VLOOKUP(M2232,ABBR!C:F,1,FALSE)),ISERROR(VLOOKUP(E2232,ABBR!C:F,1,FALSE))),"")</f>
        <v/>
      </c>
    </row>
    <row r="2233" spans="1:17" ht="25" hidden="1" x14ac:dyDescent="0.25">
      <c r="A2233" s="16" t="s">
        <v>282</v>
      </c>
      <c r="B2233" s="17"/>
      <c r="C2233" s="16" t="s">
        <v>4036</v>
      </c>
      <c r="D2233" s="17"/>
      <c r="E2233" s="17" t="s">
        <v>608</v>
      </c>
      <c r="F2233" s="18" t="s">
        <v>934</v>
      </c>
      <c r="G2233" s="49" t="s">
        <v>953</v>
      </c>
      <c r="H2233" s="17">
        <v>15</v>
      </c>
      <c r="O2233" s="62" t="str">
        <f>IF(E2233="PA",IF(K2233&lt;&gt;"",ISERROR(VLOOKUP(K2233,ABBR!A:D,1,FALSE)),ISERROR(VLOOKUP(C2233,ABBR!A:D,1,FALSE))),"")</f>
        <v/>
      </c>
      <c r="P2233" t="str">
        <f>VLOOKUP(A2233,Groups!A:L,5,FALSE)</f>
        <v>SAMP</v>
      </c>
      <c r="Q2233" s="62" t="str">
        <f>IF(G2233="PA",IF(M2233&lt;&gt;"",ISERROR(VLOOKUP(M2233,ABBR!C:F,1,FALSE)),ISERROR(VLOOKUP(E2233,ABBR!C:F,1,FALSE))),"")</f>
        <v/>
      </c>
    </row>
    <row r="2234" spans="1:17" hidden="1" x14ac:dyDescent="0.25">
      <c r="A2234" s="16" t="s">
        <v>282</v>
      </c>
      <c r="B2234" s="17"/>
      <c r="C2234" s="16" t="s">
        <v>936</v>
      </c>
      <c r="D2234" s="17"/>
      <c r="E2234" s="17" t="s">
        <v>608</v>
      </c>
      <c r="F2234" s="18" t="s">
        <v>937</v>
      </c>
      <c r="G2234" s="49" t="s">
        <v>938</v>
      </c>
      <c r="H2234" s="17">
        <v>16</v>
      </c>
      <c r="O2234" s="62" t="str">
        <f>IF(E2234="PA",IF(K2234&lt;&gt;"",ISERROR(VLOOKUP(K2234,ABBR!A:D,1,FALSE)),ISERROR(VLOOKUP(C2234,ABBR!A:D,1,FALSE))),"")</f>
        <v/>
      </c>
      <c r="P2234" t="str">
        <f>VLOOKUP(A2234,Groups!A:L,5,FALSE)</f>
        <v>SAMP</v>
      </c>
      <c r="Q2234" s="62" t="str">
        <f>IF(G2234="PA",IF(M2234&lt;&gt;"",ISERROR(VLOOKUP(M2234,ABBR!C:F,1,FALSE)),ISERROR(VLOOKUP(E2234,ABBR!C:F,1,FALSE))),"")</f>
        <v/>
      </c>
    </row>
    <row r="2235" spans="1:17" hidden="1" x14ac:dyDescent="0.25">
      <c r="A2235" s="16" t="s">
        <v>282</v>
      </c>
      <c r="B2235" s="17"/>
      <c r="C2235" s="16" t="s">
        <v>643</v>
      </c>
      <c r="D2235" s="17"/>
      <c r="E2235" s="17" t="s">
        <v>608</v>
      </c>
      <c r="F2235" s="18" t="s">
        <v>954</v>
      </c>
      <c r="G2235" s="49" t="s">
        <v>940</v>
      </c>
      <c r="H2235" s="17">
        <v>17</v>
      </c>
      <c r="O2235" s="62" t="str">
        <f>IF(E2235="PA",IF(K2235&lt;&gt;"",ISERROR(VLOOKUP(K2235,ABBR!A:D,1,FALSE)),ISERROR(VLOOKUP(C2235,ABBR!A:D,1,FALSE))),"")</f>
        <v/>
      </c>
      <c r="P2235" t="str">
        <f>VLOOKUP(A2235,Groups!A:L,5,FALSE)</f>
        <v>SAMP</v>
      </c>
      <c r="Q2235" s="62" t="str">
        <f>IF(G2235="PA",IF(M2235&lt;&gt;"",ISERROR(VLOOKUP(M2235,ABBR!C:F,1,FALSE)),ISERROR(VLOOKUP(E2235,ABBR!C:F,1,FALSE))),"")</f>
        <v/>
      </c>
    </row>
    <row r="2236" spans="1:17" hidden="1" x14ac:dyDescent="0.25">
      <c r="A2236" s="16" t="s">
        <v>282</v>
      </c>
      <c r="B2236" s="17"/>
      <c r="C2236" s="16" t="s">
        <v>877</v>
      </c>
      <c r="D2236" s="17" t="s">
        <v>600</v>
      </c>
      <c r="E2236" s="17" t="s">
        <v>601</v>
      </c>
      <c r="F2236" s="18" t="s">
        <v>878</v>
      </c>
      <c r="G2236" s="49" t="s">
        <v>879</v>
      </c>
      <c r="H2236" s="17">
        <v>18</v>
      </c>
      <c r="I2236" s="30" t="s">
        <v>955</v>
      </c>
      <c r="J2236" s="80">
        <v>4.0999999999999996</v>
      </c>
      <c r="O2236" s="62" t="str">
        <f>IF(E2236="PA",IF(K2236&lt;&gt;"",ISERROR(VLOOKUP(K2236,ABBR!A:D,1,FALSE)),ISERROR(VLOOKUP(C2236,ABBR!A:D,1,FALSE))),"")</f>
        <v/>
      </c>
      <c r="P2236" t="str">
        <f>VLOOKUP(A2236,Groups!A:L,5,FALSE)</f>
        <v>SAMP</v>
      </c>
      <c r="Q2236" s="62" t="str">
        <f>IF(G2236="PA",IF(M2236&lt;&gt;"",ISERROR(VLOOKUP(M2236,ABBR!C:F,1,FALSE)),ISERROR(VLOOKUP(E2236,ABBR!C:F,1,FALSE))),"")</f>
        <v/>
      </c>
    </row>
    <row r="2237" spans="1:17" ht="37.5" hidden="1" x14ac:dyDescent="0.25">
      <c r="A2237" s="16" t="s">
        <v>282</v>
      </c>
      <c r="B2237" s="17"/>
      <c r="C2237" s="16" t="s">
        <v>4037</v>
      </c>
      <c r="D2237" s="17"/>
      <c r="E2237" s="17" t="s">
        <v>608</v>
      </c>
      <c r="F2237" s="18" t="s">
        <v>2939</v>
      </c>
      <c r="G2237" s="49" t="s">
        <v>4038</v>
      </c>
      <c r="H2237" s="17">
        <v>19</v>
      </c>
      <c r="I2237" s="30" t="s">
        <v>955</v>
      </c>
      <c r="J2237" s="80">
        <v>4.0999999999999996</v>
      </c>
      <c r="O2237" s="62" t="str">
        <f>IF(E2237="PA",IF(K2237&lt;&gt;"",ISERROR(VLOOKUP(K2237,ABBR!A:D,1,FALSE)),ISERROR(VLOOKUP(C2237,ABBR!A:D,1,FALSE))),"")</f>
        <v/>
      </c>
      <c r="P2237" t="str">
        <f>VLOOKUP(A2237,Groups!A:L,5,FALSE)</f>
        <v>SAMP</v>
      </c>
      <c r="Q2237" s="62" t="str">
        <f>IF(G2237="PA",IF(M2237&lt;&gt;"",ISERROR(VLOOKUP(M2237,ABBR!C:F,1,FALSE)),ISERROR(VLOOKUP(E2237,ABBR!C:F,1,FALSE))),"")</f>
        <v/>
      </c>
    </row>
    <row r="2238" spans="1:17" hidden="1" x14ac:dyDescent="0.25">
      <c r="A2238" s="16" t="s">
        <v>282</v>
      </c>
      <c r="B2238" s="17"/>
      <c r="C2238" s="16" t="s">
        <v>4039</v>
      </c>
      <c r="D2238" s="17" t="s">
        <v>2598</v>
      </c>
      <c r="E2238" s="17" t="s">
        <v>767</v>
      </c>
      <c r="F2238" s="18" t="s">
        <v>4040</v>
      </c>
      <c r="G2238" s="49" t="s">
        <v>4041</v>
      </c>
      <c r="H2238" s="17">
        <v>20</v>
      </c>
      <c r="I2238" s="30" t="s">
        <v>955</v>
      </c>
      <c r="J2238" s="80">
        <v>4.0999999999999996</v>
      </c>
      <c r="O2238" s="62" t="str">
        <f>IF(E2238="PA",IF(K2238&lt;&gt;"",ISERROR(VLOOKUP(K2238,ABBR!A:D,1,FALSE)),ISERROR(VLOOKUP(C2238,ABBR!A:D,1,FALSE))),"")</f>
        <v/>
      </c>
      <c r="P2238" t="str">
        <f>VLOOKUP(A2238,Groups!A:L,5,FALSE)</f>
        <v>SAMP</v>
      </c>
      <c r="Q2238" s="62" t="str">
        <f>IF(G2238="PA",IF(M2238&lt;&gt;"",ISERROR(VLOOKUP(M2238,ABBR!C:F,1,FALSE)),ISERROR(VLOOKUP(E2238,ABBR!C:F,1,FALSE))),"")</f>
        <v/>
      </c>
    </row>
    <row r="2239" spans="1:17" hidden="1" x14ac:dyDescent="0.25">
      <c r="A2239" s="16" t="s">
        <v>282</v>
      </c>
      <c r="B2239" s="17"/>
      <c r="C2239" s="16" t="s">
        <v>4042</v>
      </c>
      <c r="D2239" s="17"/>
      <c r="E2239" s="17" t="s">
        <v>618</v>
      </c>
      <c r="F2239" s="18" t="s">
        <v>4043</v>
      </c>
      <c r="G2239" s="49" t="s">
        <v>4044</v>
      </c>
      <c r="H2239" s="17">
        <v>21</v>
      </c>
      <c r="I2239" s="30" t="s">
        <v>955</v>
      </c>
      <c r="J2239" s="80">
        <v>4.0999999999999996</v>
      </c>
      <c r="O2239" s="62" t="b">
        <f>IF(E2239="PA",IF(K2239&lt;&gt;"",ISERROR(VLOOKUP(K2239,ABBR!A:D,1,FALSE)),ISERROR(VLOOKUP(C2239,ABBR!A:D,1,FALSE))),"")</f>
        <v>0</v>
      </c>
      <c r="P2239" t="str">
        <f>VLOOKUP(A2239,Groups!A:L,5,FALSE)</f>
        <v>SAMP</v>
      </c>
      <c r="Q2239" s="62" t="str">
        <f>IF(G2239="PA",IF(M2239&lt;&gt;"",ISERROR(VLOOKUP(M2239,ABBR!C:F,1,FALSE)),ISERROR(VLOOKUP(E2239,ABBR!C:F,1,FALSE))),"")</f>
        <v/>
      </c>
    </row>
    <row r="2240" spans="1:17" hidden="1" x14ac:dyDescent="0.25">
      <c r="A2240" s="16" t="s">
        <v>282</v>
      </c>
      <c r="B2240" s="17"/>
      <c r="C2240" s="16" t="s">
        <v>4045</v>
      </c>
      <c r="D2240" s="17" t="s">
        <v>924</v>
      </c>
      <c r="E2240" s="17" t="s">
        <v>925</v>
      </c>
      <c r="F2240" s="18" t="s">
        <v>926</v>
      </c>
      <c r="G2240" s="49" t="s">
        <v>927</v>
      </c>
      <c r="H2240" s="17">
        <v>22</v>
      </c>
      <c r="J2240" s="62" t="s">
        <v>473</v>
      </c>
      <c r="K2240" s="62"/>
      <c r="L2240" s="62"/>
      <c r="M2240" s="62"/>
      <c r="N2240" s="62"/>
      <c r="O2240" s="62" t="str">
        <f>IF(E2240="PA",IF(K2240&lt;&gt;"",ISERROR(VLOOKUP(K2240,ABBR!A:D,1,FALSE)),ISERROR(VLOOKUP(C2240,ABBR!A:D,1,FALSE))),"")</f>
        <v/>
      </c>
      <c r="P2240" t="str">
        <f>VLOOKUP(A2240,Groups!A:L,5,FALSE)</f>
        <v>SAMP</v>
      </c>
      <c r="Q2240" s="62" t="str">
        <f>IF(G2240="PA",IF(M2240&lt;&gt;"",ISERROR(VLOOKUP(M2240,ABBR!C:F,1,FALSE)),ISERROR(VLOOKUP(E2240,ABBR!C:F,1,FALSE))),"")</f>
        <v/>
      </c>
    </row>
    <row r="2241" spans="1:17" hidden="1" x14ac:dyDescent="0.25">
      <c r="A2241" s="16" t="s">
        <v>282</v>
      </c>
      <c r="B2241" s="17"/>
      <c r="C2241" s="16" t="s">
        <v>4046</v>
      </c>
      <c r="D2241" s="17"/>
      <c r="E2241" s="17" t="s">
        <v>608</v>
      </c>
      <c r="F2241" s="18" t="s">
        <v>875</v>
      </c>
      <c r="G2241" s="49" t="s">
        <v>876</v>
      </c>
      <c r="H2241" s="17">
        <v>23</v>
      </c>
      <c r="J2241" s="62" t="s">
        <v>473</v>
      </c>
      <c r="K2241" s="62"/>
      <c r="L2241" s="62"/>
      <c r="M2241" s="62"/>
      <c r="N2241" s="62"/>
      <c r="O2241" s="62" t="str">
        <f>IF(E2241="PA",IF(K2241&lt;&gt;"",ISERROR(VLOOKUP(K2241,ABBR!A:D,1,FALSE)),ISERROR(VLOOKUP(C2241,ABBR!A:D,1,FALSE))),"")</f>
        <v/>
      </c>
      <c r="P2241" t="str">
        <f>VLOOKUP(A2241,Groups!A:L,5,FALSE)</f>
        <v>SAMP</v>
      </c>
      <c r="Q2241" s="62" t="str">
        <f>IF(G2241="PA",IF(M2241&lt;&gt;"",ISERROR(VLOOKUP(M2241,ABBR!C:F,1,FALSE)),ISERROR(VLOOKUP(E2241,ABBR!C:F,1,FALSE))),"")</f>
        <v/>
      </c>
    </row>
    <row r="2242" spans="1:17" hidden="1" x14ac:dyDescent="0.25">
      <c r="A2242" s="16" t="s">
        <v>282</v>
      </c>
      <c r="B2242" s="17"/>
      <c r="C2242" s="16" t="s">
        <v>4047</v>
      </c>
      <c r="D2242" s="17"/>
      <c r="E2242" s="17" t="s">
        <v>608</v>
      </c>
      <c r="F2242" s="18" t="s">
        <v>929</v>
      </c>
      <c r="G2242" s="49" t="s">
        <v>876</v>
      </c>
      <c r="H2242" s="17">
        <v>24</v>
      </c>
      <c r="J2242" s="62" t="s">
        <v>473</v>
      </c>
      <c r="K2242" s="62"/>
      <c r="L2242" s="62"/>
      <c r="M2242" s="62"/>
      <c r="N2242" s="62"/>
      <c r="O2242" s="62" t="str">
        <f>IF(E2242="PA",IF(K2242&lt;&gt;"",ISERROR(VLOOKUP(K2242,ABBR!A:D,1,FALSE)),ISERROR(VLOOKUP(C2242,ABBR!A:D,1,FALSE))),"")</f>
        <v/>
      </c>
      <c r="P2242" t="str">
        <f>VLOOKUP(A2242,Groups!A:L,5,FALSE)</f>
        <v>SAMP</v>
      </c>
      <c r="Q2242" s="62" t="str">
        <f>IF(G2242="PA",IF(M2242&lt;&gt;"",ISERROR(VLOOKUP(M2242,ABBR!C:F,1,FALSE)),ISERROR(VLOOKUP(E2242,ABBR!C:F,1,FALSE))),"")</f>
        <v/>
      </c>
    </row>
    <row r="2243" spans="1:17" hidden="1" x14ac:dyDescent="0.25">
      <c r="A2243" s="16" t="s">
        <v>284</v>
      </c>
      <c r="B2243" s="17" t="s">
        <v>594</v>
      </c>
      <c r="C2243" s="16" t="s">
        <v>595</v>
      </c>
      <c r="D2243" s="17"/>
      <c r="E2243" s="17" t="s">
        <v>596</v>
      </c>
      <c r="F2243" s="18" t="s">
        <v>597</v>
      </c>
      <c r="G2243" s="49" t="s">
        <v>598</v>
      </c>
      <c r="H2243" s="17">
        <v>1</v>
      </c>
      <c r="J2243" s="62"/>
      <c r="O2243" s="62" t="str">
        <f>IF(E2243="PA",IF(K2243&lt;&gt;"",ISERROR(VLOOKUP(K2243,ABBR!A:D,1,FALSE)),ISERROR(VLOOKUP(C2243,ABBR!A:D,1,FALSE))),"")</f>
        <v/>
      </c>
      <c r="P2243" t="str">
        <f>VLOOKUP(A2243,Groups!A:L,5,FALSE)</f>
        <v>SAMP</v>
      </c>
      <c r="Q2243" s="62" t="str">
        <f>IF(G2243="PA",IF(M2243&lt;&gt;"",ISERROR(VLOOKUP(M2243,ABBR!C:F,1,FALSE)),ISERROR(VLOOKUP(E2243,ABBR!C:F,1,FALSE))),"")</f>
        <v/>
      </c>
    </row>
    <row r="2244" spans="1:17" hidden="1" x14ac:dyDescent="0.25">
      <c r="A2244" s="16" t="s">
        <v>284</v>
      </c>
      <c r="B2244" s="17" t="s">
        <v>594</v>
      </c>
      <c r="C2244" s="16" t="s">
        <v>851</v>
      </c>
      <c r="D2244" s="17" t="s">
        <v>600</v>
      </c>
      <c r="E2244" s="17" t="s">
        <v>601</v>
      </c>
      <c r="F2244" s="18" t="s">
        <v>852</v>
      </c>
      <c r="G2244" s="49" t="s">
        <v>853</v>
      </c>
      <c r="H2244" s="17">
        <v>2</v>
      </c>
      <c r="O2244" s="62" t="str">
        <f>IF(E2244="PA",IF(K2244&lt;&gt;"",ISERROR(VLOOKUP(K2244,ABBR!A:D,1,FALSE)),ISERROR(VLOOKUP(C2244,ABBR!A:D,1,FALSE))),"")</f>
        <v/>
      </c>
      <c r="P2244" t="str">
        <f>VLOOKUP(A2244,Groups!A:L,5,FALSE)</f>
        <v>SAMP</v>
      </c>
      <c r="Q2244" s="62" t="str">
        <f>IF(G2244="PA",IF(M2244&lt;&gt;"",ISERROR(VLOOKUP(M2244,ABBR!C:F,1,FALSE)),ISERROR(VLOOKUP(E2244,ABBR!C:F,1,FALSE))),"")</f>
        <v/>
      </c>
    </row>
    <row r="2245" spans="1:17" hidden="1" x14ac:dyDescent="0.25">
      <c r="A2245" s="16" t="s">
        <v>284</v>
      </c>
      <c r="B2245" s="17" t="s">
        <v>594</v>
      </c>
      <c r="C2245" s="16" t="s">
        <v>854</v>
      </c>
      <c r="D2245" s="17"/>
      <c r="E2245" s="17" t="s">
        <v>608</v>
      </c>
      <c r="F2245" s="18" t="s">
        <v>855</v>
      </c>
      <c r="G2245" s="49" t="s">
        <v>941</v>
      </c>
      <c r="H2245" s="17">
        <v>3</v>
      </c>
      <c r="O2245" s="62" t="str">
        <f>IF(E2245="PA",IF(K2245&lt;&gt;"",ISERROR(VLOOKUP(K2245,ABBR!A:D,1,FALSE)),ISERROR(VLOOKUP(C2245,ABBR!A:D,1,FALSE))),"")</f>
        <v/>
      </c>
      <c r="P2245" t="str">
        <f>VLOOKUP(A2245,Groups!A:L,5,FALSE)</f>
        <v>SAMP</v>
      </c>
      <c r="Q2245" s="62" t="str">
        <f>IF(G2245="PA",IF(M2245&lt;&gt;"",ISERROR(VLOOKUP(M2245,ABBR!C:F,1,FALSE)),ISERROR(VLOOKUP(E2245,ABBR!C:F,1,FALSE))),"")</f>
        <v/>
      </c>
    </row>
    <row r="2246" spans="1:17" hidden="1" x14ac:dyDescent="0.25">
      <c r="A2246" s="16" t="s">
        <v>284</v>
      </c>
      <c r="B2246" s="17" t="s">
        <v>594</v>
      </c>
      <c r="C2246" s="16" t="s">
        <v>857</v>
      </c>
      <c r="D2246" s="17"/>
      <c r="E2246" s="17" t="s">
        <v>618</v>
      </c>
      <c r="F2246" s="18" t="s">
        <v>858</v>
      </c>
      <c r="G2246" s="49" t="s">
        <v>3547</v>
      </c>
      <c r="H2246" s="17">
        <v>4</v>
      </c>
      <c r="O2246" s="62" t="b">
        <f>IF(E2246="PA",IF(K2246&lt;&gt;"",ISERROR(VLOOKUP(K2246,ABBR!A:D,1,FALSE)),ISERROR(VLOOKUP(C2246,ABBR!A:D,1,FALSE))),"")</f>
        <v>0</v>
      </c>
      <c r="P2246" t="str">
        <f>VLOOKUP(A2246,Groups!A:L,5,FALSE)</f>
        <v>SAMP</v>
      </c>
      <c r="Q2246" s="62" t="str">
        <f>IF(G2246="PA",IF(M2246&lt;&gt;"",ISERROR(VLOOKUP(M2246,ABBR!C:F,1,FALSE)),ISERROR(VLOOKUP(E2246,ABBR!C:F,1,FALSE))),"")</f>
        <v/>
      </c>
    </row>
    <row r="2247" spans="1:17" hidden="1" x14ac:dyDescent="0.25">
      <c r="A2247" s="16" t="s">
        <v>284</v>
      </c>
      <c r="B2247" s="17" t="s">
        <v>594</v>
      </c>
      <c r="C2247" s="16" t="s">
        <v>860</v>
      </c>
      <c r="D2247" s="17"/>
      <c r="E2247" s="17" t="s">
        <v>596</v>
      </c>
      <c r="F2247" s="18" t="s">
        <v>942</v>
      </c>
      <c r="G2247" s="49" t="s">
        <v>862</v>
      </c>
      <c r="H2247" s="17">
        <v>5</v>
      </c>
      <c r="O2247" s="62" t="str">
        <f>IF(E2247="PA",IF(K2247&lt;&gt;"",ISERROR(VLOOKUP(K2247,ABBR!A:D,1,FALSE)),ISERROR(VLOOKUP(C2247,ABBR!A:D,1,FALSE))),"")</f>
        <v/>
      </c>
      <c r="P2247" t="str">
        <f>VLOOKUP(A2247,Groups!A:L,5,FALSE)</f>
        <v>SAMP</v>
      </c>
      <c r="Q2247" s="62" t="str">
        <f>IF(G2247="PA",IF(M2247&lt;&gt;"",ISERROR(VLOOKUP(M2247,ABBR!C:F,1,FALSE)),ISERROR(VLOOKUP(E2247,ABBR!C:F,1,FALSE))),"")</f>
        <v/>
      </c>
    </row>
    <row r="2248" spans="1:17" hidden="1" x14ac:dyDescent="0.25">
      <c r="A2248" s="16" t="s">
        <v>284</v>
      </c>
      <c r="B2248" s="17" t="s">
        <v>594</v>
      </c>
      <c r="C2248" s="16" t="s">
        <v>863</v>
      </c>
      <c r="D2248" s="17"/>
      <c r="E2248" s="17" t="s">
        <v>608</v>
      </c>
      <c r="F2248" s="18" t="s">
        <v>864</v>
      </c>
      <c r="G2248" s="49" t="s">
        <v>865</v>
      </c>
      <c r="H2248" s="17">
        <v>6</v>
      </c>
      <c r="O2248" s="62" t="str">
        <f>IF(E2248="PA",IF(K2248&lt;&gt;"",ISERROR(VLOOKUP(K2248,ABBR!A:D,1,FALSE)),ISERROR(VLOOKUP(C2248,ABBR!A:D,1,FALSE))),"")</f>
        <v/>
      </c>
      <c r="P2248" t="str">
        <f>VLOOKUP(A2248,Groups!A:L,5,FALSE)</f>
        <v>SAMP</v>
      </c>
      <c r="Q2248" s="62" t="str">
        <f>IF(G2248="PA",IF(M2248&lt;&gt;"",ISERROR(VLOOKUP(M2248,ABBR!C:F,1,FALSE)),ISERROR(VLOOKUP(E2248,ABBR!C:F,1,FALSE))),"")</f>
        <v/>
      </c>
    </row>
    <row r="2249" spans="1:17" hidden="1" x14ac:dyDescent="0.25">
      <c r="A2249" s="16" t="s">
        <v>284</v>
      </c>
      <c r="B2249" s="17" t="s">
        <v>594</v>
      </c>
      <c r="C2249" s="16" t="s">
        <v>866</v>
      </c>
      <c r="D2249" s="17" t="s">
        <v>600</v>
      </c>
      <c r="E2249" s="17" t="s">
        <v>601</v>
      </c>
      <c r="F2249" s="18" t="s">
        <v>867</v>
      </c>
      <c r="G2249" s="49" t="s">
        <v>853</v>
      </c>
      <c r="H2249" s="17">
        <v>7</v>
      </c>
      <c r="O2249" s="62" t="str">
        <f>IF(E2249="PA",IF(K2249&lt;&gt;"",ISERROR(VLOOKUP(K2249,ABBR!A:D,1,FALSE)),ISERROR(VLOOKUP(C2249,ABBR!A:D,1,FALSE))),"")</f>
        <v/>
      </c>
      <c r="P2249" t="str">
        <f>VLOOKUP(A2249,Groups!A:L,5,FALSE)</f>
        <v>SAMP</v>
      </c>
      <c r="Q2249" s="62" t="str">
        <f>IF(G2249="PA",IF(M2249&lt;&gt;"",ISERROR(VLOOKUP(M2249,ABBR!C:F,1,FALSE)),ISERROR(VLOOKUP(E2249,ABBR!C:F,1,FALSE))),"")</f>
        <v/>
      </c>
    </row>
    <row r="2250" spans="1:17" hidden="1" x14ac:dyDescent="0.25">
      <c r="A2250" s="16" t="s">
        <v>284</v>
      </c>
      <c r="B2250" s="17"/>
      <c r="C2250" s="16" t="s">
        <v>868</v>
      </c>
      <c r="D2250" s="17"/>
      <c r="E2250" s="17" t="s">
        <v>608</v>
      </c>
      <c r="F2250" s="18" t="s">
        <v>869</v>
      </c>
      <c r="G2250" s="51" t="s">
        <v>1269</v>
      </c>
      <c r="H2250" s="17">
        <v>8</v>
      </c>
      <c r="O2250" s="62" t="str">
        <f>IF(E2250="PA",IF(K2250&lt;&gt;"",ISERROR(VLOOKUP(K2250,ABBR!A:D,1,FALSE)),ISERROR(VLOOKUP(C2250,ABBR!A:D,1,FALSE))),"")</f>
        <v/>
      </c>
      <c r="P2250" t="str">
        <f>VLOOKUP(A2250,Groups!A:L,5,FALSE)</f>
        <v>SAMP</v>
      </c>
      <c r="Q2250" s="62" t="str">
        <f>IF(G2250="PA",IF(M2250&lt;&gt;"",ISERROR(VLOOKUP(M2250,ABBR!C:F,1,FALSE)),ISERROR(VLOOKUP(E2250,ABBR!C:F,1,FALSE))),"")</f>
        <v/>
      </c>
    </row>
    <row r="2251" spans="1:17" ht="25" hidden="1" x14ac:dyDescent="0.25">
      <c r="A2251" s="16" t="s">
        <v>284</v>
      </c>
      <c r="B2251" s="17"/>
      <c r="C2251" s="16" t="s">
        <v>871</v>
      </c>
      <c r="D2251" s="17"/>
      <c r="E2251" s="17" t="s">
        <v>608</v>
      </c>
      <c r="F2251" s="18" t="s">
        <v>872</v>
      </c>
      <c r="G2251" s="49" t="s">
        <v>873</v>
      </c>
      <c r="H2251" s="17">
        <v>9</v>
      </c>
      <c r="O2251" s="62" t="str">
        <f>IF(E2251="PA",IF(K2251&lt;&gt;"",ISERROR(VLOOKUP(K2251,ABBR!A:D,1,FALSE)),ISERROR(VLOOKUP(C2251,ABBR!A:D,1,FALSE))),"")</f>
        <v/>
      </c>
      <c r="P2251" t="str">
        <f>VLOOKUP(A2251,Groups!A:L,5,FALSE)</f>
        <v>SAMP</v>
      </c>
      <c r="Q2251" s="62" t="str">
        <f>IF(G2251="PA",IF(M2251&lt;&gt;"",ISERROR(VLOOKUP(M2251,ABBR!C:F,1,FALSE)),ISERROR(VLOOKUP(E2251,ABBR!C:F,1,FALSE))),"")</f>
        <v/>
      </c>
    </row>
    <row r="2252" spans="1:17" hidden="1" x14ac:dyDescent="0.25">
      <c r="A2252" s="16" t="s">
        <v>284</v>
      </c>
      <c r="B2252" s="17"/>
      <c r="C2252" s="16" t="s">
        <v>4048</v>
      </c>
      <c r="D2252" s="17" t="s">
        <v>1345</v>
      </c>
      <c r="E2252" s="17" t="s">
        <v>767</v>
      </c>
      <c r="F2252" s="18" t="s">
        <v>4049</v>
      </c>
      <c r="G2252" s="49" t="s">
        <v>4050</v>
      </c>
      <c r="H2252" s="17">
        <v>10</v>
      </c>
      <c r="O2252" s="62" t="str">
        <f>IF(E2252="PA",IF(K2252&lt;&gt;"",ISERROR(VLOOKUP(K2252,ABBR!A:D,1,FALSE)),ISERROR(VLOOKUP(C2252,ABBR!A:D,1,FALSE))),"")</f>
        <v/>
      </c>
      <c r="P2252" t="str">
        <f>VLOOKUP(A2252,Groups!A:L,5,FALSE)</f>
        <v>SAMP</v>
      </c>
      <c r="Q2252" s="62" t="str">
        <f>IF(G2252="PA",IF(M2252&lt;&gt;"",ISERROR(VLOOKUP(M2252,ABBR!C:F,1,FALSE)),ISERROR(VLOOKUP(E2252,ABBR!C:F,1,FALSE))),"")</f>
        <v/>
      </c>
    </row>
    <row r="2253" spans="1:17" hidden="1" x14ac:dyDescent="0.25">
      <c r="A2253" s="16" t="s">
        <v>284</v>
      </c>
      <c r="B2253" s="17"/>
      <c r="C2253" s="16" t="s">
        <v>4051</v>
      </c>
      <c r="D2253" s="17" t="s">
        <v>766</v>
      </c>
      <c r="E2253" s="17" t="s">
        <v>608</v>
      </c>
      <c r="F2253" s="18" t="s">
        <v>4052</v>
      </c>
      <c r="G2253" s="49" t="s">
        <v>4053</v>
      </c>
      <c r="H2253" s="17">
        <v>11</v>
      </c>
      <c r="O2253" s="62" t="str">
        <f>IF(E2253="PA",IF(K2253&lt;&gt;"",ISERROR(VLOOKUP(K2253,ABBR!A:D,1,FALSE)),ISERROR(VLOOKUP(C2253,ABBR!A:D,1,FALSE))),"")</f>
        <v/>
      </c>
      <c r="P2253" t="str">
        <f>VLOOKUP(A2253,Groups!A:L,5,FALSE)</f>
        <v>SAMP</v>
      </c>
      <c r="Q2253" s="62" t="str">
        <f>IF(G2253="PA",IF(M2253&lt;&gt;"",ISERROR(VLOOKUP(M2253,ABBR!C:F,1,FALSE)),ISERROR(VLOOKUP(E2253,ABBR!C:F,1,FALSE))),"")</f>
        <v/>
      </c>
    </row>
    <row r="2254" spans="1:17" hidden="1" x14ac:dyDescent="0.25">
      <c r="A2254" s="16" t="s">
        <v>284</v>
      </c>
      <c r="B2254" s="17"/>
      <c r="C2254" s="16" t="s">
        <v>4054</v>
      </c>
      <c r="D2254" s="17"/>
      <c r="E2254" s="17" t="s">
        <v>608</v>
      </c>
      <c r="F2254" s="18" t="s">
        <v>642</v>
      </c>
      <c r="G2254" s="49" t="s">
        <v>4055</v>
      </c>
      <c r="H2254" s="17">
        <v>12</v>
      </c>
      <c r="O2254" s="62" t="str">
        <f>IF(E2254="PA",IF(K2254&lt;&gt;"",ISERROR(VLOOKUP(K2254,ABBR!A:D,1,FALSE)),ISERROR(VLOOKUP(C2254,ABBR!A:D,1,FALSE))),"")</f>
        <v/>
      </c>
      <c r="P2254" t="str">
        <f>VLOOKUP(A2254,Groups!A:L,5,FALSE)</f>
        <v>SAMP</v>
      </c>
      <c r="Q2254" s="62" t="str">
        <f>IF(G2254="PA",IF(M2254&lt;&gt;"",ISERROR(VLOOKUP(M2254,ABBR!C:F,1,FALSE)),ISERROR(VLOOKUP(E2254,ABBR!C:F,1,FALSE))),"")</f>
        <v/>
      </c>
    </row>
    <row r="2255" spans="1:17" ht="25" hidden="1" x14ac:dyDescent="0.25">
      <c r="A2255" s="16" t="s">
        <v>284</v>
      </c>
      <c r="B2255" s="17"/>
      <c r="C2255" s="16" t="s">
        <v>4056</v>
      </c>
      <c r="D2255" s="17"/>
      <c r="E2255" s="17" t="s">
        <v>608</v>
      </c>
      <c r="F2255" s="18" t="s">
        <v>918</v>
      </c>
      <c r="G2255" s="49" t="s">
        <v>4057</v>
      </c>
      <c r="H2255" s="17">
        <v>13</v>
      </c>
      <c r="O2255" s="62" t="str">
        <f>IF(E2255="PA",IF(K2255&lt;&gt;"",ISERROR(VLOOKUP(K2255,ABBR!A:D,1,FALSE)),ISERROR(VLOOKUP(C2255,ABBR!A:D,1,FALSE))),"")</f>
        <v/>
      </c>
      <c r="P2255" t="str">
        <f>VLOOKUP(A2255,Groups!A:L,5,FALSE)</f>
        <v>SAMP</v>
      </c>
      <c r="Q2255" s="62" t="str">
        <f>IF(G2255="PA",IF(M2255&lt;&gt;"",ISERROR(VLOOKUP(M2255,ABBR!C:F,1,FALSE)),ISERROR(VLOOKUP(E2255,ABBR!C:F,1,FALSE))),"")</f>
        <v/>
      </c>
    </row>
    <row r="2256" spans="1:17" hidden="1" x14ac:dyDescent="0.25">
      <c r="A2256" s="16" t="s">
        <v>284</v>
      </c>
      <c r="B2256" s="17"/>
      <c r="C2256" s="16" t="s">
        <v>4058</v>
      </c>
      <c r="D2256" s="17"/>
      <c r="E2256" s="17" t="s">
        <v>608</v>
      </c>
      <c r="F2256" s="18" t="s">
        <v>950</v>
      </c>
      <c r="G2256" s="27" t="s">
        <v>951</v>
      </c>
      <c r="H2256" s="17">
        <v>14</v>
      </c>
      <c r="O2256" s="62" t="str">
        <f>IF(E2256="PA",IF(K2256&lt;&gt;"",ISERROR(VLOOKUP(K2256,ABBR!A:D,1,FALSE)),ISERROR(VLOOKUP(C2256,ABBR!A:D,1,FALSE))),"")</f>
        <v/>
      </c>
      <c r="P2256" t="str">
        <f>VLOOKUP(A2256,Groups!A:L,5,FALSE)</f>
        <v>SAMP</v>
      </c>
      <c r="Q2256" s="62" t="str">
        <f>IF(G2256="PA",IF(M2256&lt;&gt;"",ISERROR(VLOOKUP(M2256,ABBR!C:F,1,FALSE)),ISERROR(VLOOKUP(E2256,ABBR!C:F,1,FALSE))),"")</f>
        <v/>
      </c>
    </row>
    <row r="2257" spans="1:17" ht="25" hidden="1" x14ac:dyDescent="0.25">
      <c r="A2257" s="16" t="s">
        <v>284</v>
      </c>
      <c r="B2257" s="17"/>
      <c r="C2257" s="16" t="s">
        <v>4059</v>
      </c>
      <c r="D2257" s="17"/>
      <c r="E2257" s="17" t="s">
        <v>608</v>
      </c>
      <c r="F2257" s="18" t="s">
        <v>934</v>
      </c>
      <c r="G2257" s="49" t="s">
        <v>953</v>
      </c>
      <c r="H2257" s="17">
        <v>15</v>
      </c>
      <c r="O2257" s="62" t="str">
        <f>IF(E2257="PA",IF(K2257&lt;&gt;"",ISERROR(VLOOKUP(K2257,ABBR!A:D,1,FALSE)),ISERROR(VLOOKUP(C2257,ABBR!A:D,1,FALSE))),"")</f>
        <v/>
      </c>
      <c r="P2257" t="str">
        <f>VLOOKUP(A2257,Groups!A:L,5,FALSE)</f>
        <v>SAMP</v>
      </c>
      <c r="Q2257" s="62" t="str">
        <f>IF(G2257="PA",IF(M2257&lt;&gt;"",ISERROR(VLOOKUP(M2257,ABBR!C:F,1,FALSE)),ISERROR(VLOOKUP(E2257,ABBR!C:F,1,FALSE))),"")</f>
        <v/>
      </c>
    </row>
    <row r="2258" spans="1:17" hidden="1" x14ac:dyDescent="0.25">
      <c r="A2258" s="16" t="s">
        <v>284</v>
      </c>
      <c r="B2258" s="17"/>
      <c r="C2258" s="16" t="s">
        <v>936</v>
      </c>
      <c r="D2258" s="17"/>
      <c r="E2258" s="22" t="s">
        <v>608</v>
      </c>
      <c r="F2258" s="18" t="s">
        <v>937</v>
      </c>
      <c r="G2258" s="49" t="s">
        <v>938</v>
      </c>
      <c r="H2258" s="17">
        <v>16</v>
      </c>
      <c r="O2258" s="62" t="str">
        <f>IF(E2258="PA",IF(K2258&lt;&gt;"",ISERROR(VLOOKUP(K2258,ABBR!A:D,1,FALSE)),ISERROR(VLOOKUP(C2258,ABBR!A:D,1,FALSE))),"")</f>
        <v/>
      </c>
      <c r="P2258" t="str">
        <f>VLOOKUP(A2258,Groups!A:L,5,FALSE)</f>
        <v>SAMP</v>
      </c>
      <c r="Q2258" s="62" t="str">
        <f>IF(G2258="PA",IF(M2258&lt;&gt;"",ISERROR(VLOOKUP(M2258,ABBR!C:F,1,FALSE)),ISERROR(VLOOKUP(E2258,ABBR!C:F,1,FALSE))),"")</f>
        <v/>
      </c>
    </row>
    <row r="2259" spans="1:17" hidden="1" x14ac:dyDescent="0.25">
      <c r="A2259" s="16" t="s">
        <v>284</v>
      </c>
      <c r="B2259" s="17"/>
      <c r="C2259" s="16" t="s">
        <v>643</v>
      </c>
      <c r="D2259" s="17"/>
      <c r="E2259" s="17" t="s">
        <v>608</v>
      </c>
      <c r="F2259" s="18" t="s">
        <v>954</v>
      </c>
      <c r="G2259" s="49" t="s">
        <v>940</v>
      </c>
      <c r="H2259" s="17">
        <v>17</v>
      </c>
      <c r="O2259" s="62" t="str">
        <f>IF(E2259="PA",IF(K2259&lt;&gt;"",ISERROR(VLOOKUP(K2259,ABBR!A:D,1,FALSE)),ISERROR(VLOOKUP(C2259,ABBR!A:D,1,FALSE))),"")</f>
        <v/>
      </c>
      <c r="P2259" t="str">
        <f>VLOOKUP(A2259,Groups!A:L,5,FALSE)</f>
        <v>SAMP</v>
      </c>
      <c r="Q2259" s="62" t="str">
        <f>IF(G2259="PA",IF(M2259&lt;&gt;"",ISERROR(VLOOKUP(M2259,ABBR!C:F,1,FALSE)),ISERROR(VLOOKUP(E2259,ABBR!C:F,1,FALSE))),"")</f>
        <v/>
      </c>
    </row>
    <row r="2260" spans="1:17" hidden="1" x14ac:dyDescent="0.25">
      <c r="A2260" s="16" t="s">
        <v>284</v>
      </c>
      <c r="B2260" s="17"/>
      <c r="C2260" s="16" t="s">
        <v>877</v>
      </c>
      <c r="D2260" s="17" t="s">
        <v>600</v>
      </c>
      <c r="E2260" s="17" t="s">
        <v>601</v>
      </c>
      <c r="F2260" s="18" t="s">
        <v>878</v>
      </c>
      <c r="G2260" s="49" t="s">
        <v>879</v>
      </c>
      <c r="H2260" s="17">
        <v>18</v>
      </c>
      <c r="I2260" s="30" t="s">
        <v>955</v>
      </c>
      <c r="J2260" s="80">
        <v>4.0999999999999996</v>
      </c>
      <c r="O2260" s="62" t="str">
        <f>IF(E2260="PA",IF(K2260&lt;&gt;"",ISERROR(VLOOKUP(K2260,ABBR!A:D,1,FALSE)),ISERROR(VLOOKUP(C2260,ABBR!A:D,1,FALSE))),"")</f>
        <v/>
      </c>
      <c r="P2260" t="str">
        <f>VLOOKUP(A2260,Groups!A:L,5,FALSE)</f>
        <v>SAMP</v>
      </c>
      <c r="Q2260" s="62" t="str">
        <f>IF(G2260="PA",IF(M2260&lt;&gt;"",ISERROR(VLOOKUP(M2260,ABBR!C:F,1,FALSE)),ISERROR(VLOOKUP(E2260,ABBR!C:F,1,FALSE))),"")</f>
        <v/>
      </c>
    </row>
    <row r="2261" spans="1:17" hidden="1" x14ac:dyDescent="0.25">
      <c r="A2261" s="16" t="s">
        <v>284</v>
      </c>
      <c r="B2261" s="17"/>
      <c r="C2261" s="16" t="s">
        <v>4060</v>
      </c>
      <c r="D2261" s="17"/>
      <c r="E2261" s="17" t="s">
        <v>608</v>
      </c>
      <c r="F2261" s="18" t="s">
        <v>921</v>
      </c>
      <c r="G2261" s="94" t="s">
        <v>922</v>
      </c>
      <c r="H2261" s="17">
        <v>19</v>
      </c>
      <c r="I2261" s="30" t="s">
        <v>955</v>
      </c>
      <c r="J2261" s="80">
        <v>4.0999999999999996</v>
      </c>
      <c r="M2261" s="62" t="s">
        <v>8795</v>
      </c>
      <c r="O2261" s="62" t="str">
        <f>IF(E2261="PA",IF(K2261&lt;&gt;"",ISERROR(VLOOKUP(K2261,ABBR!A:D,1,FALSE)),ISERROR(VLOOKUP(C2261,ABBR!A:D,1,FALSE))),"")</f>
        <v/>
      </c>
      <c r="P2261" t="str">
        <f>VLOOKUP(A2261,Groups!A:L,5,FALSE)</f>
        <v>SAMP</v>
      </c>
      <c r="Q2261" s="62" t="str">
        <f>IF(G2261="PA",IF(M2261&lt;&gt;"",ISERROR(VLOOKUP(M2261,ABBR!C:F,1,FALSE)),ISERROR(VLOOKUP(E2261,ABBR!C:F,1,FALSE))),"")</f>
        <v/>
      </c>
    </row>
    <row r="2262" spans="1:17" hidden="1" x14ac:dyDescent="0.25">
      <c r="A2262" s="16" t="s">
        <v>284</v>
      </c>
      <c r="B2262" s="17"/>
      <c r="C2262" s="16" t="s">
        <v>4061</v>
      </c>
      <c r="D2262" s="17" t="s">
        <v>1345</v>
      </c>
      <c r="E2262" s="17" t="s">
        <v>1391</v>
      </c>
      <c r="F2262" s="18" t="s">
        <v>4062</v>
      </c>
      <c r="G2262" s="49" t="s">
        <v>4063</v>
      </c>
      <c r="H2262" s="17">
        <v>20</v>
      </c>
      <c r="J2262" s="62" t="s">
        <v>473</v>
      </c>
      <c r="K2262" s="62"/>
      <c r="L2262" s="62"/>
      <c r="N2262" s="62"/>
      <c r="O2262" s="62" t="str">
        <f>IF(E2262="PA",IF(K2262&lt;&gt;"",ISERROR(VLOOKUP(K2262,ABBR!A:D,1,FALSE)),ISERROR(VLOOKUP(C2262,ABBR!A:D,1,FALSE))),"")</f>
        <v/>
      </c>
      <c r="P2262" t="str">
        <f>VLOOKUP(A2262,Groups!A:L,5,FALSE)</f>
        <v>SAMP</v>
      </c>
      <c r="Q2262" s="62" t="str">
        <f>IF(G2262="PA",IF(M2262&lt;&gt;"",ISERROR(VLOOKUP(M2262,ABBR!C:F,1,FALSE)),ISERROR(VLOOKUP(E2262,ABBR!C:F,1,FALSE))),"")</f>
        <v/>
      </c>
    </row>
    <row r="2263" spans="1:17" hidden="1" x14ac:dyDescent="0.25">
      <c r="A2263" s="16" t="s">
        <v>284</v>
      </c>
      <c r="B2263" s="17"/>
      <c r="C2263" s="16" t="s">
        <v>4064</v>
      </c>
      <c r="D2263" s="17" t="s">
        <v>1345</v>
      </c>
      <c r="E2263" s="17" t="s">
        <v>1391</v>
      </c>
      <c r="F2263" s="18" t="s">
        <v>4065</v>
      </c>
      <c r="G2263" s="49" t="s">
        <v>4066</v>
      </c>
      <c r="H2263" s="17">
        <v>21</v>
      </c>
      <c r="J2263" s="62" t="s">
        <v>473</v>
      </c>
      <c r="K2263" s="62"/>
      <c r="L2263" s="62"/>
      <c r="N2263" s="62"/>
      <c r="O2263" s="62" t="str">
        <f>IF(E2263="PA",IF(K2263&lt;&gt;"",ISERROR(VLOOKUP(K2263,ABBR!A:D,1,FALSE)),ISERROR(VLOOKUP(C2263,ABBR!A:D,1,FALSE))),"")</f>
        <v/>
      </c>
      <c r="P2263" t="str">
        <f>VLOOKUP(A2263,Groups!A:L,5,FALSE)</f>
        <v>SAMP</v>
      </c>
      <c r="Q2263" s="62" t="str">
        <f>IF(G2263="PA",IF(M2263&lt;&gt;"",ISERROR(VLOOKUP(M2263,ABBR!C:F,1,FALSE)),ISERROR(VLOOKUP(E2263,ABBR!C:F,1,FALSE))),"")</f>
        <v/>
      </c>
    </row>
    <row r="2264" spans="1:17" hidden="1" x14ac:dyDescent="0.25">
      <c r="A2264" s="16" t="s">
        <v>284</v>
      </c>
      <c r="B2264" s="17"/>
      <c r="C2264" s="16" t="s">
        <v>4067</v>
      </c>
      <c r="D2264" s="17" t="s">
        <v>924</v>
      </c>
      <c r="E2264" s="17" t="s">
        <v>925</v>
      </c>
      <c r="F2264" s="18" t="s">
        <v>926</v>
      </c>
      <c r="G2264" s="49" t="s">
        <v>927</v>
      </c>
      <c r="H2264" s="17">
        <v>22</v>
      </c>
      <c r="J2264" s="62" t="s">
        <v>473</v>
      </c>
      <c r="K2264" s="62"/>
      <c r="L2264" s="62"/>
      <c r="M2264" s="62"/>
      <c r="N2264" s="62"/>
      <c r="O2264" s="62" t="str">
        <f>IF(E2264="PA",IF(K2264&lt;&gt;"",ISERROR(VLOOKUP(K2264,ABBR!A:D,1,FALSE)),ISERROR(VLOOKUP(C2264,ABBR!A:D,1,FALSE))),"")</f>
        <v/>
      </c>
      <c r="P2264" t="str">
        <f>VLOOKUP(A2264,Groups!A:L,5,FALSE)</f>
        <v>SAMP</v>
      </c>
      <c r="Q2264" s="62" t="str">
        <f>IF(G2264="PA",IF(M2264&lt;&gt;"",ISERROR(VLOOKUP(M2264,ABBR!C:F,1,FALSE)),ISERROR(VLOOKUP(E2264,ABBR!C:F,1,FALSE))),"")</f>
        <v/>
      </c>
    </row>
    <row r="2265" spans="1:17" hidden="1" x14ac:dyDescent="0.25">
      <c r="A2265" s="16" t="s">
        <v>284</v>
      </c>
      <c r="B2265" s="17"/>
      <c r="C2265" s="16" t="s">
        <v>4068</v>
      </c>
      <c r="D2265" s="17"/>
      <c r="E2265" s="17" t="s">
        <v>608</v>
      </c>
      <c r="F2265" s="18" t="s">
        <v>875</v>
      </c>
      <c r="G2265" s="49" t="s">
        <v>876</v>
      </c>
      <c r="H2265" s="17">
        <v>23</v>
      </c>
      <c r="J2265" s="62" t="s">
        <v>473</v>
      </c>
      <c r="K2265" s="62"/>
      <c r="L2265" s="62"/>
      <c r="M2265" s="62"/>
      <c r="N2265" s="62"/>
      <c r="O2265" s="62" t="str">
        <f>IF(E2265="PA",IF(K2265&lt;&gt;"",ISERROR(VLOOKUP(K2265,ABBR!A:D,1,FALSE)),ISERROR(VLOOKUP(C2265,ABBR!A:D,1,FALSE))),"")</f>
        <v/>
      </c>
      <c r="P2265" t="str">
        <f>VLOOKUP(A2265,Groups!A:L,5,FALSE)</f>
        <v>SAMP</v>
      </c>
      <c r="Q2265" s="62" t="str">
        <f>IF(G2265="PA",IF(M2265&lt;&gt;"",ISERROR(VLOOKUP(M2265,ABBR!C:F,1,FALSE)),ISERROR(VLOOKUP(E2265,ABBR!C:F,1,FALSE))),"")</f>
        <v/>
      </c>
    </row>
    <row r="2266" spans="1:17" hidden="1" x14ac:dyDescent="0.25">
      <c r="A2266" s="16" t="s">
        <v>284</v>
      </c>
      <c r="B2266" s="17"/>
      <c r="C2266" s="16" t="s">
        <v>4069</v>
      </c>
      <c r="D2266" s="17"/>
      <c r="E2266" s="17" t="s">
        <v>608</v>
      </c>
      <c r="F2266" s="18" t="s">
        <v>929</v>
      </c>
      <c r="G2266" s="49" t="s">
        <v>876</v>
      </c>
      <c r="H2266" s="17">
        <v>24</v>
      </c>
      <c r="J2266" s="62" t="s">
        <v>473</v>
      </c>
      <c r="K2266" s="62"/>
      <c r="L2266" s="62"/>
      <c r="M2266" s="62"/>
      <c r="N2266" s="62"/>
      <c r="O2266" s="62" t="str">
        <f>IF(E2266="PA",IF(K2266&lt;&gt;"",ISERROR(VLOOKUP(K2266,ABBR!A:D,1,FALSE)),ISERROR(VLOOKUP(C2266,ABBR!A:D,1,FALSE))),"")</f>
        <v/>
      </c>
      <c r="P2266" t="str">
        <f>VLOOKUP(A2266,Groups!A:L,5,FALSE)</f>
        <v>SAMP</v>
      </c>
      <c r="Q2266" s="62" t="str">
        <f>IF(G2266="PA",IF(M2266&lt;&gt;"",ISERROR(VLOOKUP(M2266,ABBR!C:F,1,FALSE)),ISERROR(VLOOKUP(E2266,ABBR!C:F,1,FALSE))),"")</f>
        <v/>
      </c>
    </row>
    <row r="2267" spans="1:17" hidden="1" x14ac:dyDescent="0.25">
      <c r="A2267" s="16" t="s">
        <v>537</v>
      </c>
      <c r="B2267" s="17" t="s">
        <v>594</v>
      </c>
      <c r="C2267" s="16" t="s">
        <v>595</v>
      </c>
      <c r="D2267" s="17"/>
      <c r="E2267" s="17" t="s">
        <v>596</v>
      </c>
      <c r="F2267" s="18" t="s">
        <v>597</v>
      </c>
      <c r="G2267" s="49" t="s">
        <v>598</v>
      </c>
      <c r="H2267" s="17">
        <v>1</v>
      </c>
      <c r="J2267" s="62" t="s">
        <v>478</v>
      </c>
      <c r="K2267" s="62"/>
      <c r="L2267" s="62"/>
      <c r="M2267" s="62"/>
      <c r="N2267" s="62"/>
      <c r="O2267" s="62" t="str">
        <f>IF(E2267="PA",IF(K2267&lt;&gt;"",ISERROR(VLOOKUP(K2267,ABBR!A:D,1,FALSE)),ISERROR(VLOOKUP(C2267,ABBR!A:D,1,FALSE))),"")</f>
        <v/>
      </c>
      <c r="P2267" t="str">
        <f>VLOOKUP(A2267,Groups!A:L,5,FALSE)</f>
        <v>SAMP</v>
      </c>
      <c r="Q2267" s="62" t="str">
        <f>IF(G2267="PA",IF(M2267&lt;&gt;"",ISERROR(VLOOKUP(M2267,ABBR!C:F,1,FALSE)),ISERROR(VLOOKUP(E2267,ABBR!C:F,1,FALSE))),"")</f>
        <v/>
      </c>
    </row>
    <row r="2268" spans="1:17" hidden="1" x14ac:dyDescent="0.25">
      <c r="A2268" s="16" t="s">
        <v>537</v>
      </c>
      <c r="B2268" s="17" t="s">
        <v>594</v>
      </c>
      <c r="C2268" s="16" t="s">
        <v>851</v>
      </c>
      <c r="D2268" s="17" t="s">
        <v>600</v>
      </c>
      <c r="E2268" s="17" t="s">
        <v>601</v>
      </c>
      <c r="F2268" s="18" t="s">
        <v>852</v>
      </c>
      <c r="G2268" s="49" t="s">
        <v>853</v>
      </c>
      <c r="H2268" s="17">
        <f t="shared" ref="H2268:H2290" si="14">H2267+1</f>
        <v>2</v>
      </c>
      <c r="J2268" s="62" t="s">
        <v>478</v>
      </c>
      <c r="K2268" s="62"/>
      <c r="L2268" s="62"/>
      <c r="M2268" s="62"/>
      <c r="N2268" s="62"/>
      <c r="O2268" s="62" t="str">
        <f>IF(E2268="PA",IF(K2268&lt;&gt;"",ISERROR(VLOOKUP(K2268,ABBR!A:D,1,FALSE)),ISERROR(VLOOKUP(C2268,ABBR!A:D,1,FALSE))),"")</f>
        <v/>
      </c>
      <c r="P2268" t="str">
        <f>VLOOKUP(A2268,Groups!A:L,5,FALSE)</f>
        <v>SAMP</v>
      </c>
      <c r="Q2268" s="62" t="str">
        <f>IF(G2268="PA",IF(M2268&lt;&gt;"",ISERROR(VLOOKUP(M2268,ABBR!C:F,1,FALSE)),ISERROR(VLOOKUP(E2268,ABBR!C:F,1,FALSE))),"")</f>
        <v/>
      </c>
    </row>
    <row r="2269" spans="1:17" hidden="1" x14ac:dyDescent="0.25">
      <c r="A2269" s="16" t="s">
        <v>537</v>
      </c>
      <c r="B2269" s="17" t="s">
        <v>594</v>
      </c>
      <c r="C2269" s="16" t="s">
        <v>854</v>
      </c>
      <c r="D2269" s="17"/>
      <c r="E2269" s="17" t="s">
        <v>608</v>
      </c>
      <c r="F2269" s="18" t="s">
        <v>855</v>
      </c>
      <c r="G2269" s="49" t="s">
        <v>856</v>
      </c>
      <c r="H2269" s="17">
        <f t="shared" si="14"/>
        <v>3</v>
      </c>
      <c r="J2269" s="62" t="s">
        <v>478</v>
      </c>
      <c r="K2269" s="62"/>
      <c r="L2269" s="62"/>
      <c r="M2269" s="62"/>
      <c r="N2269" s="62"/>
      <c r="O2269" s="62" t="str">
        <f>IF(E2269="PA",IF(K2269&lt;&gt;"",ISERROR(VLOOKUP(K2269,ABBR!A:D,1,FALSE)),ISERROR(VLOOKUP(C2269,ABBR!A:D,1,FALSE))),"")</f>
        <v/>
      </c>
      <c r="P2269" t="str">
        <f>VLOOKUP(A2269,Groups!A:L,5,FALSE)</f>
        <v>SAMP</v>
      </c>
      <c r="Q2269" s="62" t="str">
        <f>IF(G2269="PA",IF(M2269&lt;&gt;"",ISERROR(VLOOKUP(M2269,ABBR!C:F,1,FALSE)),ISERROR(VLOOKUP(E2269,ABBR!C:F,1,FALSE))),"")</f>
        <v/>
      </c>
    </row>
    <row r="2270" spans="1:17" hidden="1" x14ac:dyDescent="0.25">
      <c r="A2270" s="16" t="s">
        <v>537</v>
      </c>
      <c r="B2270" s="17" t="s">
        <v>594</v>
      </c>
      <c r="C2270" s="16" t="s">
        <v>857</v>
      </c>
      <c r="D2270" s="17"/>
      <c r="E2270" s="17" t="s">
        <v>618</v>
      </c>
      <c r="F2270" s="18" t="s">
        <v>858</v>
      </c>
      <c r="G2270" s="49" t="s">
        <v>859</v>
      </c>
      <c r="H2270" s="17">
        <f t="shared" si="14"/>
        <v>4</v>
      </c>
      <c r="J2270" s="62" t="s">
        <v>478</v>
      </c>
      <c r="K2270" s="62"/>
      <c r="L2270" s="62"/>
      <c r="M2270" s="62"/>
      <c r="N2270" s="62"/>
      <c r="O2270" s="62" t="b">
        <f>IF(E2270="PA",IF(K2270&lt;&gt;"",ISERROR(VLOOKUP(K2270,ABBR!A:D,1,FALSE)),ISERROR(VLOOKUP(C2270,ABBR!A:D,1,FALSE))),"")</f>
        <v>0</v>
      </c>
      <c r="P2270" t="str">
        <f>VLOOKUP(A2270,Groups!A:L,5,FALSE)</f>
        <v>SAMP</v>
      </c>
      <c r="Q2270" s="62" t="str">
        <f>IF(G2270="PA",IF(M2270&lt;&gt;"",ISERROR(VLOOKUP(M2270,ABBR!C:F,1,FALSE)),ISERROR(VLOOKUP(E2270,ABBR!C:F,1,FALSE))),"")</f>
        <v/>
      </c>
    </row>
    <row r="2271" spans="1:17" hidden="1" x14ac:dyDescent="0.25">
      <c r="A2271" s="16" t="s">
        <v>537</v>
      </c>
      <c r="B2271" s="17" t="s">
        <v>594</v>
      </c>
      <c r="C2271" s="16" t="s">
        <v>860</v>
      </c>
      <c r="D2271" s="17"/>
      <c r="E2271" s="17" t="s">
        <v>596</v>
      </c>
      <c r="F2271" s="18" t="s">
        <v>861</v>
      </c>
      <c r="G2271" s="49" t="s">
        <v>862</v>
      </c>
      <c r="H2271" s="17">
        <f t="shared" si="14"/>
        <v>5</v>
      </c>
      <c r="J2271" s="62" t="s">
        <v>478</v>
      </c>
      <c r="K2271" s="62"/>
      <c r="L2271" s="62"/>
      <c r="M2271" s="62"/>
      <c r="N2271" s="62"/>
      <c r="O2271" s="62" t="str">
        <f>IF(E2271="PA",IF(K2271&lt;&gt;"",ISERROR(VLOOKUP(K2271,ABBR!A:D,1,FALSE)),ISERROR(VLOOKUP(C2271,ABBR!A:D,1,FALSE))),"")</f>
        <v/>
      </c>
      <c r="P2271" t="str">
        <f>VLOOKUP(A2271,Groups!A:L,5,FALSE)</f>
        <v>SAMP</v>
      </c>
      <c r="Q2271" s="62" t="str">
        <f>IF(G2271="PA",IF(M2271&lt;&gt;"",ISERROR(VLOOKUP(M2271,ABBR!C:F,1,FALSE)),ISERROR(VLOOKUP(E2271,ABBR!C:F,1,FALSE))),"")</f>
        <v/>
      </c>
    </row>
    <row r="2272" spans="1:17" hidden="1" x14ac:dyDescent="0.25">
      <c r="A2272" s="16" t="s">
        <v>537</v>
      </c>
      <c r="B2272" s="17" t="s">
        <v>594</v>
      </c>
      <c r="C2272" s="16" t="s">
        <v>863</v>
      </c>
      <c r="D2272" s="17"/>
      <c r="E2272" s="17" t="s">
        <v>608</v>
      </c>
      <c r="F2272" s="18" t="s">
        <v>864</v>
      </c>
      <c r="G2272" s="49" t="s">
        <v>865</v>
      </c>
      <c r="H2272" s="17">
        <f t="shared" si="14"/>
        <v>6</v>
      </c>
      <c r="J2272" s="62" t="s">
        <v>478</v>
      </c>
      <c r="K2272" s="62"/>
      <c r="L2272" s="62"/>
      <c r="M2272" s="62"/>
      <c r="N2272" s="62"/>
      <c r="O2272" s="62" t="str">
        <f>IF(E2272="PA",IF(K2272&lt;&gt;"",ISERROR(VLOOKUP(K2272,ABBR!A:D,1,FALSE)),ISERROR(VLOOKUP(C2272,ABBR!A:D,1,FALSE))),"")</f>
        <v/>
      </c>
      <c r="P2272" t="str">
        <f>VLOOKUP(A2272,Groups!A:L,5,FALSE)</f>
        <v>SAMP</v>
      </c>
      <c r="Q2272" s="62" t="str">
        <f>IF(G2272="PA",IF(M2272&lt;&gt;"",ISERROR(VLOOKUP(M2272,ABBR!C:F,1,FALSE)),ISERROR(VLOOKUP(E2272,ABBR!C:F,1,FALSE))),"")</f>
        <v/>
      </c>
    </row>
    <row r="2273" spans="1:17" hidden="1" x14ac:dyDescent="0.25">
      <c r="A2273" s="16" t="s">
        <v>537</v>
      </c>
      <c r="B2273" s="17" t="s">
        <v>594</v>
      </c>
      <c r="C2273" s="16" t="s">
        <v>866</v>
      </c>
      <c r="D2273" s="17" t="s">
        <v>600</v>
      </c>
      <c r="E2273" s="17" t="s">
        <v>601</v>
      </c>
      <c r="F2273" s="18" t="s">
        <v>867</v>
      </c>
      <c r="G2273" s="49" t="s">
        <v>853</v>
      </c>
      <c r="H2273" s="17">
        <f t="shared" si="14"/>
        <v>7</v>
      </c>
      <c r="J2273" s="62" t="s">
        <v>478</v>
      </c>
      <c r="K2273" s="62"/>
      <c r="L2273" s="62"/>
      <c r="M2273" s="62"/>
      <c r="N2273" s="62"/>
      <c r="O2273" s="62" t="str">
        <f>IF(E2273="PA",IF(K2273&lt;&gt;"",ISERROR(VLOOKUP(K2273,ABBR!A:D,1,FALSE)),ISERROR(VLOOKUP(C2273,ABBR!A:D,1,FALSE))),"")</f>
        <v/>
      </c>
      <c r="P2273" t="str">
        <f>VLOOKUP(A2273,Groups!A:L,5,FALSE)</f>
        <v>SAMP</v>
      </c>
      <c r="Q2273" s="62" t="str">
        <f>IF(G2273="PA",IF(M2273&lt;&gt;"",ISERROR(VLOOKUP(M2273,ABBR!C:F,1,FALSE)),ISERROR(VLOOKUP(E2273,ABBR!C:F,1,FALSE))),"")</f>
        <v/>
      </c>
    </row>
    <row r="2274" spans="1:17" ht="25" hidden="1" x14ac:dyDescent="0.25">
      <c r="A2274" s="16" t="s">
        <v>537</v>
      </c>
      <c r="B2274" s="17"/>
      <c r="C2274" s="16" t="s">
        <v>868</v>
      </c>
      <c r="D2274" s="17"/>
      <c r="E2274" s="17" t="s">
        <v>608</v>
      </c>
      <c r="F2274" s="18" t="s">
        <v>869</v>
      </c>
      <c r="G2274" s="49" t="s">
        <v>1269</v>
      </c>
      <c r="H2274" s="17">
        <f t="shared" si="14"/>
        <v>8</v>
      </c>
      <c r="J2274" s="62" t="s">
        <v>491</v>
      </c>
      <c r="K2274" s="62"/>
      <c r="L2274" s="62"/>
      <c r="M2274" s="62"/>
      <c r="N2274" s="62"/>
      <c r="O2274" s="62" t="str">
        <f>IF(E2274="PA",IF(K2274&lt;&gt;"",ISERROR(VLOOKUP(K2274,ABBR!A:D,1,FALSE)),ISERROR(VLOOKUP(C2274,ABBR!A:D,1,FALSE))),"")</f>
        <v/>
      </c>
      <c r="P2274" t="str">
        <f>VLOOKUP(A2274,Groups!A:L,5,FALSE)</f>
        <v>SAMP</v>
      </c>
      <c r="Q2274" s="62" t="str">
        <f>IF(G2274="PA",IF(M2274&lt;&gt;"",ISERROR(VLOOKUP(M2274,ABBR!C:F,1,FALSE)),ISERROR(VLOOKUP(E2274,ABBR!C:F,1,FALSE))),"")</f>
        <v/>
      </c>
    </row>
    <row r="2275" spans="1:17" ht="25" hidden="1" x14ac:dyDescent="0.25">
      <c r="A2275" s="16" t="s">
        <v>537</v>
      </c>
      <c r="B2275" s="17"/>
      <c r="C2275" s="16" t="s">
        <v>871</v>
      </c>
      <c r="D2275" s="17"/>
      <c r="E2275" s="17" t="s">
        <v>608</v>
      </c>
      <c r="F2275" s="18" t="s">
        <v>872</v>
      </c>
      <c r="G2275" s="49" t="s">
        <v>873</v>
      </c>
      <c r="H2275" s="17">
        <f t="shared" si="14"/>
        <v>9</v>
      </c>
      <c r="J2275" s="62" t="s">
        <v>491</v>
      </c>
      <c r="K2275" s="62"/>
      <c r="L2275" s="62"/>
      <c r="M2275" s="62"/>
      <c r="N2275" s="62"/>
      <c r="O2275" s="62" t="str">
        <f>IF(E2275="PA",IF(K2275&lt;&gt;"",ISERROR(VLOOKUP(K2275,ABBR!A:D,1,FALSE)),ISERROR(VLOOKUP(C2275,ABBR!A:D,1,FALSE))),"")</f>
        <v/>
      </c>
      <c r="P2275" t="str">
        <f>VLOOKUP(A2275,Groups!A:L,5,FALSE)</f>
        <v>SAMP</v>
      </c>
      <c r="Q2275" s="62" t="str">
        <f>IF(G2275="PA",IF(M2275&lt;&gt;"",ISERROR(VLOOKUP(M2275,ABBR!C:F,1,FALSE)),ISERROR(VLOOKUP(E2275,ABBR!C:F,1,FALSE))),"")</f>
        <v/>
      </c>
    </row>
    <row r="2276" spans="1:17" hidden="1" x14ac:dyDescent="0.25">
      <c r="A2276" s="16" t="s">
        <v>537</v>
      </c>
      <c r="B2276" s="17"/>
      <c r="C2276" s="16" t="s">
        <v>4070</v>
      </c>
      <c r="D2276" s="17"/>
      <c r="E2276" s="17" t="s">
        <v>608</v>
      </c>
      <c r="F2276" s="18" t="s">
        <v>875</v>
      </c>
      <c r="G2276" s="49" t="s">
        <v>876</v>
      </c>
      <c r="H2276" s="17">
        <f t="shared" si="14"/>
        <v>10</v>
      </c>
      <c r="J2276" s="62" t="s">
        <v>473</v>
      </c>
      <c r="K2276" s="62"/>
      <c r="L2276" s="62"/>
      <c r="M2276" s="62"/>
      <c r="N2276" s="62"/>
      <c r="O2276" s="62" t="str">
        <f>IF(E2276="PA",IF(K2276&lt;&gt;"",ISERROR(VLOOKUP(K2276,ABBR!A:D,1,FALSE)),ISERROR(VLOOKUP(C2276,ABBR!A:D,1,FALSE))),"")</f>
        <v/>
      </c>
      <c r="P2276" t="str">
        <f>VLOOKUP(A2276,Groups!A:L,5,FALSE)</f>
        <v>SAMP</v>
      </c>
      <c r="Q2276" s="62" t="str">
        <f>IF(G2276="PA",IF(M2276&lt;&gt;"",ISERROR(VLOOKUP(M2276,ABBR!C:F,1,FALSE)),ISERROR(VLOOKUP(E2276,ABBR!C:F,1,FALSE))),"")</f>
        <v/>
      </c>
    </row>
    <row r="2277" spans="1:17" hidden="1" x14ac:dyDescent="0.25">
      <c r="A2277" s="16" t="s">
        <v>537</v>
      </c>
      <c r="B2277" s="46"/>
      <c r="C2277" s="9" t="s">
        <v>877</v>
      </c>
      <c r="D2277" s="46" t="s">
        <v>600</v>
      </c>
      <c r="E2277" s="46" t="s">
        <v>601</v>
      </c>
      <c r="F2277" s="93" t="s">
        <v>878</v>
      </c>
      <c r="G2277" s="94" t="s">
        <v>879</v>
      </c>
      <c r="H2277" s="17">
        <f t="shared" si="14"/>
        <v>11</v>
      </c>
      <c r="I2277"/>
      <c r="J2277" s="34" t="s">
        <v>473</v>
      </c>
      <c r="O2277" s="62" t="str">
        <f>IF(E2277="PA",IF(K2277&lt;&gt;"",ISERROR(VLOOKUP(K2277,ABBR!A:D,1,FALSE)),ISERROR(VLOOKUP(C2277,ABBR!A:D,1,FALSE))),"")</f>
        <v/>
      </c>
      <c r="P2277" t="str">
        <f>VLOOKUP(A2277,Groups!A:L,5,FALSE)</f>
        <v>SAMP</v>
      </c>
      <c r="Q2277" s="62" t="str">
        <f>IF(G2277="PA",IF(M2277&lt;&gt;"",ISERROR(VLOOKUP(M2277,ABBR!C:F,1,FALSE)),ISERROR(VLOOKUP(E2277,ABBR!C:F,1,FALSE))),"")</f>
        <v/>
      </c>
    </row>
    <row r="2278" spans="1:17" hidden="1" x14ac:dyDescent="0.25">
      <c r="A2278" s="16" t="s">
        <v>537</v>
      </c>
      <c r="B2278" s="17"/>
      <c r="C2278" s="16" t="s">
        <v>4071</v>
      </c>
      <c r="D2278" s="17"/>
      <c r="E2278" s="17" t="s">
        <v>608</v>
      </c>
      <c r="F2278" s="18" t="s">
        <v>4072</v>
      </c>
      <c r="G2278" s="49" t="s">
        <v>4073</v>
      </c>
      <c r="H2278" s="17">
        <f t="shared" si="14"/>
        <v>12</v>
      </c>
      <c r="J2278" s="62" t="s">
        <v>478</v>
      </c>
      <c r="K2278" s="62"/>
      <c r="L2278" s="62"/>
      <c r="M2278" s="62"/>
      <c r="N2278" s="62"/>
      <c r="O2278" s="62" t="str">
        <f>IF(E2278="PA",IF(K2278&lt;&gt;"",ISERROR(VLOOKUP(K2278,ABBR!A:D,1,FALSE)),ISERROR(VLOOKUP(C2278,ABBR!A:D,1,FALSE))),"")</f>
        <v/>
      </c>
      <c r="P2278" t="str">
        <f>VLOOKUP(A2278,Groups!A:L,5,FALSE)</f>
        <v>SAMP</v>
      </c>
      <c r="Q2278" s="62" t="str">
        <f>IF(G2278="PA",IF(M2278&lt;&gt;"",ISERROR(VLOOKUP(M2278,ABBR!C:F,1,FALSE)),ISERROR(VLOOKUP(E2278,ABBR!C:F,1,FALSE))),"")</f>
        <v/>
      </c>
    </row>
    <row r="2279" spans="1:17" hidden="1" x14ac:dyDescent="0.25">
      <c r="A2279" s="16" t="s">
        <v>537</v>
      </c>
      <c r="B2279" s="17"/>
      <c r="C2279" s="16" t="s">
        <v>4074</v>
      </c>
      <c r="D2279" s="17" t="s">
        <v>766</v>
      </c>
      <c r="E2279" s="17" t="s">
        <v>723</v>
      </c>
      <c r="F2279" s="18" t="s">
        <v>4075</v>
      </c>
      <c r="G2279" s="49" t="s">
        <v>4076</v>
      </c>
      <c r="H2279" s="17">
        <f t="shared" si="14"/>
        <v>13</v>
      </c>
      <c r="J2279" s="62" t="s">
        <v>478</v>
      </c>
      <c r="K2279" s="62"/>
      <c r="L2279" s="62"/>
      <c r="M2279" s="62"/>
      <c r="N2279" s="62"/>
      <c r="O2279" s="62" t="str">
        <f>IF(E2279="PA",IF(K2279&lt;&gt;"",ISERROR(VLOOKUP(K2279,ABBR!A:D,1,FALSE)),ISERROR(VLOOKUP(C2279,ABBR!A:D,1,FALSE))),"")</f>
        <v/>
      </c>
      <c r="P2279" t="str">
        <f>VLOOKUP(A2279,Groups!A:L,5,FALSE)</f>
        <v>SAMP</v>
      </c>
      <c r="Q2279" s="62" t="str">
        <f>IF(G2279="PA",IF(M2279&lt;&gt;"",ISERROR(VLOOKUP(M2279,ABBR!C:F,1,FALSE)),ISERROR(VLOOKUP(E2279,ABBR!C:F,1,FALSE))),"")</f>
        <v/>
      </c>
    </row>
    <row r="2280" spans="1:17" hidden="1" x14ac:dyDescent="0.25">
      <c r="A2280" s="16" t="s">
        <v>537</v>
      </c>
      <c r="B2280" s="17"/>
      <c r="C2280" s="16" t="s">
        <v>4077</v>
      </c>
      <c r="D2280" s="17" t="s">
        <v>1077</v>
      </c>
      <c r="E2280" s="17" t="s">
        <v>601</v>
      </c>
      <c r="F2280" s="18" t="s">
        <v>4078</v>
      </c>
      <c r="G2280" s="49" t="s">
        <v>1340</v>
      </c>
      <c r="H2280" s="17">
        <f t="shared" si="14"/>
        <v>14</v>
      </c>
      <c r="J2280" s="62" t="s">
        <v>478</v>
      </c>
      <c r="K2280" s="62"/>
      <c r="L2280" s="62"/>
      <c r="M2280" s="62"/>
      <c r="N2280" s="62"/>
      <c r="O2280" s="62" t="str">
        <f>IF(E2280="PA",IF(K2280&lt;&gt;"",ISERROR(VLOOKUP(K2280,ABBR!A:D,1,FALSE)),ISERROR(VLOOKUP(C2280,ABBR!A:D,1,FALSE))),"")</f>
        <v/>
      </c>
      <c r="P2280" t="str">
        <f>VLOOKUP(A2280,Groups!A:L,5,FALSE)</f>
        <v>SAMP</v>
      </c>
      <c r="Q2280" s="62" t="str">
        <f>IF(G2280="PA",IF(M2280&lt;&gt;"",ISERROR(VLOOKUP(M2280,ABBR!C:F,1,FALSE)),ISERROR(VLOOKUP(E2280,ABBR!C:F,1,FALSE))),"")</f>
        <v/>
      </c>
    </row>
    <row r="2281" spans="1:17" ht="25" hidden="1" x14ac:dyDescent="0.25">
      <c r="A2281" s="16" t="s">
        <v>537</v>
      </c>
      <c r="B2281" s="17"/>
      <c r="C2281" s="16" t="s">
        <v>4079</v>
      </c>
      <c r="D2281" s="17" t="s">
        <v>3601</v>
      </c>
      <c r="E2281" s="17" t="s">
        <v>601</v>
      </c>
      <c r="F2281" s="18" t="s">
        <v>4080</v>
      </c>
      <c r="G2281" s="49" t="s">
        <v>4081</v>
      </c>
      <c r="H2281" s="17">
        <f t="shared" si="14"/>
        <v>15</v>
      </c>
      <c r="J2281" s="62" t="s">
        <v>478</v>
      </c>
      <c r="K2281" s="62"/>
      <c r="L2281" s="62"/>
      <c r="M2281" s="62"/>
      <c r="N2281" s="62"/>
      <c r="O2281" s="62" t="str">
        <f>IF(E2281="PA",IF(K2281&lt;&gt;"",ISERROR(VLOOKUP(K2281,ABBR!A:D,1,FALSE)),ISERROR(VLOOKUP(C2281,ABBR!A:D,1,FALSE))),"")</f>
        <v/>
      </c>
      <c r="P2281" t="str">
        <f>VLOOKUP(A2281,Groups!A:L,5,FALSE)</f>
        <v>SAMP</v>
      </c>
      <c r="Q2281" s="62" t="str">
        <f>IF(G2281="PA",IF(M2281&lt;&gt;"",ISERROR(VLOOKUP(M2281,ABBR!C:F,1,FALSE)),ISERROR(VLOOKUP(E2281,ABBR!C:F,1,FALSE))),"")</f>
        <v/>
      </c>
    </row>
    <row r="2282" spans="1:17" ht="25" hidden="1" x14ac:dyDescent="0.25">
      <c r="A2282" s="16" t="s">
        <v>537</v>
      </c>
      <c r="B2282" s="17"/>
      <c r="C2282" s="16" t="s">
        <v>4082</v>
      </c>
      <c r="D2282" s="17"/>
      <c r="E2282" s="17" t="s">
        <v>608</v>
      </c>
      <c r="F2282" s="18" t="s">
        <v>642</v>
      </c>
      <c r="G2282" s="49" t="s">
        <v>2274</v>
      </c>
      <c r="H2282" s="17">
        <f t="shared" si="14"/>
        <v>16</v>
      </c>
      <c r="J2282" s="62" t="s">
        <v>478</v>
      </c>
      <c r="K2282" s="62"/>
      <c r="L2282" s="62"/>
      <c r="M2282" s="62"/>
      <c r="N2282" s="62"/>
      <c r="O2282" s="62" t="str">
        <f>IF(E2282="PA",IF(K2282&lt;&gt;"",ISERROR(VLOOKUP(K2282,ABBR!A:D,1,FALSE)),ISERROR(VLOOKUP(C2282,ABBR!A:D,1,FALSE))),"")</f>
        <v/>
      </c>
      <c r="P2282" t="str">
        <f>VLOOKUP(A2282,Groups!A:L,5,FALSE)</f>
        <v>SAMP</v>
      </c>
      <c r="Q2282" s="62" t="str">
        <f>IF(G2282="PA",IF(M2282&lt;&gt;"",ISERROR(VLOOKUP(M2282,ABBR!C:F,1,FALSE)),ISERROR(VLOOKUP(E2282,ABBR!C:F,1,FALSE))),"")</f>
        <v/>
      </c>
    </row>
    <row r="2283" spans="1:17" hidden="1" x14ac:dyDescent="0.25">
      <c r="A2283" s="16" t="s">
        <v>537</v>
      </c>
      <c r="B2283" s="17"/>
      <c r="C2283" s="16" t="s">
        <v>4083</v>
      </c>
      <c r="D2283" s="17"/>
      <c r="E2283" s="17" t="s">
        <v>608</v>
      </c>
      <c r="F2283" s="18" t="s">
        <v>918</v>
      </c>
      <c r="G2283" s="49" t="s">
        <v>4084</v>
      </c>
      <c r="H2283" s="17">
        <f t="shared" si="14"/>
        <v>17</v>
      </c>
      <c r="J2283" s="62" t="s">
        <v>478</v>
      </c>
      <c r="K2283" s="62"/>
      <c r="L2283" s="62"/>
      <c r="M2283" s="62"/>
      <c r="N2283" s="62"/>
      <c r="O2283" s="62" t="str">
        <f>IF(E2283="PA",IF(K2283&lt;&gt;"",ISERROR(VLOOKUP(K2283,ABBR!A:D,1,FALSE)),ISERROR(VLOOKUP(C2283,ABBR!A:D,1,FALSE))),"")</f>
        <v/>
      </c>
      <c r="P2283" t="str">
        <f>VLOOKUP(A2283,Groups!A:L,5,FALSE)</f>
        <v>SAMP</v>
      </c>
      <c r="Q2283" s="62" t="str">
        <f>IF(G2283="PA",IF(M2283&lt;&gt;"",ISERROR(VLOOKUP(M2283,ABBR!C:F,1,FALSE)),ISERROR(VLOOKUP(E2283,ABBR!C:F,1,FALSE))),"")</f>
        <v/>
      </c>
    </row>
    <row r="2284" spans="1:17" hidden="1" x14ac:dyDescent="0.25">
      <c r="A2284" s="16" t="s">
        <v>537</v>
      </c>
      <c r="B2284" s="46"/>
      <c r="C2284" s="9" t="s">
        <v>4085</v>
      </c>
      <c r="D2284" s="46"/>
      <c r="E2284" s="46" t="s">
        <v>608</v>
      </c>
      <c r="F2284" s="93" t="s">
        <v>921</v>
      </c>
      <c r="G2284" s="94" t="s">
        <v>922</v>
      </c>
      <c r="H2284" s="17">
        <f t="shared" si="14"/>
        <v>18</v>
      </c>
      <c r="I2284"/>
      <c r="J2284" s="34" t="s">
        <v>473</v>
      </c>
      <c r="M2284" s="101"/>
      <c r="O2284" s="62" t="str">
        <f>IF(E2284="PA",IF(K2284&lt;&gt;"",ISERROR(VLOOKUP(K2284,ABBR!A:D,1,FALSE)),ISERROR(VLOOKUP(C2284,ABBR!A:D,1,FALSE))),"")</f>
        <v/>
      </c>
      <c r="P2284" t="str">
        <f>VLOOKUP(A2284,Groups!A:L,5,FALSE)</f>
        <v>SAMP</v>
      </c>
      <c r="Q2284" s="62" t="str">
        <f>IF(G2284="PA",IF(M2284&lt;&gt;"",ISERROR(VLOOKUP(M2284,ABBR!C:F,1,FALSE)),ISERROR(VLOOKUP(E2284,ABBR!C:F,1,FALSE))),"")</f>
        <v/>
      </c>
    </row>
    <row r="2285" spans="1:17" hidden="1" x14ac:dyDescent="0.25">
      <c r="A2285" s="16" t="s">
        <v>537</v>
      </c>
      <c r="B2285" s="17"/>
      <c r="C2285" s="16" t="s">
        <v>4086</v>
      </c>
      <c r="D2285" s="17"/>
      <c r="E2285" s="17" t="s">
        <v>608</v>
      </c>
      <c r="F2285" s="18" t="s">
        <v>929</v>
      </c>
      <c r="G2285" s="49" t="s">
        <v>876</v>
      </c>
      <c r="H2285" s="17">
        <f t="shared" si="14"/>
        <v>19</v>
      </c>
      <c r="J2285" s="62" t="s">
        <v>473</v>
      </c>
      <c r="K2285" s="62"/>
      <c r="L2285" s="62"/>
      <c r="M2285" s="62"/>
      <c r="N2285" s="62"/>
      <c r="O2285" s="62" t="str">
        <f>IF(E2285="PA",IF(K2285&lt;&gt;"",ISERROR(VLOOKUP(K2285,ABBR!A:D,1,FALSE)),ISERROR(VLOOKUP(C2285,ABBR!A:D,1,FALSE))),"")</f>
        <v/>
      </c>
      <c r="P2285" t="str">
        <f>VLOOKUP(A2285,Groups!A:L,5,FALSE)</f>
        <v>SAMP</v>
      </c>
      <c r="Q2285" s="62" t="str">
        <f>IF(G2285="PA",IF(M2285&lt;&gt;"",ISERROR(VLOOKUP(M2285,ABBR!C:F,1,FALSE)),ISERROR(VLOOKUP(E2285,ABBR!C:F,1,FALSE))),"")</f>
        <v/>
      </c>
    </row>
    <row r="2286" spans="1:17" hidden="1" x14ac:dyDescent="0.25">
      <c r="A2286" s="16" t="s">
        <v>537</v>
      </c>
      <c r="B2286" s="17"/>
      <c r="C2286" s="16" t="s">
        <v>4087</v>
      </c>
      <c r="D2286" s="17" t="s">
        <v>924</v>
      </c>
      <c r="E2286" s="17" t="s">
        <v>925</v>
      </c>
      <c r="F2286" s="18" t="s">
        <v>926</v>
      </c>
      <c r="G2286" s="49" t="s">
        <v>927</v>
      </c>
      <c r="H2286" s="17">
        <f t="shared" si="14"/>
        <v>20</v>
      </c>
      <c r="J2286" s="62" t="s">
        <v>478</v>
      </c>
      <c r="K2286" s="62"/>
      <c r="L2286" s="62"/>
      <c r="M2286" s="62"/>
      <c r="N2286" s="62"/>
      <c r="O2286" s="62" t="str">
        <f>IF(E2286="PA",IF(K2286&lt;&gt;"",ISERROR(VLOOKUP(K2286,ABBR!A:D,1,FALSE)),ISERROR(VLOOKUP(C2286,ABBR!A:D,1,FALSE))),"")</f>
        <v/>
      </c>
      <c r="P2286" t="str">
        <f>VLOOKUP(A2286,Groups!A:L,5,FALSE)</f>
        <v>SAMP</v>
      </c>
      <c r="Q2286" s="62" t="str">
        <f>IF(G2286="PA",IF(M2286&lt;&gt;"",ISERROR(VLOOKUP(M2286,ABBR!C:F,1,FALSE)),ISERROR(VLOOKUP(E2286,ABBR!C:F,1,FALSE))),"")</f>
        <v/>
      </c>
    </row>
    <row r="2287" spans="1:17" hidden="1" x14ac:dyDescent="0.25">
      <c r="A2287" s="16" t="s">
        <v>537</v>
      </c>
      <c r="B2287" s="17"/>
      <c r="C2287" s="16" t="s">
        <v>4088</v>
      </c>
      <c r="D2287" s="17"/>
      <c r="E2287" s="17" t="s">
        <v>608</v>
      </c>
      <c r="F2287" s="18" t="s">
        <v>931</v>
      </c>
      <c r="G2287" s="49" t="s">
        <v>932</v>
      </c>
      <c r="H2287" s="17">
        <f t="shared" si="14"/>
        <v>21</v>
      </c>
      <c r="J2287" s="62" t="s">
        <v>478</v>
      </c>
      <c r="K2287" s="62"/>
      <c r="L2287" s="62"/>
      <c r="M2287" s="62"/>
      <c r="N2287" s="62"/>
      <c r="O2287" s="62" t="str">
        <f>IF(E2287="PA",IF(K2287&lt;&gt;"",ISERROR(VLOOKUP(K2287,ABBR!A:D,1,FALSE)),ISERROR(VLOOKUP(C2287,ABBR!A:D,1,FALSE))),"")</f>
        <v/>
      </c>
      <c r="P2287" t="str">
        <f>VLOOKUP(A2287,Groups!A:L,5,FALSE)</f>
        <v>SAMP</v>
      </c>
      <c r="Q2287" s="62" t="str">
        <f>IF(G2287="PA",IF(M2287&lt;&gt;"",ISERROR(VLOOKUP(M2287,ABBR!C:F,1,FALSE)),ISERROR(VLOOKUP(E2287,ABBR!C:F,1,FALSE))),"")</f>
        <v/>
      </c>
    </row>
    <row r="2288" spans="1:17" ht="25" hidden="1" x14ac:dyDescent="0.25">
      <c r="A2288" s="16" t="s">
        <v>537</v>
      </c>
      <c r="B2288" s="17"/>
      <c r="C2288" s="16" t="s">
        <v>4089</v>
      </c>
      <c r="D2288" s="17"/>
      <c r="E2288" s="17" t="s">
        <v>608</v>
      </c>
      <c r="F2288" s="18" t="s">
        <v>934</v>
      </c>
      <c r="G2288" s="49" t="s">
        <v>935</v>
      </c>
      <c r="H2288" s="17">
        <f t="shared" si="14"/>
        <v>22</v>
      </c>
      <c r="J2288" s="62" t="s">
        <v>478</v>
      </c>
      <c r="K2288" s="62"/>
      <c r="L2288" s="62"/>
      <c r="M2288" s="62"/>
      <c r="N2288" s="62"/>
      <c r="O2288" s="62" t="str">
        <f>IF(E2288="PA",IF(K2288&lt;&gt;"",ISERROR(VLOOKUP(K2288,ABBR!A:D,1,FALSE)),ISERROR(VLOOKUP(C2288,ABBR!A:D,1,FALSE))),"")</f>
        <v/>
      </c>
      <c r="P2288" t="str">
        <f>VLOOKUP(A2288,Groups!A:L,5,FALSE)</f>
        <v>SAMP</v>
      </c>
      <c r="Q2288" s="62" t="str">
        <f>IF(G2288="PA",IF(M2288&lt;&gt;"",ISERROR(VLOOKUP(M2288,ABBR!C:F,1,FALSE)),ISERROR(VLOOKUP(E2288,ABBR!C:F,1,FALSE))),"")</f>
        <v/>
      </c>
    </row>
    <row r="2289" spans="1:17" hidden="1" x14ac:dyDescent="0.25">
      <c r="A2289" s="16" t="s">
        <v>537</v>
      </c>
      <c r="B2289" s="17"/>
      <c r="C2289" s="16" t="s">
        <v>936</v>
      </c>
      <c r="D2289" s="17"/>
      <c r="E2289" s="17" t="s">
        <v>608</v>
      </c>
      <c r="F2289" s="18" t="s">
        <v>937</v>
      </c>
      <c r="G2289" s="49" t="s">
        <v>938</v>
      </c>
      <c r="H2289" s="17">
        <f t="shared" si="14"/>
        <v>23</v>
      </c>
      <c r="J2289" s="62" t="s">
        <v>478</v>
      </c>
      <c r="K2289" s="62"/>
      <c r="L2289" s="62"/>
      <c r="M2289" s="62"/>
      <c r="N2289" s="62"/>
      <c r="O2289" s="62" t="str">
        <f>IF(E2289="PA",IF(K2289&lt;&gt;"",ISERROR(VLOOKUP(K2289,ABBR!A:D,1,FALSE)),ISERROR(VLOOKUP(C2289,ABBR!A:D,1,FALSE))),"")</f>
        <v/>
      </c>
      <c r="P2289" t="str">
        <f>VLOOKUP(A2289,Groups!A:L,5,FALSE)</f>
        <v>SAMP</v>
      </c>
      <c r="Q2289" s="62" t="str">
        <f>IF(G2289="PA",IF(M2289&lt;&gt;"",ISERROR(VLOOKUP(M2289,ABBR!C:F,1,FALSE)),ISERROR(VLOOKUP(E2289,ABBR!C:F,1,FALSE))),"")</f>
        <v/>
      </c>
    </row>
    <row r="2290" spans="1:17" hidden="1" x14ac:dyDescent="0.25">
      <c r="A2290" s="16" t="s">
        <v>537</v>
      </c>
      <c r="B2290" s="17"/>
      <c r="C2290" s="16" t="s">
        <v>643</v>
      </c>
      <c r="D2290" s="17"/>
      <c r="E2290" s="17" t="s">
        <v>608</v>
      </c>
      <c r="F2290" s="18" t="s">
        <v>1714</v>
      </c>
      <c r="G2290" s="49" t="s">
        <v>4090</v>
      </c>
      <c r="H2290" s="17">
        <f t="shared" si="14"/>
        <v>24</v>
      </c>
      <c r="J2290" s="62" t="s">
        <v>478</v>
      </c>
      <c r="K2290" s="62"/>
      <c r="L2290" s="62"/>
      <c r="M2290" s="62"/>
      <c r="N2290" s="62"/>
      <c r="O2290" s="62" t="str">
        <f>IF(E2290="PA",IF(K2290&lt;&gt;"",ISERROR(VLOOKUP(K2290,ABBR!A:D,1,FALSE)),ISERROR(VLOOKUP(C2290,ABBR!A:D,1,FALSE))),"")</f>
        <v/>
      </c>
      <c r="P2290" t="str">
        <f>VLOOKUP(A2290,Groups!A:L,5,FALSE)</f>
        <v>SAMP</v>
      </c>
      <c r="Q2290" s="62" t="str">
        <f>IF(G2290="PA",IF(M2290&lt;&gt;"",ISERROR(VLOOKUP(M2290,ABBR!C:F,1,FALSE)),ISERROR(VLOOKUP(E2290,ABBR!C:F,1,FALSE))),"")</f>
        <v/>
      </c>
    </row>
    <row r="2291" spans="1:17" hidden="1" x14ac:dyDescent="0.25">
      <c r="A2291" s="16" t="s">
        <v>573</v>
      </c>
      <c r="B2291" s="17" t="s">
        <v>594</v>
      </c>
      <c r="C2291" s="16" t="s">
        <v>595</v>
      </c>
      <c r="D2291" s="17"/>
      <c r="E2291" s="17" t="s">
        <v>596</v>
      </c>
      <c r="F2291" s="18" t="s">
        <v>597</v>
      </c>
      <c r="G2291" s="49" t="s">
        <v>598</v>
      </c>
      <c r="H2291" s="17">
        <v>1</v>
      </c>
      <c r="J2291" s="62" t="s">
        <v>473</v>
      </c>
      <c r="K2291" s="62"/>
      <c r="L2291" s="62"/>
      <c r="M2291" s="62"/>
      <c r="N2291" s="62"/>
      <c r="O2291" s="62" t="str">
        <f>IF(E2291="PA",IF(K2291&lt;&gt;"",ISERROR(VLOOKUP(K2291,ABBR!A:D,1,FALSE)),ISERROR(VLOOKUP(C2291,ABBR!A:D,1,FALSE))),"")</f>
        <v/>
      </c>
      <c r="P2291" t="str">
        <f>VLOOKUP(A2291,Groups!A:L,5,FALSE)</f>
        <v>SAMP</v>
      </c>
      <c r="Q2291" s="62" t="str">
        <f>IF(G2291="PA",IF(M2291&lt;&gt;"",ISERROR(VLOOKUP(M2291,ABBR!C:F,1,FALSE)),ISERROR(VLOOKUP(E2291,ABBR!C:F,1,FALSE))),"")</f>
        <v/>
      </c>
    </row>
    <row r="2292" spans="1:17" hidden="1" x14ac:dyDescent="0.25">
      <c r="A2292" s="16" t="s">
        <v>573</v>
      </c>
      <c r="B2292" s="17" t="s">
        <v>594</v>
      </c>
      <c r="C2292" s="16" t="s">
        <v>851</v>
      </c>
      <c r="D2292" s="17" t="s">
        <v>600</v>
      </c>
      <c r="E2292" s="17" t="s">
        <v>601</v>
      </c>
      <c r="F2292" s="18" t="s">
        <v>852</v>
      </c>
      <c r="G2292" s="49" t="s">
        <v>853</v>
      </c>
      <c r="H2292" s="17">
        <f t="shared" ref="H2292:H2310" si="15">H2291+1</f>
        <v>2</v>
      </c>
      <c r="J2292" s="62" t="s">
        <v>473</v>
      </c>
      <c r="K2292" s="62"/>
      <c r="L2292" s="62"/>
      <c r="M2292" s="62"/>
      <c r="N2292" s="62"/>
      <c r="O2292" s="62" t="str">
        <f>IF(E2292="PA",IF(K2292&lt;&gt;"",ISERROR(VLOOKUP(K2292,ABBR!A:D,1,FALSE)),ISERROR(VLOOKUP(C2292,ABBR!A:D,1,FALSE))),"")</f>
        <v/>
      </c>
      <c r="P2292" t="str">
        <f>VLOOKUP(A2292,Groups!A:L,5,FALSE)</f>
        <v>SAMP</v>
      </c>
      <c r="Q2292" s="62" t="str">
        <f>IF(G2292="PA",IF(M2292&lt;&gt;"",ISERROR(VLOOKUP(M2292,ABBR!C:F,1,FALSE)),ISERROR(VLOOKUP(E2292,ABBR!C:F,1,FALSE))),"")</f>
        <v/>
      </c>
    </row>
    <row r="2293" spans="1:17" hidden="1" x14ac:dyDescent="0.25">
      <c r="A2293" s="16" t="s">
        <v>573</v>
      </c>
      <c r="B2293" s="17" t="s">
        <v>594</v>
      </c>
      <c r="C2293" s="16" t="s">
        <v>854</v>
      </c>
      <c r="D2293" s="17"/>
      <c r="E2293" s="17" t="s">
        <v>608</v>
      </c>
      <c r="F2293" s="18" t="s">
        <v>855</v>
      </c>
      <c r="G2293" s="49" t="s">
        <v>856</v>
      </c>
      <c r="H2293" s="17">
        <f t="shared" si="15"/>
        <v>3</v>
      </c>
      <c r="J2293" s="62" t="s">
        <v>473</v>
      </c>
      <c r="K2293" s="62"/>
      <c r="L2293" s="62"/>
      <c r="M2293" s="62"/>
      <c r="N2293" s="62"/>
      <c r="O2293" s="62" t="str">
        <f>IF(E2293="PA",IF(K2293&lt;&gt;"",ISERROR(VLOOKUP(K2293,ABBR!A:D,1,FALSE)),ISERROR(VLOOKUP(C2293,ABBR!A:D,1,FALSE))),"")</f>
        <v/>
      </c>
      <c r="P2293" t="str">
        <f>VLOOKUP(A2293,Groups!A:L,5,FALSE)</f>
        <v>SAMP</v>
      </c>
      <c r="Q2293" s="62" t="str">
        <f>IF(G2293="PA",IF(M2293&lt;&gt;"",ISERROR(VLOOKUP(M2293,ABBR!C:F,1,FALSE)),ISERROR(VLOOKUP(E2293,ABBR!C:F,1,FALSE))),"")</f>
        <v/>
      </c>
    </row>
    <row r="2294" spans="1:17" hidden="1" x14ac:dyDescent="0.25">
      <c r="A2294" s="16" t="s">
        <v>573</v>
      </c>
      <c r="B2294" s="17" t="s">
        <v>594</v>
      </c>
      <c r="C2294" s="16" t="s">
        <v>857</v>
      </c>
      <c r="D2294" s="17"/>
      <c r="E2294" s="17" t="s">
        <v>618</v>
      </c>
      <c r="F2294" s="18" t="s">
        <v>858</v>
      </c>
      <c r="G2294" s="49" t="s">
        <v>859</v>
      </c>
      <c r="H2294" s="17">
        <f t="shared" si="15"/>
        <v>4</v>
      </c>
      <c r="J2294" s="62" t="s">
        <v>473</v>
      </c>
      <c r="K2294" s="62"/>
      <c r="L2294" s="62"/>
      <c r="M2294" s="62"/>
      <c r="N2294" s="62"/>
      <c r="O2294" s="62" t="b">
        <f>IF(E2294="PA",IF(K2294&lt;&gt;"",ISERROR(VLOOKUP(K2294,ABBR!A:D,1,FALSE)),ISERROR(VLOOKUP(C2294,ABBR!A:D,1,FALSE))),"")</f>
        <v>0</v>
      </c>
      <c r="P2294" t="str">
        <f>VLOOKUP(A2294,Groups!A:L,5,FALSE)</f>
        <v>SAMP</v>
      </c>
      <c r="Q2294" s="62" t="str">
        <f>IF(G2294="PA",IF(M2294&lt;&gt;"",ISERROR(VLOOKUP(M2294,ABBR!C:F,1,FALSE)),ISERROR(VLOOKUP(E2294,ABBR!C:F,1,FALSE))),"")</f>
        <v/>
      </c>
    </row>
    <row r="2295" spans="1:17" hidden="1" x14ac:dyDescent="0.25">
      <c r="A2295" s="16" t="s">
        <v>573</v>
      </c>
      <c r="B2295" s="17" t="s">
        <v>594</v>
      </c>
      <c r="C2295" s="16" t="s">
        <v>860</v>
      </c>
      <c r="D2295" s="17"/>
      <c r="E2295" s="17" t="s">
        <v>596</v>
      </c>
      <c r="F2295" s="18" t="s">
        <v>861</v>
      </c>
      <c r="G2295" s="49" t="s">
        <v>862</v>
      </c>
      <c r="H2295" s="17">
        <f t="shared" si="15"/>
        <v>5</v>
      </c>
      <c r="J2295" s="62" t="s">
        <v>473</v>
      </c>
      <c r="K2295" s="62"/>
      <c r="L2295" s="62"/>
      <c r="M2295" s="62"/>
      <c r="N2295" s="62"/>
      <c r="O2295" s="62" t="str">
        <f>IF(E2295="PA",IF(K2295&lt;&gt;"",ISERROR(VLOOKUP(K2295,ABBR!A:D,1,FALSE)),ISERROR(VLOOKUP(C2295,ABBR!A:D,1,FALSE))),"")</f>
        <v/>
      </c>
      <c r="P2295" t="str">
        <f>VLOOKUP(A2295,Groups!A:L,5,FALSE)</f>
        <v>SAMP</v>
      </c>
      <c r="Q2295" s="62" t="str">
        <f>IF(G2295="PA",IF(M2295&lt;&gt;"",ISERROR(VLOOKUP(M2295,ABBR!C:F,1,FALSE)),ISERROR(VLOOKUP(E2295,ABBR!C:F,1,FALSE))),"")</f>
        <v/>
      </c>
    </row>
    <row r="2296" spans="1:17" hidden="1" x14ac:dyDescent="0.25">
      <c r="A2296" s="16" t="s">
        <v>573</v>
      </c>
      <c r="B2296" s="17" t="s">
        <v>594</v>
      </c>
      <c r="C2296" s="16" t="s">
        <v>863</v>
      </c>
      <c r="D2296" s="17"/>
      <c r="E2296" s="17" t="s">
        <v>608</v>
      </c>
      <c r="F2296" s="18" t="s">
        <v>864</v>
      </c>
      <c r="G2296" s="49" t="s">
        <v>865</v>
      </c>
      <c r="H2296" s="17">
        <f t="shared" si="15"/>
        <v>6</v>
      </c>
      <c r="J2296" s="62" t="s">
        <v>473</v>
      </c>
      <c r="K2296" s="62"/>
      <c r="L2296" s="62"/>
      <c r="M2296" s="62"/>
      <c r="N2296" s="62"/>
      <c r="O2296" s="62" t="str">
        <f>IF(E2296="PA",IF(K2296&lt;&gt;"",ISERROR(VLOOKUP(K2296,ABBR!A:D,1,FALSE)),ISERROR(VLOOKUP(C2296,ABBR!A:D,1,FALSE))),"")</f>
        <v/>
      </c>
      <c r="P2296" t="str">
        <f>VLOOKUP(A2296,Groups!A:L,5,FALSE)</f>
        <v>SAMP</v>
      </c>
      <c r="Q2296" s="62" t="str">
        <f>IF(G2296="PA",IF(M2296&lt;&gt;"",ISERROR(VLOOKUP(M2296,ABBR!C:F,1,FALSE)),ISERROR(VLOOKUP(E2296,ABBR!C:F,1,FALSE))),"")</f>
        <v/>
      </c>
    </row>
    <row r="2297" spans="1:17" hidden="1" x14ac:dyDescent="0.25">
      <c r="A2297" s="16" t="s">
        <v>573</v>
      </c>
      <c r="B2297" s="17" t="s">
        <v>594</v>
      </c>
      <c r="C2297" s="16" t="s">
        <v>866</v>
      </c>
      <c r="D2297" s="17" t="s">
        <v>600</v>
      </c>
      <c r="E2297" s="17" t="s">
        <v>601</v>
      </c>
      <c r="F2297" s="18" t="s">
        <v>867</v>
      </c>
      <c r="G2297" s="49" t="s">
        <v>853</v>
      </c>
      <c r="H2297" s="17">
        <f t="shared" si="15"/>
        <v>7</v>
      </c>
      <c r="J2297" s="62" t="s">
        <v>473</v>
      </c>
      <c r="K2297" s="62"/>
      <c r="L2297" s="62"/>
      <c r="M2297" s="62"/>
      <c r="N2297" s="62"/>
      <c r="O2297" s="62" t="str">
        <f>IF(E2297="PA",IF(K2297&lt;&gt;"",ISERROR(VLOOKUP(K2297,ABBR!A:D,1,FALSE)),ISERROR(VLOOKUP(C2297,ABBR!A:D,1,FALSE))),"")</f>
        <v/>
      </c>
      <c r="P2297" t="str">
        <f>VLOOKUP(A2297,Groups!A:L,5,FALSE)</f>
        <v>SAMP</v>
      </c>
      <c r="Q2297" s="62" t="str">
        <f>IF(G2297="PA",IF(M2297&lt;&gt;"",ISERROR(VLOOKUP(M2297,ABBR!C:F,1,FALSE)),ISERROR(VLOOKUP(E2297,ABBR!C:F,1,FALSE))),"")</f>
        <v/>
      </c>
    </row>
    <row r="2298" spans="1:17" hidden="1" x14ac:dyDescent="0.25">
      <c r="A2298" s="16" t="s">
        <v>573</v>
      </c>
      <c r="B2298" s="17"/>
      <c r="C2298" s="16" t="s">
        <v>868</v>
      </c>
      <c r="D2298" s="17"/>
      <c r="E2298" s="17" t="s">
        <v>608</v>
      </c>
      <c r="F2298" s="18" t="s">
        <v>869</v>
      </c>
      <c r="G2298" s="49" t="s">
        <v>3265</v>
      </c>
      <c r="H2298" s="17">
        <f t="shared" si="15"/>
        <v>8</v>
      </c>
      <c r="J2298" s="62" t="s">
        <v>473</v>
      </c>
      <c r="K2298" s="62"/>
      <c r="L2298" s="62"/>
      <c r="M2298" s="62"/>
      <c r="N2298" s="62"/>
      <c r="O2298" s="62" t="str">
        <f>IF(E2298="PA",IF(K2298&lt;&gt;"",ISERROR(VLOOKUP(K2298,ABBR!A:D,1,FALSE)),ISERROR(VLOOKUP(C2298,ABBR!A:D,1,FALSE))),"")</f>
        <v/>
      </c>
      <c r="P2298" t="str">
        <f>VLOOKUP(A2298,Groups!A:L,5,FALSE)</f>
        <v>SAMP</v>
      </c>
      <c r="Q2298" s="62" t="str">
        <f>IF(G2298="PA",IF(M2298&lt;&gt;"",ISERROR(VLOOKUP(M2298,ABBR!C:F,1,FALSE)),ISERROR(VLOOKUP(E2298,ABBR!C:F,1,FALSE))),"")</f>
        <v/>
      </c>
    </row>
    <row r="2299" spans="1:17" ht="25" hidden="1" x14ac:dyDescent="0.25">
      <c r="A2299" s="16" t="s">
        <v>573</v>
      </c>
      <c r="B2299" s="17"/>
      <c r="C2299" s="16" t="s">
        <v>871</v>
      </c>
      <c r="D2299" s="17"/>
      <c r="E2299" s="17" t="s">
        <v>608</v>
      </c>
      <c r="F2299" s="18" t="s">
        <v>872</v>
      </c>
      <c r="G2299" s="49" t="s">
        <v>873</v>
      </c>
      <c r="H2299" s="17">
        <f t="shared" si="15"/>
        <v>9</v>
      </c>
      <c r="J2299" s="62" t="s">
        <v>473</v>
      </c>
      <c r="K2299" s="62"/>
      <c r="L2299" s="62"/>
      <c r="M2299" s="62"/>
      <c r="N2299" s="62"/>
      <c r="O2299" s="62" t="str">
        <f>IF(E2299="PA",IF(K2299&lt;&gt;"",ISERROR(VLOOKUP(K2299,ABBR!A:D,1,FALSE)),ISERROR(VLOOKUP(C2299,ABBR!A:D,1,FALSE))),"")</f>
        <v/>
      </c>
      <c r="P2299" t="str">
        <f>VLOOKUP(A2299,Groups!A:L,5,FALSE)</f>
        <v>SAMP</v>
      </c>
      <c r="Q2299" s="62" t="str">
        <f>IF(G2299="PA",IF(M2299&lt;&gt;"",ISERROR(VLOOKUP(M2299,ABBR!C:F,1,FALSE)),ISERROR(VLOOKUP(E2299,ABBR!C:F,1,FALSE))),"")</f>
        <v/>
      </c>
    </row>
    <row r="2300" spans="1:17" hidden="1" x14ac:dyDescent="0.25">
      <c r="A2300" s="16" t="s">
        <v>573</v>
      </c>
      <c r="B2300" s="46"/>
      <c r="C2300" s="9" t="s">
        <v>877</v>
      </c>
      <c r="D2300" s="46" t="s">
        <v>600</v>
      </c>
      <c r="E2300" s="46" t="s">
        <v>601</v>
      </c>
      <c r="F2300" s="93" t="s">
        <v>878</v>
      </c>
      <c r="G2300" s="94" t="s">
        <v>879</v>
      </c>
      <c r="H2300" s="17">
        <f t="shared" si="15"/>
        <v>10</v>
      </c>
      <c r="I2300"/>
      <c r="J2300" s="34" t="s">
        <v>473</v>
      </c>
      <c r="O2300" s="62" t="str">
        <f>IF(E2300="PA",IF(K2300&lt;&gt;"",ISERROR(VLOOKUP(K2300,ABBR!A:D,1,FALSE)),ISERROR(VLOOKUP(C2300,ABBR!A:D,1,FALSE))),"")</f>
        <v/>
      </c>
      <c r="P2300" t="str">
        <f>VLOOKUP(A2300,Groups!A:L,5,FALSE)</f>
        <v>SAMP</v>
      </c>
      <c r="Q2300" s="62" t="str">
        <f>IF(G2300="PA",IF(M2300&lt;&gt;"",ISERROR(VLOOKUP(M2300,ABBR!C:F,1,FALSE)),ISERROR(VLOOKUP(E2300,ABBR!C:F,1,FALSE))),"")</f>
        <v/>
      </c>
    </row>
    <row r="2301" spans="1:17" hidden="1" x14ac:dyDescent="0.25">
      <c r="A2301" s="16" t="s">
        <v>573</v>
      </c>
      <c r="B2301" s="17"/>
      <c r="C2301" s="16" t="s">
        <v>4091</v>
      </c>
      <c r="D2301" s="17"/>
      <c r="E2301" s="17" t="s">
        <v>618</v>
      </c>
      <c r="F2301" s="18" t="s">
        <v>4092</v>
      </c>
      <c r="G2301" s="49" t="s">
        <v>4093</v>
      </c>
      <c r="H2301" s="17">
        <f t="shared" si="15"/>
        <v>11</v>
      </c>
      <c r="J2301" s="62" t="s">
        <v>473</v>
      </c>
      <c r="K2301" s="62"/>
      <c r="L2301" s="62"/>
      <c r="M2301" s="62"/>
      <c r="N2301" s="62"/>
      <c r="O2301" s="62" t="b">
        <f>IF(E2301="PA",IF(K2301&lt;&gt;"",ISERROR(VLOOKUP(K2301,ABBR!A:D,1,FALSE)),ISERROR(VLOOKUP(C2301,ABBR!A:D,1,FALSE))),"")</f>
        <v>0</v>
      </c>
      <c r="P2301" t="str">
        <f>VLOOKUP(A2301,Groups!A:L,5,FALSE)</f>
        <v>SAMP</v>
      </c>
      <c r="Q2301" s="62" t="str">
        <f>IF(G2301="PA",IF(M2301&lt;&gt;"",ISERROR(VLOOKUP(M2301,ABBR!C:F,1,FALSE)),ISERROR(VLOOKUP(E2301,ABBR!C:F,1,FALSE))),"")</f>
        <v/>
      </c>
    </row>
    <row r="2302" spans="1:17" hidden="1" x14ac:dyDescent="0.25">
      <c r="A2302" s="16" t="s">
        <v>573</v>
      </c>
      <c r="B2302" s="17"/>
      <c r="C2302" s="16" t="s">
        <v>4094</v>
      </c>
      <c r="D2302" s="17"/>
      <c r="E2302" s="17" t="s">
        <v>608</v>
      </c>
      <c r="F2302" s="18" t="s">
        <v>4095</v>
      </c>
      <c r="G2302" s="49"/>
      <c r="H2302" s="17">
        <f t="shared" si="15"/>
        <v>12</v>
      </c>
      <c r="J2302" s="62" t="s">
        <v>473</v>
      </c>
      <c r="K2302" s="62"/>
      <c r="L2302" s="62"/>
      <c r="M2302" s="101" t="s">
        <v>1044</v>
      </c>
      <c r="N2302" s="62"/>
      <c r="O2302" s="62" t="str">
        <f>IF(E2302="PA",IF(K2302&lt;&gt;"",ISERROR(VLOOKUP(K2302,ABBR!A:D,1,FALSE)),ISERROR(VLOOKUP(C2302,ABBR!A:D,1,FALSE))),"")</f>
        <v/>
      </c>
      <c r="P2302" t="str">
        <f>VLOOKUP(A2302,Groups!A:L,5,FALSE)</f>
        <v>SAMP</v>
      </c>
      <c r="Q2302" s="62" t="str">
        <f>IF(G2302="PA",IF(M2302&lt;&gt;"",ISERROR(VLOOKUP(M2302,ABBR!C:F,1,FALSE)),ISERROR(VLOOKUP(E2302,ABBR!C:F,1,FALSE))),"")</f>
        <v/>
      </c>
    </row>
    <row r="2303" spans="1:17" hidden="1" x14ac:dyDescent="0.25">
      <c r="A2303" s="16" t="s">
        <v>573</v>
      </c>
      <c r="B2303" s="17"/>
      <c r="C2303" s="16" t="s">
        <v>4096</v>
      </c>
      <c r="D2303" s="17"/>
      <c r="E2303" s="17" t="s">
        <v>608</v>
      </c>
      <c r="F2303" s="18" t="s">
        <v>642</v>
      </c>
      <c r="G2303" s="49" t="s">
        <v>16</v>
      </c>
      <c r="H2303" s="17">
        <f t="shared" si="15"/>
        <v>13</v>
      </c>
      <c r="J2303" s="62" t="s">
        <v>473</v>
      </c>
      <c r="K2303" s="62"/>
      <c r="L2303" s="62"/>
      <c r="M2303" s="62"/>
      <c r="N2303" s="62"/>
      <c r="O2303" s="62" t="str">
        <f>IF(E2303="PA",IF(K2303&lt;&gt;"",ISERROR(VLOOKUP(K2303,ABBR!A:D,1,FALSE)),ISERROR(VLOOKUP(C2303,ABBR!A:D,1,FALSE))),"")</f>
        <v/>
      </c>
      <c r="P2303" t="str">
        <f>VLOOKUP(A2303,Groups!A:L,5,FALSE)</f>
        <v>SAMP</v>
      </c>
      <c r="Q2303" s="62" t="str">
        <f>IF(G2303="PA",IF(M2303&lt;&gt;"",ISERROR(VLOOKUP(M2303,ABBR!C:F,1,FALSE)),ISERROR(VLOOKUP(E2303,ABBR!C:F,1,FALSE))),"")</f>
        <v/>
      </c>
    </row>
    <row r="2304" spans="1:17" hidden="1" x14ac:dyDescent="0.25">
      <c r="A2304" s="16" t="s">
        <v>573</v>
      </c>
      <c r="B2304" s="17"/>
      <c r="C2304" s="16" t="s">
        <v>4097</v>
      </c>
      <c r="D2304" s="17" t="s">
        <v>924</v>
      </c>
      <c r="E2304" s="17" t="s">
        <v>925</v>
      </c>
      <c r="F2304" s="18" t="s">
        <v>926</v>
      </c>
      <c r="G2304" s="49" t="s">
        <v>927</v>
      </c>
      <c r="H2304" s="17">
        <f t="shared" si="15"/>
        <v>14</v>
      </c>
      <c r="J2304" s="62" t="s">
        <v>473</v>
      </c>
      <c r="K2304" s="62"/>
      <c r="L2304" s="62"/>
      <c r="M2304" s="62"/>
      <c r="N2304" s="62"/>
      <c r="O2304" s="62" t="str">
        <f>IF(E2304="PA",IF(K2304&lt;&gt;"",ISERROR(VLOOKUP(K2304,ABBR!A:D,1,FALSE)),ISERROR(VLOOKUP(C2304,ABBR!A:D,1,FALSE))),"")</f>
        <v/>
      </c>
      <c r="P2304" t="str">
        <f>VLOOKUP(A2304,Groups!A:L,5,FALSE)</f>
        <v>SAMP</v>
      </c>
      <c r="Q2304" s="62" t="str">
        <f>IF(G2304="PA",IF(M2304&lt;&gt;"",ISERROR(VLOOKUP(M2304,ABBR!C:F,1,FALSE)),ISERROR(VLOOKUP(E2304,ABBR!C:F,1,FALSE))),"")</f>
        <v/>
      </c>
    </row>
    <row r="2305" spans="1:17" ht="75" hidden="1" x14ac:dyDescent="0.25">
      <c r="A2305" s="16" t="s">
        <v>573</v>
      </c>
      <c r="B2305" s="17"/>
      <c r="C2305" s="16" t="s">
        <v>4098</v>
      </c>
      <c r="D2305" s="17"/>
      <c r="E2305" s="17" t="s">
        <v>608</v>
      </c>
      <c r="F2305" s="18" t="s">
        <v>918</v>
      </c>
      <c r="G2305" s="49" t="s">
        <v>4099</v>
      </c>
      <c r="H2305" s="17">
        <f t="shared" si="15"/>
        <v>15</v>
      </c>
      <c r="J2305" s="62" t="s">
        <v>473</v>
      </c>
      <c r="K2305" s="62"/>
      <c r="L2305" s="62"/>
      <c r="M2305" s="62" t="s">
        <v>4100</v>
      </c>
      <c r="N2305" s="62"/>
      <c r="O2305" s="62" t="str">
        <f>IF(E2305="PA",IF(K2305&lt;&gt;"",ISERROR(VLOOKUP(K2305,ABBR!A:D,1,FALSE)),ISERROR(VLOOKUP(C2305,ABBR!A:D,1,FALSE))),"")</f>
        <v/>
      </c>
      <c r="P2305" t="str">
        <f>VLOOKUP(A2305,Groups!A:L,5,FALSE)</f>
        <v>SAMP</v>
      </c>
      <c r="Q2305" s="62" t="str">
        <f>IF(G2305="PA",IF(M2305&lt;&gt;"",ISERROR(VLOOKUP(M2305,ABBR!C:F,1,FALSE)),ISERROR(VLOOKUP(E2305,ABBR!C:F,1,FALSE))),"")</f>
        <v/>
      </c>
    </row>
    <row r="2306" spans="1:17" hidden="1" x14ac:dyDescent="0.25">
      <c r="A2306" s="16" t="s">
        <v>573</v>
      </c>
      <c r="B2306" s="46"/>
      <c r="C2306" s="9" t="s">
        <v>4101</v>
      </c>
      <c r="D2306" s="46"/>
      <c r="E2306" s="46" t="s">
        <v>608</v>
      </c>
      <c r="F2306" s="93" t="s">
        <v>921</v>
      </c>
      <c r="G2306" s="94" t="s">
        <v>922</v>
      </c>
      <c r="H2306" s="17">
        <f t="shared" si="15"/>
        <v>16</v>
      </c>
      <c r="I2306"/>
      <c r="J2306" s="34" t="s">
        <v>473</v>
      </c>
      <c r="M2306" s="101"/>
      <c r="O2306" s="62" t="str">
        <f>IF(E2306="PA",IF(K2306&lt;&gt;"",ISERROR(VLOOKUP(K2306,ABBR!A:D,1,FALSE)),ISERROR(VLOOKUP(C2306,ABBR!A:D,1,FALSE))),"")</f>
        <v/>
      </c>
      <c r="P2306" t="str">
        <f>VLOOKUP(A2306,Groups!A:L,5,FALSE)</f>
        <v>SAMP</v>
      </c>
      <c r="Q2306" s="62" t="str">
        <f>IF(G2306="PA",IF(M2306&lt;&gt;"",ISERROR(VLOOKUP(M2306,ABBR!C:F,1,FALSE)),ISERROR(VLOOKUP(E2306,ABBR!C:F,1,FALSE))),"")</f>
        <v/>
      </c>
    </row>
    <row r="2307" spans="1:17" ht="25" hidden="1" x14ac:dyDescent="0.25">
      <c r="A2307" s="16" t="s">
        <v>573</v>
      </c>
      <c r="B2307" s="17"/>
      <c r="C2307" s="16" t="s">
        <v>4102</v>
      </c>
      <c r="D2307" s="17"/>
      <c r="E2307" s="17" t="s">
        <v>608</v>
      </c>
      <c r="F2307" s="18" t="s">
        <v>931</v>
      </c>
      <c r="G2307" s="49" t="s">
        <v>951</v>
      </c>
      <c r="H2307" s="17">
        <f t="shared" si="15"/>
        <v>17</v>
      </c>
      <c r="J2307" s="62" t="s">
        <v>473</v>
      </c>
      <c r="K2307" s="62"/>
      <c r="L2307" s="62"/>
      <c r="M2307" s="62"/>
      <c r="N2307" s="62"/>
      <c r="O2307" s="62" t="str">
        <f>IF(E2307="PA",IF(K2307&lt;&gt;"",ISERROR(VLOOKUP(K2307,ABBR!A:D,1,FALSE)),ISERROR(VLOOKUP(C2307,ABBR!A:D,1,FALSE))),"")</f>
        <v/>
      </c>
      <c r="P2307" t="str">
        <f>VLOOKUP(A2307,Groups!A:L,5,FALSE)</f>
        <v>SAMP</v>
      </c>
      <c r="Q2307" s="62" t="str">
        <f>IF(G2307="PA",IF(M2307&lt;&gt;"",ISERROR(VLOOKUP(M2307,ABBR!C:F,1,FALSE)),ISERROR(VLOOKUP(E2307,ABBR!C:F,1,FALSE))),"")</f>
        <v/>
      </c>
    </row>
    <row r="2308" spans="1:17" ht="25" hidden="1" x14ac:dyDescent="0.25">
      <c r="A2308" s="16" t="s">
        <v>573</v>
      </c>
      <c r="B2308" s="17"/>
      <c r="C2308" s="16" t="s">
        <v>4103</v>
      </c>
      <c r="D2308" s="17"/>
      <c r="E2308" s="17" t="s">
        <v>608</v>
      </c>
      <c r="F2308" s="18" t="s">
        <v>934</v>
      </c>
      <c r="G2308" s="49" t="s">
        <v>953</v>
      </c>
      <c r="H2308" s="17">
        <f t="shared" si="15"/>
        <v>18</v>
      </c>
      <c r="J2308" s="62" t="s">
        <v>473</v>
      </c>
      <c r="K2308" s="62"/>
      <c r="L2308" s="62"/>
      <c r="M2308" s="62"/>
      <c r="N2308" s="62"/>
      <c r="O2308" s="62" t="str">
        <f>IF(E2308="PA",IF(K2308&lt;&gt;"",ISERROR(VLOOKUP(K2308,ABBR!A:D,1,FALSE)),ISERROR(VLOOKUP(C2308,ABBR!A:D,1,FALSE))),"")</f>
        <v/>
      </c>
      <c r="P2308" t="str">
        <f>VLOOKUP(A2308,Groups!A:L,5,FALSE)</f>
        <v>SAMP</v>
      </c>
      <c r="Q2308" s="62" t="str">
        <f>IF(G2308="PA",IF(M2308&lt;&gt;"",ISERROR(VLOOKUP(M2308,ABBR!C:F,1,FALSE)),ISERROR(VLOOKUP(E2308,ABBR!C:F,1,FALSE))),"")</f>
        <v/>
      </c>
    </row>
    <row r="2309" spans="1:17" hidden="1" x14ac:dyDescent="0.25">
      <c r="A2309" s="16" t="s">
        <v>573</v>
      </c>
      <c r="B2309" s="17"/>
      <c r="C2309" s="16" t="s">
        <v>936</v>
      </c>
      <c r="D2309" s="17"/>
      <c r="E2309" s="17" t="s">
        <v>608</v>
      </c>
      <c r="F2309" s="18" t="s">
        <v>937</v>
      </c>
      <c r="G2309" s="49" t="s">
        <v>938</v>
      </c>
      <c r="H2309" s="17">
        <f t="shared" si="15"/>
        <v>19</v>
      </c>
      <c r="J2309" s="62" t="s">
        <v>473</v>
      </c>
      <c r="K2309" s="62"/>
      <c r="L2309" s="62"/>
      <c r="M2309" s="62"/>
      <c r="N2309" s="62"/>
      <c r="O2309" s="62" t="str">
        <f>IF(E2309="PA",IF(K2309&lt;&gt;"",ISERROR(VLOOKUP(K2309,ABBR!A:D,1,FALSE)),ISERROR(VLOOKUP(C2309,ABBR!A:D,1,FALSE))),"")</f>
        <v/>
      </c>
      <c r="P2309" t="str">
        <f>VLOOKUP(A2309,Groups!A:L,5,FALSE)</f>
        <v>SAMP</v>
      </c>
      <c r="Q2309" s="62" t="str">
        <f>IF(G2309="PA",IF(M2309&lt;&gt;"",ISERROR(VLOOKUP(M2309,ABBR!C:F,1,FALSE)),ISERROR(VLOOKUP(E2309,ABBR!C:F,1,FALSE))),"")</f>
        <v/>
      </c>
    </row>
    <row r="2310" spans="1:17" hidden="1" x14ac:dyDescent="0.25">
      <c r="A2310" s="16" t="s">
        <v>573</v>
      </c>
      <c r="B2310" s="17"/>
      <c r="C2310" s="16" t="s">
        <v>643</v>
      </c>
      <c r="D2310" s="17"/>
      <c r="E2310" s="17" t="s">
        <v>608</v>
      </c>
      <c r="F2310" s="18" t="s">
        <v>939</v>
      </c>
      <c r="G2310" s="49" t="s">
        <v>940</v>
      </c>
      <c r="H2310" s="17">
        <f t="shared" si="15"/>
        <v>20</v>
      </c>
      <c r="J2310" s="62" t="s">
        <v>473</v>
      </c>
      <c r="K2310" s="62"/>
      <c r="L2310" s="62"/>
      <c r="M2310" s="62"/>
      <c r="N2310" s="62"/>
      <c r="O2310" s="62" t="str">
        <f>IF(E2310="PA",IF(K2310&lt;&gt;"",ISERROR(VLOOKUP(K2310,ABBR!A:D,1,FALSE)),ISERROR(VLOOKUP(C2310,ABBR!A:D,1,FALSE))),"")</f>
        <v/>
      </c>
      <c r="P2310" t="str">
        <f>VLOOKUP(A2310,Groups!A:L,5,FALSE)</f>
        <v>SAMP</v>
      </c>
      <c r="Q2310" s="62" t="str">
        <f>IF(G2310="PA",IF(M2310&lt;&gt;"",ISERROR(VLOOKUP(M2310,ABBR!C:F,1,FALSE)),ISERROR(VLOOKUP(E2310,ABBR!C:F,1,FALSE))),"")</f>
        <v/>
      </c>
    </row>
    <row r="2311" spans="1:17" hidden="1" x14ac:dyDescent="0.25">
      <c r="A2311" s="16" t="s">
        <v>573</v>
      </c>
      <c r="B2311" s="17"/>
      <c r="C2311" s="16" t="s">
        <v>4104</v>
      </c>
      <c r="D2311" s="17"/>
      <c r="E2311" s="17" t="s">
        <v>608</v>
      </c>
      <c r="F2311" s="18" t="s">
        <v>875</v>
      </c>
      <c r="G2311" s="49" t="s">
        <v>876</v>
      </c>
      <c r="H2311" s="17">
        <v>21</v>
      </c>
      <c r="J2311" s="62" t="s">
        <v>473</v>
      </c>
      <c r="K2311" s="62"/>
      <c r="L2311" s="62"/>
      <c r="M2311" s="62"/>
      <c r="N2311" s="62"/>
      <c r="O2311" s="62" t="str">
        <f>IF(E2311="PA",IF(K2311&lt;&gt;"",ISERROR(VLOOKUP(K2311,ABBR!A:D,1,FALSE)),ISERROR(VLOOKUP(C2311,ABBR!A:D,1,FALSE))),"")</f>
        <v/>
      </c>
      <c r="P2311" t="str">
        <f>VLOOKUP(A2311,Groups!A:L,5,FALSE)</f>
        <v>SAMP</v>
      </c>
      <c r="Q2311" s="62" t="str">
        <f>IF(G2311="PA",IF(M2311&lt;&gt;"",ISERROR(VLOOKUP(M2311,ABBR!C:F,1,FALSE)),ISERROR(VLOOKUP(E2311,ABBR!C:F,1,FALSE))),"")</f>
        <v/>
      </c>
    </row>
    <row r="2312" spans="1:17" hidden="1" x14ac:dyDescent="0.25">
      <c r="A2312" s="16" t="s">
        <v>573</v>
      </c>
      <c r="B2312" s="17"/>
      <c r="C2312" s="16" t="s">
        <v>4105</v>
      </c>
      <c r="D2312" s="17"/>
      <c r="E2312" s="17" t="s">
        <v>608</v>
      </c>
      <c r="F2312" s="18" t="s">
        <v>929</v>
      </c>
      <c r="G2312" s="49" t="s">
        <v>876</v>
      </c>
      <c r="H2312" s="17">
        <v>22</v>
      </c>
      <c r="J2312" s="62" t="s">
        <v>473</v>
      </c>
      <c r="K2312" s="62"/>
      <c r="L2312" s="62"/>
      <c r="M2312" s="62"/>
      <c r="N2312" s="62"/>
      <c r="O2312" s="62" t="str">
        <f>IF(E2312="PA",IF(K2312&lt;&gt;"",ISERROR(VLOOKUP(K2312,ABBR!A:D,1,FALSE)),ISERROR(VLOOKUP(C2312,ABBR!A:D,1,FALSE))),"")</f>
        <v/>
      </c>
      <c r="P2312" t="str">
        <f>VLOOKUP(A2312,Groups!A:L,5,FALSE)</f>
        <v>SAMP</v>
      </c>
      <c r="Q2312" s="62" t="str">
        <f>IF(G2312="PA",IF(M2312&lt;&gt;"",ISERROR(VLOOKUP(M2312,ABBR!C:F,1,FALSE)),ISERROR(VLOOKUP(E2312,ABBR!C:F,1,FALSE))),"")</f>
        <v/>
      </c>
    </row>
    <row r="2313" spans="1:17" hidden="1" x14ac:dyDescent="0.25">
      <c r="A2313" s="16" t="s">
        <v>286</v>
      </c>
      <c r="B2313" s="17" t="s">
        <v>594</v>
      </c>
      <c r="C2313" s="16" t="s">
        <v>595</v>
      </c>
      <c r="D2313" s="17"/>
      <c r="E2313" s="17" t="s">
        <v>596</v>
      </c>
      <c r="F2313" s="18" t="s">
        <v>597</v>
      </c>
      <c r="G2313" s="49" t="s">
        <v>598</v>
      </c>
      <c r="H2313" s="17">
        <v>1</v>
      </c>
      <c r="O2313" s="62" t="str">
        <f>IF(E2313="PA",IF(K2313&lt;&gt;"",ISERROR(VLOOKUP(K2313,ABBR!A:D,1,FALSE)),ISERROR(VLOOKUP(C2313,ABBR!A:D,1,FALSE))),"")</f>
        <v/>
      </c>
      <c r="P2313" t="str">
        <f>VLOOKUP(A2313,Groups!A:L,5,FALSE)</f>
        <v>SAMP</v>
      </c>
      <c r="Q2313" s="62" t="str">
        <f>IF(G2313="PA",IF(M2313&lt;&gt;"",ISERROR(VLOOKUP(M2313,ABBR!C:F,1,FALSE)),ISERROR(VLOOKUP(E2313,ABBR!C:F,1,FALSE))),"")</f>
        <v/>
      </c>
    </row>
    <row r="2314" spans="1:17" hidden="1" x14ac:dyDescent="0.25">
      <c r="A2314" s="16" t="s">
        <v>286</v>
      </c>
      <c r="B2314" s="17" t="s">
        <v>594</v>
      </c>
      <c r="C2314" s="16" t="s">
        <v>851</v>
      </c>
      <c r="D2314" s="17" t="s">
        <v>600</v>
      </c>
      <c r="E2314" s="17" t="s">
        <v>601</v>
      </c>
      <c r="F2314" s="18" t="s">
        <v>852</v>
      </c>
      <c r="G2314" s="49" t="s">
        <v>853</v>
      </c>
      <c r="H2314" s="17">
        <v>2</v>
      </c>
      <c r="O2314" s="62" t="str">
        <f>IF(E2314="PA",IF(K2314&lt;&gt;"",ISERROR(VLOOKUP(K2314,ABBR!A:D,1,FALSE)),ISERROR(VLOOKUP(C2314,ABBR!A:D,1,FALSE))),"")</f>
        <v/>
      </c>
      <c r="P2314" t="str">
        <f>VLOOKUP(A2314,Groups!A:L,5,FALSE)</f>
        <v>SAMP</v>
      </c>
      <c r="Q2314" s="62" t="str">
        <f>IF(G2314="PA",IF(M2314&lt;&gt;"",ISERROR(VLOOKUP(M2314,ABBR!C:F,1,FALSE)),ISERROR(VLOOKUP(E2314,ABBR!C:F,1,FALSE))),"")</f>
        <v/>
      </c>
    </row>
    <row r="2315" spans="1:17" hidden="1" x14ac:dyDescent="0.25">
      <c r="A2315" s="16" t="s">
        <v>286</v>
      </c>
      <c r="B2315" s="17" t="s">
        <v>594</v>
      </c>
      <c r="C2315" s="16" t="s">
        <v>854</v>
      </c>
      <c r="D2315" s="17"/>
      <c r="E2315" s="17" t="s">
        <v>608</v>
      </c>
      <c r="F2315" s="18" t="s">
        <v>855</v>
      </c>
      <c r="G2315" s="49" t="s">
        <v>941</v>
      </c>
      <c r="H2315" s="17">
        <v>3</v>
      </c>
      <c r="O2315" s="62" t="str">
        <f>IF(E2315="PA",IF(K2315&lt;&gt;"",ISERROR(VLOOKUP(K2315,ABBR!A:D,1,FALSE)),ISERROR(VLOOKUP(C2315,ABBR!A:D,1,FALSE))),"")</f>
        <v/>
      </c>
      <c r="P2315" t="str">
        <f>VLOOKUP(A2315,Groups!A:L,5,FALSE)</f>
        <v>SAMP</v>
      </c>
      <c r="Q2315" s="62" t="str">
        <f>IF(G2315="PA",IF(M2315&lt;&gt;"",ISERROR(VLOOKUP(M2315,ABBR!C:F,1,FALSE)),ISERROR(VLOOKUP(E2315,ABBR!C:F,1,FALSE))),"")</f>
        <v/>
      </c>
    </row>
    <row r="2316" spans="1:17" hidden="1" x14ac:dyDescent="0.25">
      <c r="A2316" s="16" t="s">
        <v>286</v>
      </c>
      <c r="B2316" s="17" t="s">
        <v>594</v>
      </c>
      <c r="C2316" s="16" t="s">
        <v>857</v>
      </c>
      <c r="D2316" s="17"/>
      <c r="E2316" s="17" t="s">
        <v>618</v>
      </c>
      <c r="F2316" s="18" t="s">
        <v>858</v>
      </c>
      <c r="G2316" s="49" t="s">
        <v>3547</v>
      </c>
      <c r="H2316" s="17">
        <v>4</v>
      </c>
      <c r="O2316" s="62" t="b">
        <f>IF(E2316="PA",IF(K2316&lt;&gt;"",ISERROR(VLOOKUP(K2316,ABBR!A:D,1,FALSE)),ISERROR(VLOOKUP(C2316,ABBR!A:D,1,FALSE))),"")</f>
        <v>0</v>
      </c>
      <c r="P2316" t="str">
        <f>VLOOKUP(A2316,Groups!A:L,5,FALSE)</f>
        <v>SAMP</v>
      </c>
      <c r="Q2316" s="62" t="str">
        <f>IF(G2316="PA",IF(M2316&lt;&gt;"",ISERROR(VLOOKUP(M2316,ABBR!C:F,1,FALSE)),ISERROR(VLOOKUP(E2316,ABBR!C:F,1,FALSE))),"")</f>
        <v/>
      </c>
    </row>
    <row r="2317" spans="1:17" hidden="1" x14ac:dyDescent="0.25">
      <c r="A2317" s="16" t="s">
        <v>286</v>
      </c>
      <c r="B2317" s="17" t="s">
        <v>594</v>
      </c>
      <c r="C2317" s="16" t="s">
        <v>860</v>
      </c>
      <c r="D2317" s="17"/>
      <c r="E2317" s="17" t="s">
        <v>596</v>
      </c>
      <c r="F2317" s="18" t="s">
        <v>942</v>
      </c>
      <c r="G2317" s="49" t="s">
        <v>862</v>
      </c>
      <c r="H2317" s="17">
        <v>5</v>
      </c>
      <c r="O2317" s="62" t="str">
        <f>IF(E2317="PA",IF(K2317&lt;&gt;"",ISERROR(VLOOKUP(K2317,ABBR!A:D,1,FALSE)),ISERROR(VLOOKUP(C2317,ABBR!A:D,1,FALSE))),"")</f>
        <v/>
      </c>
      <c r="P2317" t="str">
        <f>VLOOKUP(A2317,Groups!A:L,5,FALSE)</f>
        <v>SAMP</v>
      </c>
      <c r="Q2317" s="62" t="str">
        <f>IF(G2317="PA",IF(M2317&lt;&gt;"",ISERROR(VLOOKUP(M2317,ABBR!C:F,1,FALSE)),ISERROR(VLOOKUP(E2317,ABBR!C:F,1,FALSE))),"")</f>
        <v/>
      </c>
    </row>
    <row r="2318" spans="1:17" hidden="1" x14ac:dyDescent="0.25">
      <c r="A2318" s="16" t="s">
        <v>286</v>
      </c>
      <c r="B2318" s="17" t="s">
        <v>594</v>
      </c>
      <c r="C2318" s="16" t="s">
        <v>863</v>
      </c>
      <c r="D2318" s="17"/>
      <c r="E2318" s="17" t="s">
        <v>608</v>
      </c>
      <c r="F2318" s="18" t="s">
        <v>864</v>
      </c>
      <c r="G2318" s="49" t="s">
        <v>865</v>
      </c>
      <c r="H2318" s="17">
        <v>6</v>
      </c>
      <c r="O2318" s="62" t="str">
        <f>IF(E2318="PA",IF(K2318&lt;&gt;"",ISERROR(VLOOKUP(K2318,ABBR!A:D,1,FALSE)),ISERROR(VLOOKUP(C2318,ABBR!A:D,1,FALSE))),"")</f>
        <v/>
      </c>
      <c r="P2318" t="str">
        <f>VLOOKUP(A2318,Groups!A:L,5,FALSE)</f>
        <v>SAMP</v>
      </c>
      <c r="Q2318" s="62" t="str">
        <f>IF(G2318="PA",IF(M2318&lt;&gt;"",ISERROR(VLOOKUP(M2318,ABBR!C:F,1,FALSE)),ISERROR(VLOOKUP(E2318,ABBR!C:F,1,FALSE))),"")</f>
        <v/>
      </c>
    </row>
    <row r="2319" spans="1:17" hidden="1" x14ac:dyDescent="0.25">
      <c r="A2319" s="16" t="s">
        <v>286</v>
      </c>
      <c r="B2319" s="17" t="s">
        <v>594</v>
      </c>
      <c r="C2319" s="16" t="s">
        <v>866</v>
      </c>
      <c r="D2319" s="17" t="s">
        <v>600</v>
      </c>
      <c r="E2319" s="17" t="s">
        <v>601</v>
      </c>
      <c r="F2319" s="18" t="s">
        <v>867</v>
      </c>
      <c r="G2319" s="49" t="s">
        <v>853</v>
      </c>
      <c r="H2319" s="17">
        <v>7</v>
      </c>
      <c r="O2319" s="62" t="str">
        <f>IF(E2319="PA",IF(K2319&lt;&gt;"",ISERROR(VLOOKUP(K2319,ABBR!A:D,1,FALSE)),ISERROR(VLOOKUP(C2319,ABBR!A:D,1,FALSE))),"")</f>
        <v/>
      </c>
      <c r="P2319" t="str">
        <f>VLOOKUP(A2319,Groups!A:L,5,FALSE)</f>
        <v>SAMP</v>
      </c>
      <c r="Q2319" s="62" t="str">
        <f>IF(G2319="PA",IF(M2319&lt;&gt;"",ISERROR(VLOOKUP(M2319,ABBR!C:F,1,FALSE)),ISERROR(VLOOKUP(E2319,ABBR!C:F,1,FALSE))),"")</f>
        <v/>
      </c>
    </row>
    <row r="2320" spans="1:17" hidden="1" x14ac:dyDescent="0.25">
      <c r="A2320" s="16" t="s">
        <v>286</v>
      </c>
      <c r="B2320" s="17"/>
      <c r="C2320" s="16" t="s">
        <v>868</v>
      </c>
      <c r="D2320" s="17"/>
      <c r="E2320" s="17" t="s">
        <v>608</v>
      </c>
      <c r="F2320" s="18" t="s">
        <v>869</v>
      </c>
      <c r="G2320" s="51" t="s">
        <v>1269</v>
      </c>
      <c r="H2320" s="17">
        <v>8</v>
      </c>
      <c r="O2320" s="62" t="str">
        <f>IF(E2320="PA",IF(K2320&lt;&gt;"",ISERROR(VLOOKUP(K2320,ABBR!A:D,1,FALSE)),ISERROR(VLOOKUP(C2320,ABBR!A:D,1,FALSE))),"")</f>
        <v/>
      </c>
      <c r="P2320" t="str">
        <f>VLOOKUP(A2320,Groups!A:L,5,FALSE)</f>
        <v>SAMP</v>
      </c>
      <c r="Q2320" s="62" t="str">
        <f>IF(G2320="PA",IF(M2320&lt;&gt;"",ISERROR(VLOOKUP(M2320,ABBR!C:F,1,FALSE)),ISERROR(VLOOKUP(E2320,ABBR!C:F,1,FALSE))),"")</f>
        <v/>
      </c>
    </row>
    <row r="2321" spans="1:17" ht="25" hidden="1" x14ac:dyDescent="0.25">
      <c r="A2321" s="16" t="s">
        <v>286</v>
      </c>
      <c r="B2321" s="17"/>
      <c r="C2321" s="16" t="s">
        <v>871</v>
      </c>
      <c r="D2321" s="17"/>
      <c r="E2321" s="17" t="s">
        <v>608</v>
      </c>
      <c r="F2321" s="18" t="s">
        <v>872</v>
      </c>
      <c r="G2321" s="49" t="s">
        <v>873</v>
      </c>
      <c r="H2321" s="17">
        <v>9</v>
      </c>
      <c r="O2321" s="62" t="str">
        <f>IF(E2321="PA",IF(K2321&lt;&gt;"",ISERROR(VLOOKUP(K2321,ABBR!A:D,1,FALSE)),ISERROR(VLOOKUP(C2321,ABBR!A:D,1,FALSE))),"")</f>
        <v/>
      </c>
      <c r="P2321" t="str">
        <f>VLOOKUP(A2321,Groups!A:L,5,FALSE)</f>
        <v>SAMP</v>
      </c>
      <c r="Q2321" s="62" t="str">
        <f>IF(G2321="PA",IF(M2321&lt;&gt;"",ISERROR(VLOOKUP(M2321,ABBR!C:F,1,FALSE)),ISERROR(VLOOKUP(E2321,ABBR!C:F,1,FALSE))),"")</f>
        <v/>
      </c>
    </row>
    <row r="2322" spans="1:17" hidden="1" x14ac:dyDescent="0.25">
      <c r="A2322" s="16" t="s">
        <v>286</v>
      </c>
      <c r="B2322" s="17"/>
      <c r="C2322" s="16" t="s">
        <v>4106</v>
      </c>
      <c r="D2322" s="17" t="s">
        <v>1077</v>
      </c>
      <c r="E2322" s="17" t="s">
        <v>601</v>
      </c>
      <c r="F2322" s="18" t="s">
        <v>3669</v>
      </c>
      <c r="G2322" s="49" t="s">
        <v>1530</v>
      </c>
      <c r="H2322" s="17">
        <v>10</v>
      </c>
      <c r="O2322" s="62" t="str">
        <f>IF(E2322="PA",IF(K2322&lt;&gt;"",ISERROR(VLOOKUP(K2322,ABBR!A:D,1,FALSE)),ISERROR(VLOOKUP(C2322,ABBR!A:D,1,FALSE))),"")</f>
        <v/>
      </c>
      <c r="P2322" t="str">
        <f>VLOOKUP(A2322,Groups!A:L,5,FALSE)</f>
        <v>SAMP</v>
      </c>
      <c r="Q2322" s="62" t="str">
        <f>IF(G2322="PA",IF(M2322&lt;&gt;"",ISERROR(VLOOKUP(M2322,ABBR!C:F,1,FALSE)),ISERROR(VLOOKUP(E2322,ABBR!C:F,1,FALSE))),"")</f>
        <v/>
      </c>
    </row>
    <row r="2323" spans="1:17" hidden="1" x14ac:dyDescent="0.25">
      <c r="A2323" s="16" t="s">
        <v>286</v>
      </c>
      <c r="B2323" s="17"/>
      <c r="C2323" s="16" t="s">
        <v>4107</v>
      </c>
      <c r="D2323" s="17" t="s">
        <v>1077</v>
      </c>
      <c r="E2323" s="17" t="s">
        <v>601</v>
      </c>
      <c r="F2323" s="18" t="s">
        <v>3158</v>
      </c>
      <c r="G2323" s="49" t="s">
        <v>1340</v>
      </c>
      <c r="H2323" s="17">
        <v>11</v>
      </c>
      <c r="O2323" s="62" t="str">
        <f>IF(E2323="PA",IF(K2323&lt;&gt;"",ISERROR(VLOOKUP(K2323,ABBR!A:D,1,FALSE)),ISERROR(VLOOKUP(C2323,ABBR!A:D,1,FALSE))),"")</f>
        <v/>
      </c>
      <c r="P2323" t="str">
        <f>VLOOKUP(A2323,Groups!A:L,5,FALSE)</f>
        <v>SAMP</v>
      </c>
      <c r="Q2323" s="62" t="str">
        <f>IF(G2323="PA",IF(M2323&lt;&gt;"",ISERROR(VLOOKUP(M2323,ABBR!C:F,1,FALSE)),ISERROR(VLOOKUP(E2323,ABBR!C:F,1,FALSE))),"")</f>
        <v/>
      </c>
    </row>
    <row r="2324" spans="1:17" hidden="1" x14ac:dyDescent="0.25">
      <c r="A2324" s="16" t="s">
        <v>286</v>
      </c>
      <c r="B2324" s="17"/>
      <c r="C2324" s="16" t="s">
        <v>4108</v>
      </c>
      <c r="D2324" s="17" t="s">
        <v>766</v>
      </c>
      <c r="E2324" s="17" t="s">
        <v>608</v>
      </c>
      <c r="F2324" s="18" t="s">
        <v>1499</v>
      </c>
      <c r="G2324" s="49" t="s">
        <v>4109</v>
      </c>
      <c r="H2324" s="17">
        <v>12</v>
      </c>
      <c r="O2324" s="62" t="str">
        <f>IF(E2324="PA",IF(K2324&lt;&gt;"",ISERROR(VLOOKUP(K2324,ABBR!A:D,1,FALSE)),ISERROR(VLOOKUP(C2324,ABBR!A:D,1,FALSE))),"")</f>
        <v/>
      </c>
      <c r="P2324" t="str">
        <f>VLOOKUP(A2324,Groups!A:L,5,FALSE)</f>
        <v>SAMP</v>
      </c>
      <c r="Q2324" s="62" t="str">
        <f>IF(G2324="PA",IF(M2324&lt;&gt;"",ISERROR(VLOOKUP(M2324,ABBR!C:F,1,FALSE)),ISERROR(VLOOKUP(E2324,ABBR!C:F,1,FALSE))),"")</f>
        <v/>
      </c>
    </row>
    <row r="2325" spans="1:17" hidden="1" x14ac:dyDescent="0.25">
      <c r="A2325" s="16" t="s">
        <v>286</v>
      </c>
      <c r="B2325" s="17"/>
      <c r="C2325" s="16" t="s">
        <v>4110</v>
      </c>
      <c r="D2325" s="17"/>
      <c r="E2325" s="17" t="s">
        <v>608</v>
      </c>
      <c r="F2325" s="18" t="s">
        <v>4111</v>
      </c>
      <c r="G2325" s="49" t="s">
        <v>4112</v>
      </c>
      <c r="H2325" s="17">
        <v>13</v>
      </c>
      <c r="O2325" s="62" t="str">
        <f>IF(E2325="PA",IF(K2325&lt;&gt;"",ISERROR(VLOOKUP(K2325,ABBR!A:D,1,FALSE)),ISERROR(VLOOKUP(C2325,ABBR!A:D,1,FALSE))),"")</f>
        <v/>
      </c>
      <c r="P2325" t="str">
        <f>VLOOKUP(A2325,Groups!A:L,5,FALSE)</f>
        <v>SAMP</v>
      </c>
      <c r="Q2325" s="62" t="str">
        <f>IF(G2325="PA",IF(M2325&lt;&gt;"",ISERROR(VLOOKUP(M2325,ABBR!C:F,1,FALSE)),ISERROR(VLOOKUP(E2325,ABBR!C:F,1,FALSE))),"")</f>
        <v/>
      </c>
    </row>
    <row r="2326" spans="1:17" hidden="1" x14ac:dyDescent="0.25">
      <c r="A2326" s="16" t="s">
        <v>286</v>
      </c>
      <c r="B2326" s="17"/>
      <c r="C2326" s="16" t="s">
        <v>4113</v>
      </c>
      <c r="D2326" s="17" t="s">
        <v>3319</v>
      </c>
      <c r="E2326" s="17" t="s">
        <v>767</v>
      </c>
      <c r="F2326" s="18" t="s">
        <v>4114</v>
      </c>
      <c r="G2326" s="49" t="s">
        <v>4115</v>
      </c>
      <c r="H2326" s="17">
        <v>14</v>
      </c>
      <c r="O2326" s="62" t="str">
        <f>IF(E2326="PA",IF(K2326&lt;&gt;"",ISERROR(VLOOKUP(K2326,ABBR!A:D,1,FALSE)),ISERROR(VLOOKUP(C2326,ABBR!A:D,1,FALSE))),"")</f>
        <v/>
      </c>
      <c r="P2326" t="str">
        <f>VLOOKUP(A2326,Groups!A:L,5,FALSE)</f>
        <v>SAMP</v>
      </c>
      <c r="Q2326" s="62" t="str">
        <f>IF(G2326="PA",IF(M2326&lt;&gt;"",ISERROR(VLOOKUP(M2326,ABBR!C:F,1,FALSE)),ISERROR(VLOOKUP(E2326,ABBR!C:F,1,FALSE))),"")</f>
        <v/>
      </c>
    </row>
    <row r="2327" spans="1:17" hidden="1" x14ac:dyDescent="0.25">
      <c r="A2327" s="16" t="s">
        <v>286</v>
      </c>
      <c r="B2327" s="17"/>
      <c r="C2327" s="16" t="s">
        <v>4116</v>
      </c>
      <c r="D2327" s="17" t="s">
        <v>722</v>
      </c>
      <c r="E2327" s="17" t="s">
        <v>767</v>
      </c>
      <c r="F2327" s="18" t="s">
        <v>4117</v>
      </c>
      <c r="G2327" s="49" t="s">
        <v>3398</v>
      </c>
      <c r="H2327" s="17">
        <v>15</v>
      </c>
      <c r="O2327" s="62" t="str">
        <f>IF(E2327="PA",IF(K2327&lt;&gt;"",ISERROR(VLOOKUP(K2327,ABBR!A:D,1,FALSE)),ISERROR(VLOOKUP(C2327,ABBR!A:D,1,FALSE))),"")</f>
        <v/>
      </c>
      <c r="P2327" t="str">
        <f>VLOOKUP(A2327,Groups!A:L,5,FALSE)</f>
        <v>SAMP</v>
      </c>
      <c r="Q2327" s="62" t="str">
        <f>IF(G2327="PA",IF(M2327&lt;&gt;"",ISERROR(VLOOKUP(M2327,ABBR!C:F,1,FALSE)),ISERROR(VLOOKUP(E2327,ABBR!C:F,1,FALSE))),"")</f>
        <v/>
      </c>
    </row>
    <row r="2328" spans="1:17" hidden="1" x14ac:dyDescent="0.25">
      <c r="A2328" s="16" t="s">
        <v>286</v>
      </c>
      <c r="B2328" s="17"/>
      <c r="C2328" s="16" t="s">
        <v>4118</v>
      </c>
      <c r="D2328" s="17" t="s">
        <v>4119</v>
      </c>
      <c r="E2328" s="17" t="s">
        <v>767</v>
      </c>
      <c r="F2328" s="18" t="s">
        <v>4120</v>
      </c>
      <c r="G2328" s="49" t="s">
        <v>4121</v>
      </c>
      <c r="H2328" s="17">
        <v>16</v>
      </c>
      <c r="O2328" s="62" t="str">
        <f>IF(E2328="PA",IF(K2328&lt;&gt;"",ISERROR(VLOOKUP(K2328,ABBR!A:D,1,FALSE)),ISERROR(VLOOKUP(C2328,ABBR!A:D,1,FALSE))),"")</f>
        <v/>
      </c>
      <c r="P2328" t="str">
        <f>VLOOKUP(A2328,Groups!A:L,5,FALSE)</f>
        <v>SAMP</v>
      </c>
      <c r="Q2328" s="62" t="str">
        <f>IF(G2328="PA",IF(M2328&lt;&gt;"",ISERROR(VLOOKUP(M2328,ABBR!C:F,1,FALSE)),ISERROR(VLOOKUP(E2328,ABBR!C:F,1,FALSE))),"")</f>
        <v/>
      </c>
    </row>
    <row r="2329" spans="1:17" hidden="1" x14ac:dyDescent="0.25">
      <c r="A2329" s="16" t="s">
        <v>286</v>
      </c>
      <c r="B2329" s="17"/>
      <c r="C2329" s="16" t="s">
        <v>4122</v>
      </c>
      <c r="D2329" s="17" t="s">
        <v>722</v>
      </c>
      <c r="E2329" s="17" t="s">
        <v>767</v>
      </c>
      <c r="F2329" s="18" t="s">
        <v>4123</v>
      </c>
      <c r="G2329" s="49" t="s">
        <v>1116</v>
      </c>
      <c r="H2329" s="17">
        <v>17</v>
      </c>
      <c r="O2329" s="62" t="str">
        <f>IF(E2329="PA",IF(K2329&lt;&gt;"",ISERROR(VLOOKUP(K2329,ABBR!A:D,1,FALSE)),ISERROR(VLOOKUP(C2329,ABBR!A:D,1,FALSE))),"")</f>
        <v/>
      </c>
      <c r="P2329" t="str">
        <f>VLOOKUP(A2329,Groups!A:L,5,FALSE)</f>
        <v>SAMP</v>
      </c>
      <c r="Q2329" s="62" t="str">
        <f>IF(G2329="PA",IF(M2329&lt;&gt;"",ISERROR(VLOOKUP(M2329,ABBR!C:F,1,FALSE)),ISERROR(VLOOKUP(E2329,ABBR!C:F,1,FALSE))),"")</f>
        <v/>
      </c>
    </row>
    <row r="2330" spans="1:17" hidden="1" x14ac:dyDescent="0.25">
      <c r="A2330" s="16" t="s">
        <v>286</v>
      </c>
      <c r="B2330" s="17"/>
      <c r="C2330" s="16" t="s">
        <v>4124</v>
      </c>
      <c r="D2330" s="17" t="s">
        <v>1590</v>
      </c>
      <c r="E2330" s="17" t="s">
        <v>767</v>
      </c>
      <c r="F2330" s="18" t="s">
        <v>4125</v>
      </c>
      <c r="G2330" s="49" t="s">
        <v>4126</v>
      </c>
      <c r="H2330" s="17">
        <v>18</v>
      </c>
      <c r="O2330" s="62" t="str">
        <f>IF(E2330="PA",IF(K2330&lt;&gt;"",ISERROR(VLOOKUP(K2330,ABBR!A:D,1,FALSE)),ISERROR(VLOOKUP(C2330,ABBR!A:D,1,FALSE))),"")</f>
        <v/>
      </c>
      <c r="P2330" t="str">
        <f>VLOOKUP(A2330,Groups!A:L,5,FALSE)</f>
        <v>SAMP</v>
      </c>
      <c r="Q2330" s="62" t="str">
        <f>IF(G2330="PA",IF(M2330&lt;&gt;"",ISERROR(VLOOKUP(M2330,ABBR!C:F,1,FALSE)),ISERROR(VLOOKUP(E2330,ABBR!C:F,1,FALSE))),"")</f>
        <v/>
      </c>
    </row>
    <row r="2331" spans="1:17" hidden="1" x14ac:dyDescent="0.25">
      <c r="A2331" s="16" t="s">
        <v>286</v>
      </c>
      <c r="B2331" s="17"/>
      <c r="C2331" s="16" t="s">
        <v>4127</v>
      </c>
      <c r="D2331" s="17"/>
      <c r="E2331" s="17" t="s">
        <v>608</v>
      </c>
      <c r="F2331" s="18" t="s">
        <v>4128</v>
      </c>
      <c r="G2331" s="49" t="s">
        <v>4129</v>
      </c>
      <c r="H2331" s="17">
        <v>19</v>
      </c>
      <c r="O2331" s="62" t="str">
        <f>IF(E2331="PA",IF(K2331&lt;&gt;"",ISERROR(VLOOKUP(K2331,ABBR!A:D,1,FALSE)),ISERROR(VLOOKUP(C2331,ABBR!A:D,1,FALSE))),"")</f>
        <v/>
      </c>
      <c r="P2331" t="str">
        <f>VLOOKUP(A2331,Groups!A:L,5,FALSE)</f>
        <v>SAMP</v>
      </c>
      <c r="Q2331" s="62" t="str">
        <f>IF(G2331="PA",IF(M2331&lt;&gt;"",ISERROR(VLOOKUP(M2331,ABBR!C:F,1,FALSE)),ISERROR(VLOOKUP(E2331,ABBR!C:F,1,FALSE))),"")</f>
        <v/>
      </c>
    </row>
    <row r="2332" spans="1:17" ht="50" hidden="1" x14ac:dyDescent="0.25">
      <c r="A2332" s="16" t="s">
        <v>286</v>
      </c>
      <c r="B2332" s="17"/>
      <c r="C2332" s="16" t="s">
        <v>4130</v>
      </c>
      <c r="D2332" s="17"/>
      <c r="E2332" s="17" t="s">
        <v>608</v>
      </c>
      <c r="F2332" s="18" t="s">
        <v>4131</v>
      </c>
      <c r="G2332" s="49" t="s">
        <v>4132</v>
      </c>
      <c r="H2332" s="17">
        <v>20</v>
      </c>
      <c r="O2332" s="62" t="str">
        <f>IF(E2332="PA",IF(K2332&lt;&gt;"",ISERROR(VLOOKUP(K2332,ABBR!A:D,1,FALSE)),ISERROR(VLOOKUP(C2332,ABBR!A:D,1,FALSE))),"")</f>
        <v/>
      </c>
      <c r="P2332" t="str">
        <f>VLOOKUP(A2332,Groups!A:L,5,FALSE)</f>
        <v>SAMP</v>
      </c>
      <c r="Q2332" s="62" t="str">
        <f>IF(G2332="PA",IF(M2332&lt;&gt;"",ISERROR(VLOOKUP(M2332,ABBR!C:F,1,FALSE)),ISERROR(VLOOKUP(E2332,ABBR!C:F,1,FALSE))),"")</f>
        <v/>
      </c>
    </row>
    <row r="2333" spans="1:17" hidden="1" x14ac:dyDescent="0.25">
      <c r="A2333" s="16" t="s">
        <v>286</v>
      </c>
      <c r="B2333" s="17"/>
      <c r="C2333" s="16" t="s">
        <v>4133</v>
      </c>
      <c r="D2333" s="17"/>
      <c r="E2333" s="17" t="s">
        <v>608</v>
      </c>
      <c r="F2333" s="18" t="s">
        <v>4134</v>
      </c>
      <c r="G2333" s="49" t="s">
        <v>4135</v>
      </c>
      <c r="H2333" s="17">
        <v>21</v>
      </c>
      <c r="O2333" s="62" t="str">
        <f>IF(E2333="PA",IF(K2333&lt;&gt;"",ISERROR(VLOOKUP(K2333,ABBR!A:D,1,FALSE)),ISERROR(VLOOKUP(C2333,ABBR!A:D,1,FALSE))),"")</f>
        <v/>
      </c>
      <c r="P2333" t="str">
        <f>VLOOKUP(A2333,Groups!A:L,5,FALSE)</f>
        <v>SAMP</v>
      </c>
      <c r="Q2333" s="62" t="str">
        <f>IF(G2333="PA",IF(M2333&lt;&gt;"",ISERROR(VLOOKUP(M2333,ABBR!C:F,1,FALSE)),ISERROR(VLOOKUP(E2333,ABBR!C:F,1,FALSE))),"")</f>
        <v/>
      </c>
    </row>
    <row r="2334" spans="1:17" hidden="1" x14ac:dyDescent="0.25">
      <c r="A2334" s="16" t="s">
        <v>286</v>
      </c>
      <c r="B2334" s="17"/>
      <c r="C2334" s="16" t="s">
        <v>4136</v>
      </c>
      <c r="D2334" s="17" t="s">
        <v>2598</v>
      </c>
      <c r="E2334" s="17" t="s">
        <v>767</v>
      </c>
      <c r="F2334" s="18" t="s">
        <v>4137</v>
      </c>
      <c r="G2334" s="49" t="s">
        <v>4138</v>
      </c>
      <c r="H2334" s="17">
        <v>22</v>
      </c>
      <c r="O2334" s="62" t="str">
        <f>IF(E2334="PA",IF(K2334&lt;&gt;"",ISERROR(VLOOKUP(K2334,ABBR!A:D,1,FALSE)),ISERROR(VLOOKUP(C2334,ABBR!A:D,1,FALSE))),"")</f>
        <v/>
      </c>
      <c r="P2334" t="str">
        <f>VLOOKUP(A2334,Groups!A:L,5,FALSE)</f>
        <v>SAMP</v>
      </c>
      <c r="Q2334" s="62" t="str">
        <f>IF(G2334="PA",IF(M2334&lt;&gt;"",ISERROR(VLOOKUP(M2334,ABBR!C:F,1,FALSE)),ISERROR(VLOOKUP(E2334,ABBR!C:F,1,FALSE))),"")</f>
        <v/>
      </c>
    </row>
    <row r="2335" spans="1:17" hidden="1" x14ac:dyDescent="0.25">
      <c r="A2335" s="16" t="s">
        <v>286</v>
      </c>
      <c r="B2335" s="17"/>
      <c r="C2335" s="16" t="s">
        <v>4139</v>
      </c>
      <c r="D2335" s="17" t="s">
        <v>3319</v>
      </c>
      <c r="E2335" s="17" t="s">
        <v>2966</v>
      </c>
      <c r="F2335" s="18" t="s">
        <v>4140</v>
      </c>
      <c r="G2335" s="49" t="s">
        <v>4141</v>
      </c>
      <c r="H2335" s="17">
        <v>23</v>
      </c>
      <c r="O2335" s="62" t="str">
        <f>IF(E2335="PA",IF(K2335&lt;&gt;"",ISERROR(VLOOKUP(K2335,ABBR!A:D,1,FALSE)),ISERROR(VLOOKUP(C2335,ABBR!A:D,1,FALSE))),"")</f>
        <v/>
      </c>
      <c r="P2335" t="str">
        <f>VLOOKUP(A2335,Groups!A:L,5,FALSE)</f>
        <v>SAMP</v>
      </c>
      <c r="Q2335" s="62" t="str">
        <f>IF(G2335="PA",IF(M2335&lt;&gt;"",ISERROR(VLOOKUP(M2335,ABBR!C:F,1,FALSE)),ISERROR(VLOOKUP(E2335,ABBR!C:F,1,FALSE))),"")</f>
        <v/>
      </c>
    </row>
    <row r="2336" spans="1:17" ht="25" hidden="1" x14ac:dyDescent="0.25">
      <c r="A2336" s="16" t="s">
        <v>286</v>
      </c>
      <c r="B2336" s="17"/>
      <c r="C2336" s="16" t="s">
        <v>4142</v>
      </c>
      <c r="D2336" s="17"/>
      <c r="E2336" s="17" t="s">
        <v>608</v>
      </c>
      <c r="F2336" s="18" t="s">
        <v>4143</v>
      </c>
      <c r="G2336" s="49" t="s">
        <v>2391</v>
      </c>
      <c r="H2336" s="17">
        <v>24</v>
      </c>
      <c r="O2336" s="62" t="str">
        <f>IF(E2336="PA",IF(K2336&lt;&gt;"",ISERROR(VLOOKUP(K2336,ABBR!A:D,1,FALSE)),ISERROR(VLOOKUP(C2336,ABBR!A:D,1,FALSE))),"")</f>
        <v/>
      </c>
      <c r="P2336" t="str">
        <f>VLOOKUP(A2336,Groups!A:L,5,FALSE)</f>
        <v>SAMP</v>
      </c>
      <c r="Q2336" s="62" t="str">
        <f>IF(G2336="PA",IF(M2336&lt;&gt;"",ISERROR(VLOOKUP(M2336,ABBR!C:F,1,FALSE)),ISERROR(VLOOKUP(E2336,ABBR!C:F,1,FALSE))),"")</f>
        <v/>
      </c>
    </row>
    <row r="2337" spans="1:17" hidden="1" x14ac:dyDescent="0.25">
      <c r="A2337" s="16" t="s">
        <v>286</v>
      </c>
      <c r="B2337" s="17"/>
      <c r="C2337" s="16" t="s">
        <v>4144</v>
      </c>
      <c r="D2337" s="17"/>
      <c r="E2337" s="17" t="s">
        <v>608</v>
      </c>
      <c r="F2337" s="18" t="s">
        <v>642</v>
      </c>
      <c r="G2337" s="49" t="s">
        <v>16</v>
      </c>
      <c r="H2337" s="17">
        <v>25</v>
      </c>
      <c r="M2337" s="101"/>
      <c r="O2337" s="62" t="str">
        <f>IF(E2337="PA",IF(K2337&lt;&gt;"",ISERROR(VLOOKUP(K2337,ABBR!A:D,1,FALSE)),ISERROR(VLOOKUP(C2337,ABBR!A:D,1,FALSE))),"")</f>
        <v/>
      </c>
      <c r="P2337" t="str">
        <f>VLOOKUP(A2337,Groups!A:L,5,FALSE)</f>
        <v>SAMP</v>
      </c>
      <c r="Q2337" s="62" t="str">
        <f>IF(G2337="PA",IF(M2337&lt;&gt;"",ISERROR(VLOOKUP(M2337,ABBR!C:F,1,FALSE)),ISERROR(VLOOKUP(E2337,ABBR!C:F,1,FALSE))),"")</f>
        <v/>
      </c>
    </row>
    <row r="2338" spans="1:17" hidden="1" x14ac:dyDescent="0.25">
      <c r="A2338" s="16" t="s">
        <v>286</v>
      </c>
      <c r="B2338" s="17"/>
      <c r="C2338" s="16" t="s">
        <v>4145</v>
      </c>
      <c r="D2338" s="17"/>
      <c r="E2338" s="17" t="s">
        <v>608</v>
      </c>
      <c r="F2338" s="18" t="s">
        <v>918</v>
      </c>
      <c r="G2338" s="49"/>
      <c r="H2338" s="17">
        <v>26</v>
      </c>
      <c r="M2338" s="101" t="s">
        <v>1044</v>
      </c>
      <c r="O2338" s="62" t="str">
        <f>IF(E2338="PA",IF(K2338&lt;&gt;"",ISERROR(VLOOKUP(K2338,ABBR!A:D,1,FALSE)),ISERROR(VLOOKUP(C2338,ABBR!A:D,1,FALSE))),"")</f>
        <v/>
      </c>
      <c r="P2338" t="str">
        <f>VLOOKUP(A2338,Groups!A:L,5,FALSE)</f>
        <v>SAMP</v>
      </c>
      <c r="Q2338" s="62" t="str">
        <f>IF(G2338="PA",IF(M2338&lt;&gt;"",ISERROR(VLOOKUP(M2338,ABBR!C:F,1,FALSE)),ISERROR(VLOOKUP(E2338,ABBR!C:F,1,FALSE))),"")</f>
        <v/>
      </c>
    </row>
    <row r="2339" spans="1:17" hidden="1" x14ac:dyDescent="0.25">
      <c r="A2339" s="16" t="s">
        <v>286</v>
      </c>
      <c r="B2339" s="17"/>
      <c r="C2339" s="16" t="s">
        <v>4146</v>
      </c>
      <c r="D2339" s="17"/>
      <c r="E2339" s="17" t="s">
        <v>608</v>
      </c>
      <c r="F2339" s="18" t="s">
        <v>950</v>
      </c>
      <c r="G2339" s="27" t="s">
        <v>951</v>
      </c>
      <c r="H2339" s="17">
        <v>27</v>
      </c>
      <c r="O2339" s="62" t="str">
        <f>IF(E2339="PA",IF(K2339&lt;&gt;"",ISERROR(VLOOKUP(K2339,ABBR!A:D,1,FALSE)),ISERROR(VLOOKUP(C2339,ABBR!A:D,1,FALSE))),"")</f>
        <v/>
      </c>
      <c r="P2339" t="str">
        <f>VLOOKUP(A2339,Groups!A:L,5,FALSE)</f>
        <v>SAMP</v>
      </c>
      <c r="Q2339" s="62" t="str">
        <f>IF(G2339="PA",IF(M2339&lt;&gt;"",ISERROR(VLOOKUP(M2339,ABBR!C:F,1,FALSE)),ISERROR(VLOOKUP(E2339,ABBR!C:F,1,FALSE))),"")</f>
        <v/>
      </c>
    </row>
    <row r="2340" spans="1:17" ht="25" hidden="1" x14ac:dyDescent="0.25">
      <c r="A2340" s="16" t="s">
        <v>286</v>
      </c>
      <c r="B2340" s="17"/>
      <c r="C2340" s="16" t="s">
        <v>4147</v>
      </c>
      <c r="D2340" s="17"/>
      <c r="E2340" s="17" t="s">
        <v>608</v>
      </c>
      <c r="F2340" s="18" t="s">
        <v>934</v>
      </c>
      <c r="G2340" s="49" t="s">
        <v>953</v>
      </c>
      <c r="H2340" s="17">
        <v>28</v>
      </c>
      <c r="O2340" s="62" t="str">
        <f>IF(E2340="PA",IF(K2340&lt;&gt;"",ISERROR(VLOOKUP(K2340,ABBR!A:D,1,FALSE)),ISERROR(VLOOKUP(C2340,ABBR!A:D,1,FALSE))),"")</f>
        <v/>
      </c>
      <c r="P2340" t="str">
        <f>VLOOKUP(A2340,Groups!A:L,5,FALSE)</f>
        <v>SAMP</v>
      </c>
      <c r="Q2340" s="62" t="str">
        <f>IF(G2340="PA",IF(M2340&lt;&gt;"",ISERROR(VLOOKUP(M2340,ABBR!C:F,1,FALSE)),ISERROR(VLOOKUP(E2340,ABBR!C:F,1,FALSE))),"")</f>
        <v/>
      </c>
    </row>
    <row r="2341" spans="1:17" hidden="1" x14ac:dyDescent="0.25">
      <c r="A2341" s="16" t="s">
        <v>286</v>
      </c>
      <c r="B2341" s="17"/>
      <c r="C2341" s="16" t="s">
        <v>936</v>
      </c>
      <c r="D2341" s="17"/>
      <c r="E2341" s="22" t="s">
        <v>608</v>
      </c>
      <c r="F2341" s="18" t="s">
        <v>937</v>
      </c>
      <c r="G2341" s="49" t="s">
        <v>938</v>
      </c>
      <c r="H2341" s="17">
        <v>29</v>
      </c>
      <c r="O2341" s="62" t="str">
        <f>IF(E2341="PA",IF(K2341&lt;&gt;"",ISERROR(VLOOKUP(K2341,ABBR!A:D,1,FALSE)),ISERROR(VLOOKUP(C2341,ABBR!A:D,1,FALSE))),"")</f>
        <v/>
      </c>
      <c r="P2341" t="str">
        <f>VLOOKUP(A2341,Groups!A:L,5,FALSE)</f>
        <v>SAMP</v>
      </c>
      <c r="Q2341" s="62" t="str">
        <f>IF(G2341="PA",IF(M2341&lt;&gt;"",ISERROR(VLOOKUP(M2341,ABBR!C:F,1,FALSE)),ISERROR(VLOOKUP(E2341,ABBR!C:F,1,FALSE))),"")</f>
        <v/>
      </c>
    </row>
    <row r="2342" spans="1:17" hidden="1" x14ac:dyDescent="0.25">
      <c r="A2342" s="16" t="s">
        <v>286</v>
      </c>
      <c r="B2342" s="17"/>
      <c r="C2342" s="16" t="s">
        <v>643</v>
      </c>
      <c r="D2342" s="17"/>
      <c r="E2342" s="17" t="s">
        <v>608</v>
      </c>
      <c r="F2342" s="18" t="s">
        <v>954</v>
      </c>
      <c r="G2342" s="49" t="s">
        <v>940</v>
      </c>
      <c r="H2342" s="17">
        <v>30</v>
      </c>
      <c r="O2342" s="62" t="str">
        <f>IF(E2342="PA",IF(K2342&lt;&gt;"",ISERROR(VLOOKUP(K2342,ABBR!A:D,1,FALSE)),ISERROR(VLOOKUP(C2342,ABBR!A:D,1,FALSE))),"")</f>
        <v/>
      </c>
      <c r="P2342" t="str">
        <f>VLOOKUP(A2342,Groups!A:L,5,FALSE)</f>
        <v>SAMP</v>
      </c>
      <c r="Q2342" s="62" t="str">
        <f>IF(G2342="PA",IF(M2342&lt;&gt;"",ISERROR(VLOOKUP(M2342,ABBR!C:F,1,FALSE)),ISERROR(VLOOKUP(E2342,ABBR!C:F,1,FALSE))),"")</f>
        <v/>
      </c>
    </row>
    <row r="2343" spans="1:17" hidden="1" x14ac:dyDescent="0.25">
      <c r="A2343" s="16" t="s">
        <v>286</v>
      </c>
      <c r="B2343" s="17"/>
      <c r="C2343" s="16" t="s">
        <v>877</v>
      </c>
      <c r="D2343" s="17" t="s">
        <v>600</v>
      </c>
      <c r="E2343" s="17" t="s">
        <v>601</v>
      </c>
      <c r="F2343" s="18" t="s">
        <v>878</v>
      </c>
      <c r="G2343" s="49" t="s">
        <v>879</v>
      </c>
      <c r="H2343" s="17">
        <v>31</v>
      </c>
      <c r="I2343" s="30" t="s">
        <v>955</v>
      </c>
      <c r="J2343" s="80">
        <v>4.0999999999999996</v>
      </c>
      <c r="O2343" s="62" t="str">
        <f>IF(E2343="PA",IF(K2343&lt;&gt;"",ISERROR(VLOOKUP(K2343,ABBR!A:D,1,FALSE)),ISERROR(VLOOKUP(C2343,ABBR!A:D,1,FALSE))),"")</f>
        <v/>
      </c>
      <c r="P2343" t="str">
        <f>VLOOKUP(A2343,Groups!A:L,5,FALSE)</f>
        <v>SAMP</v>
      </c>
      <c r="Q2343" s="62" t="str">
        <f>IF(G2343="PA",IF(M2343&lt;&gt;"",ISERROR(VLOOKUP(M2343,ABBR!C:F,1,FALSE)),ISERROR(VLOOKUP(E2343,ABBR!C:F,1,FALSE))),"")</f>
        <v/>
      </c>
    </row>
    <row r="2344" spans="1:17" hidden="1" x14ac:dyDescent="0.25">
      <c r="A2344" s="16" t="s">
        <v>286</v>
      </c>
      <c r="B2344" s="17"/>
      <c r="C2344" s="16" t="s">
        <v>4148</v>
      </c>
      <c r="D2344" s="17"/>
      <c r="E2344" s="17" t="s">
        <v>608</v>
      </c>
      <c r="F2344" s="18" t="s">
        <v>921</v>
      </c>
      <c r="G2344" s="94" t="s">
        <v>922</v>
      </c>
      <c r="H2344" s="17">
        <v>32</v>
      </c>
      <c r="I2344" s="30" t="s">
        <v>955</v>
      </c>
      <c r="J2344" s="80">
        <v>4.0999999999999996</v>
      </c>
      <c r="M2344" s="101"/>
      <c r="O2344" s="62" t="str">
        <f>IF(E2344="PA",IF(K2344&lt;&gt;"",ISERROR(VLOOKUP(K2344,ABBR!A:D,1,FALSE)),ISERROR(VLOOKUP(C2344,ABBR!A:D,1,FALSE))),"")</f>
        <v/>
      </c>
      <c r="P2344" t="str">
        <f>VLOOKUP(A2344,Groups!A:L,5,FALSE)</f>
        <v>SAMP</v>
      </c>
      <c r="Q2344" s="62" t="str">
        <f>IF(G2344="PA",IF(M2344&lt;&gt;"",ISERROR(VLOOKUP(M2344,ABBR!C:F,1,FALSE)),ISERROR(VLOOKUP(E2344,ABBR!C:F,1,FALSE))),"")</f>
        <v/>
      </c>
    </row>
    <row r="2345" spans="1:17" hidden="1" x14ac:dyDescent="0.25">
      <c r="A2345" s="16" t="s">
        <v>286</v>
      </c>
      <c r="B2345" s="17"/>
      <c r="C2345" s="16" t="s">
        <v>4149</v>
      </c>
      <c r="D2345" s="17" t="s">
        <v>766</v>
      </c>
      <c r="E2345" s="17" t="s">
        <v>723</v>
      </c>
      <c r="F2345" s="18" t="s">
        <v>4150</v>
      </c>
      <c r="G2345" s="49" t="s">
        <v>4151</v>
      </c>
      <c r="H2345" s="17">
        <f>H2344+1</f>
        <v>33</v>
      </c>
      <c r="J2345" s="62" t="s">
        <v>478</v>
      </c>
      <c r="K2345" s="62"/>
      <c r="L2345" s="62"/>
      <c r="M2345" s="62"/>
      <c r="N2345" s="62"/>
      <c r="O2345" s="62" t="str">
        <f>IF(E2345="PA",IF(K2345&lt;&gt;"",ISERROR(VLOOKUP(K2345,ABBR!A:D,1,FALSE)),ISERROR(VLOOKUP(C2345,ABBR!A:D,1,FALSE))),"")</f>
        <v/>
      </c>
      <c r="P2345" t="str">
        <f>VLOOKUP(A2345,Groups!A:L,5,FALSE)</f>
        <v>SAMP</v>
      </c>
      <c r="Q2345" s="62" t="str">
        <f>IF(G2345="PA",IF(M2345&lt;&gt;"",ISERROR(VLOOKUP(M2345,ABBR!C:F,1,FALSE)),ISERROR(VLOOKUP(E2345,ABBR!C:F,1,FALSE))),"")</f>
        <v/>
      </c>
    </row>
    <row r="2346" spans="1:17" hidden="1" x14ac:dyDescent="0.25">
      <c r="A2346" s="16" t="s">
        <v>286</v>
      </c>
      <c r="B2346" s="17"/>
      <c r="C2346" s="16" t="s">
        <v>4152</v>
      </c>
      <c r="D2346" s="17" t="s">
        <v>766</v>
      </c>
      <c r="E2346" s="17" t="s">
        <v>723</v>
      </c>
      <c r="F2346" s="18" t="s">
        <v>4153</v>
      </c>
      <c r="G2346" s="49" t="s">
        <v>1024</v>
      </c>
      <c r="H2346" s="17">
        <f>H2345+1</f>
        <v>34</v>
      </c>
      <c r="J2346" s="62" t="s">
        <v>478</v>
      </c>
      <c r="K2346" s="62"/>
      <c r="L2346" s="62"/>
      <c r="M2346" s="62"/>
      <c r="N2346" s="62"/>
      <c r="O2346" s="62" t="str">
        <f>IF(E2346="PA",IF(K2346&lt;&gt;"",ISERROR(VLOOKUP(K2346,ABBR!A:D,1,FALSE)),ISERROR(VLOOKUP(C2346,ABBR!A:D,1,FALSE))),"")</f>
        <v/>
      </c>
      <c r="P2346" t="str">
        <f>VLOOKUP(A2346,Groups!A:L,5,FALSE)</f>
        <v>SAMP</v>
      </c>
      <c r="Q2346" s="62" t="str">
        <f>IF(G2346="PA",IF(M2346&lt;&gt;"",ISERROR(VLOOKUP(M2346,ABBR!C:F,1,FALSE)),ISERROR(VLOOKUP(E2346,ABBR!C:F,1,FALSE))),"")</f>
        <v/>
      </c>
    </row>
    <row r="2347" spans="1:17" hidden="1" x14ac:dyDescent="0.25">
      <c r="A2347" s="16" t="s">
        <v>286</v>
      </c>
      <c r="B2347" s="17"/>
      <c r="C2347" s="16" t="s">
        <v>4154</v>
      </c>
      <c r="D2347" s="17" t="s">
        <v>924</v>
      </c>
      <c r="E2347" s="17" t="s">
        <v>925</v>
      </c>
      <c r="F2347" s="18" t="s">
        <v>926</v>
      </c>
      <c r="G2347" s="49" t="s">
        <v>927</v>
      </c>
      <c r="H2347" s="17">
        <f>H2346+1</f>
        <v>35</v>
      </c>
      <c r="J2347" s="62" t="s">
        <v>478</v>
      </c>
      <c r="K2347" s="62"/>
      <c r="L2347" s="62"/>
      <c r="M2347" s="62"/>
      <c r="N2347" s="62"/>
      <c r="O2347" s="62" t="str">
        <f>IF(E2347="PA",IF(K2347&lt;&gt;"",ISERROR(VLOOKUP(K2347,ABBR!A:D,1,FALSE)),ISERROR(VLOOKUP(C2347,ABBR!A:D,1,FALSE))),"")</f>
        <v/>
      </c>
      <c r="P2347" t="str">
        <f>VLOOKUP(A2347,Groups!A:L,5,FALSE)</f>
        <v>SAMP</v>
      </c>
      <c r="Q2347" s="62" t="str">
        <f>IF(G2347="PA",IF(M2347&lt;&gt;"",ISERROR(VLOOKUP(M2347,ABBR!C:F,1,FALSE)),ISERROR(VLOOKUP(E2347,ABBR!C:F,1,FALSE))),"")</f>
        <v/>
      </c>
    </row>
    <row r="2348" spans="1:17" hidden="1" x14ac:dyDescent="0.25">
      <c r="A2348" s="16" t="s">
        <v>286</v>
      </c>
      <c r="B2348" s="17"/>
      <c r="C2348" s="16" t="s">
        <v>4155</v>
      </c>
      <c r="D2348" s="17"/>
      <c r="E2348" s="17" t="s">
        <v>608</v>
      </c>
      <c r="F2348" s="18" t="s">
        <v>875</v>
      </c>
      <c r="G2348" s="49" t="s">
        <v>876</v>
      </c>
      <c r="H2348" s="17">
        <v>36</v>
      </c>
      <c r="J2348" s="62" t="s">
        <v>473</v>
      </c>
      <c r="K2348" s="62"/>
      <c r="L2348" s="62"/>
      <c r="M2348" s="62"/>
      <c r="N2348" s="62"/>
      <c r="O2348" s="62" t="str">
        <f>IF(E2348="PA",IF(K2348&lt;&gt;"",ISERROR(VLOOKUP(K2348,ABBR!A:D,1,FALSE)),ISERROR(VLOOKUP(C2348,ABBR!A:D,1,FALSE))),"")</f>
        <v/>
      </c>
      <c r="P2348" t="str">
        <f>VLOOKUP(A2348,Groups!A:L,5,FALSE)</f>
        <v>SAMP</v>
      </c>
      <c r="Q2348" s="62" t="str">
        <f>IF(G2348="PA",IF(M2348&lt;&gt;"",ISERROR(VLOOKUP(M2348,ABBR!C:F,1,FALSE)),ISERROR(VLOOKUP(E2348,ABBR!C:F,1,FALSE))),"")</f>
        <v/>
      </c>
    </row>
    <row r="2349" spans="1:17" hidden="1" x14ac:dyDescent="0.25">
      <c r="A2349" s="16" t="s">
        <v>286</v>
      </c>
      <c r="B2349" s="17"/>
      <c r="C2349" s="16" t="s">
        <v>4156</v>
      </c>
      <c r="D2349" s="17"/>
      <c r="E2349" s="17" t="s">
        <v>608</v>
      </c>
      <c r="F2349" s="18" t="s">
        <v>929</v>
      </c>
      <c r="G2349" s="49" t="s">
        <v>876</v>
      </c>
      <c r="H2349" s="17">
        <v>37</v>
      </c>
      <c r="J2349" s="62" t="s">
        <v>473</v>
      </c>
      <c r="K2349" s="62"/>
      <c r="L2349" s="62"/>
      <c r="M2349" s="62"/>
      <c r="N2349" s="62"/>
      <c r="O2349" s="62" t="str">
        <f>IF(E2349="PA",IF(K2349&lt;&gt;"",ISERROR(VLOOKUP(K2349,ABBR!A:D,1,FALSE)),ISERROR(VLOOKUP(C2349,ABBR!A:D,1,FALSE))),"")</f>
        <v/>
      </c>
      <c r="P2349" t="str">
        <f>VLOOKUP(A2349,Groups!A:L,5,FALSE)</f>
        <v>SAMP</v>
      </c>
      <c r="Q2349" s="62" t="str">
        <f>IF(G2349="PA",IF(M2349&lt;&gt;"",ISERROR(VLOOKUP(M2349,ABBR!C:F,1,FALSE)),ISERROR(VLOOKUP(E2349,ABBR!C:F,1,FALSE))),"")</f>
        <v/>
      </c>
    </row>
    <row r="2350" spans="1:17" hidden="1" x14ac:dyDescent="0.25">
      <c r="A2350" s="16" t="s">
        <v>539</v>
      </c>
      <c r="B2350" s="17" t="s">
        <v>594</v>
      </c>
      <c r="C2350" s="16" t="s">
        <v>595</v>
      </c>
      <c r="D2350" s="17"/>
      <c r="E2350" s="17" t="s">
        <v>596</v>
      </c>
      <c r="F2350" s="18" t="s">
        <v>597</v>
      </c>
      <c r="G2350" s="49" t="s">
        <v>598</v>
      </c>
      <c r="H2350" s="17">
        <v>1</v>
      </c>
      <c r="J2350" s="62" t="s">
        <v>478</v>
      </c>
      <c r="K2350" s="62"/>
      <c r="L2350" s="62"/>
      <c r="M2350" s="62"/>
      <c r="N2350" s="62"/>
      <c r="O2350" s="62" t="str">
        <f>IF(E2350="PA",IF(K2350&lt;&gt;"",ISERROR(VLOOKUP(K2350,ABBR!A:D,1,FALSE)),ISERROR(VLOOKUP(C2350,ABBR!A:D,1,FALSE))),"")</f>
        <v/>
      </c>
      <c r="P2350" t="str">
        <f>VLOOKUP(A2350,Groups!A:L,5,FALSE)</f>
        <v>SAMP</v>
      </c>
      <c r="Q2350" s="62" t="str">
        <f>IF(G2350="PA",IF(M2350&lt;&gt;"",ISERROR(VLOOKUP(M2350,ABBR!C:F,1,FALSE)),ISERROR(VLOOKUP(E2350,ABBR!C:F,1,FALSE))),"")</f>
        <v/>
      </c>
    </row>
    <row r="2351" spans="1:17" hidden="1" x14ac:dyDescent="0.25">
      <c r="A2351" s="16" t="s">
        <v>539</v>
      </c>
      <c r="B2351" s="17" t="s">
        <v>594</v>
      </c>
      <c r="C2351" s="16" t="s">
        <v>851</v>
      </c>
      <c r="D2351" s="17" t="s">
        <v>600</v>
      </c>
      <c r="E2351" s="17" t="s">
        <v>601</v>
      </c>
      <c r="F2351" s="18" t="s">
        <v>852</v>
      </c>
      <c r="G2351" s="49" t="s">
        <v>853</v>
      </c>
      <c r="H2351" s="17">
        <f t="shared" ref="H2351:H2371" si="16">H2350+1</f>
        <v>2</v>
      </c>
      <c r="J2351" s="62" t="s">
        <v>478</v>
      </c>
      <c r="K2351" s="62"/>
      <c r="L2351" s="62"/>
      <c r="M2351" s="62"/>
      <c r="N2351" s="62"/>
      <c r="O2351" s="62" t="str">
        <f>IF(E2351="PA",IF(K2351&lt;&gt;"",ISERROR(VLOOKUP(K2351,ABBR!A:D,1,FALSE)),ISERROR(VLOOKUP(C2351,ABBR!A:D,1,FALSE))),"")</f>
        <v/>
      </c>
      <c r="P2351" t="str">
        <f>VLOOKUP(A2351,Groups!A:L,5,FALSE)</f>
        <v>SAMP</v>
      </c>
      <c r="Q2351" s="62" t="str">
        <f>IF(G2351="PA",IF(M2351&lt;&gt;"",ISERROR(VLOOKUP(M2351,ABBR!C:F,1,FALSE)),ISERROR(VLOOKUP(E2351,ABBR!C:F,1,FALSE))),"")</f>
        <v/>
      </c>
    </row>
    <row r="2352" spans="1:17" hidden="1" x14ac:dyDescent="0.25">
      <c r="A2352" s="16" t="s">
        <v>539</v>
      </c>
      <c r="B2352" s="17" t="s">
        <v>594</v>
      </c>
      <c r="C2352" s="16" t="s">
        <v>854</v>
      </c>
      <c r="D2352" s="17"/>
      <c r="E2352" s="17" t="s">
        <v>608</v>
      </c>
      <c r="F2352" s="18" t="s">
        <v>855</v>
      </c>
      <c r="G2352" s="49" t="s">
        <v>856</v>
      </c>
      <c r="H2352" s="17">
        <f t="shared" si="16"/>
        <v>3</v>
      </c>
      <c r="J2352" s="62" t="s">
        <v>478</v>
      </c>
      <c r="K2352" s="62"/>
      <c r="L2352" s="62"/>
      <c r="M2352" s="62"/>
      <c r="N2352" s="62"/>
      <c r="O2352" s="62" t="str">
        <f>IF(E2352="PA",IF(K2352&lt;&gt;"",ISERROR(VLOOKUP(K2352,ABBR!A:D,1,FALSE)),ISERROR(VLOOKUP(C2352,ABBR!A:D,1,FALSE))),"")</f>
        <v/>
      </c>
      <c r="P2352" t="str">
        <f>VLOOKUP(A2352,Groups!A:L,5,FALSE)</f>
        <v>SAMP</v>
      </c>
      <c r="Q2352" s="62" t="str">
        <f>IF(G2352="PA",IF(M2352&lt;&gt;"",ISERROR(VLOOKUP(M2352,ABBR!C:F,1,FALSE)),ISERROR(VLOOKUP(E2352,ABBR!C:F,1,FALSE))),"")</f>
        <v/>
      </c>
    </row>
    <row r="2353" spans="1:17" hidden="1" x14ac:dyDescent="0.25">
      <c r="A2353" s="16" t="s">
        <v>539</v>
      </c>
      <c r="B2353" s="17" t="s">
        <v>594</v>
      </c>
      <c r="C2353" s="16" t="s">
        <v>857</v>
      </c>
      <c r="D2353" s="17"/>
      <c r="E2353" s="17" t="s">
        <v>618</v>
      </c>
      <c r="F2353" s="18" t="s">
        <v>858</v>
      </c>
      <c r="G2353" s="49" t="s">
        <v>859</v>
      </c>
      <c r="H2353" s="17">
        <f t="shared" si="16"/>
        <v>4</v>
      </c>
      <c r="J2353" s="62" t="s">
        <v>478</v>
      </c>
      <c r="K2353" s="62"/>
      <c r="L2353" s="62"/>
      <c r="M2353" s="62"/>
      <c r="N2353" s="62"/>
      <c r="O2353" s="62" t="b">
        <f>IF(E2353="PA",IF(K2353&lt;&gt;"",ISERROR(VLOOKUP(K2353,ABBR!A:D,1,FALSE)),ISERROR(VLOOKUP(C2353,ABBR!A:D,1,FALSE))),"")</f>
        <v>0</v>
      </c>
      <c r="P2353" t="str">
        <f>VLOOKUP(A2353,Groups!A:L,5,FALSE)</f>
        <v>SAMP</v>
      </c>
      <c r="Q2353" s="62" t="str">
        <f>IF(G2353="PA",IF(M2353&lt;&gt;"",ISERROR(VLOOKUP(M2353,ABBR!C:F,1,FALSE)),ISERROR(VLOOKUP(E2353,ABBR!C:F,1,FALSE))),"")</f>
        <v/>
      </c>
    </row>
    <row r="2354" spans="1:17" hidden="1" x14ac:dyDescent="0.25">
      <c r="A2354" s="16" t="s">
        <v>539</v>
      </c>
      <c r="B2354" s="17" t="s">
        <v>594</v>
      </c>
      <c r="C2354" s="16" t="s">
        <v>860</v>
      </c>
      <c r="D2354" s="17"/>
      <c r="E2354" s="17" t="s">
        <v>596</v>
      </c>
      <c r="F2354" s="18" t="s">
        <v>861</v>
      </c>
      <c r="G2354" s="49" t="s">
        <v>862</v>
      </c>
      <c r="H2354" s="17">
        <f t="shared" si="16"/>
        <v>5</v>
      </c>
      <c r="J2354" s="62" t="s">
        <v>478</v>
      </c>
      <c r="K2354" s="62"/>
      <c r="L2354" s="62"/>
      <c r="M2354" s="62"/>
      <c r="N2354" s="62"/>
      <c r="O2354" s="62" t="str">
        <f>IF(E2354="PA",IF(K2354&lt;&gt;"",ISERROR(VLOOKUP(K2354,ABBR!A:D,1,FALSE)),ISERROR(VLOOKUP(C2354,ABBR!A:D,1,FALSE))),"")</f>
        <v/>
      </c>
      <c r="P2354" t="str">
        <f>VLOOKUP(A2354,Groups!A:L,5,FALSE)</f>
        <v>SAMP</v>
      </c>
      <c r="Q2354" s="62" t="str">
        <f>IF(G2354="PA",IF(M2354&lt;&gt;"",ISERROR(VLOOKUP(M2354,ABBR!C:F,1,FALSE)),ISERROR(VLOOKUP(E2354,ABBR!C:F,1,FALSE))),"")</f>
        <v/>
      </c>
    </row>
    <row r="2355" spans="1:17" hidden="1" x14ac:dyDescent="0.25">
      <c r="A2355" s="16" t="s">
        <v>539</v>
      </c>
      <c r="B2355" s="17" t="s">
        <v>594</v>
      </c>
      <c r="C2355" s="16" t="s">
        <v>863</v>
      </c>
      <c r="D2355" s="17"/>
      <c r="E2355" s="17" t="s">
        <v>608</v>
      </c>
      <c r="F2355" s="18" t="s">
        <v>864</v>
      </c>
      <c r="G2355" s="49" t="s">
        <v>865</v>
      </c>
      <c r="H2355" s="17">
        <f t="shared" si="16"/>
        <v>6</v>
      </c>
      <c r="J2355" s="62" t="s">
        <v>478</v>
      </c>
      <c r="K2355" s="62"/>
      <c r="L2355" s="62"/>
      <c r="M2355" s="62"/>
      <c r="N2355" s="62"/>
      <c r="O2355" s="62" t="str">
        <f>IF(E2355="PA",IF(K2355&lt;&gt;"",ISERROR(VLOOKUP(K2355,ABBR!A:D,1,FALSE)),ISERROR(VLOOKUP(C2355,ABBR!A:D,1,FALSE))),"")</f>
        <v/>
      </c>
      <c r="P2355" t="str">
        <f>VLOOKUP(A2355,Groups!A:L,5,FALSE)</f>
        <v>SAMP</v>
      </c>
      <c r="Q2355" s="62" t="str">
        <f>IF(G2355="PA",IF(M2355&lt;&gt;"",ISERROR(VLOOKUP(M2355,ABBR!C:F,1,FALSE)),ISERROR(VLOOKUP(E2355,ABBR!C:F,1,FALSE))),"")</f>
        <v/>
      </c>
    </row>
    <row r="2356" spans="1:17" hidden="1" x14ac:dyDescent="0.25">
      <c r="A2356" s="16" t="s">
        <v>539</v>
      </c>
      <c r="B2356" s="17" t="s">
        <v>594</v>
      </c>
      <c r="C2356" s="16" t="s">
        <v>866</v>
      </c>
      <c r="D2356" s="17" t="s">
        <v>600</v>
      </c>
      <c r="E2356" s="17" t="s">
        <v>601</v>
      </c>
      <c r="F2356" s="18" t="s">
        <v>867</v>
      </c>
      <c r="G2356" s="49" t="s">
        <v>853</v>
      </c>
      <c r="H2356" s="17">
        <f t="shared" si="16"/>
        <v>7</v>
      </c>
      <c r="J2356" s="62" t="s">
        <v>478</v>
      </c>
      <c r="K2356" s="62"/>
      <c r="L2356" s="62"/>
      <c r="M2356" s="62"/>
      <c r="N2356" s="62"/>
      <c r="O2356" s="62" t="str">
        <f>IF(E2356="PA",IF(K2356&lt;&gt;"",ISERROR(VLOOKUP(K2356,ABBR!A:D,1,FALSE)),ISERROR(VLOOKUP(C2356,ABBR!A:D,1,FALSE))),"")</f>
        <v/>
      </c>
      <c r="P2356" t="str">
        <f>VLOOKUP(A2356,Groups!A:L,5,FALSE)</f>
        <v>SAMP</v>
      </c>
      <c r="Q2356" s="62" t="str">
        <f>IF(G2356="PA",IF(M2356&lt;&gt;"",ISERROR(VLOOKUP(M2356,ABBR!C:F,1,FALSE)),ISERROR(VLOOKUP(E2356,ABBR!C:F,1,FALSE))),"")</f>
        <v/>
      </c>
    </row>
    <row r="2357" spans="1:17" hidden="1" x14ac:dyDescent="0.25">
      <c r="A2357" s="16" t="s">
        <v>539</v>
      </c>
      <c r="B2357" s="17"/>
      <c r="C2357" s="16" t="s">
        <v>868</v>
      </c>
      <c r="D2357" s="17"/>
      <c r="E2357" s="17" t="s">
        <v>608</v>
      </c>
      <c r="F2357" s="18" t="s">
        <v>869</v>
      </c>
      <c r="G2357" s="49" t="s">
        <v>3265</v>
      </c>
      <c r="H2357" s="17">
        <f t="shared" si="16"/>
        <v>8</v>
      </c>
      <c r="J2357" s="62" t="s">
        <v>473</v>
      </c>
      <c r="K2357" s="62"/>
      <c r="L2357" s="62"/>
      <c r="M2357" s="62"/>
      <c r="N2357" s="62"/>
      <c r="O2357" s="62" t="str">
        <f>IF(E2357="PA",IF(K2357&lt;&gt;"",ISERROR(VLOOKUP(K2357,ABBR!A:D,1,FALSE)),ISERROR(VLOOKUP(C2357,ABBR!A:D,1,FALSE))),"")</f>
        <v/>
      </c>
      <c r="P2357" t="str">
        <f>VLOOKUP(A2357,Groups!A:L,5,FALSE)</f>
        <v>SAMP</v>
      </c>
      <c r="Q2357" s="62" t="str">
        <f>IF(G2357="PA",IF(M2357&lt;&gt;"",ISERROR(VLOOKUP(M2357,ABBR!C:F,1,FALSE)),ISERROR(VLOOKUP(E2357,ABBR!C:F,1,FALSE))),"")</f>
        <v/>
      </c>
    </row>
    <row r="2358" spans="1:17" ht="25" hidden="1" x14ac:dyDescent="0.25">
      <c r="A2358" s="16" t="s">
        <v>539</v>
      </c>
      <c r="B2358" s="17"/>
      <c r="C2358" s="16" t="s">
        <v>871</v>
      </c>
      <c r="D2358" s="17"/>
      <c r="E2358" s="17" t="s">
        <v>608</v>
      </c>
      <c r="F2358" s="18" t="s">
        <v>872</v>
      </c>
      <c r="G2358" s="49" t="s">
        <v>873</v>
      </c>
      <c r="H2358" s="17">
        <f t="shared" si="16"/>
        <v>9</v>
      </c>
      <c r="J2358" s="62" t="s">
        <v>473</v>
      </c>
      <c r="K2358" s="62"/>
      <c r="L2358" s="62"/>
      <c r="M2358" s="62"/>
      <c r="N2358" s="62"/>
      <c r="O2358" s="62" t="str">
        <f>IF(E2358="PA",IF(K2358&lt;&gt;"",ISERROR(VLOOKUP(K2358,ABBR!A:D,1,FALSE)),ISERROR(VLOOKUP(C2358,ABBR!A:D,1,FALSE))),"")</f>
        <v/>
      </c>
      <c r="P2358" t="str">
        <f>VLOOKUP(A2358,Groups!A:L,5,FALSE)</f>
        <v>SAMP</v>
      </c>
      <c r="Q2358" s="62" t="str">
        <f>IF(G2358="PA",IF(M2358&lt;&gt;"",ISERROR(VLOOKUP(M2358,ABBR!C:F,1,FALSE)),ISERROR(VLOOKUP(E2358,ABBR!C:F,1,FALSE))),"")</f>
        <v/>
      </c>
    </row>
    <row r="2359" spans="1:17" hidden="1" x14ac:dyDescent="0.25">
      <c r="A2359" s="16" t="s">
        <v>539</v>
      </c>
      <c r="B2359" s="17"/>
      <c r="C2359" s="16" t="s">
        <v>4157</v>
      </c>
      <c r="D2359" s="17"/>
      <c r="E2359" s="17" t="s">
        <v>608</v>
      </c>
      <c r="F2359" s="18" t="s">
        <v>875</v>
      </c>
      <c r="G2359" s="49" t="s">
        <v>876</v>
      </c>
      <c r="H2359" s="17">
        <f t="shared" si="16"/>
        <v>10</v>
      </c>
      <c r="J2359" s="62" t="s">
        <v>473</v>
      </c>
      <c r="K2359" s="62"/>
      <c r="L2359" s="62"/>
      <c r="M2359" s="62"/>
      <c r="N2359" s="62"/>
      <c r="O2359" s="62" t="str">
        <f>IF(E2359="PA",IF(K2359&lt;&gt;"",ISERROR(VLOOKUP(K2359,ABBR!A:D,1,FALSE)),ISERROR(VLOOKUP(C2359,ABBR!A:D,1,FALSE))),"")</f>
        <v/>
      </c>
      <c r="P2359" t="str">
        <f>VLOOKUP(A2359,Groups!A:L,5,FALSE)</f>
        <v>SAMP</v>
      </c>
      <c r="Q2359" s="62" t="str">
        <f>IF(G2359="PA",IF(M2359&lt;&gt;"",ISERROR(VLOOKUP(M2359,ABBR!C:F,1,FALSE)),ISERROR(VLOOKUP(E2359,ABBR!C:F,1,FALSE))),"")</f>
        <v/>
      </c>
    </row>
    <row r="2360" spans="1:17" hidden="1" x14ac:dyDescent="0.25">
      <c r="A2360" s="16" t="s">
        <v>539</v>
      </c>
      <c r="B2360" s="46"/>
      <c r="C2360" s="9" t="s">
        <v>877</v>
      </c>
      <c r="D2360" s="46" t="s">
        <v>600</v>
      </c>
      <c r="E2360" s="46" t="s">
        <v>601</v>
      </c>
      <c r="F2360" s="93" t="s">
        <v>878</v>
      </c>
      <c r="G2360" s="94" t="s">
        <v>879</v>
      </c>
      <c r="H2360" s="17">
        <f t="shared" si="16"/>
        <v>11</v>
      </c>
      <c r="I2360"/>
      <c r="J2360" s="34" t="s">
        <v>473</v>
      </c>
      <c r="O2360" s="62" t="str">
        <f>IF(E2360="PA",IF(K2360&lt;&gt;"",ISERROR(VLOOKUP(K2360,ABBR!A:D,1,FALSE)),ISERROR(VLOOKUP(C2360,ABBR!A:D,1,FALSE))),"")</f>
        <v/>
      </c>
      <c r="P2360" t="str">
        <f>VLOOKUP(A2360,Groups!A:L,5,FALSE)</f>
        <v>SAMP</v>
      </c>
      <c r="Q2360" s="62" t="str">
        <f>IF(G2360="PA",IF(M2360&lt;&gt;"",ISERROR(VLOOKUP(M2360,ABBR!C:F,1,FALSE)),ISERROR(VLOOKUP(E2360,ABBR!C:F,1,FALSE))),"")</f>
        <v/>
      </c>
    </row>
    <row r="2361" spans="1:17" hidden="1" x14ac:dyDescent="0.25">
      <c r="A2361" s="16" t="s">
        <v>539</v>
      </c>
      <c r="B2361" s="17"/>
      <c r="C2361" s="16" t="s">
        <v>4158</v>
      </c>
      <c r="D2361" s="17"/>
      <c r="E2361" s="17" t="s">
        <v>767</v>
      </c>
      <c r="F2361" s="18" t="s">
        <v>4159</v>
      </c>
      <c r="G2361" s="49" t="s">
        <v>1507</v>
      </c>
      <c r="H2361" s="17">
        <f t="shared" si="16"/>
        <v>12</v>
      </c>
      <c r="J2361" s="62" t="s">
        <v>478</v>
      </c>
      <c r="K2361" s="62"/>
      <c r="L2361" s="62"/>
      <c r="M2361" s="62"/>
      <c r="N2361" s="62"/>
      <c r="O2361" s="62" t="str">
        <f>IF(E2361="PA",IF(K2361&lt;&gt;"",ISERROR(VLOOKUP(K2361,ABBR!A:D,1,FALSE)),ISERROR(VLOOKUP(C2361,ABBR!A:D,1,FALSE))),"")</f>
        <v/>
      </c>
      <c r="P2361" t="str">
        <f>VLOOKUP(A2361,Groups!A:L,5,FALSE)</f>
        <v>SAMP</v>
      </c>
      <c r="Q2361" s="62" t="str">
        <f>IF(G2361="PA",IF(M2361&lt;&gt;"",ISERROR(VLOOKUP(M2361,ABBR!C:F,1,FALSE)),ISERROR(VLOOKUP(E2361,ABBR!C:F,1,FALSE))),"")</f>
        <v/>
      </c>
    </row>
    <row r="2362" spans="1:17" hidden="1" x14ac:dyDescent="0.25">
      <c r="A2362" s="16" t="s">
        <v>539</v>
      </c>
      <c r="B2362" s="17"/>
      <c r="C2362" s="16" t="s">
        <v>4160</v>
      </c>
      <c r="D2362" s="17" t="s">
        <v>3739</v>
      </c>
      <c r="E2362" s="17" t="s">
        <v>723</v>
      </c>
      <c r="F2362" s="18" t="s">
        <v>4161</v>
      </c>
      <c r="G2362" s="49" t="s">
        <v>4162</v>
      </c>
      <c r="H2362" s="17">
        <f t="shared" si="16"/>
        <v>13</v>
      </c>
      <c r="J2362" s="62" t="s">
        <v>478</v>
      </c>
      <c r="K2362" s="62"/>
      <c r="L2362" s="62"/>
      <c r="M2362" s="62"/>
      <c r="N2362" s="62"/>
      <c r="O2362" s="62" t="str">
        <f>IF(E2362="PA",IF(K2362&lt;&gt;"",ISERROR(VLOOKUP(K2362,ABBR!A:D,1,FALSE)),ISERROR(VLOOKUP(C2362,ABBR!A:D,1,FALSE))),"")</f>
        <v/>
      </c>
      <c r="P2362" t="str">
        <f>VLOOKUP(A2362,Groups!A:L,5,FALSE)</f>
        <v>SAMP</v>
      </c>
      <c r="Q2362" s="62" t="str">
        <f>IF(G2362="PA",IF(M2362&lt;&gt;"",ISERROR(VLOOKUP(M2362,ABBR!C:F,1,FALSE)),ISERROR(VLOOKUP(E2362,ABBR!C:F,1,FALSE))),"")</f>
        <v/>
      </c>
    </row>
    <row r="2363" spans="1:17" ht="25" hidden="1" x14ac:dyDescent="0.25">
      <c r="A2363" s="16" t="s">
        <v>539</v>
      </c>
      <c r="B2363" s="17"/>
      <c r="C2363" s="16" t="s">
        <v>4163</v>
      </c>
      <c r="D2363" s="17"/>
      <c r="E2363" s="17" t="s">
        <v>608</v>
      </c>
      <c r="F2363" s="18" t="s">
        <v>1965</v>
      </c>
      <c r="G2363" s="49" t="s">
        <v>2274</v>
      </c>
      <c r="H2363" s="17">
        <f t="shared" si="16"/>
        <v>14</v>
      </c>
      <c r="J2363" s="62" t="s">
        <v>478</v>
      </c>
      <c r="K2363" s="62"/>
      <c r="L2363" s="62"/>
      <c r="M2363" s="62"/>
      <c r="N2363" s="62"/>
      <c r="O2363" s="62" t="str">
        <f>IF(E2363="PA",IF(K2363&lt;&gt;"",ISERROR(VLOOKUP(K2363,ABBR!A:D,1,FALSE)),ISERROR(VLOOKUP(C2363,ABBR!A:D,1,FALSE))),"")</f>
        <v/>
      </c>
      <c r="P2363" t="str">
        <f>VLOOKUP(A2363,Groups!A:L,5,FALSE)</f>
        <v>SAMP</v>
      </c>
      <c r="Q2363" s="62" t="str">
        <f>IF(G2363="PA",IF(M2363&lt;&gt;"",ISERROR(VLOOKUP(M2363,ABBR!C:F,1,FALSE)),ISERROR(VLOOKUP(E2363,ABBR!C:F,1,FALSE))),"")</f>
        <v/>
      </c>
    </row>
    <row r="2364" spans="1:17" hidden="1" x14ac:dyDescent="0.25">
      <c r="A2364" s="16" t="s">
        <v>539</v>
      </c>
      <c r="B2364" s="17"/>
      <c r="C2364" s="16" t="s">
        <v>4164</v>
      </c>
      <c r="D2364" s="17"/>
      <c r="E2364" s="17" t="s">
        <v>608</v>
      </c>
      <c r="F2364" s="18" t="s">
        <v>918</v>
      </c>
      <c r="G2364" s="49" t="s">
        <v>4165</v>
      </c>
      <c r="H2364" s="17">
        <f t="shared" si="16"/>
        <v>15</v>
      </c>
      <c r="J2364" s="62" t="s">
        <v>478</v>
      </c>
      <c r="K2364" s="62"/>
      <c r="L2364" s="62"/>
      <c r="M2364" s="62"/>
      <c r="N2364" s="62"/>
      <c r="O2364" s="62" t="str">
        <f>IF(E2364="PA",IF(K2364&lt;&gt;"",ISERROR(VLOOKUP(K2364,ABBR!A:D,1,FALSE)),ISERROR(VLOOKUP(C2364,ABBR!A:D,1,FALSE))),"")</f>
        <v/>
      </c>
      <c r="P2364" t="str">
        <f>VLOOKUP(A2364,Groups!A:L,5,FALSE)</f>
        <v>SAMP</v>
      </c>
      <c r="Q2364" s="62" t="str">
        <f>IF(G2364="PA",IF(M2364&lt;&gt;"",ISERROR(VLOOKUP(M2364,ABBR!C:F,1,FALSE)),ISERROR(VLOOKUP(E2364,ABBR!C:F,1,FALSE))),"")</f>
        <v/>
      </c>
    </row>
    <row r="2365" spans="1:17" hidden="1" x14ac:dyDescent="0.25">
      <c r="A2365" s="16" t="s">
        <v>539</v>
      </c>
      <c r="B2365" s="46"/>
      <c r="C2365" s="9" t="s">
        <v>4166</v>
      </c>
      <c r="D2365" s="46"/>
      <c r="E2365" s="46" t="s">
        <v>608</v>
      </c>
      <c r="F2365" s="93" t="s">
        <v>921</v>
      </c>
      <c r="G2365" s="94" t="s">
        <v>922</v>
      </c>
      <c r="H2365" s="17">
        <f t="shared" si="16"/>
        <v>16</v>
      </c>
      <c r="I2365"/>
      <c r="J2365" s="34" t="s">
        <v>473</v>
      </c>
      <c r="M2365" s="101"/>
      <c r="O2365" s="62" t="str">
        <f>IF(E2365="PA",IF(K2365&lt;&gt;"",ISERROR(VLOOKUP(K2365,ABBR!A:D,1,FALSE)),ISERROR(VLOOKUP(C2365,ABBR!A:D,1,FALSE))),"")</f>
        <v/>
      </c>
      <c r="P2365" t="str">
        <f>VLOOKUP(A2365,Groups!A:L,5,FALSE)</f>
        <v>SAMP</v>
      </c>
      <c r="Q2365" s="62" t="str">
        <f>IF(G2365="PA",IF(M2365&lt;&gt;"",ISERROR(VLOOKUP(M2365,ABBR!C:F,1,FALSE)),ISERROR(VLOOKUP(E2365,ABBR!C:F,1,FALSE))),"")</f>
        <v/>
      </c>
    </row>
    <row r="2366" spans="1:17" hidden="1" x14ac:dyDescent="0.25">
      <c r="A2366" s="16" t="s">
        <v>539</v>
      </c>
      <c r="B2366" s="17"/>
      <c r="C2366" s="16" t="s">
        <v>4167</v>
      </c>
      <c r="D2366" s="17"/>
      <c r="E2366" s="17" t="s">
        <v>608</v>
      </c>
      <c r="F2366" s="18" t="s">
        <v>929</v>
      </c>
      <c r="G2366" s="49" t="s">
        <v>876</v>
      </c>
      <c r="H2366" s="17">
        <f t="shared" si="16"/>
        <v>17</v>
      </c>
      <c r="J2366" s="62" t="s">
        <v>473</v>
      </c>
      <c r="K2366" s="62"/>
      <c r="L2366" s="62"/>
      <c r="M2366" s="62"/>
      <c r="N2366" s="62"/>
      <c r="O2366" s="62" t="str">
        <f>IF(E2366="PA",IF(K2366&lt;&gt;"",ISERROR(VLOOKUP(K2366,ABBR!A:D,1,FALSE)),ISERROR(VLOOKUP(C2366,ABBR!A:D,1,FALSE))),"")</f>
        <v/>
      </c>
      <c r="P2366" t="str">
        <f>VLOOKUP(A2366,Groups!A:L,5,FALSE)</f>
        <v>SAMP</v>
      </c>
      <c r="Q2366" s="62" t="str">
        <f>IF(G2366="PA",IF(M2366&lt;&gt;"",ISERROR(VLOOKUP(M2366,ABBR!C:F,1,FALSE)),ISERROR(VLOOKUP(E2366,ABBR!C:F,1,FALSE))),"")</f>
        <v/>
      </c>
    </row>
    <row r="2367" spans="1:17" hidden="1" x14ac:dyDescent="0.25">
      <c r="A2367" s="16" t="s">
        <v>539</v>
      </c>
      <c r="B2367" s="17"/>
      <c r="C2367" s="16" t="s">
        <v>4168</v>
      </c>
      <c r="D2367" s="17" t="s">
        <v>924</v>
      </c>
      <c r="E2367" s="17" t="s">
        <v>925</v>
      </c>
      <c r="F2367" s="18" t="s">
        <v>926</v>
      </c>
      <c r="G2367" s="49" t="s">
        <v>927</v>
      </c>
      <c r="H2367" s="17">
        <f t="shared" si="16"/>
        <v>18</v>
      </c>
      <c r="J2367" s="62" t="s">
        <v>478</v>
      </c>
      <c r="K2367" s="62"/>
      <c r="L2367" s="62"/>
      <c r="M2367" s="62"/>
      <c r="N2367" s="62"/>
      <c r="O2367" s="62" t="str">
        <f>IF(E2367="PA",IF(K2367&lt;&gt;"",ISERROR(VLOOKUP(K2367,ABBR!A:D,1,FALSE)),ISERROR(VLOOKUP(C2367,ABBR!A:D,1,FALSE))),"")</f>
        <v/>
      </c>
      <c r="P2367" t="str">
        <f>VLOOKUP(A2367,Groups!A:L,5,FALSE)</f>
        <v>SAMP</v>
      </c>
      <c r="Q2367" s="62" t="str">
        <f>IF(G2367="PA",IF(M2367&lt;&gt;"",ISERROR(VLOOKUP(M2367,ABBR!C:F,1,FALSE)),ISERROR(VLOOKUP(E2367,ABBR!C:F,1,FALSE))),"")</f>
        <v/>
      </c>
    </row>
    <row r="2368" spans="1:17" hidden="1" x14ac:dyDescent="0.25">
      <c r="A2368" s="16" t="s">
        <v>539</v>
      </c>
      <c r="B2368" s="17"/>
      <c r="C2368" s="16" t="s">
        <v>936</v>
      </c>
      <c r="D2368" s="17"/>
      <c r="E2368" s="17" t="s">
        <v>608</v>
      </c>
      <c r="F2368" s="18" t="s">
        <v>937</v>
      </c>
      <c r="G2368" s="49" t="s">
        <v>938</v>
      </c>
      <c r="H2368" s="17">
        <f t="shared" si="16"/>
        <v>19</v>
      </c>
      <c r="J2368" s="62" t="s">
        <v>478</v>
      </c>
      <c r="K2368" s="62"/>
      <c r="L2368" s="62"/>
      <c r="M2368" s="62"/>
      <c r="N2368" s="62"/>
      <c r="O2368" s="62" t="str">
        <f>IF(E2368="PA",IF(K2368&lt;&gt;"",ISERROR(VLOOKUP(K2368,ABBR!A:D,1,FALSE)),ISERROR(VLOOKUP(C2368,ABBR!A:D,1,FALSE))),"")</f>
        <v/>
      </c>
      <c r="P2368" t="str">
        <f>VLOOKUP(A2368,Groups!A:L,5,FALSE)</f>
        <v>SAMP</v>
      </c>
      <c r="Q2368" s="62" t="str">
        <f>IF(G2368="PA",IF(M2368&lt;&gt;"",ISERROR(VLOOKUP(M2368,ABBR!C:F,1,FALSE)),ISERROR(VLOOKUP(E2368,ABBR!C:F,1,FALSE))),"")</f>
        <v/>
      </c>
    </row>
    <row r="2369" spans="1:17" hidden="1" x14ac:dyDescent="0.25">
      <c r="A2369" s="16" t="s">
        <v>539</v>
      </c>
      <c r="B2369" s="17"/>
      <c r="C2369" s="16" t="s">
        <v>4169</v>
      </c>
      <c r="D2369" s="17"/>
      <c r="E2369" s="17" t="s">
        <v>608</v>
      </c>
      <c r="F2369" s="18" t="s">
        <v>931</v>
      </c>
      <c r="G2369" s="49" t="s">
        <v>932</v>
      </c>
      <c r="H2369" s="17">
        <f t="shared" si="16"/>
        <v>20</v>
      </c>
      <c r="J2369" s="62" t="s">
        <v>478</v>
      </c>
      <c r="K2369" s="62"/>
      <c r="L2369" s="62"/>
      <c r="M2369" s="62"/>
      <c r="N2369" s="62"/>
      <c r="O2369" s="62" t="str">
        <f>IF(E2369="PA",IF(K2369&lt;&gt;"",ISERROR(VLOOKUP(K2369,ABBR!A:D,1,FALSE)),ISERROR(VLOOKUP(C2369,ABBR!A:D,1,FALSE))),"")</f>
        <v/>
      </c>
      <c r="P2369" t="str">
        <f>VLOOKUP(A2369,Groups!A:L,5,FALSE)</f>
        <v>SAMP</v>
      </c>
      <c r="Q2369" s="62" t="str">
        <f>IF(G2369="PA",IF(M2369&lt;&gt;"",ISERROR(VLOOKUP(M2369,ABBR!C:F,1,FALSE)),ISERROR(VLOOKUP(E2369,ABBR!C:F,1,FALSE))),"")</f>
        <v/>
      </c>
    </row>
    <row r="2370" spans="1:17" ht="25" hidden="1" x14ac:dyDescent="0.25">
      <c r="A2370" s="16" t="s">
        <v>539</v>
      </c>
      <c r="B2370" s="17"/>
      <c r="C2370" s="16" t="s">
        <v>4170</v>
      </c>
      <c r="D2370" s="17"/>
      <c r="E2370" s="17" t="s">
        <v>608</v>
      </c>
      <c r="F2370" s="18" t="s">
        <v>934</v>
      </c>
      <c r="G2370" s="49" t="s">
        <v>935</v>
      </c>
      <c r="H2370" s="17">
        <f t="shared" si="16"/>
        <v>21</v>
      </c>
      <c r="J2370" s="62" t="s">
        <v>478</v>
      </c>
      <c r="K2370" s="62"/>
      <c r="L2370" s="62"/>
      <c r="M2370" s="62"/>
      <c r="N2370" s="62"/>
      <c r="O2370" s="62" t="str">
        <f>IF(E2370="PA",IF(K2370&lt;&gt;"",ISERROR(VLOOKUP(K2370,ABBR!A:D,1,FALSE)),ISERROR(VLOOKUP(C2370,ABBR!A:D,1,FALSE))),"")</f>
        <v/>
      </c>
      <c r="P2370" t="str">
        <f>VLOOKUP(A2370,Groups!A:L,5,FALSE)</f>
        <v>SAMP</v>
      </c>
      <c r="Q2370" s="62" t="str">
        <f>IF(G2370="PA",IF(M2370&lt;&gt;"",ISERROR(VLOOKUP(M2370,ABBR!C:F,1,FALSE)),ISERROR(VLOOKUP(E2370,ABBR!C:F,1,FALSE))),"")</f>
        <v/>
      </c>
    </row>
    <row r="2371" spans="1:17" hidden="1" x14ac:dyDescent="0.25">
      <c r="A2371" s="16" t="s">
        <v>539</v>
      </c>
      <c r="B2371" s="17"/>
      <c r="C2371" s="16" t="s">
        <v>643</v>
      </c>
      <c r="D2371" s="17"/>
      <c r="E2371" s="17" t="s">
        <v>608</v>
      </c>
      <c r="F2371" s="18" t="s">
        <v>1714</v>
      </c>
      <c r="G2371" s="49" t="s">
        <v>4171</v>
      </c>
      <c r="H2371" s="17">
        <f t="shared" si="16"/>
        <v>22</v>
      </c>
      <c r="J2371" s="62" t="s">
        <v>478</v>
      </c>
      <c r="K2371" s="62"/>
      <c r="L2371" s="62"/>
      <c r="M2371" s="62"/>
      <c r="N2371" s="62"/>
      <c r="O2371" s="62" t="str">
        <f>IF(E2371="PA",IF(K2371&lt;&gt;"",ISERROR(VLOOKUP(K2371,ABBR!A:D,1,FALSE)),ISERROR(VLOOKUP(C2371,ABBR!A:D,1,FALSE))),"")</f>
        <v/>
      </c>
      <c r="P2371" t="str">
        <f>VLOOKUP(A2371,Groups!A:L,5,FALSE)</f>
        <v>SAMP</v>
      </c>
      <c r="Q2371" s="62" t="str">
        <f>IF(G2371="PA",IF(M2371&lt;&gt;"",ISERROR(VLOOKUP(M2371,ABBR!C:F,1,FALSE)),ISERROR(VLOOKUP(E2371,ABBR!C:F,1,FALSE))),"")</f>
        <v/>
      </c>
    </row>
    <row r="2372" spans="1:17" hidden="1" x14ac:dyDescent="0.25">
      <c r="A2372" s="16" t="s">
        <v>541</v>
      </c>
      <c r="B2372" s="17" t="s">
        <v>594</v>
      </c>
      <c r="C2372" s="16" t="s">
        <v>595</v>
      </c>
      <c r="D2372" s="17"/>
      <c r="E2372" s="17" t="s">
        <v>596</v>
      </c>
      <c r="F2372" s="18" t="s">
        <v>597</v>
      </c>
      <c r="G2372" s="49" t="s">
        <v>598</v>
      </c>
      <c r="H2372" s="17">
        <v>1</v>
      </c>
      <c r="J2372" s="62" t="s">
        <v>478</v>
      </c>
      <c r="K2372" s="62"/>
      <c r="L2372" s="62"/>
      <c r="M2372" s="62"/>
      <c r="N2372" s="62"/>
      <c r="O2372" s="62" t="str">
        <f>IF(E2372="PA",IF(K2372&lt;&gt;"",ISERROR(VLOOKUP(K2372,ABBR!A:D,1,FALSE)),ISERROR(VLOOKUP(C2372,ABBR!A:D,1,FALSE))),"")</f>
        <v/>
      </c>
      <c r="P2372" t="str">
        <f>VLOOKUP(A2372,Groups!A:L,5,FALSE)</f>
        <v>SAMP</v>
      </c>
      <c r="Q2372" s="62" t="str">
        <f>IF(G2372="PA",IF(M2372&lt;&gt;"",ISERROR(VLOOKUP(M2372,ABBR!C:F,1,FALSE)),ISERROR(VLOOKUP(E2372,ABBR!C:F,1,FALSE))),"")</f>
        <v/>
      </c>
    </row>
    <row r="2373" spans="1:17" hidden="1" x14ac:dyDescent="0.25">
      <c r="A2373" s="16" t="s">
        <v>541</v>
      </c>
      <c r="B2373" s="17" t="s">
        <v>594</v>
      </c>
      <c r="C2373" s="16" t="s">
        <v>851</v>
      </c>
      <c r="D2373" s="17" t="s">
        <v>600</v>
      </c>
      <c r="E2373" s="17" t="s">
        <v>601</v>
      </c>
      <c r="F2373" s="18" t="s">
        <v>852</v>
      </c>
      <c r="G2373" s="49" t="s">
        <v>853</v>
      </c>
      <c r="H2373" s="17">
        <v>2</v>
      </c>
      <c r="J2373" s="62" t="s">
        <v>478</v>
      </c>
      <c r="K2373" s="62"/>
      <c r="L2373" s="62"/>
      <c r="M2373" s="62"/>
      <c r="N2373" s="62"/>
      <c r="O2373" s="62" t="str">
        <f>IF(E2373="PA",IF(K2373&lt;&gt;"",ISERROR(VLOOKUP(K2373,ABBR!A:D,1,FALSE)),ISERROR(VLOOKUP(C2373,ABBR!A:D,1,FALSE))),"")</f>
        <v/>
      </c>
      <c r="P2373" t="str">
        <f>VLOOKUP(A2373,Groups!A:L,5,FALSE)</f>
        <v>SAMP</v>
      </c>
      <c r="Q2373" s="62" t="str">
        <f>IF(G2373="PA",IF(M2373&lt;&gt;"",ISERROR(VLOOKUP(M2373,ABBR!C:F,1,FALSE)),ISERROR(VLOOKUP(E2373,ABBR!C:F,1,FALSE))),"")</f>
        <v/>
      </c>
    </row>
    <row r="2374" spans="1:17" hidden="1" x14ac:dyDescent="0.25">
      <c r="A2374" s="16" t="s">
        <v>541</v>
      </c>
      <c r="B2374" s="17" t="s">
        <v>594</v>
      </c>
      <c r="C2374" s="16" t="s">
        <v>854</v>
      </c>
      <c r="D2374" s="17"/>
      <c r="E2374" s="17" t="s">
        <v>608</v>
      </c>
      <c r="F2374" s="18" t="s">
        <v>855</v>
      </c>
      <c r="G2374" s="49" t="s">
        <v>856</v>
      </c>
      <c r="H2374" s="17">
        <v>3</v>
      </c>
      <c r="J2374" s="62" t="s">
        <v>478</v>
      </c>
      <c r="K2374" s="62"/>
      <c r="L2374" s="62"/>
      <c r="M2374" s="62"/>
      <c r="N2374" s="62"/>
      <c r="O2374" s="62" t="str">
        <f>IF(E2374="PA",IF(K2374&lt;&gt;"",ISERROR(VLOOKUP(K2374,ABBR!A:D,1,FALSE)),ISERROR(VLOOKUP(C2374,ABBR!A:D,1,FALSE))),"")</f>
        <v/>
      </c>
      <c r="P2374" t="str">
        <f>VLOOKUP(A2374,Groups!A:L,5,FALSE)</f>
        <v>SAMP</v>
      </c>
      <c r="Q2374" s="62" t="str">
        <f>IF(G2374="PA",IF(M2374&lt;&gt;"",ISERROR(VLOOKUP(M2374,ABBR!C:F,1,FALSE)),ISERROR(VLOOKUP(E2374,ABBR!C:F,1,FALSE))),"")</f>
        <v/>
      </c>
    </row>
    <row r="2375" spans="1:17" hidden="1" x14ac:dyDescent="0.25">
      <c r="A2375" s="16" t="s">
        <v>541</v>
      </c>
      <c r="B2375" s="17" t="s">
        <v>594</v>
      </c>
      <c r="C2375" s="16" t="s">
        <v>857</v>
      </c>
      <c r="D2375" s="17"/>
      <c r="E2375" s="17" t="s">
        <v>618</v>
      </c>
      <c r="F2375" s="18" t="s">
        <v>858</v>
      </c>
      <c r="G2375" s="49" t="s">
        <v>859</v>
      </c>
      <c r="H2375" s="17">
        <v>4</v>
      </c>
      <c r="J2375" s="62" t="s">
        <v>478</v>
      </c>
      <c r="K2375" s="62"/>
      <c r="L2375" s="62"/>
      <c r="M2375" s="62"/>
      <c r="N2375" s="62"/>
      <c r="O2375" s="62" t="b">
        <f>IF(E2375="PA",IF(K2375&lt;&gt;"",ISERROR(VLOOKUP(K2375,ABBR!A:D,1,FALSE)),ISERROR(VLOOKUP(C2375,ABBR!A:D,1,FALSE))),"")</f>
        <v>0</v>
      </c>
      <c r="P2375" t="str">
        <f>VLOOKUP(A2375,Groups!A:L,5,FALSE)</f>
        <v>SAMP</v>
      </c>
      <c r="Q2375" s="62" t="str">
        <f>IF(G2375="PA",IF(M2375&lt;&gt;"",ISERROR(VLOOKUP(M2375,ABBR!C:F,1,FALSE)),ISERROR(VLOOKUP(E2375,ABBR!C:F,1,FALSE))),"")</f>
        <v/>
      </c>
    </row>
    <row r="2376" spans="1:17" hidden="1" x14ac:dyDescent="0.25">
      <c r="A2376" s="16" t="s">
        <v>541</v>
      </c>
      <c r="B2376" s="17" t="s">
        <v>594</v>
      </c>
      <c r="C2376" s="16" t="s">
        <v>860</v>
      </c>
      <c r="D2376" s="17"/>
      <c r="E2376" s="17" t="s">
        <v>596</v>
      </c>
      <c r="F2376" s="18" t="s">
        <v>861</v>
      </c>
      <c r="G2376" s="49" t="s">
        <v>862</v>
      </c>
      <c r="H2376" s="17">
        <v>5</v>
      </c>
      <c r="J2376" s="62" t="s">
        <v>478</v>
      </c>
      <c r="K2376" s="62"/>
      <c r="L2376" s="62"/>
      <c r="M2376" s="62"/>
      <c r="N2376" s="62"/>
      <c r="O2376" s="62" t="str">
        <f>IF(E2376="PA",IF(K2376&lt;&gt;"",ISERROR(VLOOKUP(K2376,ABBR!A:D,1,FALSE)),ISERROR(VLOOKUP(C2376,ABBR!A:D,1,FALSE))),"")</f>
        <v/>
      </c>
      <c r="P2376" t="str">
        <f>VLOOKUP(A2376,Groups!A:L,5,FALSE)</f>
        <v>SAMP</v>
      </c>
      <c r="Q2376" s="62" t="str">
        <f>IF(G2376="PA",IF(M2376&lt;&gt;"",ISERROR(VLOOKUP(M2376,ABBR!C:F,1,FALSE)),ISERROR(VLOOKUP(E2376,ABBR!C:F,1,FALSE))),"")</f>
        <v/>
      </c>
    </row>
    <row r="2377" spans="1:17" hidden="1" x14ac:dyDescent="0.25">
      <c r="A2377" s="16" t="s">
        <v>541</v>
      </c>
      <c r="B2377" s="17" t="s">
        <v>594</v>
      </c>
      <c r="C2377" s="16" t="s">
        <v>863</v>
      </c>
      <c r="D2377" s="17"/>
      <c r="E2377" s="17" t="s">
        <v>608</v>
      </c>
      <c r="F2377" s="18" t="s">
        <v>864</v>
      </c>
      <c r="G2377" s="49" t="s">
        <v>865</v>
      </c>
      <c r="H2377" s="17">
        <v>6</v>
      </c>
      <c r="J2377" s="62" t="s">
        <v>478</v>
      </c>
      <c r="K2377" s="62"/>
      <c r="L2377" s="62"/>
      <c r="M2377" s="62"/>
      <c r="N2377" s="62"/>
      <c r="O2377" s="62" t="str">
        <f>IF(E2377="PA",IF(K2377&lt;&gt;"",ISERROR(VLOOKUP(K2377,ABBR!A:D,1,FALSE)),ISERROR(VLOOKUP(C2377,ABBR!A:D,1,FALSE))),"")</f>
        <v/>
      </c>
      <c r="P2377" t="str">
        <f>VLOOKUP(A2377,Groups!A:L,5,FALSE)</f>
        <v>SAMP</v>
      </c>
      <c r="Q2377" s="62" t="str">
        <f>IF(G2377="PA",IF(M2377&lt;&gt;"",ISERROR(VLOOKUP(M2377,ABBR!C:F,1,FALSE)),ISERROR(VLOOKUP(E2377,ABBR!C:F,1,FALSE))),"")</f>
        <v/>
      </c>
    </row>
    <row r="2378" spans="1:17" hidden="1" x14ac:dyDescent="0.25">
      <c r="A2378" s="16" t="s">
        <v>541</v>
      </c>
      <c r="B2378" s="17" t="s">
        <v>594</v>
      </c>
      <c r="C2378" s="16" t="s">
        <v>866</v>
      </c>
      <c r="D2378" s="17" t="s">
        <v>600</v>
      </c>
      <c r="E2378" s="17" t="s">
        <v>601</v>
      </c>
      <c r="F2378" s="18" t="s">
        <v>867</v>
      </c>
      <c r="G2378" s="49" t="s">
        <v>853</v>
      </c>
      <c r="H2378" s="17">
        <v>7</v>
      </c>
      <c r="J2378" s="62" t="s">
        <v>478</v>
      </c>
      <c r="K2378" s="62"/>
      <c r="L2378" s="62"/>
      <c r="M2378" s="62"/>
      <c r="N2378" s="62"/>
      <c r="O2378" s="62" t="str">
        <f>IF(E2378="PA",IF(K2378&lt;&gt;"",ISERROR(VLOOKUP(K2378,ABBR!A:D,1,FALSE)),ISERROR(VLOOKUP(C2378,ABBR!A:D,1,FALSE))),"")</f>
        <v/>
      </c>
      <c r="P2378" t="str">
        <f>VLOOKUP(A2378,Groups!A:L,5,FALSE)</f>
        <v>SAMP</v>
      </c>
      <c r="Q2378" s="62" t="str">
        <f>IF(G2378="PA",IF(M2378&lt;&gt;"",ISERROR(VLOOKUP(M2378,ABBR!C:F,1,FALSE)),ISERROR(VLOOKUP(E2378,ABBR!C:F,1,FALSE))),"")</f>
        <v/>
      </c>
    </row>
    <row r="2379" spans="1:17" hidden="1" x14ac:dyDescent="0.25">
      <c r="A2379" s="16" t="s">
        <v>541</v>
      </c>
      <c r="B2379" s="17"/>
      <c r="C2379" s="16" t="s">
        <v>868</v>
      </c>
      <c r="D2379" s="17"/>
      <c r="E2379" s="17" t="s">
        <v>608</v>
      </c>
      <c r="F2379" s="18" t="s">
        <v>869</v>
      </c>
      <c r="G2379" s="49" t="s">
        <v>3265</v>
      </c>
      <c r="H2379" s="17">
        <v>8</v>
      </c>
      <c r="J2379" s="62" t="s">
        <v>473</v>
      </c>
      <c r="K2379" s="62"/>
      <c r="L2379" s="62"/>
      <c r="M2379" s="62"/>
      <c r="N2379" s="62"/>
      <c r="O2379" s="62" t="str">
        <f>IF(E2379="PA",IF(K2379&lt;&gt;"",ISERROR(VLOOKUP(K2379,ABBR!A:D,1,FALSE)),ISERROR(VLOOKUP(C2379,ABBR!A:D,1,FALSE))),"")</f>
        <v/>
      </c>
      <c r="P2379" t="str">
        <f>VLOOKUP(A2379,Groups!A:L,5,FALSE)</f>
        <v>SAMP</v>
      </c>
      <c r="Q2379" s="62" t="str">
        <f>IF(G2379="PA",IF(M2379&lt;&gt;"",ISERROR(VLOOKUP(M2379,ABBR!C:F,1,FALSE)),ISERROR(VLOOKUP(E2379,ABBR!C:F,1,FALSE))),"")</f>
        <v/>
      </c>
    </row>
    <row r="2380" spans="1:17" ht="25" hidden="1" x14ac:dyDescent="0.25">
      <c r="A2380" s="16" t="s">
        <v>541</v>
      </c>
      <c r="B2380" s="17"/>
      <c r="C2380" s="16" t="s">
        <v>871</v>
      </c>
      <c r="D2380" s="17"/>
      <c r="E2380" s="17" t="s">
        <v>608</v>
      </c>
      <c r="F2380" s="18" t="s">
        <v>872</v>
      </c>
      <c r="G2380" s="49" t="s">
        <v>873</v>
      </c>
      <c r="H2380" s="17">
        <v>9</v>
      </c>
      <c r="J2380" s="62" t="s">
        <v>473</v>
      </c>
      <c r="K2380" s="62"/>
      <c r="L2380" s="62"/>
      <c r="M2380" s="62"/>
      <c r="N2380" s="62"/>
      <c r="O2380" s="62" t="str">
        <f>IF(E2380="PA",IF(K2380&lt;&gt;"",ISERROR(VLOOKUP(K2380,ABBR!A:D,1,FALSE)),ISERROR(VLOOKUP(C2380,ABBR!A:D,1,FALSE))),"")</f>
        <v/>
      </c>
      <c r="P2380" t="str">
        <f>VLOOKUP(A2380,Groups!A:L,5,FALSE)</f>
        <v>SAMP</v>
      </c>
      <c r="Q2380" s="62" t="str">
        <f>IF(G2380="PA",IF(M2380&lt;&gt;"",ISERROR(VLOOKUP(M2380,ABBR!C:F,1,FALSE)),ISERROR(VLOOKUP(E2380,ABBR!C:F,1,FALSE))),"")</f>
        <v/>
      </c>
    </row>
    <row r="2381" spans="1:17" hidden="1" x14ac:dyDescent="0.25">
      <c r="A2381" s="16" t="s">
        <v>541</v>
      </c>
      <c r="B2381" s="46"/>
      <c r="C2381" s="9" t="s">
        <v>877</v>
      </c>
      <c r="D2381" s="46" t="s">
        <v>600</v>
      </c>
      <c r="E2381" s="46" t="s">
        <v>601</v>
      </c>
      <c r="F2381" s="93" t="s">
        <v>878</v>
      </c>
      <c r="G2381" s="94" t="s">
        <v>879</v>
      </c>
      <c r="H2381" s="17">
        <v>10</v>
      </c>
      <c r="I2381"/>
      <c r="J2381" s="34" t="s">
        <v>473</v>
      </c>
      <c r="O2381" s="62" t="str">
        <f>IF(E2381="PA",IF(K2381&lt;&gt;"",ISERROR(VLOOKUP(K2381,ABBR!A:D,1,FALSE)),ISERROR(VLOOKUP(C2381,ABBR!A:D,1,FALSE))),"")</f>
        <v/>
      </c>
      <c r="P2381" t="str">
        <f>VLOOKUP(A2381,Groups!A:L,5,FALSE)</f>
        <v>SAMP</v>
      </c>
      <c r="Q2381" s="62" t="str">
        <f>IF(G2381="PA",IF(M2381&lt;&gt;"",ISERROR(VLOOKUP(M2381,ABBR!C:F,1,FALSE)),ISERROR(VLOOKUP(E2381,ABBR!C:F,1,FALSE))),"")</f>
        <v/>
      </c>
    </row>
    <row r="2382" spans="1:17" hidden="1" x14ac:dyDescent="0.25">
      <c r="A2382" s="16" t="s">
        <v>541</v>
      </c>
      <c r="B2382" s="17"/>
      <c r="C2382" s="16" t="s">
        <v>4172</v>
      </c>
      <c r="D2382" s="17"/>
      <c r="E2382" s="17" t="s">
        <v>601</v>
      </c>
      <c r="F2382" s="18" t="s">
        <v>4173</v>
      </c>
      <c r="G2382" s="49" t="s">
        <v>4174</v>
      </c>
      <c r="H2382" s="17">
        <v>11</v>
      </c>
      <c r="J2382" s="62" t="s">
        <v>478</v>
      </c>
      <c r="K2382" s="62"/>
      <c r="L2382" s="62"/>
      <c r="M2382" s="62"/>
      <c r="N2382" s="62"/>
      <c r="O2382" s="62" t="str">
        <f>IF(E2382="PA",IF(K2382&lt;&gt;"",ISERROR(VLOOKUP(K2382,ABBR!A:D,1,FALSE)),ISERROR(VLOOKUP(C2382,ABBR!A:D,1,FALSE))),"")</f>
        <v/>
      </c>
      <c r="P2382" t="str">
        <f>VLOOKUP(A2382,Groups!A:L,5,FALSE)</f>
        <v>SAMP</v>
      </c>
      <c r="Q2382" s="62" t="str">
        <f>IF(G2382="PA",IF(M2382&lt;&gt;"",ISERROR(VLOOKUP(M2382,ABBR!C:F,1,FALSE)),ISERROR(VLOOKUP(E2382,ABBR!C:F,1,FALSE))),"")</f>
        <v/>
      </c>
    </row>
    <row r="2383" spans="1:17" ht="25" hidden="1" x14ac:dyDescent="0.25">
      <c r="A2383" s="16" t="s">
        <v>541</v>
      </c>
      <c r="B2383" s="17"/>
      <c r="C2383" s="16" t="s">
        <v>4175</v>
      </c>
      <c r="D2383" s="17" t="s">
        <v>3626</v>
      </c>
      <c r="E2383" s="17" t="s">
        <v>601</v>
      </c>
      <c r="F2383" s="18" t="s">
        <v>3627</v>
      </c>
      <c r="G2383" s="49" t="s">
        <v>1956</v>
      </c>
      <c r="H2383" s="17">
        <v>12</v>
      </c>
      <c r="J2383" s="62" t="s">
        <v>478</v>
      </c>
      <c r="K2383" s="62"/>
      <c r="L2383" s="62"/>
      <c r="M2383" s="62"/>
      <c r="N2383" s="62"/>
      <c r="O2383" s="62" t="str">
        <f>IF(E2383="PA",IF(K2383&lt;&gt;"",ISERROR(VLOOKUP(K2383,ABBR!A:D,1,FALSE)),ISERROR(VLOOKUP(C2383,ABBR!A:D,1,FALSE))),"")</f>
        <v/>
      </c>
      <c r="P2383" t="str">
        <f>VLOOKUP(A2383,Groups!A:L,5,FALSE)</f>
        <v>SAMP</v>
      </c>
      <c r="Q2383" s="62" t="str">
        <f>IF(G2383="PA",IF(M2383&lt;&gt;"",ISERROR(VLOOKUP(M2383,ABBR!C:F,1,FALSE)),ISERROR(VLOOKUP(E2383,ABBR!C:F,1,FALSE))),"")</f>
        <v/>
      </c>
    </row>
    <row r="2384" spans="1:17" hidden="1" x14ac:dyDescent="0.25">
      <c r="A2384" s="16" t="s">
        <v>541</v>
      </c>
      <c r="B2384" s="17"/>
      <c r="C2384" s="16" t="s">
        <v>4176</v>
      </c>
      <c r="D2384" s="17" t="s">
        <v>766</v>
      </c>
      <c r="E2384" s="17" t="s">
        <v>723</v>
      </c>
      <c r="F2384" s="18" t="s">
        <v>3633</v>
      </c>
      <c r="G2384" s="49" t="s">
        <v>4177</v>
      </c>
      <c r="H2384" s="17">
        <v>13</v>
      </c>
      <c r="J2384" s="62" t="s">
        <v>478</v>
      </c>
      <c r="K2384" s="62"/>
      <c r="L2384" s="62"/>
      <c r="M2384" s="62"/>
      <c r="N2384" s="62"/>
      <c r="O2384" s="62" t="str">
        <f>IF(E2384="PA",IF(K2384&lt;&gt;"",ISERROR(VLOOKUP(K2384,ABBR!A:D,1,FALSE)),ISERROR(VLOOKUP(C2384,ABBR!A:D,1,FALSE))),"")</f>
        <v/>
      </c>
      <c r="P2384" t="str">
        <f>VLOOKUP(A2384,Groups!A:L,5,FALSE)</f>
        <v>SAMP</v>
      </c>
      <c r="Q2384" s="62" t="str">
        <f>IF(G2384="PA",IF(M2384&lt;&gt;"",ISERROR(VLOOKUP(M2384,ABBR!C:F,1,FALSE)),ISERROR(VLOOKUP(E2384,ABBR!C:F,1,FALSE))),"")</f>
        <v/>
      </c>
    </row>
    <row r="2385" spans="1:17" hidden="1" x14ac:dyDescent="0.25">
      <c r="A2385" s="16" t="s">
        <v>541</v>
      </c>
      <c r="B2385" s="17"/>
      <c r="C2385" s="16" t="s">
        <v>4178</v>
      </c>
      <c r="D2385" s="17" t="s">
        <v>766</v>
      </c>
      <c r="E2385" s="17" t="s">
        <v>723</v>
      </c>
      <c r="F2385" s="18" t="s">
        <v>4179</v>
      </c>
      <c r="G2385" s="49" t="s">
        <v>4177</v>
      </c>
      <c r="H2385" s="17">
        <v>14</v>
      </c>
      <c r="J2385" s="62" t="s">
        <v>478</v>
      </c>
      <c r="K2385" s="62"/>
      <c r="L2385" s="62"/>
      <c r="M2385" s="62"/>
      <c r="N2385" s="62"/>
      <c r="O2385" s="62" t="str">
        <f>IF(E2385="PA",IF(K2385&lt;&gt;"",ISERROR(VLOOKUP(K2385,ABBR!A:D,1,FALSE)),ISERROR(VLOOKUP(C2385,ABBR!A:D,1,FALSE))),"")</f>
        <v/>
      </c>
      <c r="P2385" t="str">
        <f>VLOOKUP(A2385,Groups!A:L,5,FALSE)</f>
        <v>SAMP</v>
      </c>
      <c r="Q2385" s="62" t="str">
        <f>IF(G2385="PA",IF(M2385&lt;&gt;"",ISERROR(VLOOKUP(M2385,ABBR!C:F,1,FALSE)),ISERROR(VLOOKUP(E2385,ABBR!C:F,1,FALSE))),"")</f>
        <v/>
      </c>
    </row>
    <row r="2386" spans="1:17" ht="25" hidden="1" x14ac:dyDescent="0.25">
      <c r="A2386" s="16" t="s">
        <v>541</v>
      </c>
      <c r="B2386" s="17"/>
      <c r="C2386" s="16" t="s">
        <v>4180</v>
      </c>
      <c r="D2386" s="17" t="s">
        <v>766</v>
      </c>
      <c r="E2386" s="17" t="s">
        <v>723</v>
      </c>
      <c r="F2386" s="18" t="s">
        <v>3640</v>
      </c>
      <c r="G2386" s="49" t="s">
        <v>4181</v>
      </c>
      <c r="H2386" s="17">
        <v>15</v>
      </c>
      <c r="J2386" s="62" t="s">
        <v>478</v>
      </c>
      <c r="K2386" s="62"/>
      <c r="L2386" s="62"/>
      <c r="M2386" s="62"/>
      <c r="N2386" s="62"/>
      <c r="O2386" s="62" t="str">
        <f>IF(E2386="PA",IF(K2386&lt;&gt;"",ISERROR(VLOOKUP(K2386,ABBR!A:D,1,FALSE)),ISERROR(VLOOKUP(C2386,ABBR!A:D,1,FALSE))),"")</f>
        <v/>
      </c>
      <c r="P2386" t="str">
        <f>VLOOKUP(A2386,Groups!A:L,5,FALSE)</f>
        <v>SAMP</v>
      </c>
      <c r="Q2386" s="62" t="str">
        <f>IF(G2386="PA",IF(M2386&lt;&gt;"",ISERROR(VLOOKUP(M2386,ABBR!C:F,1,FALSE)),ISERROR(VLOOKUP(E2386,ABBR!C:F,1,FALSE))),"")</f>
        <v/>
      </c>
    </row>
    <row r="2387" spans="1:17" ht="25" hidden="1" x14ac:dyDescent="0.25">
      <c r="A2387" s="16" t="s">
        <v>541</v>
      </c>
      <c r="B2387" s="17"/>
      <c r="C2387" s="16" t="s">
        <v>4182</v>
      </c>
      <c r="D2387" s="17"/>
      <c r="E2387" s="17" t="s">
        <v>608</v>
      </c>
      <c r="F2387" s="18" t="s">
        <v>642</v>
      </c>
      <c r="G2387" s="49" t="s">
        <v>2274</v>
      </c>
      <c r="H2387" s="17">
        <v>16</v>
      </c>
      <c r="J2387" s="62" t="s">
        <v>478</v>
      </c>
      <c r="K2387" s="62"/>
      <c r="L2387" s="62"/>
      <c r="M2387" s="62"/>
      <c r="N2387" s="62"/>
      <c r="O2387" s="62" t="str">
        <f>IF(E2387="PA",IF(K2387&lt;&gt;"",ISERROR(VLOOKUP(K2387,ABBR!A:D,1,FALSE)),ISERROR(VLOOKUP(C2387,ABBR!A:D,1,FALSE))),"")</f>
        <v/>
      </c>
      <c r="P2387" t="str">
        <f>VLOOKUP(A2387,Groups!A:L,5,FALSE)</f>
        <v>SAMP</v>
      </c>
      <c r="Q2387" s="62" t="str">
        <f>IF(G2387="PA",IF(M2387&lt;&gt;"",ISERROR(VLOOKUP(M2387,ABBR!C:F,1,FALSE)),ISERROR(VLOOKUP(E2387,ABBR!C:F,1,FALSE))),"")</f>
        <v/>
      </c>
    </row>
    <row r="2388" spans="1:17" hidden="1" x14ac:dyDescent="0.25">
      <c r="A2388" s="16" t="s">
        <v>541</v>
      </c>
      <c r="B2388" s="17"/>
      <c r="C2388" s="16" t="s">
        <v>4183</v>
      </c>
      <c r="D2388" s="17"/>
      <c r="E2388" s="17" t="s">
        <v>608</v>
      </c>
      <c r="F2388" s="18" t="s">
        <v>918</v>
      </c>
      <c r="G2388" s="49" t="s">
        <v>4184</v>
      </c>
      <c r="H2388" s="17">
        <v>17</v>
      </c>
      <c r="J2388" s="62" t="s">
        <v>478</v>
      </c>
      <c r="K2388" s="62"/>
      <c r="L2388" s="62"/>
      <c r="M2388" s="62"/>
      <c r="N2388" s="62"/>
      <c r="O2388" s="62" t="str">
        <f>IF(E2388="PA",IF(K2388&lt;&gt;"",ISERROR(VLOOKUP(K2388,ABBR!A:D,1,FALSE)),ISERROR(VLOOKUP(C2388,ABBR!A:D,1,FALSE))),"")</f>
        <v/>
      </c>
      <c r="P2388" t="str">
        <f>VLOOKUP(A2388,Groups!A:L,5,FALSE)</f>
        <v>SAMP</v>
      </c>
      <c r="Q2388" s="62" t="str">
        <f>IF(G2388="PA",IF(M2388&lt;&gt;"",ISERROR(VLOOKUP(M2388,ABBR!C:F,1,FALSE)),ISERROR(VLOOKUP(E2388,ABBR!C:F,1,FALSE))),"")</f>
        <v/>
      </c>
    </row>
    <row r="2389" spans="1:17" hidden="1" x14ac:dyDescent="0.25">
      <c r="A2389" s="16" t="s">
        <v>541</v>
      </c>
      <c r="B2389" s="46"/>
      <c r="C2389" s="9" t="s">
        <v>4185</v>
      </c>
      <c r="D2389" s="46"/>
      <c r="E2389" s="46" t="s">
        <v>608</v>
      </c>
      <c r="F2389" s="93" t="s">
        <v>921</v>
      </c>
      <c r="G2389" s="94" t="s">
        <v>922</v>
      </c>
      <c r="H2389" s="17">
        <v>18</v>
      </c>
      <c r="I2389"/>
      <c r="J2389" s="34" t="s">
        <v>473</v>
      </c>
      <c r="M2389" s="101"/>
      <c r="O2389" s="62" t="str">
        <f>IF(E2389="PA",IF(K2389&lt;&gt;"",ISERROR(VLOOKUP(K2389,ABBR!A:D,1,FALSE)),ISERROR(VLOOKUP(C2389,ABBR!A:D,1,FALSE))),"")</f>
        <v/>
      </c>
      <c r="P2389" t="str">
        <f>VLOOKUP(A2389,Groups!A:L,5,FALSE)</f>
        <v>SAMP</v>
      </c>
      <c r="Q2389" s="62" t="str">
        <f>IF(G2389="PA",IF(M2389&lt;&gt;"",ISERROR(VLOOKUP(M2389,ABBR!C:F,1,FALSE)),ISERROR(VLOOKUP(E2389,ABBR!C:F,1,FALSE))),"")</f>
        <v/>
      </c>
    </row>
    <row r="2390" spans="1:17" hidden="1" x14ac:dyDescent="0.25">
      <c r="A2390" s="16" t="s">
        <v>541</v>
      </c>
      <c r="B2390" s="17"/>
      <c r="C2390" s="16" t="s">
        <v>4186</v>
      </c>
      <c r="D2390" s="17" t="s">
        <v>924</v>
      </c>
      <c r="E2390" s="17" t="s">
        <v>925</v>
      </c>
      <c r="F2390" s="18" t="s">
        <v>926</v>
      </c>
      <c r="G2390" s="49" t="s">
        <v>927</v>
      </c>
      <c r="H2390" s="17">
        <v>19</v>
      </c>
      <c r="J2390" s="62" t="s">
        <v>478</v>
      </c>
      <c r="K2390" s="62"/>
      <c r="L2390" s="62"/>
      <c r="M2390" s="62"/>
      <c r="N2390" s="62"/>
      <c r="O2390" s="62" t="str">
        <f>IF(E2390="PA",IF(K2390&lt;&gt;"",ISERROR(VLOOKUP(K2390,ABBR!A:D,1,FALSE)),ISERROR(VLOOKUP(C2390,ABBR!A:D,1,FALSE))),"")</f>
        <v/>
      </c>
      <c r="P2390" t="str">
        <f>VLOOKUP(A2390,Groups!A:L,5,FALSE)</f>
        <v>SAMP</v>
      </c>
      <c r="Q2390" s="62" t="str">
        <f>IF(G2390="PA",IF(M2390&lt;&gt;"",ISERROR(VLOOKUP(M2390,ABBR!C:F,1,FALSE)),ISERROR(VLOOKUP(E2390,ABBR!C:F,1,FALSE))),"")</f>
        <v/>
      </c>
    </row>
    <row r="2391" spans="1:17" hidden="1" x14ac:dyDescent="0.25">
      <c r="A2391" s="16" t="s">
        <v>541</v>
      </c>
      <c r="B2391" s="17"/>
      <c r="C2391" s="16" t="s">
        <v>936</v>
      </c>
      <c r="D2391" s="17"/>
      <c r="E2391" s="17" t="s">
        <v>608</v>
      </c>
      <c r="F2391" s="18" t="s">
        <v>937</v>
      </c>
      <c r="G2391" s="49" t="s">
        <v>938</v>
      </c>
      <c r="H2391" s="17">
        <v>20</v>
      </c>
      <c r="J2391" s="62" t="s">
        <v>478</v>
      </c>
      <c r="K2391" s="62"/>
      <c r="L2391" s="62"/>
      <c r="M2391" s="62"/>
      <c r="N2391" s="62"/>
      <c r="O2391" s="62" t="str">
        <f>IF(E2391="PA",IF(K2391&lt;&gt;"",ISERROR(VLOOKUP(K2391,ABBR!A:D,1,FALSE)),ISERROR(VLOOKUP(C2391,ABBR!A:D,1,FALSE))),"")</f>
        <v/>
      </c>
      <c r="P2391" t="str">
        <f>VLOOKUP(A2391,Groups!A:L,5,FALSE)</f>
        <v>SAMP</v>
      </c>
      <c r="Q2391" s="62" t="str">
        <f>IF(G2391="PA",IF(M2391&lt;&gt;"",ISERROR(VLOOKUP(M2391,ABBR!C:F,1,FALSE)),ISERROR(VLOOKUP(E2391,ABBR!C:F,1,FALSE))),"")</f>
        <v/>
      </c>
    </row>
    <row r="2392" spans="1:17" hidden="1" x14ac:dyDescent="0.25">
      <c r="A2392" s="16" t="s">
        <v>541</v>
      </c>
      <c r="B2392" s="17"/>
      <c r="C2392" s="16" t="s">
        <v>4187</v>
      </c>
      <c r="D2392" s="17"/>
      <c r="E2392" s="17" t="s">
        <v>608</v>
      </c>
      <c r="F2392" s="18" t="s">
        <v>931</v>
      </c>
      <c r="G2392" s="49" t="s">
        <v>932</v>
      </c>
      <c r="H2392" s="17">
        <v>21</v>
      </c>
      <c r="J2392" s="62" t="s">
        <v>478</v>
      </c>
      <c r="K2392" s="62"/>
      <c r="L2392" s="62"/>
      <c r="M2392" s="62"/>
      <c r="N2392" s="62"/>
      <c r="O2392" s="62" t="str">
        <f>IF(E2392="PA",IF(K2392&lt;&gt;"",ISERROR(VLOOKUP(K2392,ABBR!A:D,1,FALSE)),ISERROR(VLOOKUP(C2392,ABBR!A:D,1,FALSE))),"")</f>
        <v/>
      </c>
      <c r="P2392" t="str">
        <f>VLOOKUP(A2392,Groups!A:L,5,FALSE)</f>
        <v>SAMP</v>
      </c>
      <c r="Q2392" s="62" t="str">
        <f>IF(G2392="PA",IF(M2392&lt;&gt;"",ISERROR(VLOOKUP(M2392,ABBR!C:F,1,FALSE)),ISERROR(VLOOKUP(E2392,ABBR!C:F,1,FALSE))),"")</f>
        <v/>
      </c>
    </row>
    <row r="2393" spans="1:17" ht="25" hidden="1" x14ac:dyDescent="0.25">
      <c r="A2393" s="16" t="s">
        <v>541</v>
      </c>
      <c r="B2393" s="17"/>
      <c r="C2393" s="16" t="s">
        <v>4188</v>
      </c>
      <c r="D2393" s="17"/>
      <c r="E2393" s="17" t="s">
        <v>608</v>
      </c>
      <c r="F2393" s="18" t="s">
        <v>934</v>
      </c>
      <c r="G2393" s="49" t="s">
        <v>935</v>
      </c>
      <c r="H2393" s="17">
        <v>22</v>
      </c>
      <c r="J2393" s="62" t="s">
        <v>478</v>
      </c>
      <c r="K2393" s="62"/>
      <c r="L2393" s="62"/>
      <c r="M2393" s="62"/>
      <c r="N2393" s="62"/>
      <c r="O2393" s="62" t="str">
        <f>IF(E2393="PA",IF(K2393&lt;&gt;"",ISERROR(VLOOKUP(K2393,ABBR!A:D,1,FALSE)),ISERROR(VLOOKUP(C2393,ABBR!A:D,1,FALSE))),"")</f>
        <v/>
      </c>
      <c r="P2393" t="str">
        <f>VLOOKUP(A2393,Groups!A:L,5,FALSE)</f>
        <v>SAMP</v>
      </c>
      <c r="Q2393" s="62" t="str">
        <f>IF(G2393="PA",IF(M2393&lt;&gt;"",ISERROR(VLOOKUP(M2393,ABBR!C:F,1,FALSE)),ISERROR(VLOOKUP(E2393,ABBR!C:F,1,FALSE))),"")</f>
        <v/>
      </c>
    </row>
    <row r="2394" spans="1:17" hidden="1" x14ac:dyDescent="0.25">
      <c r="A2394" s="16" t="s">
        <v>541</v>
      </c>
      <c r="B2394" s="17"/>
      <c r="C2394" s="16" t="s">
        <v>643</v>
      </c>
      <c r="D2394" s="17"/>
      <c r="E2394" s="17" t="s">
        <v>608</v>
      </c>
      <c r="F2394" s="18" t="s">
        <v>1714</v>
      </c>
      <c r="G2394" s="49" t="s">
        <v>4189</v>
      </c>
      <c r="H2394" s="17">
        <v>23</v>
      </c>
      <c r="J2394" s="62" t="s">
        <v>478</v>
      </c>
      <c r="K2394" s="62"/>
      <c r="L2394" s="62"/>
      <c r="M2394" s="62"/>
      <c r="N2394" s="62"/>
      <c r="O2394" s="62" t="str">
        <f>IF(E2394="PA",IF(K2394&lt;&gt;"",ISERROR(VLOOKUP(K2394,ABBR!A:D,1,FALSE)),ISERROR(VLOOKUP(C2394,ABBR!A:D,1,FALSE))),"")</f>
        <v/>
      </c>
      <c r="P2394" t="str">
        <f>VLOOKUP(A2394,Groups!A:L,5,FALSE)</f>
        <v>SAMP</v>
      </c>
      <c r="Q2394" s="62" t="str">
        <f>IF(G2394="PA",IF(M2394&lt;&gt;"",ISERROR(VLOOKUP(M2394,ABBR!C:F,1,FALSE)),ISERROR(VLOOKUP(E2394,ABBR!C:F,1,FALSE))),"")</f>
        <v/>
      </c>
    </row>
    <row r="2395" spans="1:17" hidden="1" x14ac:dyDescent="0.25">
      <c r="A2395" s="16" t="s">
        <v>541</v>
      </c>
      <c r="B2395" s="17"/>
      <c r="C2395" s="16" t="s">
        <v>4190</v>
      </c>
      <c r="D2395" s="17"/>
      <c r="E2395" s="17" t="s">
        <v>608</v>
      </c>
      <c r="F2395" s="18" t="s">
        <v>875</v>
      </c>
      <c r="G2395" s="49" t="s">
        <v>876</v>
      </c>
      <c r="H2395" s="17">
        <v>24</v>
      </c>
      <c r="J2395" s="62" t="s">
        <v>473</v>
      </c>
      <c r="K2395" s="62"/>
      <c r="L2395" s="62"/>
      <c r="M2395" s="62"/>
      <c r="N2395" s="62"/>
      <c r="O2395" s="62" t="str">
        <f>IF(E2395="PA",IF(K2395&lt;&gt;"",ISERROR(VLOOKUP(K2395,ABBR!A:D,1,FALSE)),ISERROR(VLOOKUP(C2395,ABBR!A:D,1,FALSE))),"")</f>
        <v/>
      </c>
      <c r="P2395" t="str">
        <f>VLOOKUP(A2395,Groups!A:L,5,FALSE)</f>
        <v>SAMP</v>
      </c>
      <c r="Q2395" s="62" t="str">
        <f>IF(G2395="PA",IF(M2395&lt;&gt;"",ISERROR(VLOOKUP(M2395,ABBR!C:F,1,FALSE)),ISERROR(VLOOKUP(E2395,ABBR!C:F,1,FALSE))),"")</f>
        <v/>
      </c>
    </row>
    <row r="2396" spans="1:17" hidden="1" x14ac:dyDescent="0.25">
      <c r="A2396" s="16" t="s">
        <v>541</v>
      </c>
      <c r="B2396" s="17"/>
      <c r="C2396" s="16" t="s">
        <v>4191</v>
      </c>
      <c r="D2396" s="17"/>
      <c r="E2396" s="17" t="s">
        <v>608</v>
      </c>
      <c r="F2396" s="18" t="s">
        <v>929</v>
      </c>
      <c r="G2396" s="49" t="s">
        <v>876</v>
      </c>
      <c r="H2396" s="17">
        <v>25</v>
      </c>
      <c r="J2396" s="62" t="s">
        <v>473</v>
      </c>
      <c r="K2396" s="62"/>
      <c r="L2396" s="62"/>
      <c r="M2396" s="62"/>
      <c r="N2396" s="62"/>
      <c r="O2396" s="62" t="str">
        <f>IF(E2396="PA",IF(K2396&lt;&gt;"",ISERROR(VLOOKUP(K2396,ABBR!A:D,1,FALSE)),ISERROR(VLOOKUP(C2396,ABBR!A:D,1,FALSE))),"")</f>
        <v/>
      </c>
      <c r="P2396" t="str">
        <f>VLOOKUP(A2396,Groups!A:L,5,FALSE)</f>
        <v>SAMP</v>
      </c>
      <c r="Q2396" s="62" t="str">
        <f>IF(G2396="PA",IF(M2396&lt;&gt;"",ISERROR(VLOOKUP(M2396,ABBR!C:F,1,FALSE)),ISERROR(VLOOKUP(E2396,ABBR!C:F,1,FALSE))),"")</f>
        <v/>
      </c>
    </row>
    <row r="2397" spans="1:17" hidden="1" x14ac:dyDescent="0.25">
      <c r="A2397" s="16" t="s">
        <v>289</v>
      </c>
      <c r="B2397" s="17" t="s">
        <v>594</v>
      </c>
      <c r="C2397" s="16" t="s">
        <v>595</v>
      </c>
      <c r="D2397" s="17"/>
      <c r="E2397" s="17" t="s">
        <v>596</v>
      </c>
      <c r="F2397" s="18" t="s">
        <v>597</v>
      </c>
      <c r="G2397" s="49" t="s">
        <v>598</v>
      </c>
      <c r="H2397" s="17">
        <v>1</v>
      </c>
      <c r="O2397" s="62" t="str">
        <f>IF(E2397="PA",IF(K2397&lt;&gt;"",ISERROR(VLOOKUP(K2397,ABBR!A:D,1,FALSE)),ISERROR(VLOOKUP(C2397,ABBR!A:D,1,FALSE))),"")</f>
        <v/>
      </c>
      <c r="P2397" t="str">
        <f>VLOOKUP(A2397,Groups!A:L,5,FALSE)</f>
        <v>SAMP</v>
      </c>
      <c r="Q2397" s="62" t="str">
        <f>IF(G2397="PA",IF(M2397&lt;&gt;"",ISERROR(VLOOKUP(M2397,ABBR!C:F,1,FALSE)),ISERROR(VLOOKUP(E2397,ABBR!C:F,1,FALSE))),"")</f>
        <v/>
      </c>
    </row>
    <row r="2398" spans="1:17" hidden="1" x14ac:dyDescent="0.25">
      <c r="A2398" s="16" t="s">
        <v>289</v>
      </c>
      <c r="B2398" s="17" t="s">
        <v>594</v>
      </c>
      <c r="C2398" s="16" t="s">
        <v>851</v>
      </c>
      <c r="D2398" s="17" t="s">
        <v>600</v>
      </c>
      <c r="E2398" s="17" t="s">
        <v>601</v>
      </c>
      <c r="F2398" s="18" t="s">
        <v>852</v>
      </c>
      <c r="G2398" s="49" t="s">
        <v>853</v>
      </c>
      <c r="H2398" s="17">
        <v>2</v>
      </c>
      <c r="O2398" s="62" t="str">
        <f>IF(E2398="PA",IF(K2398&lt;&gt;"",ISERROR(VLOOKUP(K2398,ABBR!A:D,1,FALSE)),ISERROR(VLOOKUP(C2398,ABBR!A:D,1,FALSE))),"")</f>
        <v/>
      </c>
      <c r="P2398" t="str">
        <f>VLOOKUP(A2398,Groups!A:L,5,FALSE)</f>
        <v>SAMP</v>
      </c>
      <c r="Q2398" s="62" t="str">
        <f>IF(G2398="PA",IF(M2398&lt;&gt;"",ISERROR(VLOOKUP(M2398,ABBR!C:F,1,FALSE)),ISERROR(VLOOKUP(E2398,ABBR!C:F,1,FALSE))),"")</f>
        <v/>
      </c>
    </row>
    <row r="2399" spans="1:17" hidden="1" x14ac:dyDescent="0.25">
      <c r="A2399" s="16" t="s">
        <v>289</v>
      </c>
      <c r="B2399" s="17" t="s">
        <v>594</v>
      </c>
      <c r="C2399" s="16" t="s">
        <v>854</v>
      </c>
      <c r="D2399" s="17"/>
      <c r="E2399" s="17" t="s">
        <v>608</v>
      </c>
      <c r="F2399" s="18" t="s">
        <v>855</v>
      </c>
      <c r="G2399" s="49" t="s">
        <v>941</v>
      </c>
      <c r="H2399" s="17">
        <v>3</v>
      </c>
      <c r="O2399" s="62" t="str">
        <f>IF(E2399="PA",IF(K2399&lt;&gt;"",ISERROR(VLOOKUP(K2399,ABBR!A:D,1,FALSE)),ISERROR(VLOOKUP(C2399,ABBR!A:D,1,FALSE))),"")</f>
        <v/>
      </c>
      <c r="P2399" t="str">
        <f>VLOOKUP(A2399,Groups!A:L,5,FALSE)</f>
        <v>SAMP</v>
      </c>
      <c r="Q2399" s="62" t="str">
        <f>IF(G2399="PA",IF(M2399&lt;&gt;"",ISERROR(VLOOKUP(M2399,ABBR!C:F,1,FALSE)),ISERROR(VLOOKUP(E2399,ABBR!C:F,1,FALSE))),"")</f>
        <v/>
      </c>
    </row>
    <row r="2400" spans="1:17" hidden="1" x14ac:dyDescent="0.25">
      <c r="A2400" s="16" t="s">
        <v>289</v>
      </c>
      <c r="B2400" s="17" t="s">
        <v>594</v>
      </c>
      <c r="C2400" s="16" t="s">
        <v>857</v>
      </c>
      <c r="D2400" s="17"/>
      <c r="E2400" s="17" t="s">
        <v>618</v>
      </c>
      <c r="F2400" s="18" t="s">
        <v>858</v>
      </c>
      <c r="G2400" s="49" t="s">
        <v>3547</v>
      </c>
      <c r="H2400" s="17">
        <v>4</v>
      </c>
      <c r="O2400" s="62" t="b">
        <f>IF(E2400="PA",IF(K2400&lt;&gt;"",ISERROR(VLOOKUP(K2400,ABBR!A:D,1,FALSE)),ISERROR(VLOOKUP(C2400,ABBR!A:D,1,FALSE))),"")</f>
        <v>0</v>
      </c>
      <c r="P2400" t="str">
        <f>VLOOKUP(A2400,Groups!A:L,5,FALSE)</f>
        <v>SAMP</v>
      </c>
      <c r="Q2400" s="62" t="str">
        <f>IF(G2400="PA",IF(M2400&lt;&gt;"",ISERROR(VLOOKUP(M2400,ABBR!C:F,1,FALSE)),ISERROR(VLOOKUP(E2400,ABBR!C:F,1,FALSE))),"")</f>
        <v/>
      </c>
    </row>
    <row r="2401" spans="1:17" hidden="1" x14ac:dyDescent="0.25">
      <c r="A2401" s="16" t="s">
        <v>289</v>
      </c>
      <c r="B2401" s="17" t="s">
        <v>594</v>
      </c>
      <c r="C2401" s="16" t="s">
        <v>860</v>
      </c>
      <c r="D2401" s="17"/>
      <c r="E2401" s="17" t="s">
        <v>596</v>
      </c>
      <c r="F2401" s="18" t="s">
        <v>942</v>
      </c>
      <c r="G2401" s="49" t="s">
        <v>862</v>
      </c>
      <c r="H2401" s="17">
        <v>5</v>
      </c>
      <c r="O2401" s="62" t="str">
        <f>IF(E2401="PA",IF(K2401&lt;&gt;"",ISERROR(VLOOKUP(K2401,ABBR!A:D,1,FALSE)),ISERROR(VLOOKUP(C2401,ABBR!A:D,1,FALSE))),"")</f>
        <v/>
      </c>
      <c r="P2401" t="str">
        <f>VLOOKUP(A2401,Groups!A:L,5,FALSE)</f>
        <v>SAMP</v>
      </c>
      <c r="Q2401" s="62" t="str">
        <f>IF(G2401="PA",IF(M2401&lt;&gt;"",ISERROR(VLOOKUP(M2401,ABBR!C:F,1,FALSE)),ISERROR(VLOOKUP(E2401,ABBR!C:F,1,FALSE))),"")</f>
        <v/>
      </c>
    </row>
    <row r="2402" spans="1:17" hidden="1" x14ac:dyDescent="0.25">
      <c r="A2402" s="16" t="s">
        <v>289</v>
      </c>
      <c r="B2402" s="17" t="s">
        <v>594</v>
      </c>
      <c r="C2402" s="16" t="s">
        <v>863</v>
      </c>
      <c r="D2402" s="17"/>
      <c r="E2402" s="17" t="s">
        <v>608</v>
      </c>
      <c r="F2402" s="18" t="s">
        <v>864</v>
      </c>
      <c r="G2402" s="49" t="s">
        <v>865</v>
      </c>
      <c r="H2402" s="17">
        <v>6</v>
      </c>
      <c r="O2402" s="62" t="str">
        <f>IF(E2402="PA",IF(K2402&lt;&gt;"",ISERROR(VLOOKUP(K2402,ABBR!A:D,1,FALSE)),ISERROR(VLOOKUP(C2402,ABBR!A:D,1,FALSE))),"")</f>
        <v/>
      </c>
      <c r="P2402" t="str">
        <f>VLOOKUP(A2402,Groups!A:L,5,FALSE)</f>
        <v>SAMP</v>
      </c>
      <c r="Q2402" s="62" t="str">
        <f>IF(G2402="PA",IF(M2402&lt;&gt;"",ISERROR(VLOOKUP(M2402,ABBR!C:F,1,FALSE)),ISERROR(VLOOKUP(E2402,ABBR!C:F,1,FALSE))),"")</f>
        <v/>
      </c>
    </row>
    <row r="2403" spans="1:17" hidden="1" x14ac:dyDescent="0.25">
      <c r="A2403" s="16" t="s">
        <v>289</v>
      </c>
      <c r="B2403" s="17" t="s">
        <v>594</v>
      </c>
      <c r="C2403" s="16" t="s">
        <v>866</v>
      </c>
      <c r="D2403" s="17" t="s">
        <v>600</v>
      </c>
      <c r="E2403" s="17" t="s">
        <v>601</v>
      </c>
      <c r="F2403" s="18" t="s">
        <v>867</v>
      </c>
      <c r="G2403" s="49" t="s">
        <v>853</v>
      </c>
      <c r="H2403" s="17">
        <v>7</v>
      </c>
      <c r="O2403" s="62" t="str">
        <f>IF(E2403="PA",IF(K2403&lt;&gt;"",ISERROR(VLOOKUP(K2403,ABBR!A:D,1,FALSE)),ISERROR(VLOOKUP(C2403,ABBR!A:D,1,FALSE))),"")</f>
        <v/>
      </c>
      <c r="P2403" t="str">
        <f>VLOOKUP(A2403,Groups!A:L,5,FALSE)</f>
        <v>SAMP</v>
      </c>
      <c r="Q2403" s="62" t="str">
        <f>IF(G2403="PA",IF(M2403&lt;&gt;"",ISERROR(VLOOKUP(M2403,ABBR!C:F,1,FALSE)),ISERROR(VLOOKUP(E2403,ABBR!C:F,1,FALSE))),"")</f>
        <v/>
      </c>
    </row>
    <row r="2404" spans="1:17" hidden="1" x14ac:dyDescent="0.25">
      <c r="A2404" s="16" t="s">
        <v>289</v>
      </c>
      <c r="B2404" s="17"/>
      <c r="C2404" s="16" t="s">
        <v>868</v>
      </c>
      <c r="D2404" s="17"/>
      <c r="E2404" s="17" t="s">
        <v>608</v>
      </c>
      <c r="F2404" s="18" t="s">
        <v>869</v>
      </c>
      <c r="G2404" s="51" t="s">
        <v>1269</v>
      </c>
      <c r="H2404" s="17">
        <v>8</v>
      </c>
      <c r="O2404" s="62" t="str">
        <f>IF(E2404="PA",IF(K2404&lt;&gt;"",ISERROR(VLOOKUP(K2404,ABBR!A:D,1,FALSE)),ISERROR(VLOOKUP(C2404,ABBR!A:D,1,FALSE))),"")</f>
        <v/>
      </c>
      <c r="P2404" t="str">
        <f>VLOOKUP(A2404,Groups!A:L,5,FALSE)</f>
        <v>SAMP</v>
      </c>
      <c r="Q2404" s="62" t="str">
        <f>IF(G2404="PA",IF(M2404&lt;&gt;"",ISERROR(VLOOKUP(M2404,ABBR!C:F,1,FALSE)),ISERROR(VLOOKUP(E2404,ABBR!C:F,1,FALSE))),"")</f>
        <v/>
      </c>
    </row>
    <row r="2405" spans="1:17" ht="25" hidden="1" x14ac:dyDescent="0.25">
      <c r="A2405" s="16" t="s">
        <v>289</v>
      </c>
      <c r="B2405" s="17"/>
      <c r="C2405" s="16" t="s">
        <v>871</v>
      </c>
      <c r="D2405" s="17"/>
      <c r="E2405" s="17" t="s">
        <v>608</v>
      </c>
      <c r="F2405" s="18" t="s">
        <v>872</v>
      </c>
      <c r="G2405" s="49" t="s">
        <v>873</v>
      </c>
      <c r="H2405" s="17">
        <v>9</v>
      </c>
      <c r="O2405" s="62" t="str">
        <f>IF(E2405="PA",IF(K2405&lt;&gt;"",ISERROR(VLOOKUP(K2405,ABBR!A:D,1,FALSE)),ISERROR(VLOOKUP(C2405,ABBR!A:D,1,FALSE))),"")</f>
        <v/>
      </c>
      <c r="P2405" t="str">
        <f>VLOOKUP(A2405,Groups!A:L,5,FALSE)</f>
        <v>SAMP</v>
      </c>
      <c r="Q2405" s="62" t="str">
        <f>IF(G2405="PA",IF(M2405&lt;&gt;"",ISERROR(VLOOKUP(M2405,ABBR!C:F,1,FALSE)),ISERROR(VLOOKUP(E2405,ABBR!C:F,1,FALSE))),"")</f>
        <v/>
      </c>
    </row>
    <row r="2406" spans="1:17" hidden="1" x14ac:dyDescent="0.25">
      <c r="A2406" s="16" t="s">
        <v>289</v>
      </c>
      <c r="B2406" s="17"/>
      <c r="C2406" s="16" t="s">
        <v>4192</v>
      </c>
      <c r="D2406" s="17" t="s">
        <v>766</v>
      </c>
      <c r="E2406" s="17" t="s">
        <v>882</v>
      </c>
      <c r="F2406" s="18" t="s">
        <v>4193</v>
      </c>
      <c r="G2406" s="49" t="s">
        <v>978</v>
      </c>
      <c r="H2406" s="17">
        <v>10</v>
      </c>
      <c r="O2406" s="62" t="str">
        <f>IF(E2406="PA",IF(K2406&lt;&gt;"",ISERROR(VLOOKUP(K2406,ABBR!A:D,1,FALSE)),ISERROR(VLOOKUP(C2406,ABBR!A:D,1,FALSE))),"")</f>
        <v/>
      </c>
      <c r="P2406" t="str">
        <f>VLOOKUP(A2406,Groups!A:L,5,FALSE)</f>
        <v>SAMP</v>
      </c>
      <c r="Q2406" s="62" t="str">
        <f>IF(G2406="PA",IF(M2406&lt;&gt;"",ISERROR(VLOOKUP(M2406,ABBR!C:F,1,FALSE)),ISERROR(VLOOKUP(E2406,ABBR!C:F,1,FALSE))),"")</f>
        <v/>
      </c>
    </row>
    <row r="2407" spans="1:17" hidden="1" x14ac:dyDescent="0.25">
      <c r="A2407" s="16" t="s">
        <v>289</v>
      </c>
      <c r="B2407" s="17"/>
      <c r="C2407" s="16" t="s">
        <v>4194</v>
      </c>
      <c r="D2407" s="17"/>
      <c r="E2407" s="17" t="s">
        <v>767</v>
      </c>
      <c r="F2407" s="18" t="s">
        <v>4195</v>
      </c>
      <c r="G2407" s="49"/>
      <c r="H2407" s="17">
        <v>11</v>
      </c>
      <c r="M2407" s="101" t="s">
        <v>1044</v>
      </c>
      <c r="O2407" s="62" t="str">
        <f>IF(E2407="PA",IF(K2407&lt;&gt;"",ISERROR(VLOOKUP(K2407,ABBR!A:D,1,FALSE)),ISERROR(VLOOKUP(C2407,ABBR!A:D,1,FALSE))),"")</f>
        <v/>
      </c>
      <c r="P2407" t="str">
        <f>VLOOKUP(A2407,Groups!A:L,5,FALSE)</f>
        <v>SAMP</v>
      </c>
      <c r="Q2407" s="62" t="str">
        <f>IF(G2407="PA",IF(M2407&lt;&gt;"",ISERROR(VLOOKUP(M2407,ABBR!C:F,1,FALSE)),ISERROR(VLOOKUP(E2407,ABBR!C:F,1,FALSE))),"")</f>
        <v/>
      </c>
    </row>
    <row r="2408" spans="1:17" hidden="1" x14ac:dyDescent="0.25">
      <c r="A2408" s="16" t="s">
        <v>289</v>
      </c>
      <c r="B2408" s="17"/>
      <c r="C2408" s="16" t="s">
        <v>4196</v>
      </c>
      <c r="D2408" s="17" t="s">
        <v>1077</v>
      </c>
      <c r="E2408" s="17" t="s">
        <v>601</v>
      </c>
      <c r="F2408" s="18" t="s">
        <v>4197</v>
      </c>
      <c r="G2408" s="49" t="s">
        <v>3670</v>
      </c>
      <c r="H2408" s="17">
        <v>12</v>
      </c>
      <c r="O2408" s="62" t="str">
        <f>IF(E2408="PA",IF(K2408&lt;&gt;"",ISERROR(VLOOKUP(K2408,ABBR!A:D,1,FALSE)),ISERROR(VLOOKUP(C2408,ABBR!A:D,1,FALSE))),"")</f>
        <v/>
      </c>
      <c r="P2408" t="str">
        <f>VLOOKUP(A2408,Groups!A:L,5,FALSE)</f>
        <v>SAMP</v>
      </c>
      <c r="Q2408" s="62" t="str">
        <f>IF(G2408="PA",IF(M2408&lt;&gt;"",ISERROR(VLOOKUP(M2408,ABBR!C:F,1,FALSE)),ISERROR(VLOOKUP(E2408,ABBR!C:F,1,FALSE))),"")</f>
        <v/>
      </c>
    </row>
    <row r="2409" spans="1:17" hidden="1" x14ac:dyDescent="0.25">
      <c r="A2409" s="16" t="s">
        <v>289</v>
      </c>
      <c r="B2409" s="17"/>
      <c r="C2409" s="16" t="s">
        <v>4198</v>
      </c>
      <c r="D2409" s="17" t="s">
        <v>766</v>
      </c>
      <c r="E2409" s="17" t="s">
        <v>608</v>
      </c>
      <c r="F2409" s="18" t="s">
        <v>4199</v>
      </c>
      <c r="G2409" s="49" t="s">
        <v>897</v>
      </c>
      <c r="H2409" s="17">
        <v>13</v>
      </c>
      <c r="O2409" s="62" t="str">
        <f>IF(E2409="PA",IF(K2409&lt;&gt;"",ISERROR(VLOOKUP(K2409,ABBR!A:D,1,FALSE)),ISERROR(VLOOKUP(C2409,ABBR!A:D,1,FALSE))),"")</f>
        <v/>
      </c>
      <c r="P2409" t="str">
        <f>VLOOKUP(A2409,Groups!A:L,5,FALSE)</f>
        <v>SAMP</v>
      </c>
      <c r="Q2409" s="62" t="str">
        <f>IF(G2409="PA",IF(M2409&lt;&gt;"",ISERROR(VLOOKUP(M2409,ABBR!C:F,1,FALSE)),ISERROR(VLOOKUP(E2409,ABBR!C:F,1,FALSE))),"")</f>
        <v/>
      </c>
    </row>
    <row r="2410" spans="1:17" hidden="1" x14ac:dyDescent="0.25">
      <c r="A2410" s="16" t="s">
        <v>289</v>
      </c>
      <c r="B2410" s="17"/>
      <c r="C2410" s="16" t="s">
        <v>4200</v>
      </c>
      <c r="D2410" s="17" t="s">
        <v>766</v>
      </c>
      <c r="E2410" s="17" t="s">
        <v>767</v>
      </c>
      <c r="F2410" s="18" t="s">
        <v>8807</v>
      </c>
      <c r="G2410" s="49" t="s">
        <v>1197</v>
      </c>
      <c r="H2410" s="17">
        <v>14</v>
      </c>
      <c r="M2410" s="62" t="s">
        <v>8795</v>
      </c>
      <c r="O2410" s="62" t="str">
        <f>IF(E2410="PA",IF(K2410&lt;&gt;"",ISERROR(VLOOKUP(K2410,ABBR!A:D,1,FALSE)),ISERROR(VLOOKUP(C2410,ABBR!A:D,1,FALSE))),"")</f>
        <v/>
      </c>
      <c r="P2410" t="str">
        <f>VLOOKUP(A2410,Groups!A:L,5,FALSE)</f>
        <v>SAMP</v>
      </c>
      <c r="Q2410" s="62" t="str">
        <f>IF(G2410="PA",IF(M2410&lt;&gt;"",ISERROR(VLOOKUP(M2410,ABBR!C:F,1,FALSE)),ISERROR(VLOOKUP(E2410,ABBR!C:F,1,FALSE))),"")</f>
        <v/>
      </c>
    </row>
    <row r="2411" spans="1:17" hidden="1" x14ac:dyDescent="0.25">
      <c r="A2411" s="16" t="s">
        <v>289</v>
      </c>
      <c r="B2411" s="17"/>
      <c r="C2411" s="16" t="s">
        <v>4201</v>
      </c>
      <c r="D2411" s="17"/>
      <c r="E2411" s="17" t="s">
        <v>608</v>
      </c>
      <c r="F2411" s="18" t="s">
        <v>642</v>
      </c>
      <c r="G2411" s="49" t="s">
        <v>16</v>
      </c>
      <c r="H2411" s="17">
        <v>15</v>
      </c>
      <c r="M2411" s="101"/>
      <c r="O2411" s="62" t="str">
        <f>IF(E2411="PA",IF(K2411&lt;&gt;"",ISERROR(VLOOKUP(K2411,ABBR!A:D,1,FALSE)),ISERROR(VLOOKUP(C2411,ABBR!A:D,1,FALSE))),"")</f>
        <v/>
      </c>
      <c r="P2411" t="str">
        <f>VLOOKUP(A2411,Groups!A:L,5,FALSE)</f>
        <v>SAMP</v>
      </c>
      <c r="Q2411" s="62" t="str">
        <f>IF(G2411="PA",IF(M2411&lt;&gt;"",ISERROR(VLOOKUP(M2411,ABBR!C:F,1,FALSE)),ISERROR(VLOOKUP(E2411,ABBR!C:F,1,FALSE))),"")</f>
        <v/>
      </c>
    </row>
    <row r="2412" spans="1:17" hidden="1" x14ac:dyDescent="0.25">
      <c r="A2412" s="16" t="s">
        <v>289</v>
      </c>
      <c r="B2412" s="17"/>
      <c r="C2412" s="16" t="s">
        <v>4202</v>
      </c>
      <c r="D2412" s="17"/>
      <c r="E2412" s="17" t="s">
        <v>608</v>
      </c>
      <c r="F2412" s="18" t="s">
        <v>918</v>
      </c>
      <c r="G2412" s="49" t="s">
        <v>4203</v>
      </c>
      <c r="H2412" s="17">
        <v>16</v>
      </c>
      <c r="O2412" s="62" t="str">
        <f>IF(E2412="PA",IF(K2412&lt;&gt;"",ISERROR(VLOOKUP(K2412,ABBR!A:D,1,FALSE)),ISERROR(VLOOKUP(C2412,ABBR!A:D,1,FALSE))),"")</f>
        <v/>
      </c>
      <c r="P2412" t="str">
        <f>VLOOKUP(A2412,Groups!A:L,5,FALSE)</f>
        <v>SAMP</v>
      </c>
      <c r="Q2412" s="62" t="str">
        <f>IF(G2412="PA",IF(M2412&lt;&gt;"",ISERROR(VLOOKUP(M2412,ABBR!C:F,1,FALSE)),ISERROR(VLOOKUP(E2412,ABBR!C:F,1,FALSE))),"")</f>
        <v/>
      </c>
    </row>
    <row r="2413" spans="1:17" hidden="1" x14ac:dyDescent="0.25">
      <c r="A2413" s="16" t="s">
        <v>289</v>
      </c>
      <c r="B2413" s="17"/>
      <c r="C2413" s="16" t="s">
        <v>4204</v>
      </c>
      <c r="D2413" s="17"/>
      <c r="E2413" s="17" t="s">
        <v>608</v>
      </c>
      <c r="F2413" s="18" t="s">
        <v>950</v>
      </c>
      <c r="G2413" s="27" t="s">
        <v>951</v>
      </c>
      <c r="H2413" s="17">
        <v>17</v>
      </c>
      <c r="O2413" s="62" t="str">
        <f>IF(E2413="PA",IF(K2413&lt;&gt;"",ISERROR(VLOOKUP(K2413,ABBR!A:D,1,FALSE)),ISERROR(VLOOKUP(C2413,ABBR!A:D,1,FALSE))),"")</f>
        <v/>
      </c>
      <c r="P2413" t="str">
        <f>VLOOKUP(A2413,Groups!A:L,5,FALSE)</f>
        <v>SAMP</v>
      </c>
      <c r="Q2413" s="62" t="str">
        <f>IF(G2413="PA",IF(M2413&lt;&gt;"",ISERROR(VLOOKUP(M2413,ABBR!C:F,1,FALSE)),ISERROR(VLOOKUP(E2413,ABBR!C:F,1,FALSE))),"")</f>
        <v/>
      </c>
    </row>
    <row r="2414" spans="1:17" ht="25" hidden="1" x14ac:dyDescent="0.25">
      <c r="A2414" s="16" t="s">
        <v>289</v>
      </c>
      <c r="B2414" s="17"/>
      <c r="C2414" s="16" t="s">
        <v>4205</v>
      </c>
      <c r="D2414" s="17"/>
      <c r="E2414" s="17" t="s">
        <v>608</v>
      </c>
      <c r="F2414" s="18" t="s">
        <v>934</v>
      </c>
      <c r="G2414" s="49" t="s">
        <v>953</v>
      </c>
      <c r="H2414" s="17">
        <v>18</v>
      </c>
      <c r="O2414" s="62" t="str">
        <f>IF(E2414="PA",IF(K2414&lt;&gt;"",ISERROR(VLOOKUP(K2414,ABBR!A:D,1,FALSE)),ISERROR(VLOOKUP(C2414,ABBR!A:D,1,FALSE))),"")</f>
        <v/>
      </c>
      <c r="P2414" t="str">
        <f>VLOOKUP(A2414,Groups!A:L,5,FALSE)</f>
        <v>SAMP</v>
      </c>
      <c r="Q2414" s="62" t="str">
        <f>IF(G2414="PA",IF(M2414&lt;&gt;"",ISERROR(VLOOKUP(M2414,ABBR!C:F,1,FALSE)),ISERROR(VLOOKUP(E2414,ABBR!C:F,1,FALSE))),"")</f>
        <v/>
      </c>
    </row>
    <row r="2415" spans="1:17" hidden="1" x14ac:dyDescent="0.25">
      <c r="A2415" s="16" t="s">
        <v>289</v>
      </c>
      <c r="B2415" s="17"/>
      <c r="C2415" s="16" t="s">
        <v>936</v>
      </c>
      <c r="D2415" s="17"/>
      <c r="E2415" s="22" t="s">
        <v>608</v>
      </c>
      <c r="F2415" s="18" t="s">
        <v>937</v>
      </c>
      <c r="G2415" s="49" t="s">
        <v>938</v>
      </c>
      <c r="H2415" s="17">
        <v>19</v>
      </c>
      <c r="O2415" s="62" t="str">
        <f>IF(E2415="PA",IF(K2415&lt;&gt;"",ISERROR(VLOOKUP(K2415,ABBR!A:D,1,FALSE)),ISERROR(VLOOKUP(C2415,ABBR!A:D,1,FALSE))),"")</f>
        <v/>
      </c>
      <c r="P2415" t="str">
        <f>VLOOKUP(A2415,Groups!A:L,5,FALSE)</f>
        <v>SAMP</v>
      </c>
      <c r="Q2415" s="62" t="str">
        <f>IF(G2415="PA",IF(M2415&lt;&gt;"",ISERROR(VLOOKUP(M2415,ABBR!C:F,1,FALSE)),ISERROR(VLOOKUP(E2415,ABBR!C:F,1,FALSE))),"")</f>
        <v/>
      </c>
    </row>
    <row r="2416" spans="1:17" hidden="1" x14ac:dyDescent="0.25">
      <c r="A2416" s="16" t="s">
        <v>289</v>
      </c>
      <c r="B2416" s="17"/>
      <c r="C2416" s="16" t="s">
        <v>643</v>
      </c>
      <c r="D2416" s="17"/>
      <c r="E2416" s="17" t="s">
        <v>608</v>
      </c>
      <c r="F2416" s="18" t="s">
        <v>954</v>
      </c>
      <c r="G2416" s="49" t="s">
        <v>940</v>
      </c>
      <c r="H2416" s="17">
        <v>20</v>
      </c>
      <c r="O2416" s="62" t="str">
        <f>IF(E2416="PA",IF(K2416&lt;&gt;"",ISERROR(VLOOKUP(K2416,ABBR!A:D,1,FALSE)),ISERROR(VLOOKUP(C2416,ABBR!A:D,1,FALSE))),"")</f>
        <v/>
      </c>
      <c r="P2416" t="str">
        <f>VLOOKUP(A2416,Groups!A:L,5,FALSE)</f>
        <v>SAMP</v>
      </c>
      <c r="Q2416" s="62" t="str">
        <f>IF(G2416="PA",IF(M2416&lt;&gt;"",ISERROR(VLOOKUP(M2416,ABBR!C:F,1,FALSE)),ISERROR(VLOOKUP(E2416,ABBR!C:F,1,FALSE))),"")</f>
        <v/>
      </c>
    </row>
    <row r="2417" spans="1:17" hidden="1" x14ac:dyDescent="0.25">
      <c r="A2417" s="16" t="s">
        <v>289</v>
      </c>
      <c r="B2417" s="17"/>
      <c r="C2417" s="16" t="s">
        <v>877</v>
      </c>
      <c r="D2417" s="17" t="s">
        <v>600</v>
      </c>
      <c r="E2417" s="17" t="s">
        <v>601</v>
      </c>
      <c r="F2417" s="18" t="s">
        <v>878</v>
      </c>
      <c r="G2417" s="49" t="s">
        <v>879</v>
      </c>
      <c r="H2417" s="17">
        <v>21</v>
      </c>
      <c r="I2417" s="30" t="s">
        <v>955</v>
      </c>
      <c r="J2417" s="80">
        <v>4.0999999999999996</v>
      </c>
      <c r="O2417" s="62" t="str">
        <f>IF(E2417="PA",IF(K2417&lt;&gt;"",ISERROR(VLOOKUP(K2417,ABBR!A:D,1,FALSE)),ISERROR(VLOOKUP(C2417,ABBR!A:D,1,FALSE))),"")</f>
        <v/>
      </c>
      <c r="P2417" t="str">
        <f>VLOOKUP(A2417,Groups!A:L,5,FALSE)</f>
        <v>SAMP</v>
      </c>
      <c r="Q2417" s="62" t="str">
        <f>IF(G2417="PA",IF(M2417&lt;&gt;"",ISERROR(VLOOKUP(M2417,ABBR!C:F,1,FALSE)),ISERROR(VLOOKUP(E2417,ABBR!C:F,1,FALSE))),"")</f>
        <v/>
      </c>
    </row>
    <row r="2418" spans="1:17" hidden="1" x14ac:dyDescent="0.25">
      <c r="A2418" s="16" t="s">
        <v>289</v>
      </c>
      <c r="B2418" s="17"/>
      <c r="C2418" s="16" t="s">
        <v>4206</v>
      </c>
      <c r="D2418" s="17"/>
      <c r="E2418" s="17" t="s">
        <v>608</v>
      </c>
      <c r="F2418" s="18" t="s">
        <v>921</v>
      </c>
      <c r="G2418" s="94" t="s">
        <v>922</v>
      </c>
      <c r="H2418" s="17">
        <v>22</v>
      </c>
      <c r="I2418" s="30" t="s">
        <v>955</v>
      </c>
      <c r="J2418" s="80">
        <v>4.0999999999999996</v>
      </c>
      <c r="M2418" s="101"/>
      <c r="O2418" s="62" t="str">
        <f>IF(E2418="PA",IF(K2418&lt;&gt;"",ISERROR(VLOOKUP(K2418,ABBR!A:D,1,FALSE)),ISERROR(VLOOKUP(C2418,ABBR!A:D,1,FALSE))),"")</f>
        <v/>
      </c>
      <c r="P2418" t="str">
        <f>VLOOKUP(A2418,Groups!A:L,5,FALSE)</f>
        <v>SAMP</v>
      </c>
      <c r="Q2418" s="62" t="str">
        <f>IF(G2418="PA",IF(M2418&lt;&gt;"",ISERROR(VLOOKUP(M2418,ABBR!C:F,1,FALSE)),ISERROR(VLOOKUP(E2418,ABBR!C:F,1,FALSE))),"")</f>
        <v/>
      </c>
    </row>
    <row r="2419" spans="1:17" hidden="1" x14ac:dyDescent="0.25">
      <c r="A2419" s="16" t="s">
        <v>289</v>
      </c>
      <c r="B2419" s="17"/>
      <c r="C2419" s="16" t="s">
        <v>4207</v>
      </c>
      <c r="D2419" s="17" t="s">
        <v>924</v>
      </c>
      <c r="E2419" s="17" t="s">
        <v>925</v>
      </c>
      <c r="F2419" s="18" t="s">
        <v>926</v>
      </c>
      <c r="G2419" s="49" t="s">
        <v>927</v>
      </c>
      <c r="H2419" s="17">
        <v>23</v>
      </c>
      <c r="J2419" s="7" t="s">
        <v>478</v>
      </c>
      <c r="K2419" s="62"/>
      <c r="L2419" s="62"/>
      <c r="M2419" s="62"/>
      <c r="N2419" s="62"/>
      <c r="O2419" s="62" t="str">
        <f>IF(E2419="PA",IF(K2419&lt;&gt;"",ISERROR(VLOOKUP(K2419,ABBR!A:D,1,FALSE)),ISERROR(VLOOKUP(C2419,ABBR!A:D,1,FALSE))),"")</f>
        <v/>
      </c>
      <c r="P2419" t="str">
        <f>VLOOKUP(A2419,Groups!A:L,5,FALSE)</f>
        <v>SAMP</v>
      </c>
      <c r="Q2419" s="62" t="str">
        <f>IF(G2419="PA",IF(M2419&lt;&gt;"",ISERROR(VLOOKUP(M2419,ABBR!C:F,1,FALSE)),ISERROR(VLOOKUP(E2419,ABBR!C:F,1,FALSE))),"")</f>
        <v/>
      </c>
    </row>
    <row r="2420" spans="1:17" hidden="1" x14ac:dyDescent="0.25">
      <c r="A2420" s="16" t="s">
        <v>289</v>
      </c>
      <c r="B2420" s="17"/>
      <c r="C2420" s="16" t="s">
        <v>4208</v>
      </c>
      <c r="D2420" s="17"/>
      <c r="E2420" s="17" t="s">
        <v>608</v>
      </c>
      <c r="F2420" s="18" t="s">
        <v>875</v>
      </c>
      <c r="G2420" s="49" t="s">
        <v>876</v>
      </c>
      <c r="H2420" s="17">
        <v>24</v>
      </c>
      <c r="J2420" s="7" t="s">
        <v>473</v>
      </c>
      <c r="K2420" s="62"/>
      <c r="L2420" s="62"/>
      <c r="M2420" s="62"/>
      <c r="N2420" s="62"/>
      <c r="O2420" s="62" t="str">
        <f>IF(E2420="PA",IF(K2420&lt;&gt;"",ISERROR(VLOOKUP(K2420,ABBR!A:D,1,FALSE)),ISERROR(VLOOKUP(C2420,ABBR!A:D,1,FALSE))),"")</f>
        <v/>
      </c>
      <c r="P2420" t="str">
        <f>VLOOKUP(A2420,Groups!A:L,5,FALSE)</f>
        <v>SAMP</v>
      </c>
      <c r="Q2420" s="62" t="str">
        <f>IF(G2420="PA",IF(M2420&lt;&gt;"",ISERROR(VLOOKUP(M2420,ABBR!C:F,1,FALSE)),ISERROR(VLOOKUP(E2420,ABBR!C:F,1,FALSE))),"")</f>
        <v/>
      </c>
    </row>
    <row r="2421" spans="1:17" hidden="1" x14ac:dyDescent="0.25">
      <c r="A2421" s="16" t="s">
        <v>289</v>
      </c>
      <c r="B2421" s="17"/>
      <c r="C2421" s="16" t="s">
        <v>4209</v>
      </c>
      <c r="D2421" s="17"/>
      <c r="E2421" s="17" t="s">
        <v>608</v>
      </c>
      <c r="F2421" s="18" t="s">
        <v>929</v>
      </c>
      <c r="G2421" s="49" t="s">
        <v>876</v>
      </c>
      <c r="H2421" s="17">
        <v>25</v>
      </c>
      <c r="J2421" s="7" t="s">
        <v>473</v>
      </c>
      <c r="K2421" s="62"/>
      <c r="L2421" s="62"/>
      <c r="M2421" s="62"/>
      <c r="N2421" s="62"/>
      <c r="O2421" s="62" t="str">
        <f>IF(E2421="PA",IF(K2421&lt;&gt;"",ISERROR(VLOOKUP(K2421,ABBR!A:D,1,FALSE)),ISERROR(VLOOKUP(C2421,ABBR!A:D,1,FALSE))),"")</f>
        <v/>
      </c>
      <c r="P2421" t="str">
        <f>VLOOKUP(A2421,Groups!A:L,5,FALSE)</f>
        <v>SAMP</v>
      </c>
      <c r="Q2421" s="62" t="str">
        <f>IF(G2421="PA",IF(M2421&lt;&gt;"",ISERROR(VLOOKUP(M2421,ABBR!C:F,1,FALSE)),ISERROR(VLOOKUP(E2421,ABBR!C:F,1,FALSE))),"")</f>
        <v/>
      </c>
    </row>
    <row r="2422" spans="1:17" hidden="1" x14ac:dyDescent="0.25">
      <c r="A2422" s="16" t="s">
        <v>543</v>
      </c>
      <c r="B2422" s="17" t="s">
        <v>594</v>
      </c>
      <c r="C2422" s="16" t="s">
        <v>595</v>
      </c>
      <c r="D2422" s="17"/>
      <c r="E2422" s="17" t="s">
        <v>596</v>
      </c>
      <c r="F2422" s="18" t="s">
        <v>597</v>
      </c>
      <c r="G2422" s="49" t="s">
        <v>598</v>
      </c>
      <c r="H2422" s="17">
        <v>1</v>
      </c>
      <c r="J2422" s="7" t="s">
        <v>478</v>
      </c>
      <c r="K2422" s="62"/>
      <c r="L2422" s="62"/>
      <c r="M2422" s="62"/>
      <c r="N2422" s="62"/>
      <c r="O2422" s="62" t="str">
        <f>IF(E2422="PA",IF(K2422&lt;&gt;"",ISERROR(VLOOKUP(K2422,ABBR!A:D,1,FALSE)),ISERROR(VLOOKUP(C2422,ABBR!A:D,1,FALSE))),"")</f>
        <v/>
      </c>
      <c r="P2422" t="str">
        <f>VLOOKUP(A2422,Groups!A:L,5,FALSE)</f>
        <v>SAMP</v>
      </c>
      <c r="Q2422" s="62" t="str">
        <f>IF(G2422="PA",IF(M2422&lt;&gt;"",ISERROR(VLOOKUP(M2422,ABBR!C:F,1,FALSE)),ISERROR(VLOOKUP(E2422,ABBR!C:F,1,FALSE))),"")</f>
        <v/>
      </c>
    </row>
    <row r="2423" spans="1:17" hidden="1" x14ac:dyDescent="0.25">
      <c r="A2423" s="16" t="s">
        <v>543</v>
      </c>
      <c r="B2423" s="17" t="s">
        <v>594</v>
      </c>
      <c r="C2423" s="16" t="s">
        <v>851</v>
      </c>
      <c r="D2423" s="17" t="s">
        <v>600</v>
      </c>
      <c r="E2423" s="17" t="s">
        <v>601</v>
      </c>
      <c r="F2423" s="18" t="s">
        <v>852</v>
      </c>
      <c r="G2423" s="49" t="s">
        <v>853</v>
      </c>
      <c r="H2423" s="17">
        <f t="shared" ref="H2423:H2447" si="17">H2422+1</f>
        <v>2</v>
      </c>
      <c r="J2423" s="7" t="s">
        <v>478</v>
      </c>
      <c r="K2423" s="62"/>
      <c r="L2423" s="62"/>
      <c r="M2423" s="62"/>
      <c r="N2423" s="62"/>
      <c r="O2423" s="62" t="str">
        <f>IF(E2423="PA",IF(K2423&lt;&gt;"",ISERROR(VLOOKUP(K2423,ABBR!A:D,1,FALSE)),ISERROR(VLOOKUP(C2423,ABBR!A:D,1,FALSE))),"")</f>
        <v/>
      </c>
      <c r="P2423" t="str">
        <f>VLOOKUP(A2423,Groups!A:L,5,FALSE)</f>
        <v>SAMP</v>
      </c>
      <c r="Q2423" s="62" t="str">
        <f>IF(G2423="PA",IF(M2423&lt;&gt;"",ISERROR(VLOOKUP(M2423,ABBR!C:F,1,FALSE)),ISERROR(VLOOKUP(E2423,ABBR!C:F,1,FALSE))),"")</f>
        <v/>
      </c>
    </row>
    <row r="2424" spans="1:17" hidden="1" x14ac:dyDescent="0.25">
      <c r="A2424" s="16" t="s">
        <v>543</v>
      </c>
      <c r="B2424" s="17" t="s">
        <v>594</v>
      </c>
      <c r="C2424" s="16" t="s">
        <v>854</v>
      </c>
      <c r="D2424" s="17"/>
      <c r="E2424" s="17" t="s">
        <v>608</v>
      </c>
      <c r="F2424" s="18" t="s">
        <v>855</v>
      </c>
      <c r="G2424" s="49" t="s">
        <v>856</v>
      </c>
      <c r="H2424" s="17">
        <f t="shared" si="17"/>
        <v>3</v>
      </c>
      <c r="J2424" s="7" t="s">
        <v>478</v>
      </c>
      <c r="K2424" s="62"/>
      <c r="L2424" s="62"/>
      <c r="M2424" s="62"/>
      <c r="N2424" s="62"/>
      <c r="O2424" s="62" t="str">
        <f>IF(E2424="PA",IF(K2424&lt;&gt;"",ISERROR(VLOOKUP(K2424,ABBR!A:D,1,FALSE)),ISERROR(VLOOKUP(C2424,ABBR!A:D,1,FALSE))),"")</f>
        <v/>
      </c>
      <c r="P2424" t="str">
        <f>VLOOKUP(A2424,Groups!A:L,5,FALSE)</f>
        <v>SAMP</v>
      </c>
      <c r="Q2424" s="62" t="str">
        <f>IF(G2424="PA",IF(M2424&lt;&gt;"",ISERROR(VLOOKUP(M2424,ABBR!C:F,1,FALSE)),ISERROR(VLOOKUP(E2424,ABBR!C:F,1,FALSE))),"")</f>
        <v/>
      </c>
    </row>
    <row r="2425" spans="1:17" hidden="1" x14ac:dyDescent="0.25">
      <c r="A2425" s="16" t="s">
        <v>543</v>
      </c>
      <c r="B2425" s="17" t="s">
        <v>594</v>
      </c>
      <c r="C2425" s="16" t="s">
        <v>857</v>
      </c>
      <c r="D2425" s="17"/>
      <c r="E2425" s="17" t="s">
        <v>618</v>
      </c>
      <c r="F2425" s="18" t="s">
        <v>858</v>
      </c>
      <c r="G2425" s="49" t="s">
        <v>859</v>
      </c>
      <c r="H2425" s="17">
        <f t="shared" si="17"/>
        <v>4</v>
      </c>
      <c r="J2425" s="7" t="s">
        <v>478</v>
      </c>
      <c r="K2425" s="62"/>
      <c r="L2425" s="62"/>
      <c r="M2425" s="62"/>
      <c r="N2425" s="62"/>
      <c r="O2425" s="62" t="b">
        <f>IF(E2425="PA",IF(K2425&lt;&gt;"",ISERROR(VLOOKUP(K2425,ABBR!A:D,1,FALSE)),ISERROR(VLOOKUP(C2425,ABBR!A:D,1,FALSE))),"")</f>
        <v>0</v>
      </c>
      <c r="P2425" t="str">
        <f>VLOOKUP(A2425,Groups!A:L,5,FALSE)</f>
        <v>SAMP</v>
      </c>
      <c r="Q2425" s="62" t="str">
        <f>IF(G2425="PA",IF(M2425&lt;&gt;"",ISERROR(VLOOKUP(M2425,ABBR!C:F,1,FALSE)),ISERROR(VLOOKUP(E2425,ABBR!C:F,1,FALSE))),"")</f>
        <v/>
      </c>
    </row>
    <row r="2426" spans="1:17" hidden="1" x14ac:dyDescent="0.25">
      <c r="A2426" s="16" t="s">
        <v>543</v>
      </c>
      <c r="B2426" s="17" t="s">
        <v>594</v>
      </c>
      <c r="C2426" s="16" t="s">
        <v>860</v>
      </c>
      <c r="D2426" s="17"/>
      <c r="E2426" s="17" t="s">
        <v>596</v>
      </c>
      <c r="F2426" s="18" t="s">
        <v>861</v>
      </c>
      <c r="G2426" s="49" t="s">
        <v>862</v>
      </c>
      <c r="H2426" s="17">
        <f t="shared" si="17"/>
        <v>5</v>
      </c>
      <c r="J2426" s="7" t="s">
        <v>478</v>
      </c>
      <c r="K2426" s="62"/>
      <c r="L2426" s="62"/>
      <c r="M2426" s="62"/>
      <c r="N2426" s="62"/>
      <c r="O2426" s="62" t="str">
        <f>IF(E2426="PA",IF(K2426&lt;&gt;"",ISERROR(VLOOKUP(K2426,ABBR!A:D,1,FALSE)),ISERROR(VLOOKUP(C2426,ABBR!A:D,1,FALSE))),"")</f>
        <v/>
      </c>
      <c r="P2426" t="str">
        <f>VLOOKUP(A2426,Groups!A:L,5,FALSE)</f>
        <v>SAMP</v>
      </c>
      <c r="Q2426" s="62" t="str">
        <f>IF(G2426="PA",IF(M2426&lt;&gt;"",ISERROR(VLOOKUP(M2426,ABBR!C:F,1,FALSE)),ISERROR(VLOOKUP(E2426,ABBR!C:F,1,FALSE))),"")</f>
        <v/>
      </c>
    </row>
    <row r="2427" spans="1:17" hidden="1" x14ac:dyDescent="0.25">
      <c r="A2427" s="16" t="s">
        <v>543</v>
      </c>
      <c r="B2427" s="17" t="s">
        <v>594</v>
      </c>
      <c r="C2427" s="16" t="s">
        <v>863</v>
      </c>
      <c r="D2427" s="17"/>
      <c r="E2427" s="17" t="s">
        <v>608</v>
      </c>
      <c r="F2427" s="18" t="s">
        <v>864</v>
      </c>
      <c r="G2427" s="49" t="s">
        <v>865</v>
      </c>
      <c r="H2427" s="17">
        <f t="shared" si="17"/>
        <v>6</v>
      </c>
      <c r="J2427" s="7" t="s">
        <v>478</v>
      </c>
      <c r="K2427" s="62"/>
      <c r="L2427" s="62"/>
      <c r="M2427" s="62"/>
      <c r="N2427" s="62"/>
      <c r="O2427" s="62" t="str">
        <f>IF(E2427="PA",IF(K2427&lt;&gt;"",ISERROR(VLOOKUP(K2427,ABBR!A:D,1,FALSE)),ISERROR(VLOOKUP(C2427,ABBR!A:D,1,FALSE))),"")</f>
        <v/>
      </c>
      <c r="P2427" t="str">
        <f>VLOOKUP(A2427,Groups!A:L,5,FALSE)</f>
        <v>SAMP</v>
      </c>
      <c r="Q2427" s="62" t="str">
        <f>IF(G2427="PA",IF(M2427&lt;&gt;"",ISERROR(VLOOKUP(M2427,ABBR!C:F,1,FALSE)),ISERROR(VLOOKUP(E2427,ABBR!C:F,1,FALSE))),"")</f>
        <v/>
      </c>
    </row>
    <row r="2428" spans="1:17" hidden="1" x14ac:dyDescent="0.25">
      <c r="A2428" s="16" t="s">
        <v>543</v>
      </c>
      <c r="B2428" s="17" t="s">
        <v>594</v>
      </c>
      <c r="C2428" s="16" t="s">
        <v>866</v>
      </c>
      <c r="D2428" s="17" t="s">
        <v>600</v>
      </c>
      <c r="E2428" s="17" t="s">
        <v>601</v>
      </c>
      <c r="F2428" s="18" t="s">
        <v>867</v>
      </c>
      <c r="G2428" s="49" t="s">
        <v>853</v>
      </c>
      <c r="H2428" s="17">
        <f t="shared" si="17"/>
        <v>7</v>
      </c>
      <c r="J2428" s="7" t="s">
        <v>478</v>
      </c>
      <c r="K2428" s="62"/>
      <c r="L2428" s="62"/>
      <c r="M2428" s="62"/>
      <c r="N2428" s="62"/>
      <c r="O2428" s="62" t="str">
        <f>IF(E2428="PA",IF(K2428&lt;&gt;"",ISERROR(VLOOKUP(K2428,ABBR!A:D,1,FALSE)),ISERROR(VLOOKUP(C2428,ABBR!A:D,1,FALSE))),"")</f>
        <v/>
      </c>
      <c r="P2428" t="str">
        <f>VLOOKUP(A2428,Groups!A:L,5,FALSE)</f>
        <v>SAMP</v>
      </c>
      <c r="Q2428" s="62" t="str">
        <f>IF(G2428="PA",IF(M2428&lt;&gt;"",ISERROR(VLOOKUP(M2428,ABBR!C:F,1,FALSE)),ISERROR(VLOOKUP(E2428,ABBR!C:F,1,FALSE))),"")</f>
        <v/>
      </c>
    </row>
    <row r="2429" spans="1:17" hidden="1" x14ac:dyDescent="0.25">
      <c r="A2429" s="16" t="s">
        <v>543</v>
      </c>
      <c r="B2429" s="17"/>
      <c r="C2429" s="16" t="s">
        <v>868</v>
      </c>
      <c r="D2429" s="17"/>
      <c r="E2429" s="17" t="s">
        <v>608</v>
      </c>
      <c r="F2429" s="18" t="s">
        <v>869</v>
      </c>
      <c r="G2429" s="49" t="s">
        <v>3265</v>
      </c>
      <c r="H2429" s="17">
        <f t="shared" si="17"/>
        <v>8</v>
      </c>
      <c r="J2429" s="62" t="s">
        <v>473</v>
      </c>
      <c r="K2429" s="62"/>
      <c r="L2429" s="62"/>
      <c r="M2429" s="62"/>
      <c r="N2429" s="62"/>
      <c r="O2429" s="62" t="str">
        <f>IF(E2429="PA",IF(K2429&lt;&gt;"",ISERROR(VLOOKUP(K2429,ABBR!A:D,1,FALSE)),ISERROR(VLOOKUP(C2429,ABBR!A:D,1,FALSE))),"")</f>
        <v/>
      </c>
      <c r="P2429" t="str">
        <f>VLOOKUP(A2429,Groups!A:L,5,FALSE)</f>
        <v>SAMP</v>
      </c>
      <c r="Q2429" s="62" t="str">
        <f>IF(G2429="PA",IF(M2429&lt;&gt;"",ISERROR(VLOOKUP(M2429,ABBR!C:F,1,FALSE)),ISERROR(VLOOKUP(E2429,ABBR!C:F,1,FALSE))),"")</f>
        <v/>
      </c>
    </row>
    <row r="2430" spans="1:17" ht="25" hidden="1" x14ac:dyDescent="0.25">
      <c r="A2430" s="16" t="s">
        <v>543</v>
      </c>
      <c r="B2430" s="17"/>
      <c r="C2430" s="16" t="s">
        <v>871</v>
      </c>
      <c r="D2430" s="17"/>
      <c r="E2430" s="17" t="s">
        <v>608</v>
      </c>
      <c r="F2430" s="18" t="s">
        <v>872</v>
      </c>
      <c r="G2430" s="49" t="s">
        <v>873</v>
      </c>
      <c r="H2430" s="17">
        <f t="shared" si="17"/>
        <v>9</v>
      </c>
      <c r="J2430" s="62" t="s">
        <v>473</v>
      </c>
      <c r="K2430" s="62"/>
      <c r="L2430" s="62"/>
      <c r="M2430" s="62"/>
      <c r="N2430" s="62"/>
      <c r="O2430" s="62" t="str">
        <f>IF(E2430="PA",IF(K2430&lt;&gt;"",ISERROR(VLOOKUP(K2430,ABBR!A:D,1,FALSE)),ISERROR(VLOOKUP(C2430,ABBR!A:D,1,FALSE))),"")</f>
        <v/>
      </c>
      <c r="P2430" t="str">
        <f>VLOOKUP(A2430,Groups!A:L,5,FALSE)</f>
        <v>SAMP</v>
      </c>
      <c r="Q2430" s="62" t="str">
        <f>IF(G2430="PA",IF(M2430&lt;&gt;"",ISERROR(VLOOKUP(M2430,ABBR!C:F,1,FALSE)),ISERROR(VLOOKUP(E2430,ABBR!C:F,1,FALSE))),"")</f>
        <v/>
      </c>
    </row>
    <row r="2431" spans="1:17" hidden="1" x14ac:dyDescent="0.25">
      <c r="A2431" s="16" t="s">
        <v>543</v>
      </c>
      <c r="B2431" s="17"/>
      <c r="C2431" s="16" t="s">
        <v>4210</v>
      </c>
      <c r="D2431" s="17"/>
      <c r="E2431" s="17" t="s">
        <v>608</v>
      </c>
      <c r="F2431" s="18" t="s">
        <v>875</v>
      </c>
      <c r="G2431" s="49" t="s">
        <v>876</v>
      </c>
      <c r="H2431" s="17">
        <f t="shared" si="17"/>
        <v>10</v>
      </c>
      <c r="J2431" s="7" t="s">
        <v>473</v>
      </c>
      <c r="K2431" s="62"/>
      <c r="L2431" s="62"/>
      <c r="M2431" s="62"/>
      <c r="N2431" s="62"/>
      <c r="O2431" s="62" t="str">
        <f>IF(E2431="PA",IF(K2431&lt;&gt;"",ISERROR(VLOOKUP(K2431,ABBR!A:D,1,FALSE)),ISERROR(VLOOKUP(C2431,ABBR!A:D,1,FALSE))),"")</f>
        <v/>
      </c>
      <c r="P2431" t="str">
        <f>VLOOKUP(A2431,Groups!A:L,5,FALSE)</f>
        <v>SAMP</v>
      </c>
      <c r="Q2431" s="62" t="str">
        <f>IF(G2431="PA",IF(M2431&lt;&gt;"",ISERROR(VLOOKUP(M2431,ABBR!C:F,1,FALSE)),ISERROR(VLOOKUP(E2431,ABBR!C:F,1,FALSE))),"")</f>
        <v/>
      </c>
    </row>
    <row r="2432" spans="1:17" hidden="1" x14ac:dyDescent="0.25">
      <c r="A2432" s="16" t="s">
        <v>543</v>
      </c>
      <c r="B2432" s="46"/>
      <c r="C2432" s="9" t="s">
        <v>877</v>
      </c>
      <c r="D2432" s="46" t="s">
        <v>600</v>
      </c>
      <c r="E2432" s="46" t="s">
        <v>601</v>
      </c>
      <c r="F2432" s="93" t="s">
        <v>878</v>
      </c>
      <c r="G2432" s="94" t="s">
        <v>879</v>
      </c>
      <c r="H2432" s="17">
        <f t="shared" si="17"/>
        <v>11</v>
      </c>
      <c r="I2432"/>
      <c r="J2432" s="34" t="s">
        <v>473</v>
      </c>
      <c r="O2432" s="62" t="str">
        <f>IF(E2432="PA",IF(K2432&lt;&gt;"",ISERROR(VLOOKUP(K2432,ABBR!A:D,1,FALSE)),ISERROR(VLOOKUP(C2432,ABBR!A:D,1,FALSE))),"")</f>
        <v/>
      </c>
      <c r="P2432" t="str">
        <f>VLOOKUP(A2432,Groups!A:L,5,FALSE)</f>
        <v>SAMP</v>
      </c>
      <c r="Q2432" s="62" t="str">
        <f>IF(G2432="PA",IF(M2432&lt;&gt;"",ISERROR(VLOOKUP(M2432,ABBR!C:F,1,FALSE)),ISERROR(VLOOKUP(E2432,ABBR!C:F,1,FALSE))),"")</f>
        <v/>
      </c>
    </row>
    <row r="2433" spans="1:17" hidden="1" x14ac:dyDescent="0.25">
      <c r="A2433" s="16" t="s">
        <v>543</v>
      </c>
      <c r="B2433" s="17"/>
      <c r="C2433" s="16" t="s">
        <v>4211</v>
      </c>
      <c r="D2433" s="17" t="s">
        <v>4212</v>
      </c>
      <c r="E2433" s="17" t="s">
        <v>601</v>
      </c>
      <c r="F2433" s="18" t="s">
        <v>4213</v>
      </c>
      <c r="G2433" s="49" t="s">
        <v>4214</v>
      </c>
      <c r="H2433" s="17">
        <f t="shared" si="17"/>
        <v>12</v>
      </c>
      <c r="J2433" s="7" t="s">
        <v>478</v>
      </c>
      <c r="K2433" s="62"/>
      <c r="L2433" s="62"/>
      <c r="M2433" s="62"/>
      <c r="N2433" s="62"/>
      <c r="O2433" s="62" t="str">
        <f>IF(E2433="PA",IF(K2433&lt;&gt;"",ISERROR(VLOOKUP(K2433,ABBR!A:D,1,FALSE)),ISERROR(VLOOKUP(C2433,ABBR!A:D,1,FALSE))),"")</f>
        <v/>
      </c>
      <c r="P2433" t="str">
        <f>VLOOKUP(A2433,Groups!A:L,5,FALSE)</f>
        <v>SAMP</v>
      </c>
      <c r="Q2433" s="62" t="str">
        <f>IF(G2433="PA",IF(M2433&lt;&gt;"",ISERROR(VLOOKUP(M2433,ABBR!C:F,1,FALSE)),ISERROR(VLOOKUP(E2433,ABBR!C:F,1,FALSE))),"")</f>
        <v/>
      </c>
    </row>
    <row r="2434" spans="1:17" hidden="1" x14ac:dyDescent="0.25">
      <c r="A2434" s="16" t="s">
        <v>543</v>
      </c>
      <c r="B2434" s="17"/>
      <c r="C2434" s="16" t="s">
        <v>4215</v>
      </c>
      <c r="D2434" s="17" t="s">
        <v>766</v>
      </c>
      <c r="E2434" s="17" t="s">
        <v>723</v>
      </c>
      <c r="F2434" s="18" t="s">
        <v>4216</v>
      </c>
      <c r="G2434" s="49" t="s">
        <v>1055</v>
      </c>
      <c r="H2434" s="17">
        <f t="shared" si="17"/>
        <v>13</v>
      </c>
      <c r="J2434" s="7" t="s">
        <v>478</v>
      </c>
      <c r="K2434" s="62"/>
      <c r="L2434" s="62"/>
      <c r="M2434" s="62"/>
      <c r="N2434" s="62"/>
      <c r="O2434" s="62" t="str">
        <f>IF(E2434="PA",IF(K2434&lt;&gt;"",ISERROR(VLOOKUP(K2434,ABBR!A:D,1,FALSE)),ISERROR(VLOOKUP(C2434,ABBR!A:D,1,FALSE))),"")</f>
        <v/>
      </c>
      <c r="P2434" t="str">
        <f>VLOOKUP(A2434,Groups!A:L,5,FALSE)</f>
        <v>SAMP</v>
      </c>
      <c r="Q2434" s="62" t="str">
        <f>IF(G2434="PA",IF(M2434&lt;&gt;"",ISERROR(VLOOKUP(M2434,ABBR!C:F,1,FALSE)),ISERROR(VLOOKUP(E2434,ABBR!C:F,1,FALSE))),"")</f>
        <v/>
      </c>
    </row>
    <row r="2435" spans="1:17" hidden="1" x14ac:dyDescent="0.25">
      <c r="A2435" s="16" t="s">
        <v>543</v>
      </c>
      <c r="B2435" s="17"/>
      <c r="C2435" s="16" t="s">
        <v>4217</v>
      </c>
      <c r="D2435" s="17" t="s">
        <v>766</v>
      </c>
      <c r="E2435" s="17" t="s">
        <v>723</v>
      </c>
      <c r="F2435" s="18" t="s">
        <v>4218</v>
      </c>
      <c r="G2435" s="49" t="s">
        <v>4219</v>
      </c>
      <c r="H2435" s="17">
        <f t="shared" si="17"/>
        <v>14</v>
      </c>
      <c r="J2435" s="7" t="s">
        <v>478</v>
      </c>
      <c r="K2435" s="62"/>
      <c r="L2435" s="62"/>
      <c r="M2435" s="62"/>
      <c r="N2435" s="62"/>
      <c r="O2435" s="62" t="str">
        <f>IF(E2435="PA",IF(K2435&lt;&gt;"",ISERROR(VLOOKUP(K2435,ABBR!A:D,1,FALSE)),ISERROR(VLOOKUP(C2435,ABBR!A:D,1,FALSE))),"")</f>
        <v/>
      </c>
      <c r="P2435" t="str">
        <f>VLOOKUP(A2435,Groups!A:L,5,FALSE)</f>
        <v>SAMP</v>
      </c>
      <c r="Q2435" s="62" t="str">
        <f>IF(G2435="PA",IF(M2435&lt;&gt;"",ISERROR(VLOOKUP(M2435,ABBR!C:F,1,FALSE)),ISERROR(VLOOKUP(E2435,ABBR!C:F,1,FALSE))),"")</f>
        <v/>
      </c>
    </row>
    <row r="2436" spans="1:17" ht="25" hidden="1" x14ac:dyDescent="0.25">
      <c r="A2436" s="16" t="s">
        <v>543</v>
      </c>
      <c r="B2436" s="17"/>
      <c r="C2436" s="16" t="s">
        <v>4220</v>
      </c>
      <c r="D2436" s="17" t="s">
        <v>766</v>
      </c>
      <c r="E2436" s="17" t="s">
        <v>767</v>
      </c>
      <c r="F2436" s="18" t="s">
        <v>3640</v>
      </c>
      <c r="G2436" s="49" t="s">
        <v>631</v>
      </c>
      <c r="H2436" s="17">
        <f t="shared" si="17"/>
        <v>15</v>
      </c>
      <c r="J2436" s="7" t="s">
        <v>478</v>
      </c>
      <c r="K2436" s="62"/>
      <c r="L2436" s="62"/>
      <c r="M2436" s="62"/>
      <c r="N2436" s="62"/>
      <c r="O2436" s="62" t="str">
        <f>IF(E2436="PA",IF(K2436&lt;&gt;"",ISERROR(VLOOKUP(K2436,ABBR!A:D,1,FALSE)),ISERROR(VLOOKUP(C2436,ABBR!A:D,1,FALSE))),"")</f>
        <v/>
      </c>
      <c r="P2436" t="str">
        <f>VLOOKUP(A2436,Groups!A:L,5,FALSE)</f>
        <v>SAMP</v>
      </c>
      <c r="Q2436" s="62" t="str">
        <f>IF(G2436="PA",IF(M2436&lt;&gt;"",ISERROR(VLOOKUP(M2436,ABBR!C:F,1,FALSE)),ISERROR(VLOOKUP(E2436,ABBR!C:F,1,FALSE))),"")</f>
        <v/>
      </c>
    </row>
    <row r="2437" spans="1:17" ht="25" hidden="1" x14ac:dyDescent="0.25">
      <c r="A2437" s="16" t="s">
        <v>543</v>
      </c>
      <c r="B2437" s="17"/>
      <c r="C2437" s="16" t="s">
        <v>4221</v>
      </c>
      <c r="D2437" s="17"/>
      <c r="E2437" s="17" t="s">
        <v>608</v>
      </c>
      <c r="F2437" s="18" t="s">
        <v>4222</v>
      </c>
      <c r="G2437" s="49" t="s">
        <v>4223</v>
      </c>
      <c r="H2437" s="17">
        <f t="shared" si="17"/>
        <v>16</v>
      </c>
      <c r="J2437" s="7" t="s">
        <v>478</v>
      </c>
      <c r="K2437" s="62"/>
      <c r="L2437" s="62"/>
      <c r="M2437" s="62"/>
      <c r="N2437" s="62"/>
      <c r="O2437" s="62" t="str">
        <f>IF(E2437="PA",IF(K2437&lt;&gt;"",ISERROR(VLOOKUP(K2437,ABBR!A:D,1,FALSE)),ISERROR(VLOOKUP(C2437,ABBR!A:D,1,FALSE))),"")</f>
        <v/>
      </c>
      <c r="P2437" t="str">
        <f>VLOOKUP(A2437,Groups!A:L,5,FALSE)</f>
        <v>SAMP</v>
      </c>
      <c r="Q2437" s="62" t="str">
        <f>IF(G2437="PA",IF(M2437&lt;&gt;"",ISERROR(VLOOKUP(M2437,ABBR!C:F,1,FALSE)),ISERROR(VLOOKUP(E2437,ABBR!C:F,1,FALSE))),"")</f>
        <v/>
      </c>
    </row>
    <row r="2438" spans="1:17" ht="25" hidden="1" x14ac:dyDescent="0.25">
      <c r="A2438" s="16" t="s">
        <v>543</v>
      </c>
      <c r="B2438" s="17"/>
      <c r="C2438" s="16" t="s">
        <v>4224</v>
      </c>
      <c r="D2438" s="17"/>
      <c r="E2438" s="17" t="s">
        <v>608</v>
      </c>
      <c r="F2438" s="18" t="s">
        <v>3642</v>
      </c>
      <c r="G2438" s="49" t="s">
        <v>4225</v>
      </c>
      <c r="H2438" s="17">
        <f t="shared" si="17"/>
        <v>17</v>
      </c>
      <c r="J2438" s="7" t="s">
        <v>478</v>
      </c>
      <c r="K2438" s="62"/>
      <c r="L2438" s="62"/>
      <c r="M2438" s="62"/>
      <c r="N2438" s="62"/>
      <c r="O2438" s="62" t="str">
        <f>IF(E2438="PA",IF(K2438&lt;&gt;"",ISERROR(VLOOKUP(K2438,ABBR!A:D,1,FALSE)),ISERROR(VLOOKUP(C2438,ABBR!A:D,1,FALSE))),"")</f>
        <v/>
      </c>
      <c r="P2438" t="str">
        <f>VLOOKUP(A2438,Groups!A:L,5,FALSE)</f>
        <v>SAMP</v>
      </c>
      <c r="Q2438" s="62" t="str">
        <f>IF(G2438="PA",IF(M2438&lt;&gt;"",ISERROR(VLOOKUP(M2438,ABBR!C:F,1,FALSE)),ISERROR(VLOOKUP(E2438,ABBR!C:F,1,FALSE))),"")</f>
        <v/>
      </c>
    </row>
    <row r="2439" spans="1:17" ht="25" hidden="1" x14ac:dyDescent="0.25">
      <c r="A2439" s="16" t="s">
        <v>543</v>
      </c>
      <c r="B2439" s="17"/>
      <c r="C2439" s="16" t="s">
        <v>4226</v>
      </c>
      <c r="D2439" s="17"/>
      <c r="E2439" s="17" t="s">
        <v>608</v>
      </c>
      <c r="F2439" s="18" t="s">
        <v>642</v>
      </c>
      <c r="G2439" s="49" t="s">
        <v>2274</v>
      </c>
      <c r="H2439" s="17">
        <f t="shared" si="17"/>
        <v>18</v>
      </c>
      <c r="J2439" s="7" t="s">
        <v>478</v>
      </c>
      <c r="K2439" s="62"/>
      <c r="L2439" s="62"/>
      <c r="M2439" s="62"/>
      <c r="N2439" s="62"/>
      <c r="O2439" s="62" t="str">
        <f>IF(E2439="PA",IF(K2439&lt;&gt;"",ISERROR(VLOOKUP(K2439,ABBR!A:D,1,FALSE)),ISERROR(VLOOKUP(C2439,ABBR!A:D,1,FALSE))),"")</f>
        <v/>
      </c>
      <c r="P2439" t="str">
        <f>VLOOKUP(A2439,Groups!A:L,5,FALSE)</f>
        <v>SAMP</v>
      </c>
      <c r="Q2439" s="62" t="str">
        <f>IF(G2439="PA",IF(M2439&lt;&gt;"",ISERROR(VLOOKUP(M2439,ABBR!C:F,1,FALSE)),ISERROR(VLOOKUP(E2439,ABBR!C:F,1,FALSE))),"")</f>
        <v/>
      </c>
    </row>
    <row r="2440" spans="1:17" hidden="1" x14ac:dyDescent="0.25">
      <c r="A2440" s="16" t="s">
        <v>543</v>
      </c>
      <c r="B2440" s="17"/>
      <c r="C2440" s="16" t="s">
        <v>4227</v>
      </c>
      <c r="D2440" s="17"/>
      <c r="E2440" s="17" t="s">
        <v>608</v>
      </c>
      <c r="F2440" s="18" t="s">
        <v>918</v>
      </c>
      <c r="G2440" s="49" t="s">
        <v>4228</v>
      </c>
      <c r="H2440" s="17">
        <f t="shared" si="17"/>
        <v>19</v>
      </c>
      <c r="J2440" s="7" t="s">
        <v>478</v>
      </c>
      <c r="K2440" s="62"/>
      <c r="L2440" s="62"/>
      <c r="M2440" s="62"/>
      <c r="N2440" s="62"/>
      <c r="O2440" s="62" t="str">
        <f>IF(E2440="PA",IF(K2440&lt;&gt;"",ISERROR(VLOOKUP(K2440,ABBR!A:D,1,FALSE)),ISERROR(VLOOKUP(C2440,ABBR!A:D,1,FALSE))),"")</f>
        <v/>
      </c>
      <c r="P2440" t="str">
        <f>VLOOKUP(A2440,Groups!A:L,5,FALSE)</f>
        <v>SAMP</v>
      </c>
      <c r="Q2440" s="62" t="str">
        <f>IF(G2440="PA",IF(M2440&lt;&gt;"",ISERROR(VLOOKUP(M2440,ABBR!C:F,1,FALSE)),ISERROR(VLOOKUP(E2440,ABBR!C:F,1,FALSE))),"")</f>
        <v/>
      </c>
    </row>
    <row r="2441" spans="1:17" hidden="1" x14ac:dyDescent="0.25">
      <c r="A2441" s="16" t="s">
        <v>543</v>
      </c>
      <c r="B2441" s="46"/>
      <c r="C2441" s="9" t="s">
        <v>4229</v>
      </c>
      <c r="D2441" s="46"/>
      <c r="E2441" s="46" t="s">
        <v>608</v>
      </c>
      <c r="F2441" s="93" t="s">
        <v>921</v>
      </c>
      <c r="G2441" s="94" t="s">
        <v>922</v>
      </c>
      <c r="H2441" s="17">
        <f t="shared" si="17"/>
        <v>20</v>
      </c>
      <c r="I2441"/>
      <c r="J2441" s="34" t="s">
        <v>473</v>
      </c>
      <c r="M2441" s="101"/>
      <c r="O2441" s="62" t="str">
        <f>IF(E2441="PA",IF(K2441&lt;&gt;"",ISERROR(VLOOKUP(K2441,ABBR!A:D,1,FALSE)),ISERROR(VLOOKUP(C2441,ABBR!A:D,1,FALSE))),"")</f>
        <v/>
      </c>
      <c r="P2441" t="str">
        <f>VLOOKUP(A2441,Groups!A:L,5,FALSE)</f>
        <v>SAMP</v>
      </c>
      <c r="Q2441" s="62" t="str">
        <f>IF(G2441="PA",IF(M2441&lt;&gt;"",ISERROR(VLOOKUP(M2441,ABBR!C:F,1,FALSE)),ISERROR(VLOOKUP(E2441,ABBR!C:F,1,FALSE))),"")</f>
        <v/>
      </c>
    </row>
    <row r="2442" spans="1:17" hidden="1" x14ac:dyDescent="0.25">
      <c r="A2442" s="16" t="s">
        <v>543</v>
      </c>
      <c r="B2442" s="17"/>
      <c r="C2442" s="16" t="s">
        <v>4230</v>
      </c>
      <c r="D2442" s="17"/>
      <c r="E2442" s="17" t="s">
        <v>608</v>
      </c>
      <c r="F2442" s="18" t="s">
        <v>929</v>
      </c>
      <c r="G2442" s="49" t="s">
        <v>876</v>
      </c>
      <c r="H2442" s="17">
        <f t="shared" si="17"/>
        <v>21</v>
      </c>
      <c r="J2442" s="7" t="s">
        <v>473</v>
      </c>
      <c r="K2442" s="62"/>
      <c r="L2442" s="62"/>
      <c r="M2442" s="62"/>
      <c r="N2442" s="62"/>
      <c r="O2442" s="62" t="str">
        <f>IF(E2442="PA",IF(K2442&lt;&gt;"",ISERROR(VLOOKUP(K2442,ABBR!A:D,1,FALSE)),ISERROR(VLOOKUP(C2442,ABBR!A:D,1,FALSE))),"")</f>
        <v/>
      </c>
      <c r="P2442" t="str">
        <f>VLOOKUP(A2442,Groups!A:L,5,FALSE)</f>
        <v>SAMP</v>
      </c>
      <c r="Q2442" s="62" t="str">
        <f>IF(G2442="PA",IF(M2442&lt;&gt;"",ISERROR(VLOOKUP(M2442,ABBR!C:F,1,FALSE)),ISERROR(VLOOKUP(E2442,ABBR!C:F,1,FALSE))),"")</f>
        <v/>
      </c>
    </row>
    <row r="2443" spans="1:17" hidden="1" x14ac:dyDescent="0.25">
      <c r="A2443" s="16" t="s">
        <v>543</v>
      </c>
      <c r="B2443" s="17"/>
      <c r="C2443" s="16" t="s">
        <v>4231</v>
      </c>
      <c r="D2443" s="17" t="s">
        <v>924</v>
      </c>
      <c r="E2443" s="17" t="s">
        <v>925</v>
      </c>
      <c r="F2443" s="18" t="s">
        <v>926</v>
      </c>
      <c r="G2443" s="49" t="s">
        <v>927</v>
      </c>
      <c r="H2443" s="17">
        <f t="shared" si="17"/>
        <v>22</v>
      </c>
      <c r="J2443" s="7" t="s">
        <v>478</v>
      </c>
      <c r="K2443" s="62"/>
      <c r="L2443" s="62"/>
      <c r="M2443" s="62"/>
      <c r="N2443" s="62"/>
      <c r="O2443" s="62" t="str">
        <f>IF(E2443="PA",IF(K2443&lt;&gt;"",ISERROR(VLOOKUP(K2443,ABBR!A:D,1,FALSE)),ISERROR(VLOOKUP(C2443,ABBR!A:D,1,FALSE))),"")</f>
        <v/>
      </c>
      <c r="P2443" t="str">
        <f>VLOOKUP(A2443,Groups!A:L,5,FALSE)</f>
        <v>SAMP</v>
      </c>
      <c r="Q2443" s="62" t="str">
        <f>IF(G2443="PA",IF(M2443&lt;&gt;"",ISERROR(VLOOKUP(M2443,ABBR!C:F,1,FALSE)),ISERROR(VLOOKUP(E2443,ABBR!C:F,1,FALSE))),"")</f>
        <v/>
      </c>
    </row>
    <row r="2444" spans="1:17" hidden="1" x14ac:dyDescent="0.25">
      <c r="A2444" s="16" t="s">
        <v>543</v>
      </c>
      <c r="B2444" s="17"/>
      <c r="C2444" s="16" t="s">
        <v>936</v>
      </c>
      <c r="D2444" s="17"/>
      <c r="E2444" s="17" t="s">
        <v>608</v>
      </c>
      <c r="F2444" s="18" t="s">
        <v>937</v>
      </c>
      <c r="G2444" s="49" t="s">
        <v>938</v>
      </c>
      <c r="H2444" s="17">
        <f t="shared" si="17"/>
        <v>23</v>
      </c>
      <c r="J2444" s="7" t="s">
        <v>478</v>
      </c>
      <c r="K2444" s="62"/>
      <c r="L2444" s="62"/>
      <c r="M2444" s="62"/>
      <c r="N2444" s="62"/>
      <c r="O2444" s="62" t="str">
        <f>IF(E2444="PA",IF(K2444&lt;&gt;"",ISERROR(VLOOKUP(K2444,ABBR!A:D,1,FALSE)),ISERROR(VLOOKUP(C2444,ABBR!A:D,1,FALSE))),"")</f>
        <v/>
      </c>
      <c r="P2444" t="str">
        <f>VLOOKUP(A2444,Groups!A:L,5,FALSE)</f>
        <v>SAMP</v>
      </c>
      <c r="Q2444" s="62" t="str">
        <f>IF(G2444="PA",IF(M2444&lt;&gt;"",ISERROR(VLOOKUP(M2444,ABBR!C:F,1,FALSE)),ISERROR(VLOOKUP(E2444,ABBR!C:F,1,FALSE))),"")</f>
        <v/>
      </c>
    </row>
    <row r="2445" spans="1:17" hidden="1" x14ac:dyDescent="0.25">
      <c r="A2445" s="16" t="s">
        <v>543</v>
      </c>
      <c r="B2445" s="17"/>
      <c r="C2445" s="16" t="s">
        <v>4232</v>
      </c>
      <c r="D2445" s="17"/>
      <c r="E2445" s="17" t="s">
        <v>608</v>
      </c>
      <c r="F2445" s="18" t="s">
        <v>931</v>
      </c>
      <c r="G2445" s="49" t="s">
        <v>932</v>
      </c>
      <c r="H2445" s="17">
        <f t="shared" si="17"/>
        <v>24</v>
      </c>
      <c r="J2445" s="7" t="s">
        <v>478</v>
      </c>
      <c r="K2445" s="62"/>
      <c r="L2445" s="62"/>
      <c r="M2445" s="62"/>
      <c r="N2445" s="62"/>
      <c r="O2445" s="62" t="str">
        <f>IF(E2445="PA",IF(K2445&lt;&gt;"",ISERROR(VLOOKUP(K2445,ABBR!A:D,1,FALSE)),ISERROR(VLOOKUP(C2445,ABBR!A:D,1,FALSE))),"")</f>
        <v/>
      </c>
      <c r="P2445" t="str">
        <f>VLOOKUP(A2445,Groups!A:L,5,FALSE)</f>
        <v>SAMP</v>
      </c>
      <c r="Q2445" s="62" t="str">
        <f>IF(G2445="PA",IF(M2445&lt;&gt;"",ISERROR(VLOOKUP(M2445,ABBR!C:F,1,FALSE)),ISERROR(VLOOKUP(E2445,ABBR!C:F,1,FALSE))),"")</f>
        <v/>
      </c>
    </row>
    <row r="2446" spans="1:17" ht="25" hidden="1" x14ac:dyDescent="0.25">
      <c r="A2446" s="16" t="s">
        <v>543</v>
      </c>
      <c r="B2446" s="17"/>
      <c r="C2446" s="16" t="s">
        <v>4233</v>
      </c>
      <c r="D2446" s="17"/>
      <c r="E2446" s="17" t="s">
        <v>608</v>
      </c>
      <c r="F2446" s="18" t="s">
        <v>934</v>
      </c>
      <c r="G2446" s="49" t="s">
        <v>935</v>
      </c>
      <c r="H2446" s="17">
        <f t="shared" si="17"/>
        <v>25</v>
      </c>
      <c r="J2446" s="7" t="s">
        <v>478</v>
      </c>
      <c r="K2446" s="62"/>
      <c r="L2446" s="62"/>
      <c r="M2446" s="62"/>
      <c r="N2446" s="62"/>
      <c r="O2446" s="62" t="str">
        <f>IF(E2446="PA",IF(K2446&lt;&gt;"",ISERROR(VLOOKUP(K2446,ABBR!A:D,1,FALSE)),ISERROR(VLOOKUP(C2446,ABBR!A:D,1,FALSE))),"")</f>
        <v/>
      </c>
      <c r="P2446" t="str">
        <f>VLOOKUP(A2446,Groups!A:L,5,FALSE)</f>
        <v>SAMP</v>
      </c>
      <c r="Q2446" s="62" t="str">
        <f>IF(G2446="PA",IF(M2446&lt;&gt;"",ISERROR(VLOOKUP(M2446,ABBR!C:F,1,FALSE)),ISERROR(VLOOKUP(E2446,ABBR!C:F,1,FALSE))),"")</f>
        <v/>
      </c>
    </row>
    <row r="2447" spans="1:17" hidden="1" x14ac:dyDescent="0.25">
      <c r="A2447" s="16" t="s">
        <v>543</v>
      </c>
      <c r="B2447" s="17"/>
      <c r="C2447" s="16" t="s">
        <v>643</v>
      </c>
      <c r="D2447" s="17"/>
      <c r="E2447" s="17" t="s">
        <v>608</v>
      </c>
      <c r="F2447" s="18" t="s">
        <v>1714</v>
      </c>
      <c r="G2447" s="49" t="s">
        <v>3131</v>
      </c>
      <c r="H2447" s="17">
        <f t="shared" si="17"/>
        <v>26</v>
      </c>
      <c r="J2447" s="7" t="s">
        <v>478</v>
      </c>
      <c r="K2447" s="62"/>
      <c r="L2447" s="62"/>
      <c r="M2447" s="62"/>
      <c r="N2447" s="62"/>
      <c r="O2447" s="62" t="str">
        <f>IF(E2447="PA",IF(K2447&lt;&gt;"",ISERROR(VLOOKUP(K2447,ABBR!A:D,1,FALSE)),ISERROR(VLOOKUP(C2447,ABBR!A:D,1,FALSE))),"")</f>
        <v/>
      </c>
      <c r="P2447" t="str">
        <f>VLOOKUP(A2447,Groups!A:L,5,FALSE)</f>
        <v>SAMP</v>
      </c>
      <c r="Q2447" s="62" t="str">
        <f>IF(G2447="PA",IF(M2447&lt;&gt;"",ISERROR(VLOOKUP(M2447,ABBR!C:F,1,FALSE)),ISERROR(VLOOKUP(E2447,ABBR!C:F,1,FALSE))),"")</f>
        <v/>
      </c>
    </row>
    <row r="2448" spans="1:17" hidden="1" x14ac:dyDescent="0.25">
      <c r="A2448" s="16" t="s">
        <v>292</v>
      </c>
      <c r="B2448" s="17" t="s">
        <v>594</v>
      </c>
      <c r="C2448" s="16" t="s">
        <v>595</v>
      </c>
      <c r="D2448" s="17"/>
      <c r="E2448" s="17" t="s">
        <v>596</v>
      </c>
      <c r="F2448" s="18" t="s">
        <v>597</v>
      </c>
      <c r="G2448" s="49" t="s">
        <v>598</v>
      </c>
      <c r="H2448" s="17">
        <v>1</v>
      </c>
      <c r="O2448" s="62" t="str">
        <f>IF(E2448="PA",IF(K2448&lt;&gt;"",ISERROR(VLOOKUP(K2448,ABBR!A:D,1,FALSE)),ISERROR(VLOOKUP(C2448,ABBR!A:D,1,FALSE))),"")</f>
        <v/>
      </c>
      <c r="P2448" t="str">
        <f>VLOOKUP(A2448,Groups!A:L,5,FALSE)</f>
        <v>SAMP</v>
      </c>
      <c r="Q2448" s="62" t="str">
        <f>IF(G2448="PA",IF(M2448&lt;&gt;"",ISERROR(VLOOKUP(M2448,ABBR!C:F,1,FALSE)),ISERROR(VLOOKUP(E2448,ABBR!C:F,1,FALSE))),"")</f>
        <v/>
      </c>
    </row>
    <row r="2449" spans="1:17" hidden="1" x14ac:dyDescent="0.25">
      <c r="A2449" s="16" t="s">
        <v>292</v>
      </c>
      <c r="B2449" s="17" t="s">
        <v>594</v>
      </c>
      <c r="C2449" s="16" t="s">
        <v>851</v>
      </c>
      <c r="D2449" s="17" t="s">
        <v>600</v>
      </c>
      <c r="E2449" s="17" t="s">
        <v>601</v>
      </c>
      <c r="F2449" s="18" t="s">
        <v>852</v>
      </c>
      <c r="G2449" s="49" t="s">
        <v>853</v>
      </c>
      <c r="H2449" s="17">
        <v>2</v>
      </c>
      <c r="O2449" s="62" t="str">
        <f>IF(E2449="PA",IF(K2449&lt;&gt;"",ISERROR(VLOOKUP(K2449,ABBR!A:D,1,FALSE)),ISERROR(VLOOKUP(C2449,ABBR!A:D,1,FALSE))),"")</f>
        <v/>
      </c>
      <c r="P2449" t="str">
        <f>VLOOKUP(A2449,Groups!A:L,5,FALSE)</f>
        <v>SAMP</v>
      </c>
      <c r="Q2449" s="62" t="str">
        <f>IF(G2449="PA",IF(M2449&lt;&gt;"",ISERROR(VLOOKUP(M2449,ABBR!C:F,1,FALSE)),ISERROR(VLOOKUP(E2449,ABBR!C:F,1,FALSE))),"")</f>
        <v/>
      </c>
    </row>
    <row r="2450" spans="1:17" hidden="1" x14ac:dyDescent="0.25">
      <c r="A2450" s="16" t="s">
        <v>292</v>
      </c>
      <c r="B2450" s="17" t="s">
        <v>594</v>
      </c>
      <c r="C2450" s="16" t="s">
        <v>854</v>
      </c>
      <c r="D2450" s="17"/>
      <c r="E2450" s="17" t="s">
        <v>608</v>
      </c>
      <c r="F2450" s="18" t="s">
        <v>855</v>
      </c>
      <c r="G2450" s="49" t="s">
        <v>941</v>
      </c>
      <c r="H2450" s="17">
        <v>3</v>
      </c>
      <c r="O2450" s="62" t="str">
        <f>IF(E2450="PA",IF(K2450&lt;&gt;"",ISERROR(VLOOKUP(K2450,ABBR!A:D,1,FALSE)),ISERROR(VLOOKUP(C2450,ABBR!A:D,1,FALSE))),"")</f>
        <v/>
      </c>
      <c r="P2450" t="str">
        <f>VLOOKUP(A2450,Groups!A:L,5,FALSE)</f>
        <v>SAMP</v>
      </c>
      <c r="Q2450" s="62" t="str">
        <f>IF(G2450="PA",IF(M2450&lt;&gt;"",ISERROR(VLOOKUP(M2450,ABBR!C:F,1,FALSE)),ISERROR(VLOOKUP(E2450,ABBR!C:F,1,FALSE))),"")</f>
        <v/>
      </c>
    </row>
    <row r="2451" spans="1:17" hidden="1" x14ac:dyDescent="0.25">
      <c r="A2451" s="16" t="s">
        <v>292</v>
      </c>
      <c r="B2451" s="17" t="s">
        <v>594</v>
      </c>
      <c r="C2451" s="16" t="s">
        <v>857</v>
      </c>
      <c r="D2451" s="17"/>
      <c r="E2451" s="17" t="s">
        <v>618</v>
      </c>
      <c r="F2451" s="18" t="s">
        <v>858</v>
      </c>
      <c r="G2451" s="49" t="s">
        <v>3547</v>
      </c>
      <c r="H2451" s="17">
        <v>4</v>
      </c>
      <c r="O2451" s="62" t="b">
        <f>IF(E2451="PA",IF(K2451&lt;&gt;"",ISERROR(VLOOKUP(K2451,ABBR!A:D,1,FALSE)),ISERROR(VLOOKUP(C2451,ABBR!A:D,1,FALSE))),"")</f>
        <v>0</v>
      </c>
      <c r="P2451" t="str">
        <f>VLOOKUP(A2451,Groups!A:L,5,FALSE)</f>
        <v>SAMP</v>
      </c>
      <c r="Q2451" s="62" t="str">
        <f>IF(G2451="PA",IF(M2451&lt;&gt;"",ISERROR(VLOOKUP(M2451,ABBR!C:F,1,FALSE)),ISERROR(VLOOKUP(E2451,ABBR!C:F,1,FALSE))),"")</f>
        <v/>
      </c>
    </row>
    <row r="2452" spans="1:17" hidden="1" x14ac:dyDescent="0.25">
      <c r="A2452" s="16" t="s">
        <v>292</v>
      </c>
      <c r="B2452" s="17" t="s">
        <v>594</v>
      </c>
      <c r="C2452" s="16" t="s">
        <v>860</v>
      </c>
      <c r="D2452" s="17"/>
      <c r="E2452" s="17" t="s">
        <v>596</v>
      </c>
      <c r="F2452" s="18" t="s">
        <v>942</v>
      </c>
      <c r="G2452" s="49" t="s">
        <v>862</v>
      </c>
      <c r="H2452" s="17">
        <v>5</v>
      </c>
      <c r="O2452" s="62" t="str">
        <f>IF(E2452="PA",IF(K2452&lt;&gt;"",ISERROR(VLOOKUP(K2452,ABBR!A:D,1,FALSE)),ISERROR(VLOOKUP(C2452,ABBR!A:D,1,FALSE))),"")</f>
        <v/>
      </c>
      <c r="P2452" t="str">
        <f>VLOOKUP(A2452,Groups!A:L,5,FALSE)</f>
        <v>SAMP</v>
      </c>
      <c r="Q2452" s="62" t="str">
        <f>IF(G2452="PA",IF(M2452&lt;&gt;"",ISERROR(VLOOKUP(M2452,ABBR!C:F,1,FALSE)),ISERROR(VLOOKUP(E2452,ABBR!C:F,1,FALSE))),"")</f>
        <v/>
      </c>
    </row>
    <row r="2453" spans="1:17" hidden="1" x14ac:dyDescent="0.25">
      <c r="A2453" s="16" t="s">
        <v>292</v>
      </c>
      <c r="B2453" s="17" t="s">
        <v>594</v>
      </c>
      <c r="C2453" s="16" t="s">
        <v>863</v>
      </c>
      <c r="D2453" s="17"/>
      <c r="E2453" s="17" t="s">
        <v>608</v>
      </c>
      <c r="F2453" s="18" t="s">
        <v>864</v>
      </c>
      <c r="G2453" s="49" t="s">
        <v>865</v>
      </c>
      <c r="H2453" s="17">
        <v>6</v>
      </c>
      <c r="O2453" s="62" t="str">
        <f>IF(E2453="PA",IF(K2453&lt;&gt;"",ISERROR(VLOOKUP(K2453,ABBR!A:D,1,FALSE)),ISERROR(VLOOKUP(C2453,ABBR!A:D,1,FALSE))),"")</f>
        <v/>
      </c>
      <c r="P2453" t="str">
        <f>VLOOKUP(A2453,Groups!A:L,5,FALSE)</f>
        <v>SAMP</v>
      </c>
      <c r="Q2453" s="62" t="str">
        <f>IF(G2453="PA",IF(M2453&lt;&gt;"",ISERROR(VLOOKUP(M2453,ABBR!C:F,1,FALSE)),ISERROR(VLOOKUP(E2453,ABBR!C:F,1,FALSE))),"")</f>
        <v/>
      </c>
    </row>
    <row r="2454" spans="1:17" hidden="1" x14ac:dyDescent="0.25">
      <c r="A2454" s="16" t="s">
        <v>292</v>
      </c>
      <c r="B2454" s="17" t="s">
        <v>594</v>
      </c>
      <c r="C2454" s="16" t="s">
        <v>866</v>
      </c>
      <c r="D2454" s="17" t="s">
        <v>600</v>
      </c>
      <c r="E2454" s="17" t="s">
        <v>601</v>
      </c>
      <c r="F2454" s="18" t="s">
        <v>867</v>
      </c>
      <c r="G2454" s="49" t="s">
        <v>853</v>
      </c>
      <c r="H2454" s="17">
        <v>7</v>
      </c>
      <c r="O2454" s="62" t="str">
        <f>IF(E2454="PA",IF(K2454&lt;&gt;"",ISERROR(VLOOKUP(K2454,ABBR!A:D,1,FALSE)),ISERROR(VLOOKUP(C2454,ABBR!A:D,1,FALSE))),"")</f>
        <v/>
      </c>
      <c r="P2454" t="str">
        <f>VLOOKUP(A2454,Groups!A:L,5,FALSE)</f>
        <v>SAMP</v>
      </c>
      <c r="Q2454" s="62" t="str">
        <f>IF(G2454="PA",IF(M2454&lt;&gt;"",ISERROR(VLOOKUP(M2454,ABBR!C:F,1,FALSE)),ISERROR(VLOOKUP(E2454,ABBR!C:F,1,FALSE))),"")</f>
        <v/>
      </c>
    </row>
    <row r="2455" spans="1:17" hidden="1" x14ac:dyDescent="0.25">
      <c r="A2455" s="16" t="s">
        <v>292</v>
      </c>
      <c r="B2455" s="17"/>
      <c r="C2455" s="16" t="s">
        <v>868</v>
      </c>
      <c r="D2455" s="17"/>
      <c r="E2455" s="17" t="s">
        <v>608</v>
      </c>
      <c r="F2455" s="18" t="s">
        <v>869</v>
      </c>
      <c r="G2455" s="51" t="s">
        <v>1269</v>
      </c>
      <c r="H2455" s="17">
        <v>8</v>
      </c>
      <c r="O2455" s="62" t="str">
        <f>IF(E2455="PA",IF(K2455&lt;&gt;"",ISERROR(VLOOKUP(K2455,ABBR!A:D,1,FALSE)),ISERROR(VLOOKUP(C2455,ABBR!A:D,1,FALSE))),"")</f>
        <v/>
      </c>
      <c r="P2455" t="str">
        <f>VLOOKUP(A2455,Groups!A:L,5,FALSE)</f>
        <v>SAMP</v>
      </c>
      <c r="Q2455" s="62" t="str">
        <f>IF(G2455="PA",IF(M2455&lt;&gt;"",ISERROR(VLOOKUP(M2455,ABBR!C:F,1,FALSE)),ISERROR(VLOOKUP(E2455,ABBR!C:F,1,FALSE))),"")</f>
        <v/>
      </c>
    </row>
    <row r="2456" spans="1:17" ht="25" hidden="1" x14ac:dyDescent="0.25">
      <c r="A2456" s="16" t="s">
        <v>292</v>
      </c>
      <c r="B2456" s="17"/>
      <c r="C2456" s="16" t="s">
        <v>871</v>
      </c>
      <c r="D2456" s="17"/>
      <c r="E2456" s="17" t="s">
        <v>608</v>
      </c>
      <c r="F2456" s="18" t="s">
        <v>872</v>
      </c>
      <c r="G2456" s="49" t="s">
        <v>873</v>
      </c>
      <c r="H2456" s="17">
        <v>9</v>
      </c>
      <c r="O2456" s="62" t="str">
        <f>IF(E2456="PA",IF(K2456&lt;&gt;"",ISERROR(VLOOKUP(K2456,ABBR!A:D,1,FALSE)),ISERROR(VLOOKUP(C2456,ABBR!A:D,1,FALSE))),"")</f>
        <v/>
      </c>
      <c r="P2456" t="str">
        <f>VLOOKUP(A2456,Groups!A:L,5,FALSE)</f>
        <v>SAMP</v>
      </c>
      <c r="Q2456" s="62" t="str">
        <f>IF(G2456="PA",IF(M2456&lt;&gt;"",ISERROR(VLOOKUP(M2456,ABBR!C:F,1,FALSE)),ISERROR(VLOOKUP(E2456,ABBR!C:F,1,FALSE))),"")</f>
        <v/>
      </c>
    </row>
    <row r="2457" spans="1:17" hidden="1" x14ac:dyDescent="0.25">
      <c r="A2457" s="16" t="s">
        <v>292</v>
      </c>
      <c r="B2457" s="17"/>
      <c r="C2457" s="16" t="s">
        <v>4234</v>
      </c>
      <c r="D2457" s="17" t="s">
        <v>766</v>
      </c>
      <c r="E2457" s="17" t="s">
        <v>882</v>
      </c>
      <c r="F2457" s="18" t="s">
        <v>4235</v>
      </c>
      <c r="G2457" s="49" t="s">
        <v>4236</v>
      </c>
      <c r="H2457" s="17">
        <v>10</v>
      </c>
      <c r="O2457" s="62" t="str">
        <f>IF(E2457="PA",IF(K2457&lt;&gt;"",ISERROR(VLOOKUP(K2457,ABBR!A:D,1,FALSE)),ISERROR(VLOOKUP(C2457,ABBR!A:D,1,FALSE))),"")</f>
        <v/>
      </c>
      <c r="P2457" t="str">
        <f>VLOOKUP(A2457,Groups!A:L,5,FALSE)</f>
        <v>SAMP</v>
      </c>
      <c r="Q2457" s="62" t="str">
        <f>IF(G2457="PA",IF(M2457&lt;&gt;"",ISERROR(VLOOKUP(M2457,ABBR!C:F,1,FALSE)),ISERROR(VLOOKUP(E2457,ABBR!C:F,1,FALSE))),"")</f>
        <v/>
      </c>
    </row>
    <row r="2458" spans="1:17" hidden="1" x14ac:dyDescent="0.25">
      <c r="A2458" s="16" t="s">
        <v>292</v>
      </c>
      <c r="B2458" s="17"/>
      <c r="C2458" s="16" t="s">
        <v>4237</v>
      </c>
      <c r="D2458" s="17"/>
      <c r="E2458" s="17" t="s">
        <v>723</v>
      </c>
      <c r="F2458" s="18" t="s">
        <v>4238</v>
      </c>
      <c r="G2458" s="49" t="s">
        <v>4239</v>
      </c>
      <c r="H2458" s="17">
        <v>11</v>
      </c>
      <c r="O2458" s="62" t="str">
        <f>IF(E2458="PA",IF(K2458&lt;&gt;"",ISERROR(VLOOKUP(K2458,ABBR!A:D,1,FALSE)),ISERROR(VLOOKUP(C2458,ABBR!A:D,1,FALSE))),"")</f>
        <v/>
      </c>
      <c r="P2458" t="str">
        <f>VLOOKUP(A2458,Groups!A:L,5,FALSE)</f>
        <v>SAMP</v>
      </c>
      <c r="Q2458" s="62" t="str">
        <f>IF(G2458="PA",IF(M2458&lt;&gt;"",ISERROR(VLOOKUP(M2458,ABBR!C:F,1,FALSE)),ISERROR(VLOOKUP(E2458,ABBR!C:F,1,FALSE))),"")</f>
        <v/>
      </c>
    </row>
    <row r="2459" spans="1:17" ht="25" hidden="1" x14ac:dyDescent="0.25">
      <c r="A2459" s="16" t="s">
        <v>292</v>
      </c>
      <c r="B2459" s="17"/>
      <c r="C2459" s="16" t="s">
        <v>4240</v>
      </c>
      <c r="D2459" s="17"/>
      <c r="E2459" s="17" t="s">
        <v>608</v>
      </c>
      <c r="F2459" s="18" t="s">
        <v>4241</v>
      </c>
      <c r="G2459" s="49" t="s">
        <v>4242</v>
      </c>
      <c r="H2459" s="17">
        <v>12</v>
      </c>
      <c r="O2459" s="62" t="str">
        <f>IF(E2459="PA",IF(K2459&lt;&gt;"",ISERROR(VLOOKUP(K2459,ABBR!A:D,1,FALSE)),ISERROR(VLOOKUP(C2459,ABBR!A:D,1,FALSE))),"")</f>
        <v/>
      </c>
      <c r="P2459" t="str">
        <f>VLOOKUP(A2459,Groups!A:L,5,FALSE)</f>
        <v>SAMP</v>
      </c>
      <c r="Q2459" s="62" t="str">
        <f>IF(G2459="PA",IF(M2459&lt;&gt;"",ISERROR(VLOOKUP(M2459,ABBR!C:F,1,FALSE)),ISERROR(VLOOKUP(E2459,ABBR!C:F,1,FALSE))),"")</f>
        <v/>
      </c>
    </row>
    <row r="2460" spans="1:17" hidden="1" x14ac:dyDescent="0.25">
      <c r="A2460" s="16" t="s">
        <v>292</v>
      </c>
      <c r="B2460" s="17"/>
      <c r="C2460" s="16" t="s">
        <v>4243</v>
      </c>
      <c r="D2460" s="17"/>
      <c r="E2460" s="17" t="s">
        <v>723</v>
      </c>
      <c r="F2460" s="18" t="s">
        <v>4244</v>
      </c>
      <c r="G2460" s="49" t="s">
        <v>4245</v>
      </c>
      <c r="H2460" s="17">
        <v>13</v>
      </c>
      <c r="O2460" s="62" t="str">
        <f>IF(E2460="PA",IF(K2460&lt;&gt;"",ISERROR(VLOOKUP(K2460,ABBR!A:D,1,FALSE)),ISERROR(VLOOKUP(C2460,ABBR!A:D,1,FALSE))),"")</f>
        <v/>
      </c>
      <c r="P2460" t="str">
        <f>VLOOKUP(A2460,Groups!A:L,5,FALSE)</f>
        <v>SAMP</v>
      </c>
      <c r="Q2460" s="62" t="str">
        <f>IF(G2460="PA",IF(M2460&lt;&gt;"",ISERROR(VLOOKUP(M2460,ABBR!C:F,1,FALSE)),ISERROR(VLOOKUP(E2460,ABBR!C:F,1,FALSE))),"")</f>
        <v/>
      </c>
    </row>
    <row r="2461" spans="1:17" hidden="1" x14ac:dyDescent="0.25">
      <c r="A2461" s="16" t="s">
        <v>292</v>
      </c>
      <c r="B2461" s="17"/>
      <c r="C2461" s="16" t="s">
        <v>4246</v>
      </c>
      <c r="D2461" s="17" t="s">
        <v>766</v>
      </c>
      <c r="E2461" s="17" t="s">
        <v>882</v>
      </c>
      <c r="F2461" s="18" t="s">
        <v>8808</v>
      </c>
      <c r="G2461" s="49" t="s">
        <v>4247</v>
      </c>
      <c r="H2461" s="17">
        <v>14</v>
      </c>
      <c r="M2461" s="62" t="s">
        <v>8795</v>
      </c>
      <c r="O2461" s="62" t="str">
        <f>IF(E2461="PA",IF(K2461&lt;&gt;"",ISERROR(VLOOKUP(K2461,ABBR!A:D,1,FALSE)),ISERROR(VLOOKUP(C2461,ABBR!A:D,1,FALSE))),"")</f>
        <v/>
      </c>
      <c r="P2461" t="str">
        <f>VLOOKUP(A2461,Groups!A:L,5,FALSE)</f>
        <v>SAMP</v>
      </c>
      <c r="Q2461" s="62" t="str">
        <f>IF(G2461="PA",IF(M2461&lt;&gt;"",ISERROR(VLOOKUP(M2461,ABBR!C:F,1,FALSE)),ISERROR(VLOOKUP(E2461,ABBR!C:F,1,FALSE))),"")</f>
        <v/>
      </c>
    </row>
    <row r="2462" spans="1:17" ht="25" hidden="1" x14ac:dyDescent="0.25">
      <c r="A2462" s="16" t="s">
        <v>292</v>
      </c>
      <c r="B2462" s="17"/>
      <c r="C2462" s="16" t="s">
        <v>4248</v>
      </c>
      <c r="D2462" s="17"/>
      <c r="E2462" s="17" t="s">
        <v>608</v>
      </c>
      <c r="F2462" s="18" t="s">
        <v>1287</v>
      </c>
      <c r="G2462" s="49" t="s">
        <v>16</v>
      </c>
      <c r="H2462" s="17">
        <v>15</v>
      </c>
      <c r="M2462" s="101"/>
      <c r="O2462" s="62" t="str">
        <f>IF(E2462="PA",IF(K2462&lt;&gt;"",ISERROR(VLOOKUP(K2462,ABBR!A:D,1,FALSE)),ISERROR(VLOOKUP(C2462,ABBR!A:D,1,FALSE))),"")</f>
        <v/>
      </c>
      <c r="P2462" t="str">
        <f>VLOOKUP(A2462,Groups!A:L,5,FALSE)</f>
        <v>SAMP</v>
      </c>
      <c r="Q2462" s="62" t="str">
        <f>IF(G2462="PA",IF(M2462&lt;&gt;"",ISERROR(VLOOKUP(M2462,ABBR!C:F,1,FALSE)),ISERROR(VLOOKUP(E2462,ABBR!C:F,1,FALSE))),"")</f>
        <v/>
      </c>
    </row>
    <row r="2463" spans="1:17" hidden="1" x14ac:dyDescent="0.25">
      <c r="A2463" s="16" t="s">
        <v>292</v>
      </c>
      <c r="B2463" s="17"/>
      <c r="C2463" s="16" t="s">
        <v>4249</v>
      </c>
      <c r="D2463" s="17"/>
      <c r="E2463" s="17" t="s">
        <v>608</v>
      </c>
      <c r="F2463" s="18" t="s">
        <v>918</v>
      </c>
      <c r="G2463" s="49"/>
      <c r="H2463" s="17">
        <v>16</v>
      </c>
      <c r="M2463" s="101" t="s">
        <v>1044</v>
      </c>
      <c r="O2463" s="62" t="str">
        <f>IF(E2463="PA",IF(K2463&lt;&gt;"",ISERROR(VLOOKUP(K2463,ABBR!A:D,1,FALSE)),ISERROR(VLOOKUP(C2463,ABBR!A:D,1,FALSE))),"")</f>
        <v/>
      </c>
      <c r="P2463" t="str">
        <f>VLOOKUP(A2463,Groups!A:L,5,FALSE)</f>
        <v>SAMP</v>
      </c>
      <c r="Q2463" s="62" t="str">
        <f>IF(G2463="PA",IF(M2463&lt;&gt;"",ISERROR(VLOOKUP(M2463,ABBR!C:F,1,FALSE)),ISERROR(VLOOKUP(E2463,ABBR!C:F,1,FALSE))),"")</f>
        <v/>
      </c>
    </row>
    <row r="2464" spans="1:17" hidden="1" x14ac:dyDescent="0.25">
      <c r="A2464" s="16" t="s">
        <v>292</v>
      </c>
      <c r="B2464" s="17"/>
      <c r="C2464" s="16" t="s">
        <v>4250</v>
      </c>
      <c r="D2464" s="17"/>
      <c r="E2464" s="17" t="s">
        <v>608</v>
      </c>
      <c r="F2464" s="18" t="s">
        <v>950</v>
      </c>
      <c r="G2464" s="27" t="s">
        <v>951</v>
      </c>
      <c r="H2464" s="17">
        <v>17</v>
      </c>
      <c r="O2464" s="62" t="str">
        <f>IF(E2464="PA",IF(K2464&lt;&gt;"",ISERROR(VLOOKUP(K2464,ABBR!A:D,1,FALSE)),ISERROR(VLOOKUP(C2464,ABBR!A:D,1,FALSE))),"")</f>
        <v/>
      </c>
      <c r="P2464" t="str">
        <f>VLOOKUP(A2464,Groups!A:L,5,FALSE)</f>
        <v>SAMP</v>
      </c>
      <c r="Q2464" s="62" t="str">
        <f>IF(G2464="PA",IF(M2464&lt;&gt;"",ISERROR(VLOOKUP(M2464,ABBR!C:F,1,FALSE)),ISERROR(VLOOKUP(E2464,ABBR!C:F,1,FALSE))),"")</f>
        <v/>
      </c>
    </row>
    <row r="2465" spans="1:17" ht="25" hidden="1" x14ac:dyDescent="0.25">
      <c r="A2465" s="16" t="s">
        <v>292</v>
      </c>
      <c r="B2465" s="17"/>
      <c r="C2465" s="16" t="s">
        <v>4251</v>
      </c>
      <c r="D2465" s="17"/>
      <c r="E2465" s="17" t="s">
        <v>608</v>
      </c>
      <c r="F2465" s="18" t="s">
        <v>934</v>
      </c>
      <c r="G2465" s="49" t="s">
        <v>953</v>
      </c>
      <c r="H2465" s="17">
        <v>18</v>
      </c>
      <c r="O2465" s="62" t="str">
        <f>IF(E2465="PA",IF(K2465&lt;&gt;"",ISERROR(VLOOKUP(K2465,ABBR!A:D,1,FALSE)),ISERROR(VLOOKUP(C2465,ABBR!A:D,1,FALSE))),"")</f>
        <v/>
      </c>
      <c r="P2465" t="str">
        <f>VLOOKUP(A2465,Groups!A:L,5,FALSE)</f>
        <v>SAMP</v>
      </c>
      <c r="Q2465" s="62" t="str">
        <f>IF(G2465="PA",IF(M2465&lt;&gt;"",ISERROR(VLOOKUP(M2465,ABBR!C:F,1,FALSE)),ISERROR(VLOOKUP(E2465,ABBR!C:F,1,FALSE))),"")</f>
        <v/>
      </c>
    </row>
    <row r="2466" spans="1:17" hidden="1" x14ac:dyDescent="0.25">
      <c r="A2466" s="16" t="s">
        <v>292</v>
      </c>
      <c r="B2466" s="17"/>
      <c r="C2466" s="16" t="s">
        <v>936</v>
      </c>
      <c r="D2466" s="17"/>
      <c r="E2466" s="22" t="s">
        <v>608</v>
      </c>
      <c r="F2466" s="18" t="s">
        <v>937</v>
      </c>
      <c r="G2466" s="49" t="s">
        <v>938</v>
      </c>
      <c r="H2466" s="17">
        <v>19</v>
      </c>
      <c r="O2466" s="62" t="str">
        <f>IF(E2466="PA",IF(K2466&lt;&gt;"",ISERROR(VLOOKUP(K2466,ABBR!A:D,1,FALSE)),ISERROR(VLOOKUP(C2466,ABBR!A:D,1,FALSE))),"")</f>
        <v/>
      </c>
      <c r="P2466" t="str">
        <f>VLOOKUP(A2466,Groups!A:L,5,FALSE)</f>
        <v>SAMP</v>
      </c>
      <c r="Q2466" s="62" t="str">
        <f>IF(G2466="PA",IF(M2466&lt;&gt;"",ISERROR(VLOOKUP(M2466,ABBR!C:F,1,FALSE)),ISERROR(VLOOKUP(E2466,ABBR!C:F,1,FALSE))),"")</f>
        <v/>
      </c>
    </row>
    <row r="2467" spans="1:17" hidden="1" x14ac:dyDescent="0.25">
      <c r="A2467" s="16" t="s">
        <v>292</v>
      </c>
      <c r="B2467" s="17"/>
      <c r="C2467" s="16" t="s">
        <v>643</v>
      </c>
      <c r="D2467" s="17"/>
      <c r="E2467" s="17" t="s">
        <v>608</v>
      </c>
      <c r="F2467" s="18" t="s">
        <v>1294</v>
      </c>
      <c r="G2467" s="49" t="s">
        <v>4252</v>
      </c>
      <c r="H2467" s="17">
        <v>20</v>
      </c>
      <c r="O2467" s="62" t="str">
        <f>IF(E2467="PA",IF(K2467&lt;&gt;"",ISERROR(VLOOKUP(K2467,ABBR!A:D,1,FALSE)),ISERROR(VLOOKUP(C2467,ABBR!A:D,1,FALSE))),"")</f>
        <v/>
      </c>
      <c r="P2467" t="str">
        <f>VLOOKUP(A2467,Groups!A:L,5,FALSE)</f>
        <v>SAMP</v>
      </c>
      <c r="Q2467" s="62" t="str">
        <f>IF(G2467="PA",IF(M2467&lt;&gt;"",ISERROR(VLOOKUP(M2467,ABBR!C:F,1,FALSE)),ISERROR(VLOOKUP(E2467,ABBR!C:F,1,FALSE))),"")</f>
        <v/>
      </c>
    </row>
    <row r="2468" spans="1:17" hidden="1" x14ac:dyDescent="0.25">
      <c r="A2468" s="16" t="s">
        <v>292</v>
      </c>
      <c r="B2468" s="17"/>
      <c r="C2468" s="16" t="s">
        <v>877</v>
      </c>
      <c r="D2468" s="17" t="s">
        <v>600</v>
      </c>
      <c r="E2468" s="17" t="s">
        <v>601</v>
      </c>
      <c r="F2468" s="18" t="s">
        <v>878</v>
      </c>
      <c r="G2468" s="49" t="s">
        <v>879</v>
      </c>
      <c r="H2468" s="17">
        <v>21</v>
      </c>
      <c r="I2468" s="30" t="s">
        <v>955</v>
      </c>
      <c r="J2468" s="80">
        <v>4.0999999999999996</v>
      </c>
      <c r="O2468" s="62" t="str">
        <f>IF(E2468="PA",IF(K2468&lt;&gt;"",ISERROR(VLOOKUP(K2468,ABBR!A:D,1,FALSE)),ISERROR(VLOOKUP(C2468,ABBR!A:D,1,FALSE))),"")</f>
        <v/>
      </c>
      <c r="P2468" t="str">
        <f>VLOOKUP(A2468,Groups!A:L,5,FALSE)</f>
        <v>SAMP</v>
      </c>
      <c r="Q2468" s="62" t="str">
        <f>IF(G2468="PA",IF(M2468&lt;&gt;"",ISERROR(VLOOKUP(M2468,ABBR!C:F,1,FALSE)),ISERROR(VLOOKUP(E2468,ABBR!C:F,1,FALSE))),"")</f>
        <v/>
      </c>
    </row>
    <row r="2469" spans="1:17" hidden="1" x14ac:dyDescent="0.25">
      <c r="A2469" s="16" t="s">
        <v>292</v>
      </c>
      <c r="B2469" s="17"/>
      <c r="C2469" s="16" t="s">
        <v>4253</v>
      </c>
      <c r="D2469" s="17"/>
      <c r="E2469" s="17" t="s">
        <v>608</v>
      </c>
      <c r="F2469" s="18" t="s">
        <v>921</v>
      </c>
      <c r="G2469" s="94" t="s">
        <v>922</v>
      </c>
      <c r="H2469" s="17">
        <v>22</v>
      </c>
      <c r="I2469" s="30" t="s">
        <v>955</v>
      </c>
      <c r="J2469" s="80">
        <v>4.0999999999999996</v>
      </c>
      <c r="M2469" s="101"/>
      <c r="O2469" s="62" t="str">
        <f>IF(E2469="PA",IF(K2469&lt;&gt;"",ISERROR(VLOOKUP(K2469,ABBR!A:D,1,FALSE)),ISERROR(VLOOKUP(C2469,ABBR!A:D,1,FALSE))),"")</f>
        <v/>
      </c>
      <c r="P2469" t="str">
        <f>VLOOKUP(A2469,Groups!A:L,5,FALSE)</f>
        <v>SAMP</v>
      </c>
      <c r="Q2469" s="62" t="str">
        <f>IF(G2469="PA",IF(M2469&lt;&gt;"",ISERROR(VLOOKUP(M2469,ABBR!C:F,1,FALSE)),ISERROR(VLOOKUP(E2469,ABBR!C:F,1,FALSE))),"")</f>
        <v/>
      </c>
    </row>
    <row r="2470" spans="1:17" hidden="1" x14ac:dyDescent="0.25">
      <c r="A2470" s="16" t="s">
        <v>292</v>
      </c>
      <c r="B2470" s="17"/>
      <c r="C2470" s="16" t="s">
        <v>4254</v>
      </c>
      <c r="D2470" s="17" t="s">
        <v>924</v>
      </c>
      <c r="E2470" s="17" t="s">
        <v>925</v>
      </c>
      <c r="F2470" s="18" t="s">
        <v>926</v>
      </c>
      <c r="G2470" s="49" t="s">
        <v>927</v>
      </c>
      <c r="H2470" s="17">
        <v>23</v>
      </c>
      <c r="J2470" s="62" t="s">
        <v>473</v>
      </c>
      <c r="K2470" s="62"/>
      <c r="L2470" s="62"/>
      <c r="M2470" s="62"/>
      <c r="N2470" s="62"/>
      <c r="O2470" s="62" t="str">
        <f>IF(E2470="PA",IF(K2470&lt;&gt;"",ISERROR(VLOOKUP(K2470,ABBR!A:D,1,FALSE)),ISERROR(VLOOKUP(C2470,ABBR!A:D,1,FALSE))),"")</f>
        <v/>
      </c>
      <c r="P2470" t="str">
        <f>VLOOKUP(A2470,Groups!A:L,5,FALSE)</f>
        <v>SAMP</v>
      </c>
      <c r="Q2470" s="62" t="str">
        <f>IF(G2470="PA",IF(M2470&lt;&gt;"",ISERROR(VLOOKUP(M2470,ABBR!C:F,1,FALSE)),ISERROR(VLOOKUP(E2470,ABBR!C:F,1,FALSE))),"")</f>
        <v/>
      </c>
    </row>
    <row r="2471" spans="1:17" hidden="1" x14ac:dyDescent="0.25">
      <c r="A2471" s="16" t="s">
        <v>292</v>
      </c>
      <c r="B2471" s="17"/>
      <c r="C2471" s="16" t="s">
        <v>4255</v>
      </c>
      <c r="D2471" s="17"/>
      <c r="E2471" s="17" t="s">
        <v>608</v>
      </c>
      <c r="F2471" s="18" t="s">
        <v>875</v>
      </c>
      <c r="G2471" s="49" t="s">
        <v>876</v>
      </c>
      <c r="H2471" s="17">
        <v>24</v>
      </c>
      <c r="J2471" s="7" t="s">
        <v>473</v>
      </c>
      <c r="K2471" s="62"/>
      <c r="L2471" s="62"/>
      <c r="M2471" s="62"/>
      <c r="N2471" s="62"/>
      <c r="O2471" s="62" t="str">
        <f>IF(E2471="PA",IF(K2471&lt;&gt;"",ISERROR(VLOOKUP(K2471,ABBR!A:D,1,FALSE)),ISERROR(VLOOKUP(C2471,ABBR!A:D,1,FALSE))),"")</f>
        <v/>
      </c>
      <c r="P2471" t="str">
        <f>VLOOKUP(A2471,Groups!A:L,5,FALSE)</f>
        <v>SAMP</v>
      </c>
      <c r="Q2471" s="62" t="str">
        <f>IF(G2471="PA",IF(M2471&lt;&gt;"",ISERROR(VLOOKUP(M2471,ABBR!C:F,1,FALSE)),ISERROR(VLOOKUP(E2471,ABBR!C:F,1,FALSE))),"")</f>
        <v/>
      </c>
    </row>
    <row r="2472" spans="1:17" hidden="1" x14ac:dyDescent="0.25">
      <c r="A2472" s="16" t="s">
        <v>292</v>
      </c>
      <c r="B2472" s="17"/>
      <c r="C2472" s="16" t="s">
        <v>4256</v>
      </c>
      <c r="D2472" s="17"/>
      <c r="E2472" s="17" t="s">
        <v>608</v>
      </c>
      <c r="F2472" s="18" t="s">
        <v>929</v>
      </c>
      <c r="G2472" s="49" t="s">
        <v>876</v>
      </c>
      <c r="H2472" s="17">
        <v>25</v>
      </c>
      <c r="J2472" s="7" t="s">
        <v>473</v>
      </c>
      <c r="K2472" s="62"/>
      <c r="L2472" s="62"/>
      <c r="M2472" s="62"/>
      <c r="N2472" s="62"/>
      <c r="O2472" s="62" t="str">
        <f>IF(E2472="PA",IF(K2472&lt;&gt;"",ISERROR(VLOOKUP(K2472,ABBR!A:D,1,FALSE)),ISERROR(VLOOKUP(C2472,ABBR!A:D,1,FALSE))),"")</f>
        <v/>
      </c>
      <c r="P2472" t="str">
        <f>VLOOKUP(A2472,Groups!A:L,5,FALSE)</f>
        <v>SAMP</v>
      </c>
      <c r="Q2472" s="62" t="str">
        <f>IF(G2472="PA",IF(M2472&lt;&gt;"",ISERROR(VLOOKUP(M2472,ABBR!C:F,1,FALSE)),ISERROR(VLOOKUP(E2472,ABBR!C:F,1,FALSE))),"")</f>
        <v/>
      </c>
    </row>
    <row r="2473" spans="1:17" hidden="1" x14ac:dyDescent="0.25">
      <c r="A2473" s="16" t="s">
        <v>294</v>
      </c>
      <c r="B2473" s="17" t="s">
        <v>594</v>
      </c>
      <c r="C2473" s="16" t="s">
        <v>595</v>
      </c>
      <c r="D2473" s="17"/>
      <c r="E2473" s="17" t="s">
        <v>596</v>
      </c>
      <c r="F2473" s="18" t="s">
        <v>597</v>
      </c>
      <c r="G2473" s="49" t="s">
        <v>598</v>
      </c>
      <c r="H2473" s="17">
        <v>1</v>
      </c>
      <c r="O2473" s="62" t="str">
        <f>IF(E2473="PA",IF(K2473&lt;&gt;"",ISERROR(VLOOKUP(K2473,ABBR!A:D,1,FALSE)),ISERROR(VLOOKUP(C2473,ABBR!A:D,1,FALSE))),"")</f>
        <v/>
      </c>
      <c r="P2473" t="str">
        <f>VLOOKUP(A2473,Groups!A:L,5,FALSE)</f>
        <v>LSTG</v>
      </c>
      <c r="Q2473" s="62" t="str">
        <f>IF(G2473="PA",IF(M2473&lt;&gt;"",ISERROR(VLOOKUP(M2473,ABBR!C:F,1,FALSE)),ISERROR(VLOOKUP(E2473,ABBR!C:F,1,FALSE))),"")</f>
        <v/>
      </c>
    </row>
    <row r="2474" spans="1:17" hidden="1" x14ac:dyDescent="0.25">
      <c r="A2474" s="16" t="s">
        <v>294</v>
      </c>
      <c r="B2474" s="17" t="s">
        <v>594</v>
      </c>
      <c r="C2474" s="16" t="s">
        <v>851</v>
      </c>
      <c r="D2474" s="17" t="s">
        <v>600</v>
      </c>
      <c r="E2474" s="17" t="s">
        <v>601</v>
      </c>
      <c r="F2474" s="18" t="s">
        <v>852</v>
      </c>
      <c r="G2474" s="49" t="s">
        <v>853</v>
      </c>
      <c r="H2474" s="17">
        <v>2</v>
      </c>
      <c r="O2474" s="62" t="str">
        <f>IF(E2474="PA",IF(K2474&lt;&gt;"",ISERROR(VLOOKUP(K2474,ABBR!A:D,1,FALSE)),ISERROR(VLOOKUP(C2474,ABBR!A:D,1,FALSE))),"")</f>
        <v/>
      </c>
      <c r="P2474" t="str">
        <f>VLOOKUP(A2474,Groups!A:L,5,FALSE)</f>
        <v>LSTG</v>
      </c>
      <c r="Q2474" s="62" t="str">
        <f>IF(G2474="PA",IF(M2474&lt;&gt;"",ISERROR(VLOOKUP(M2474,ABBR!C:F,1,FALSE)),ISERROR(VLOOKUP(E2474,ABBR!C:F,1,FALSE))),"")</f>
        <v/>
      </c>
    </row>
    <row r="2475" spans="1:17" hidden="1" x14ac:dyDescent="0.25">
      <c r="A2475" s="16" t="s">
        <v>294</v>
      </c>
      <c r="B2475" s="17" t="s">
        <v>594</v>
      </c>
      <c r="C2475" s="16" t="s">
        <v>854</v>
      </c>
      <c r="D2475" s="17"/>
      <c r="E2475" s="17" t="s">
        <v>608</v>
      </c>
      <c r="F2475" s="18" t="s">
        <v>855</v>
      </c>
      <c r="G2475" s="49" t="s">
        <v>941</v>
      </c>
      <c r="H2475" s="17">
        <v>3</v>
      </c>
      <c r="O2475" s="62" t="str">
        <f>IF(E2475="PA",IF(K2475&lt;&gt;"",ISERROR(VLOOKUP(K2475,ABBR!A:D,1,FALSE)),ISERROR(VLOOKUP(C2475,ABBR!A:D,1,FALSE))),"")</f>
        <v/>
      </c>
      <c r="P2475" t="str">
        <f>VLOOKUP(A2475,Groups!A:L,5,FALSE)</f>
        <v>LSTG</v>
      </c>
      <c r="Q2475" s="62" t="str">
        <f>IF(G2475="PA",IF(M2475&lt;&gt;"",ISERROR(VLOOKUP(M2475,ABBR!C:F,1,FALSE)),ISERROR(VLOOKUP(E2475,ABBR!C:F,1,FALSE))),"")</f>
        <v/>
      </c>
    </row>
    <row r="2476" spans="1:17" hidden="1" x14ac:dyDescent="0.25">
      <c r="A2476" s="16" t="s">
        <v>294</v>
      </c>
      <c r="B2476" s="17" t="s">
        <v>594</v>
      </c>
      <c r="C2476" s="16" t="s">
        <v>857</v>
      </c>
      <c r="D2476" s="17"/>
      <c r="E2476" s="17" t="s">
        <v>618</v>
      </c>
      <c r="F2476" s="18" t="s">
        <v>858</v>
      </c>
      <c r="G2476" s="49" t="s">
        <v>3547</v>
      </c>
      <c r="H2476" s="17">
        <v>4</v>
      </c>
      <c r="O2476" s="62" t="b">
        <f>IF(E2476="PA",IF(K2476&lt;&gt;"",ISERROR(VLOOKUP(K2476,ABBR!A:D,1,FALSE)),ISERROR(VLOOKUP(C2476,ABBR!A:D,1,FALSE))),"")</f>
        <v>0</v>
      </c>
      <c r="P2476" t="str">
        <f>VLOOKUP(A2476,Groups!A:L,5,FALSE)</f>
        <v>LSTG</v>
      </c>
      <c r="Q2476" s="62" t="str">
        <f>IF(G2476="PA",IF(M2476&lt;&gt;"",ISERROR(VLOOKUP(M2476,ABBR!C:F,1,FALSE)),ISERROR(VLOOKUP(E2476,ABBR!C:F,1,FALSE))),"")</f>
        <v/>
      </c>
    </row>
    <row r="2477" spans="1:17" hidden="1" x14ac:dyDescent="0.25">
      <c r="A2477" s="16" t="s">
        <v>294</v>
      </c>
      <c r="B2477" s="17" t="s">
        <v>594</v>
      </c>
      <c r="C2477" s="16" t="s">
        <v>860</v>
      </c>
      <c r="D2477" s="17"/>
      <c r="E2477" s="17" t="s">
        <v>596</v>
      </c>
      <c r="F2477" s="18" t="s">
        <v>942</v>
      </c>
      <c r="G2477" s="49" t="s">
        <v>862</v>
      </c>
      <c r="H2477" s="17">
        <v>5</v>
      </c>
      <c r="O2477" s="62" t="str">
        <f>IF(E2477="PA",IF(K2477&lt;&gt;"",ISERROR(VLOOKUP(K2477,ABBR!A:D,1,FALSE)),ISERROR(VLOOKUP(C2477,ABBR!A:D,1,FALSE))),"")</f>
        <v/>
      </c>
      <c r="P2477" t="str">
        <f>VLOOKUP(A2477,Groups!A:L,5,FALSE)</f>
        <v>LSTG</v>
      </c>
      <c r="Q2477" s="62" t="str">
        <f>IF(G2477="PA",IF(M2477&lt;&gt;"",ISERROR(VLOOKUP(M2477,ABBR!C:F,1,FALSE)),ISERROR(VLOOKUP(E2477,ABBR!C:F,1,FALSE))),"")</f>
        <v/>
      </c>
    </row>
    <row r="2478" spans="1:17" hidden="1" x14ac:dyDescent="0.25">
      <c r="A2478" s="16" t="s">
        <v>294</v>
      </c>
      <c r="B2478" s="17" t="s">
        <v>594</v>
      </c>
      <c r="C2478" s="16" t="s">
        <v>863</v>
      </c>
      <c r="D2478" s="17"/>
      <c r="E2478" s="17" t="s">
        <v>608</v>
      </c>
      <c r="F2478" s="18" t="s">
        <v>864</v>
      </c>
      <c r="G2478" s="49" t="s">
        <v>865</v>
      </c>
      <c r="H2478" s="17">
        <v>6</v>
      </c>
      <c r="O2478" s="62" t="str">
        <f>IF(E2478="PA",IF(K2478&lt;&gt;"",ISERROR(VLOOKUP(K2478,ABBR!A:D,1,FALSE)),ISERROR(VLOOKUP(C2478,ABBR!A:D,1,FALSE))),"")</f>
        <v/>
      </c>
      <c r="P2478" t="str">
        <f>VLOOKUP(A2478,Groups!A:L,5,FALSE)</f>
        <v>LSTG</v>
      </c>
      <c r="Q2478" s="62" t="str">
        <f>IF(G2478="PA",IF(M2478&lt;&gt;"",ISERROR(VLOOKUP(M2478,ABBR!C:F,1,FALSE)),ISERROR(VLOOKUP(E2478,ABBR!C:F,1,FALSE))),"")</f>
        <v/>
      </c>
    </row>
    <row r="2479" spans="1:17" hidden="1" x14ac:dyDescent="0.25">
      <c r="A2479" s="16" t="s">
        <v>294</v>
      </c>
      <c r="B2479" s="17" t="s">
        <v>594</v>
      </c>
      <c r="C2479" s="16" t="s">
        <v>866</v>
      </c>
      <c r="D2479" s="17" t="s">
        <v>600</v>
      </c>
      <c r="E2479" s="17" t="s">
        <v>601</v>
      </c>
      <c r="F2479" s="18" t="s">
        <v>867</v>
      </c>
      <c r="G2479" s="49" t="s">
        <v>853</v>
      </c>
      <c r="H2479" s="17">
        <v>7</v>
      </c>
      <c r="O2479" s="62" t="str">
        <f>IF(E2479="PA",IF(K2479&lt;&gt;"",ISERROR(VLOOKUP(K2479,ABBR!A:D,1,FALSE)),ISERROR(VLOOKUP(C2479,ABBR!A:D,1,FALSE))),"")</f>
        <v/>
      </c>
      <c r="P2479" t="str">
        <f>VLOOKUP(A2479,Groups!A:L,5,FALSE)</f>
        <v>LSTG</v>
      </c>
      <c r="Q2479" s="62" t="str">
        <f>IF(G2479="PA",IF(M2479&lt;&gt;"",ISERROR(VLOOKUP(M2479,ABBR!C:F,1,FALSE)),ISERROR(VLOOKUP(E2479,ABBR!C:F,1,FALSE))),"")</f>
        <v/>
      </c>
    </row>
    <row r="2480" spans="1:17" hidden="1" x14ac:dyDescent="0.25">
      <c r="A2480" s="16" t="s">
        <v>294</v>
      </c>
      <c r="B2480" s="17" t="s">
        <v>594</v>
      </c>
      <c r="C2480" s="16" t="s">
        <v>4257</v>
      </c>
      <c r="D2480" s="17"/>
      <c r="E2480" s="17" t="s">
        <v>608</v>
      </c>
      <c r="F2480" s="18" t="s">
        <v>1323</v>
      </c>
      <c r="G2480" s="49" t="s">
        <v>631</v>
      </c>
      <c r="H2480" s="17">
        <v>8</v>
      </c>
      <c r="O2480" s="62" t="str">
        <f>IF(E2480="PA",IF(K2480&lt;&gt;"",ISERROR(VLOOKUP(K2480,ABBR!A:D,1,FALSE)),ISERROR(VLOOKUP(C2480,ABBR!A:D,1,FALSE))),"")</f>
        <v/>
      </c>
      <c r="P2480" t="str">
        <f>VLOOKUP(A2480,Groups!A:L,5,FALSE)</f>
        <v>LSTG</v>
      </c>
      <c r="Q2480" s="62" t="str">
        <f>IF(G2480="PA",IF(M2480&lt;&gt;"",ISERROR(VLOOKUP(M2480,ABBR!C:F,1,FALSE)),ISERROR(VLOOKUP(E2480,ABBR!C:F,1,FALSE))),"")</f>
        <v/>
      </c>
    </row>
    <row r="2481" spans="1:17" hidden="1" x14ac:dyDescent="0.25">
      <c r="A2481" s="16" t="s">
        <v>294</v>
      </c>
      <c r="B2481" s="17"/>
      <c r="C2481" s="16" t="s">
        <v>4258</v>
      </c>
      <c r="D2481" s="17" t="s">
        <v>766</v>
      </c>
      <c r="E2481" s="17" t="s">
        <v>723</v>
      </c>
      <c r="F2481" s="18" t="s">
        <v>4259</v>
      </c>
      <c r="G2481" s="49" t="s">
        <v>3098</v>
      </c>
      <c r="H2481" s="17">
        <v>9</v>
      </c>
      <c r="O2481" s="62" t="str">
        <f>IF(E2481="PA",IF(K2481&lt;&gt;"",ISERROR(VLOOKUP(K2481,ABBR!A:D,1,FALSE)),ISERROR(VLOOKUP(C2481,ABBR!A:D,1,FALSE))),"")</f>
        <v/>
      </c>
      <c r="P2481" t="str">
        <f>VLOOKUP(A2481,Groups!A:L,5,FALSE)</f>
        <v>LSTG</v>
      </c>
      <c r="Q2481" s="62" t="str">
        <f>IF(G2481="PA",IF(M2481&lt;&gt;"",ISERROR(VLOOKUP(M2481,ABBR!C:F,1,FALSE)),ISERROR(VLOOKUP(E2481,ABBR!C:F,1,FALSE))),"")</f>
        <v/>
      </c>
    </row>
    <row r="2482" spans="1:17" hidden="1" x14ac:dyDescent="0.25">
      <c r="A2482" s="16" t="s">
        <v>294</v>
      </c>
      <c r="B2482" s="17"/>
      <c r="C2482" s="16" t="s">
        <v>4260</v>
      </c>
      <c r="D2482" s="17"/>
      <c r="E2482" s="17" t="s">
        <v>723</v>
      </c>
      <c r="F2482" s="18" t="s">
        <v>4261</v>
      </c>
      <c r="G2482" s="49" t="s">
        <v>4245</v>
      </c>
      <c r="H2482" s="17">
        <v>10</v>
      </c>
      <c r="O2482" s="62" t="str">
        <f>IF(E2482="PA",IF(K2482&lt;&gt;"",ISERROR(VLOOKUP(K2482,ABBR!A:D,1,FALSE)),ISERROR(VLOOKUP(C2482,ABBR!A:D,1,FALSE))),"")</f>
        <v/>
      </c>
      <c r="P2482" t="str">
        <f>VLOOKUP(A2482,Groups!A:L,5,FALSE)</f>
        <v>LSTG</v>
      </c>
      <c r="Q2482" s="62" t="str">
        <f>IF(G2482="PA",IF(M2482&lt;&gt;"",ISERROR(VLOOKUP(M2482,ABBR!C:F,1,FALSE)),ISERROR(VLOOKUP(E2482,ABBR!C:F,1,FALSE))),"")</f>
        <v/>
      </c>
    </row>
    <row r="2483" spans="1:17" hidden="1" x14ac:dyDescent="0.25">
      <c r="A2483" s="16" t="s">
        <v>294</v>
      </c>
      <c r="B2483" s="17"/>
      <c r="C2483" s="16" t="s">
        <v>4262</v>
      </c>
      <c r="D2483" s="17"/>
      <c r="E2483" s="17" t="s">
        <v>608</v>
      </c>
      <c r="F2483" s="18" t="s">
        <v>642</v>
      </c>
      <c r="G2483" s="49" t="s">
        <v>16</v>
      </c>
      <c r="H2483" s="17">
        <v>11</v>
      </c>
      <c r="M2483" s="101"/>
      <c r="O2483" s="62" t="str">
        <f>IF(E2483="PA",IF(K2483&lt;&gt;"",ISERROR(VLOOKUP(K2483,ABBR!A:D,1,FALSE)),ISERROR(VLOOKUP(C2483,ABBR!A:D,1,FALSE))),"")</f>
        <v/>
      </c>
      <c r="P2483" t="str">
        <f>VLOOKUP(A2483,Groups!A:L,5,FALSE)</f>
        <v>LSTG</v>
      </c>
      <c r="Q2483" s="62" t="str">
        <f>IF(G2483="PA",IF(M2483&lt;&gt;"",ISERROR(VLOOKUP(M2483,ABBR!C:F,1,FALSE)),ISERROR(VLOOKUP(E2483,ABBR!C:F,1,FALSE))),"")</f>
        <v/>
      </c>
    </row>
    <row r="2484" spans="1:17" hidden="1" x14ac:dyDescent="0.25">
      <c r="A2484" s="16" t="s">
        <v>294</v>
      </c>
      <c r="B2484" s="17"/>
      <c r="C2484" s="16" t="s">
        <v>643</v>
      </c>
      <c r="D2484" s="17"/>
      <c r="E2484" s="17" t="s">
        <v>608</v>
      </c>
      <c r="F2484" s="18" t="s">
        <v>954</v>
      </c>
      <c r="G2484" s="49" t="s">
        <v>4252</v>
      </c>
      <c r="H2484" s="17">
        <v>12</v>
      </c>
      <c r="O2484" s="62" t="str">
        <f>IF(E2484="PA",IF(K2484&lt;&gt;"",ISERROR(VLOOKUP(K2484,ABBR!A:D,1,FALSE)),ISERROR(VLOOKUP(C2484,ABBR!A:D,1,FALSE))),"")</f>
        <v/>
      </c>
      <c r="P2484" t="str">
        <f>VLOOKUP(A2484,Groups!A:L,5,FALSE)</f>
        <v>LSTG</v>
      </c>
      <c r="Q2484" s="62" t="str">
        <f>IF(G2484="PA",IF(M2484&lt;&gt;"",ISERROR(VLOOKUP(M2484,ABBR!C:F,1,FALSE)),ISERROR(VLOOKUP(E2484,ABBR!C:F,1,FALSE))),"")</f>
        <v/>
      </c>
    </row>
    <row r="2485" spans="1:17" hidden="1" x14ac:dyDescent="0.25">
      <c r="A2485" s="16" t="s">
        <v>296</v>
      </c>
      <c r="B2485" s="17" t="s">
        <v>594</v>
      </c>
      <c r="C2485" s="16" t="s">
        <v>595</v>
      </c>
      <c r="D2485" s="17"/>
      <c r="E2485" s="17" t="s">
        <v>596</v>
      </c>
      <c r="F2485" s="18" t="s">
        <v>597</v>
      </c>
      <c r="G2485" s="49" t="s">
        <v>598</v>
      </c>
      <c r="H2485" s="17">
        <v>1</v>
      </c>
      <c r="O2485" s="62" t="str">
        <f>IF(E2485="PA",IF(K2485&lt;&gt;"",ISERROR(VLOOKUP(K2485,ABBR!A:D,1,FALSE)),ISERROR(VLOOKUP(C2485,ABBR!A:D,1,FALSE))),"")</f>
        <v/>
      </c>
      <c r="P2485" t="str">
        <f>VLOOKUP(A2485,Groups!A:L,5,FALSE)</f>
        <v>SAMP</v>
      </c>
      <c r="Q2485" s="62" t="str">
        <f>IF(G2485="PA",IF(M2485&lt;&gt;"",ISERROR(VLOOKUP(M2485,ABBR!C:F,1,FALSE)),ISERROR(VLOOKUP(E2485,ABBR!C:F,1,FALSE))),"")</f>
        <v/>
      </c>
    </row>
    <row r="2486" spans="1:17" hidden="1" x14ac:dyDescent="0.25">
      <c r="A2486" s="16" t="s">
        <v>296</v>
      </c>
      <c r="B2486" s="17" t="s">
        <v>594</v>
      </c>
      <c r="C2486" s="16" t="s">
        <v>851</v>
      </c>
      <c r="D2486" s="17" t="s">
        <v>600</v>
      </c>
      <c r="E2486" s="17" t="s">
        <v>601</v>
      </c>
      <c r="F2486" s="18" t="s">
        <v>852</v>
      </c>
      <c r="G2486" s="49" t="s">
        <v>853</v>
      </c>
      <c r="H2486" s="17">
        <v>2</v>
      </c>
      <c r="O2486" s="62" t="str">
        <f>IF(E2486="PA",IF(K2486&lt;&gt;"",ISERROR(VLOOKUP(K2486,ABBR!A:D,1,FALSE)),ISERROR(VLOOKUP(C2486,ABBR!A:D,1,FALSE))),"")</f>
        <v/>
      </c>
      <c r="P2486" t="str">
        <f>VLOOKUP(A2486,Groups!A:L,5,FALSE)</f>
        <v>SAMP</v>
      </c>
      <c r="Q2486" s="62" t="str">
        <f>IF(G2486="PA",IF(M2486&lt;&gt;"",ISERROR(VLOOKUP(M2486,ABBR!C:F,1,FALSE)),ISERROR(VLOOKUP(E2486,ABBR!C:F,1,FALSE))),"")</f>
        <v/>
      </c>
    </row>
    <row r="2487" spans="1:17" hidden="1" x14ac:dyDescent="0.25">
      <c r="A2487" s="16" t="s">
        <v>296</v>
      </c>
      <c r="B2487" s="17" t="s">
        <v>594</v>
      </c>
      <c r="C2487" s="16" t="s">
        <v>854</v>
      </c>
      <c r="D2487" s="17"/>
      <c r="E2487" s="17" t="s">
        <v>608</v>
      </c>
      <c r="F2487" s="18" t="s">
        <v>855</v>
      </c>
      <c r="G2487" s="49" t="s">
        <v>941</v>
      </c>
      <c r="H2487" s="17">
        <v>3</v>
      </c>
      <c r="O2487" s="62" t="str">
        <f>IF(E2487="PA",IF(K2487&lt;&gt;"",ISERROR(VLOOKUP(K2487,ABBR!A:D,1,FALSE)),ISERROR(VLOOKUP(C2487,ABBR!A:D,1,FALSE))),"")</f>
        <v/>
      </c>
      <c r="P2487" t="str">
        <f>VLOOKUP(A2487,Groups!A:L,5,FALSE)</f>
        <v>SAMP</v>
      </c>
      <c r="Q2487" s="62" t="str">
        <f>IF(G2487="PA",IF(M2487&lt;&gt;"",ISERROR(VLOOKUP(M2487,ABBR!C:F,1,FALSE)),ISERROR(VLOOKUP(E2487,ABBR!C:F,1,FALSE))),"")</f>
        <v/>
      </c>
    </row>
    <row r="2488" spans="1:17" hidden="1" x14ac:dyDescent="0.25">
      <c r="A2488" s="16" t="s">
        <v>296</v>
      </c>
      <c r="B2488" s="17" t="s">
        <v>594</v>
      </c>
      <c r="C2488" s="16" t="s">
        <v>857</v>
      </c>
      <c r="D2488" s="17"/>
      <c r="E2488" s="17" t="s">
        <v>618</v>
      </c>
      <c r="F2488" s="18" t="s">
        <v>858</v>
      </c>
      <c r="G2488" s="49" t="s">
        <v>3547</v>
      </c>
      <c r="H2488" s="17">
        <v>4</v>
      </c>
      <c r="O2488" s="62" t="b">
        <f>IF(E2488="PA",IF(K2488&lt;&gt;"",ISERROR(VLOOKUP(K2488,ABBR!A:D,1,FALSE)),ISERROR(VLOOKUP(C2488,ABBR!A:D,1,FALSE))),"")</f>
        <v>0</v>
      </c>
      <c r="P2488" t="str">
        <f>VLOOKUP(A2488,Groups!A:L,5,FALSE)</f>
        <v>SAMP</v>
      </c>
      <c r="Q2488" s="62" t="str">
        <f>IF(G2488="PA",IF(M2488&lt;&gt;"",ISERROR(VLOOKUP(M2488,ABBR!C:F,1,FALSE)),ISERROR(VLOOKUP(E2488,ABBR!C:F,1,FALSE))),"")</f>
        <v/>
      </c>
    </row>
    <row r="2489" spans="1:17" hidden="1" x14ac:dyDescent="0.25">
      <c r="A2489" s="16" t="s">
        <v>296</v>
      </c>
      <c r="B2489" s="17" t="s">
        <v>594</v>
      </c>
      <c r="C2489" s="16" t="s">
        <v>860</v>
      </c>
      <c r="D2489" s="17"/>
      <c r="E2489" s="17" t="s">
        <v>596</v>
      </c>
      <c r="F2489" s="18" t="s">
        <v>942</v>
      </c>
      <c r="G2489" s="49" t="s">
        <v>862</v>
      </c>
      <c r="H2489" s="17">
        <v>5</v>
      </c>
      <c r="O2489" s="62" t="str">
        <f>IF(E2489="PA",IF(K2489&lt;&gt;"",ISERROR(VLOOKUP(K2489,ABBR!A:D,1,FALSE)),ISERROR(VLOOKUP(C2489,ABBR!A:D,1,FALSE))),"")</f>
        <v/>
      </c>
      <c r="P2489" t="str">
        <f>VLOOKUP(A2489,Groups!A:L,5,FALSE)</f>
        <v>SAMP</v>
      </c>
      <c r="Q2489" s="62" t="str">
        <f>IF(G2489="PA",IF(M2489&lt;&gt;"",ISERROR(VLOOKUP(M2489,ABBR!C:F,1,FALSE)),ISERROR(VLOOKUP(E2489,ABBR!C:F,1,FALSE))),"")</f>
        <v/>
      </c>
    </row>
    <row r="2490" spans="1:17" hidden="1" x14ac:dyDescent="0.25">
      <c r="A2490" s="16" t="s">
        <v>296</v>
      </c>
      <c r="B2490" s="17" t="s">
        <v>594</v>
      </c>
      <c r="C2490" s="16" t="s">
        <v>863</v>
      </c>
      <c r="D2490" s="17"/>
      <c r="E2490" s="17" t="s">
        <v>608</v>
      </c>
      <c r="F2490" s="18" t="s">
        <v>864</v>
      </c>
      <c r="G2490" s="49" t="s">
        <v>865</v>
      </c>
      <c r="H2490" s="17">
        <v>6</v>
      </c>
      <c r="O2490" s="62" t="str">
        <f>IF(E2490="PA",IF(K2490&lt;&gt;"",ISERROR(VLOOKUP(K2490,ABBR!A:D,1,FALSE)),ISERROR(VLOOKUP(C2490,ABBR!A:D,1,FALSE))),"")</f>
        <v/>
      </c>
      <c r="P2490" t="str">
        <f>VLOOKUP(A2490,Groups!A:L,5,FALSE)</f>
        <v>SAMP</v>
      </c>
      <c r="Q2490" s="62" t="str">
        <f>IF(G2490="PA",IF(M2490&lt;&gt;"",ISERROR(VLOOKUP(M2490,ABBR!C:F,1,FALSE)),ISERROR(VLOOKUP(E2490,ABBR!C:F,1,FALSE))),"")</f>
        <v/>
      </c>
    </row>
    <row r="2491" spans="1:17" hidden="1" x14ac:dyDescent="0.25">
      <c r="A2491" s="16" t="s">
        <v>296</v>
      </c>
      <c r="B2491" s="17" t="s">
        <v>594</v>
      </c>
      <c r="C2491" s="16" t="s">
        <v>866</v>
      </c>
      <c r="D2491" s="17" t="s">
        <v>600</v>
      </c>
      <c r="E2491" s="17" t="s">
        <v>601</v>
      </c>
      <c r="F2491" s="18" t="s">
        <v>867</v>
      </c>
      <c r="G2491" s="49" t="s">
        <v>853</v>
      </c>
      <c r="H2491" s="17">
        <v>7</v>
      </c>
      <c r="O2491" s="62" t="str">
        <f>IF(E2491="PA",IF(K2491&lt;&gt;"",ISERROR(VLOOKUP(K2491,ABBR!A:D,1,FALSE)),ISERROR(VLOOKUP(C2491,ABBR!A:D,1,FALSE))),"")</f>
        <v/>
      </c>
      <c r="P2491" t="str">
        <f>VLOOKUP(A2491,Groups!A:L,5,FALSE)</f>
        <v>SAMP</v>
      </c>
      <c r="Q2491" s="62" t="str">
        <f>IF(G2491="PA",IF(M2491&lt;&gt;"",ISERROR(VLOOKUP(M2491,ABBR!C:F,1,FALSE)),ISERROR(VLOOKUP(E2491,ABBR!C:F,1,FALSE))),"")</f>
        <v/>
      </c>
    </row>
    <row r="2492" spans="1:17" hidden="1" x14ac:dyDescent="0.25">
      <c r="A2492" s="16" t="s">
        <v>296</v>
      </c>
      <c r="B2492" s="17"/>
      <c r="C2492" s="16" t="s">
        <v>868</v>
      </c>
      <c r="D2492" s="17"/>
      <c r="E2492" s="17" t="s">
        <v>608</v>
      </c>
      <c r="F2492" s="18" t="s">
        <v>869</v>
      </c>
      <c r="G2492" s="51" t="s">
        <v>1269</v>
      </c>
      <c r="H2492" s="17">
        <v>8</v>
      </c>
      <c r="O2492" s="62" t="str">
        <f>IF(E2492="PA",IF(K2492&lt;&gt;"",ISERROR(VLOOKUP(K2492,ABBR!A:D,1,FALSE)),ISERROR(VLOOKUP(C2492,ABBR!A:D,1,FALSE))),"")</f>
        <v/>
      </c>
      <c r="P2492" t="str">
        <f>VLOOKUP(A2492,Groups!A:L,5,FALSE)</f>
        <v>SAMP</v>
      </c>
      <c r="Q2492" s="62" t="str">
        <f>IF(G2492="PA",IF(M2492&lt;&gt;"",ISERROR(VLOOKUP(M2492,ABBR!C:F,1,FALSE)),ISERROR(VLOOKUP(E2492,ABBR!C:F,1,FALSE))),"")</f>
        <v/>
      </c>
    </row>
    <row r="2493" spans="1:17" ht="25" hidden="1" x14ac:dyDescent="0.25">
      <c r="A2493" s="16" t="s">
        <v>296</v>
      </c>
      <c r="B2493" s="17"/>
      <c r="C2493" s="16" t="s">
        <v>871</v>
      </c>
      <c r="D2493" s="17"/>
      <c r="E2493" s="17" t="s">
        <v>608</v>
      </c>
      <c r="F2493" s="18" t="s">
        <v>872</v>
      </c>
      <c r="G2493" s="49" t="s">
        <v>873</v>
      </c>
      <c r="H2493" s="17">
        <v>9</v>
      </c>
      <c r="O2493" s="62" t="str">
        <f>IF(E2493="PA",IF(K2493&lt;&gt;"",ISERROR(VLOOKUP(K2493,ABBR!A:D,1,FALSE)),ISERROR(VLOOKUP(C2493,ABBR!A:D,1,FALSE))),"")</f>
        <v/>
      </c>
      <c r="P2493" t="str">
        <f>VLOOKUP(A2493,Groups!A:L,5,FALSE)</f>
        <v>SAMP</v>
      </c>
      <c r="Q2493" s="62" t="str">
        <f>IF(G2493="PA",IF(M2493&lt;&gt;"",ISERROR(VLOOKUP(M2493,ABBR!C:F,1,FALSE)),ISERROR(VLOOKUP(E2493,ABBR!C:F,1,FALSE))),"")</f>
        <v/>
      </c>
    </row>
    <row r="2494" spans="1:17" hidden="1" x14ac:dyDescent="0.25">
      <c r="A2494" s="16" t="s">
        <v>296</v>
      </c>
      <c r="B2494" s="17"/>
      <c r="C2494" s="16" t="s">
        <v>4263</v>
      </c>
      <c r="D2494" s="17" t="s">
        <v>1345</v>
      </c>
      <c r="E2494" s="17" t="s">
        <v>767</v>
      </c>
      <c r="F2494" s="18" t="s">
        <v>4264</v>
      </c>
      <c r="G2494" s="49" t="s">
        <v>2067</v>
      </c>
      <c r="H2494" s="17">
        <v>10</v>
      </c>
      <c r="O2494" s="62" t="str">
        <f>IF(E2494="PA",IF(K2494&lt;&gt;"",ISERROR(VLOOKUP(K2494,ABBR!A:D,1,FALSE)),ISERROR(VLOOKUP(C2494,ABBR!A:D,1,FALSE))),"")</f>
        <v/>
      </c>
      <c r="P2494" t="str">
        <f>VLOOKUP(A2494,Groups!A:L,5,FALSE)</f>
        <v>SAMP</v>
      </c>
      <c r="Q2494" s="62" t="str">
        <f>IF(G2494="PA",IF(M2494&lt;&gt;"",ISERROR(VLOOKUP(M2494,ABBR!C:F,1,FALSE)),ISERROR(VLOOKUP(E2494,ABBR!C:F,1,FALSE))),"")</f>
        <v/>
      </c>
    </row>
    <row r="2495" spans="1:17" hidden="1" x14ac:dyDescent="0.25">
      <c r="A2495" s="16" t="s">
        <v>296</v>
      </c>
      <c r="B2495" s="17"/>
      <c r="C2495" s="16" t="s">
        <v>4265</v>
      </c>
      <c r="D2495" s="17" t="s">
        <v>766</v>
      </c>
      <c r="E2495" s="17" t="s">
        <v>723</v>
      </c>
      <c r="F2495" s="18" t="s">
        <v>4266</v>
      </c>
      <c r="G2495" s="49" t="s">
        <v>2044</v>
      </c>
      <c r="H2495" s="17">
        <v>11</v>
      </c>
      <c r="O2495" s="62" t="str">
        <f>IF(E2495="PA",IF(K2495&lt;&gt;"",ISERROR(VLOOKUP(K2495,ABBR!A:D,1,FALSE)),ISERROR(VLOOKUP(C2495,ABBR!A:D,1,FALSE))),"")</f>
        <v/>
      </c>
      <c r="P2495" t="str">
        <f>VLOOKUP(A2495,Groups!A:L,5,FALSE)</f>
        <v>SAMP</v>
      </c>
      <c r="Q2495" s="62" t="str">
        <f>IF(G2495="PA",IF(M2495&lt;&gt;"",ISERROR(VLOOKUP(M2495,ABBR!C:F,1,FALSE)),ISERROR(VLOOKUP(E2495,ABBR!C:F,1,FALSE))),"")</f>
        <v/>
      </c>
    </row>
    <row r="2496" spans="1:17" hidden="1" x14ac:dyDescent="0.25">
      <c r="A2496" s="16" t="s">
        <v>296</v>
      </c>
      <c r="B2496" s="17"/>
      <c r="C2496" s="16" t="s">
        <v>4267</v>
      </c>
      <c r="D2496" s="17" t="s">
        <v>766</v>
      </c>
      <c r="E2496" s="17" t="s">
        <v>723</v>
      </c>
      <c r="F2496" s="18" t="s">
        <v>4268</v>
      </c>
      <c r="G2496" s="49" t="s">
        <v>4269</v>
      </c>
      <c r="H2496" s="17">
        <v>12</v>
      </c>
      <c r="O2496" s="62" t="str">
        <f>IF(E2496="PA",IF(K2496&lt;&gt;"",ISERROR(VLOOKUP(K2496,ABBR!A:D,1,FALSE)),ISERROR(VLOOKUP(C2496,ABBR!A:D,1,FALSE))),"")</f>
        <v/>
      </c>
      <c r="P2496" t="str">
        <f>VLOOKUP(A2496,Groups!A:L,5,FALSE)</f>
        <v>SAMP</v>
      </c>
      <c r="Q2496" s="62" t="str">
        <f>IF(G2496="PA",IF(M2496&lt;&gt;"",ISERROR(VLOOKUP(M2496,ABBR!C:F,1,FALSE)),ISERROR(VLOOKUP(E2496,ABBR!C:F,1,FALSE))),"")</f>
        <v/>
      </c>
    </row>
    <row r="2497" spans="1:17" hidden="1" x14ac:dyDescent="0.25">
      <c r="A2497" s="16" t="s">
        <v>296</v>
      </c>
      <c r="B2497" s="17"/>
      <c r="C2497" s="16" t="s">
        <v>4270</v>
      </c>
      <c r="D2497" s="17" t="s">
        <v>722</v>
      </c>
      <c r="E2497" s="17" t="s">
        <v>723</v>
      </c>
      <c r="F2497" s="18" t="s">
        <v>1725</v>
      </c>
      <c r="G2497" s="49" t="s">
        <v>4271</v>
      </c>
      <c r="H2497" s="17">
        <v>13</v>
      </c>
      <c r="O2497" s="62" t="str">
        <f>IF(E2497="PA",IF(K2497&lt;&gt;"",ISERROR(VLOOKUP(K2497,ABBR!A:D,1,FALSE)),ISERROR(VLOOKUP(C2497,ABBR!A:D,1,FALSE))),"")</f>
        <v/>
      </c>
      <c r="P2497" t="str">
        <f>VLOOKUP(A2497,Groups!A:L,5,FALSE)</f>
        <v>SAMP</v>
      </c>
      <c r="Q2497" s="62" t="str">
        <f>IF(G2497="PA",IF(M2497&lt;&gt;"",ISERROR(VLOOKUP(M2497,ABBR!C:F,1,FALSE)),ISERROR(VLOOKUP(E2497,ABBR!C:F,1,FALSE))),"")</f>
        <v/>
      </c>
    </row>
    <row r="2498" spans="1:17" hidden="1" x14ac:dyDescent="0.25">
      <c r="A2498" s="16" t="s">
        <v>296</v>
      </c>
      <c r="B2498" s="17"/>
      <c r="C2498" s="16" t="s">
        <v>4272</v>
      </c>
      <c r="D2498" s="17" t="s">
        <v>722</v>
      </c>
      <c r="E2498" s="17" t="s">
        <v>723</v>
      </c>
      <c r="F2498" s="18" t="s">
        <v>4273</v>
      </c>
      <c r="G2498" s="49" t="s">
        <v>4274</v>
      </c>
      <c r="H2498" s="17">
        <v>14</v>
      </c>
      <c r="O2498" s="62" t="str">
        <f>IF(E2498="PA",IF(K2498&lt;&gt;"",ISERROR(VLOOKUP(K2498,ABBR!A:D,1,FALSE)),ISERROR(VLOOKUP(C2498,ABBR!A:D,1,FALSE))),"")</f>
        <v/>
      </c>
      <c r="P2498" t="str">
        <f>VLOOKUP(A2498,Groups!A:L,5,FALSE)</f>
        <v>SAMP</v>
      </c>
      <c r="Q2498" s="62" t="str">
        <f>IF(G2498="PA",IF(M2498&lt;&gt;"",ISERROR(VLOOKUP(M2498,ABBR!C:F,1,FALSE)),ISERROR(VLOOKUP(E2498,ABBR!C:F,1,FALSE))),"")</f>
        <v/>
      </c>
    </row>
    <row r="2499" spans="1:17" hidden="1" x14ac:dyDescent="0.25">
      <c r="A2499" s="16" t="s">
        <v>296</v>
      </c>
      <c r="B2499" s="17"/>
      <c r="C2499" s="16" t="s">
        <v>4275</v>
      </c>
      <c r="D2499" s="17" t="s">
        <v>2234</v>
      </c>
      <c r="E2499" s="17" t="s">
        <v>767</v>
      </c>
      <c r="F2499" s="18" t="s">
        <v>4276</v>
      </c>
      <c r="G2499" s="49" t="s">
        <v>4277</v>
      </c>
      <c r="H2499" s="17">
        <v>15</v>
      </c>
      <c r="O2499" s="62" t="str">
        <f>IF(E2499="PA",IF(K2499&lt;&gt;"",ISERROR(VLOOKUP(K2499,ABBR!A:D,1,FALSE)),ISERROR(VLOOKUP(C2499,ABBR!A:D,1,FALSE))),"")</f>
        <v/>
      </c>
      <c r="P2499" t="str">
        <f>VLOOKUP(A2499,Groups!A:L,5,FALSE)</f>
        <v>SAMP</v>
      </c>
      <c r="Q2499" s="62" t="str">
        <f>IF(G2499="PA",IF(M2499&lt;&gt;"",ISERROR(VLOOKUP(M2499,ABBR!C:F,1,FALSE)),ISERROR(VLOOKUP(E2499,ABBR!C:F,1,FALSE))),"")</f>
        <v/>
      </c>
    </row>
    <row r="2500" spans="1:17" hidden="1" x14ac:dyDescent="0.25">
      <c r="A2500" s="16" t="s">
        <v>296</v>
      </c>
      <c r="B2500" s="17"/>
      <c r="C2500" s="16" t="s">
        <v>4278</v>
      </c>
      <c r="D2500" s="17" t="s">
        <v>2234</v>
      </c>
      <c r="E2500" s="17" t="s">
        <v>767</v>
      </c>
      <c r="F2500" s="18" t="s">
        <v>4279</v>
      </c>
      <c r="G2500" s="49" t="s">
        <v>4280</v>
      </c>
      <c r="H2500" s="17">
        <v>16</v>
      </c>
      <c r="O2500" s="62" t="str">
        <f>IF(E2500="PA",IF(K2500&lt;&gt;"",ISERROR(VLOOKUP(K2500,ABBR!A:D,1,FALSE)),ISERROR(VLOOKUP(C2500,ABBR!A:D,1,FALSE))),"")</f>
        <v/>
      </c>
      <c r="P2500" t="str">
        <f>VLOOKUP(A2500,Groups!A:L,5,FALSE)</f>
        <v>SAMP</v>
      </c>
      <c r="Q2500" s="62" t="str">
        <f>IF(G2500="PA",IF(M2500&lt;&gt;"",ISERROR(VLOOKUP(M2500,ABBR!C:F,1,FALSE)),ISERROR(VLOOKUP(E2500,ABBR!C:F,1,FALSE))),"")</f>
        <v/>
      </c>
    </row>
    <row r="2501" spans="1:17" hidden="1" x14ac:dyDescent="0.25">
      <c r="A2501" s="16" t="s">
        <v>296</v>
      </c>
      <c r="B2501" s="17"/>
      <c r="C2501" s="16" t="s">
        <v>4281</v>
      </c>
      <c r="D2501" s="17"/>
      <c r="E2501" s="17" t="s">
        <v>608</v>
      </c>
      <c r="F2501" s="18" t="s">
        <v>642</v>
      </c>
      <c r="G2501" s="49" t="s">
        <v>16</v>
      </c>
      <c r="H2501" s="17">
        <v>17</v>
      </c>
      <c r="M2501" s="101"/>
      <c r="O2501" s="62" t="str">
        <f>IF(E2501="PA",IF(K2501&lt;&gt;"",ISERROR(VLOOKUP(K2501,ABBR!A:D,1,FALSE)),ISERROR(VLOOKUP(C2501,ABBR!A:D,1,FALSE))),"")</f>
        <v/>
      </c>
      <c r="P2501" t="str">
        <f>VLOOKUP(A2501,Groups!A:L,5,FALSE)</f>
        <v>SAMP</v>
      </c>
      <c r="Q2501" s="62" t="str">
        <f>IF(G2501="PA",IF(M2501&lt;&gt;"",ISERROR(VLOOKUP(M2501,ABBR!C:F,1,FALSE)),ISERROR(VLOOKUP(E2501,ABBR!C:F,1,FALSE))),"")</f>
        <v/>
      </c>
    </row>
    <row r="2502" spans="1:17" ht="25" hidden="1" x14ac:dyDescent="0.25">
      <c r="A2502" s="16" t="s">
        <v>296</v>
      </c>
      <c r="B2502" s="17"/>
      <c r="C2502" s="16" t="s">
        <v>4282</v>
      </c>
      <c r="D2502" s="17"/>
      <c r="E2502" s="17" t="s">
        <v>608</v>
      </c>
      <c r="F2502" s="18" t="s">
        <v>918</v>
      </c>
      <c r="G2502" s="49" t="s">
        <v>4283</v>
      </c>
      <c r="H2502" s="17">
        <v>18</v>
      </c>
      <c r="O2502" s="62" t="str">
        <f>IF(E2502="PA",IF(K2502&lt;&gt;"",ISERROR(VLOOKUP(K2502,ABBR!A:D,1,FALSE)),ISERROR(VLOOKUP(C2502,ABBR!A:D,1,FALSE))),"")</f>
        <v/>
      </c>
      <c r="P2502" t="str">
        <f>VLOOKUP(A2502,Groups!A:L,5,FALSE)</f>
        <v>SAMP</v>
      </c>
      <c r="Q2502" s="62" t="str">
        <f>IF(G2502="PA",IF(M2502&lt;&gt;"",ISERROR(VLOOKUP(M2502,ABBR!C:F,1,FALSE)),ISERROR(VLOOKUP(E2502,ABBR!C:F,1,FALSE))),"")</f>
        <v/>
      </c>
    </row>
    <row r="2503" spans="1:17" hidden="1" x14ac:dyDescent="0.25">
      <c r="A2503" s="16" t="s">
        <v>296</v>
      </c>
      <c r="B2503" s="17"/>
      <c r="C2503" s="16" t="s">
        <v>4284</v>
      </c>
      <c r="D2503" s="17"/>
      <c r="E2503" s="17" t="s">
        <v>608</v>
      </c>
      <c r="F2503" s="18" t="s">
        <v>950</v>
      </c>
      <c r="G2503" s="27" t="s">
        <v>951</v>
      </c>
      <c r="H2503" s="17">
        <v>19</v>
      </c>
      <c r="O2503" s="62" t="str">
        <f>IF(E2503="PA",IF(K2503&lt;&gt;"",ISERROR(VLOOKUP(K2503,ABBR!A:D,1,FALSE)),ISERROR(VLOOKUP(C2503,ABBR!A:D,1,FALSE))),"")</f>
        <v/>
      </c>
      <c r="P2503" t="str">
        <f>VLOOKUP(A2503,Groups!A:L,5,FALSE)</f>
        <v>SAMP</v>
      </c>
      <c r="Q2503" s="62" t="str">
        <f>IF(G2503="PA",IF(M2503&lt;&gt;"",ISERROR(VLOOKUP(M2503,ABBR!C:F,1,FALSE)),ISERROR(VLOOKUP(E2503,ABBR!C:F,1,FALSE))),"")</f>
        <v/>
      </c>
    </row>
    <row r="2504" spans="1:17" ht="25" hidden="1" x14ac:dyDescent="0.25">
      <c r="A2504" s="16" t="s">
        <v>296</v>
      </c>
      <c r="B2504" s="17"/>
      <c r="C2504" s="16" t="s">
        <v>4285</v>
      </c>
      <c r="D2504" s="17"/>
      <c r="E2504" s="17" t="s">
        <v>608</v>
      </c>
      <c r="F2504" s="18" t="s">
        <v>934</v>
      </c>
      <c r="G2504" s="49" t="s">
        <v>953</v>
      </c>
      <c r="H2504" s="17">
        <v>20</v>
      </c>
      <c r="O2504" s="62" t="str">
        <f>IF(E2504="PA",IF(K2504&lt;&gt;"",ISERROR(VLOOKUP(K2504,ABBR!A:D,1,FALSE)),ISERROR(VLOOKUP(C2504,ABBR!A:D,1,FALSE))),"")</f>
        <v/>
      </c>
      <c r="P2504" t="str">
        <f>VLOOKUP(A2504,Groups!A:L,5,FALSE)</f>
        <v>SAMP</v>
      </c>
      <c r="Q2504" s="62" t="str">
        <f>IF(G2504="PA",IF(M2504&lt;&gt;"",ISERROR(VLOOKUP(M2504,ABBR!C:F,1,FALSE)),ISERROR(VLOOKUP(E2504,ABBR!C:F,1,FALSE))),"")</f>
        <v/>
      </c>
    </row>
    <row r="2505" spans="1:17" hidden="1" x14ac:dyDescent="0.25">
      <c r="A2505" s="16" t="s">
        <v>296</v>
      </c>
      <c r="B2505" s="17"/>
      <c r="C2505" s="16" t="s">
        <v>936</v>
      </c>
      <c r="D2505" s="17"/>
      <c r="E2505" s="22" t="s">
        <v>608</v>
      </c>
      <c r="F2505" s="18" t="s">
        <v>937</v>
      </c>
      <c r="G2505" s="49" t="s">
        <v>938</v>
      </c>
      <c r="H2505" s="17">
        <v>21</v>
      </c>
      <c r="O2505" s="62" t="str">
        <f>IF(E2505="PA",IF(K2505&lt;&gt;"",ISERROR(VLOOKUP(K2505,ABBR!A:D,1,FALSE)),ISERROR(VLOOKUP(C2505,ABBR!A:D,1,FALSE))),"")</f>
        <v/>
      </c>
      <c r="P2505" t="str">
        <f>VLOOKUP(A2505,Groups!A:L,5,FALSE)</f>
        <v>SAMP</v>
      </c>
      <c r="Q2505" s="62" t="str">
        <f>IF(G2505="PA",IF(M2505&lt;&gt;"",ISERROR(VLOOKUP(M2505,ABBR!C:F,1,FALSE)),ISERROR(VLOOKUP(E2505,ABBR!C:F,1,FALSE))),"")</f>
        <v/>
      </c>
    </row>
    <row r="2506" spans="1:17" hidden="1" x14ac:dyDescent="0.25">
      <c r="A2506" s="16" t="s">
        <v>296</v>
      </c>
      <c r="B2506" s="17"/>
      <c r="C2506" s="16" t="s">
        <v>643</v>
      </c>
      <c r="D2506" s="17"/>
      <c r="E2506" s="17" t="s">
        <v>608</v>
      </c>
      <c r="F2506" s="18" t="s">
        <v>954</v>
      </c>
      <c r="G2506" s="49" t="s">
        <v>940</v>
      </c>
      <c r="H2506" s="17">
        <v>22</v>
      </c>
      <c r="L2506" t="s">
        <v>2868</v>
      </c>
      <c r="O2506" s="62" t="str">
        <f>IF(E2506="PA",IF(K2506&lt;&gt;"",ISERROR(VLOOKUP(K2506,ABBR!A:D,1,FALSE)),ISERROR(VLOOKUP(C2506,ABBR!A:D,1,FALSE))),"")</f>
        <v/>
      </c>
      <c r="P2506" t="str">
        <f>VLOOKUP(A2506,Groups!A:L,5,FALSE)</f>
        <v>SAMP</v>
      </c>
      <c r="Q2506" s="62" t="str">
        <f>IF(G2506="PA",IF(M2506&lt;&gt;"",ISERROR(VLOOKUP(M2506,ABBR!C:F,1,FALSE)),ISERROR(VLOOKUP(E2506,ABBR!C:F,1,FALSE))),"")</f>
        <v/>
      </c>
    </row>
    <row r="2507" spans="1:17" hidden="1" x14ac:dyDescent="0.25">
      <c r="A2507" s="16" t="s">
        <v>296</v>
      </c>
      <c r="B2507" s="17"/>
      <c r="C2507" s="16" t="s">
        <v>877</v>
      </c>
      <c r="D2507" s="17" t="s">
        <v>600</v>
      </c>
      <c r="E2507" s="17" t="s">
        <v>601</v>
      </c>
      <c r="F2507" s="18" t="s">
        <v>878</v>
      </c>
      <c r="G2507" s="49" t="s">
        <v>879</v>
      </c>
      <c r="H2507" s="17">
        <v>23</v>
      </c>
      <c r="I2507" s="30" t="s">
        <v>955</v>
      </c>
      <c r="J2507" s="80">
        <v>4.0999999999999996</v>
      </c>
      <c r="O2507" s="62" t="str">
        <f>IF(E2507="PA",IF(K2507&lt;&gt;"",ISERROR(VLOOKUP(K2507,ABBR!A:D,1,FALSE)),ISERROR(VLOOKUP(C2507,ABBR!A:D,1,FALSE))),"")</f>
        <v/>
      </c>
      <c r="P2507" t="str">
        <f>VLOOKUP(A2507,Groups!A:L,5,FALSE)</f>
        <v>SAMP</v>
      </c>
      <c r="Q2507" s="62" t="str">
        <f>IF(G2507="PA",IF(M2507&lt;&gt;"",ISERROR(VLOOKUP(M2507,ABBR!C:F,1,FALSE)),ISERROR(VLOOKUP(E2507,ABBR!C:F,1,FALSE))),"")</f>
        <v/>
      </c>
    </row>
    <row r="2508" spans="1:17" hidden="1" x14ac:dyDescent="0.25">
      <c r="A2508" s="16" t="s">
        <v>296</v>
      </c>
      <c r="B2508" s="17"/>
      <c r="C2508" s="16" t="s">
        <v>4286</v>
      </c>
      <c r="D2508" s="17"/>
      <c r="E2508" s="17" t="s">
        <v>608</v>
      </c>
      <c r="F2508" s="18" t="s">
        <v>921</v>
      </c>
      <c r="G2508" s="94" t="s">
        <v>922</v>
      </c>
      <c r="H2508" s="17">
        <v>24</v>
      </c>
      <c r="I2508" s="30" t="s">
        <v>955</v>
      </c>
      <c r="J2508" s="80">
        <v>4.0999999999999996</v>
      </c>
      <c r="M2508" s="101"/>
      <c r="O2508" s="62" t="str">
        <f>IF(E2508="PA",IF(K2508&lt;&gt;"",ISERROR(VLOOKUP(K2508,ABBR!A:D,1,FALSE)),ISERROR(VLOOKUP(C2508,ABBR!A:D,1,FALSE))),"")</f>
        <v/>
      </c>
      <c r="P2508" t="str">
        <f>VLOOKUP(A2508,Groups!A:L,5,FALSE)</f>
        <v>SAMP</v>
      </c>
      <c r="Q2508" s="62" t="str">
        <f>IF(G2508="PA",IF(M2508&lt;&gt;"",ISERROR(VLOOKUP(M2508,ABBR!C:F,1,FALSE)),ISERROR(VLOOKUP(E2508,ABBR!C:F,1,FALSE))),"")</f>
        <v/>
      </c>
    </row>
    <row r="2509" spans="1:17" hidden="1" x14ac:dyDescent="0.25">
      <c r="A2509" s="16" t="s">
        <v>296</v>
      </c>
      <c r="B2509" s="17"/>
      <c r="C2509" s="16" t="s">
        <v>4287</v>
      </c>
      <c r="D2509" s="17" t="s">
        <v>924</v>
      </c>
      <c r="E2509" s="17" t="s">
        <v>925</v>
      </c>
      <c r="F2509" s="18" t="s">
        <v>926</v>
      </c>
      <c r="G2509" s="49" t="s">
        <v>927</v>
      </c>
      <c r="H2509" s="17">
        <v>25</v>
      </c>
      <c r="J2509" s="62" t="s">
        <v>473</v>
      </c>
      <c r="K2509" s="62"/>
      <c r="L2509" s="62"/>
      <c r="M2509" s="62"/>
      <c r="N2509" s="62"/>
      <c r="O2509" s="62" t="str">
        <f>IF(E2509="PA",IF(K2509&lt;&gt;"",ISERROR(VLOOKUP(K2509,ABBR!A:D,1,FALSE)),ISERROR(VLOOKUP(C2509,ABBR!A:D,1,FALSE))),"")</f>
        <v/>
      </c>
      <c r="P2509" t="str">
        <f>VLOOKUP(A2509,Groups!A:L,5,FALSE)</f>
        <v>SAMP</v>
      </c>
      <c r="Q2509" s="62" t="str">
        <f>IF(G2509="PA",IF(M2509&lt;&gt;"",ISERROR(VLOOKUP(M2509,ABBR!C:F,1,FALSE)),ISERROR(VLOOKUP(E2509,ABBR!C:F,1,FALSE))),"")</f>
        <v/>
      </c>
    </row>
    <row r="2510" spans="1:17" hidden="1" x14ac:dyDescent="0.25">
      <c r="A2510" s="16" t="s">
        <v>296</v>
      </c>
      <c r="B2510" s="17"/>
      <c r="C2510" s="16" t="s">
        <v>4288</v>
      </c>
      <c r="D2510" s="17"/>
      <c r="E2510" s="17" t="s">
        <v>608</v>
      </c>
      <c r="F2510" s="18" t="s">
        <v>875</v>
      </c>
      <c r="G2510" s="49" t="s">
        <v>876</v>
      </c>
      <c r="H2510" s="17">
        <v>26</v>
      </c>
      <c r="J2510" s="7" t="s">
        <v>473</v>
      </c>
      <c r="K2510" s="62"/>
      <c r="L2510" s="62"/>
      <c r="M2510" s="62"/>
      <c r="N2510" s="62"/>
      <c r="O2510" s="62" t="str">
        <f>IF(E2510="PA",IF(K2510&lt;&gt;"",ISERROR(VLOOKUP(K2510,ABBR!A:D,1,FALSE)),ISERROR(VLOOKUP(C2510,ABBR!A:D,1,FALSE))),"")</f>
        <v/>
      </c>
      <c r="P2510" t="str">
        <f>VLOOKUP(A2510,Groups!A:L,5,FALSE)</f>
        <v>SAMP</v>
      </c>
      <c r="Q2510" s="62" t="str">
        <f>IF(G2510="PA",IF(M2510&lt;&gt;"",ISERROR(VLOOKUP(M2510,ABBR!C:F,1,FALSE)),ISERROR(VLOOKUP(E2510,ABBR!C:F,1,FALSE))),"")</f>
        <v/>
      </c>
    </row>
    <row r="2511" spans="1:17" hidden="1" x14ac:dyDescent="0.25">
      <c r="A2511" s="16" t="s">
        <v>296</v>
      </c>
      <c r="B2511" s="17"/>
      <c r="C2511" s="16" t="s">
        <v>4289</v>
      </c>
      <c r="D2511" s="17"/>
      <c r="E2511" s="17" t="s">
        <v>608</v>
      </c>
      <c r="F2511" s="18" t="s">
        <v>929</v>
      </c>
      <c r="G2511" s="49" t="s">
        <v>876</v>
      </c>
      <c r="H2511" s="17">
        <v>27</v>
      </c>
      <c r="J2511" s="7" t="s">
        <v>473</v>
      </c>
      <c r="K2511" s="62"/>
      <c r="L2511" s="62"/>
      <c r="M2511" s="62"/>
      <c r="N2511" s="62"/>
      <c r="O2511" s="62" t="str">
        <f>IF(E2511="PA",IF(K2511&lt;&gt;"",ISERROR(VLOOKUP(K2511,ABBR!A:D,1,FALSE)),ISERROR(VLOOKUP(C2511,ABBR!A:D,1,FALSE))),"")</f>
        <v/>
      </c>
      <c r="P2511" t="str">
        <f>VLOOKUP(A2511,Groups!A:L,5,FALSE)</f>
        <v>SAMP</v>
      </c>
      <c r="Q2511" s="62" t="str">
        <f>IF(G2511="PA",IF(M2511&lt;&gt;"",ISERROR(VLOOKUP(M2511,ABBR!C:F,1,FALSE)),ISERROR(VLOOKUP(E2511,ABBR!C:F,1,FALSE))),"")</f>
        <v/>
      </c>
    </row>
    <row r="2512" spans="1:17" hidden="1" x14ac:dyDescent="0.25">
      <c r="A2512" s="16" t="s">
        <v>299</v>
      </c>
      <c r="B2512" s="17" t="s">
        <v>594</v>
      </c>
      <c r="C2512" s="16" t="s">
        <v>595</v>
      </c>
      <c r="D2512" s="17"/>
      <c r="E2512" s="17" t="s">
        <v>596</v>
      </c>
      <c r="F2512" s="18" t="s">
        <v>597</v>
      </c>
      <c r="G2512" s="49" t="s">
        <v>598</v>
      </c>
      <c r="H2512" s="17">
        <v>1</v>
      </c>
      <c r="I2512" s="30" t="s">
        <v>955</v>
      </c>
      <c r="J2512" s="80">
        <v>4.0999999999999996</v>
      </c>
      <c r="M2512" t="s">
        <v>4290</v>
      </c>
      <c r="O2512" s="62" t="str">
        <f>IF(E2512="PA",IF(K2512&lt;&gt;"",ISERROR(VLOOKUP(K2512,ABBR!A:D,1,FALSE)),ISERROR(VLOOKUP(C2512,ABBR!A:D,1,FALSE))),"")</f>
        <v/>
      </c>
      <c r="P2512" t="str">
        <f>VLOOKUP(A2512,Groups!A:L,5,FALSE)</f>
        <v>SAMP</v>
      </c>
      <c r="Q2512" s="62" t="str">
        <f>IF(G2512="PA",IF(M2512&lt;&gt;"",ISERROR(VLOOKUP(M2512,ABBR!C:F,1,FALSE)),ISERROR(VLOOKUP(E2512,ABBR!C:F,1,FALSE))),"")</f>
        <v/>
      </c>
    </row>
    <row r="2513" spans="1:17" hidden="1" x14ac:dyDescent="0.25">
      <c r="A2513" s="16" t="s">
        <v>299</v>
      </c>
      <c r="B2513" s="17" t="s">
        <v>594</v>
      </c>
      <c r="C2513" s="16" t="s">
        <v>851</v>
      </c>
      <c r="D2513" s="17" t="s">
        <v>600</v>
      </c>
      <c r="E2513" s="17" t="s">
        <v>601</v>
      </c>
      <c r="F2513" s="18" t="s">
        <v>852</v>
      </c>
      <c r="G2513" s="49" t="s">
        <v>853</v>
      </c>
      <c r="H2513" s="17">
        <f t="shared" ref="H2513:H2547" si="18">H2512+1</f>
        <v>2</v>
      </c>
      <c r="I2513" s="30" t="s">
        <v>955</v>
      </c>
      <c r="J2513" s="80">
        <v>4.0999999999999996</v>
      </c>
      <c r="M2513" t="s">
        <v>4290</v>
      </c>
      <c r="O2513" s="62" t="str">
        <f>IF(E2513="PA",IF(K2513&lt;&gt;"",ISERROR(VLOOKUP(K2513,ABBR!A:D,1,FALSE)),ISERROR(VLOOKUP(C2513,ABBR!A:D,1,FALSE))),"")</f>
        <v/>
      </c>
      <c r="P2513" t="str">
        <f>VLOOKUP(A2513,Groups!A:L,5,FALSE)</f>
        <v>SAMP</v>
      </c>
      <c r="Q2513" s="62" t="str">
        <f>IF(G2513="PA",IF(M2513&lt;&gt;"",ISERROR(VLOOKUP(M2513,ABBR!C:F,1,FALSE)),ISERROR(VLOOKUP(E2513,ABBR!C:F,1,FALSE))),"")</f>
        <v/>
      </c>
    </row>
    <row r="2514" spans="1:17" hidden="1" x14ac:dyDescent="0.25">
      <c r="A2514" s="16" t="s">
        <v>299</v>
      </c>
      <c r="B2514" s="17" t="s">
        <v>594</v>
      </c>
      <c r="C2514" s="16" t="s">
        <v>854</v>
      </c>
      <c r="D2514" s="17"/>
      <c r="E2514" s="17" t="s">
        <v>608</v>
      </c>
      <c r="F2514" s="18" t="s">
        <v>855</v>
      </c>
      <c r="G2514" s="49" t="s">
        <v>941</v>
      </c>
      <c r="H2514" s="17">
        <f t="shared" si="18"/>
        <v>3</v>
      </c>
      <c r="I2514" s="30" t="s">
        <v>955</v>
      </c>
      <c r="J2514" s="80">
        <v>4.0999999999999996</v>
      </c>
      <c r="M2514" t="s">
        <v>4290</v>
      </c>
      <c r="O2514" s="62" t="str">
        <f>IF(E2514="PA",IF(K2514&lt;&gt;"",ISERROR(VLOOKUP(K2514,ABBR!A:D,1,FALSE)),ISERROR(VLOOKUP(C2514,ABBR!A:D,1,FALSE))),"")</f>
        <v/>
      </c>
      <c r="P2514" t="str">
        <f>VLOOKUP(A2514,Groups!A:L,5,FALSE)</f>
        <v>SAMP</v>
      </c>
      <c r="Q2514" s="62" t="str">
        <f>IF(G2514="PA",IF(M2514&lt;&gt;"",ISERROR(VLOOKUP(M2514,ABBR!C:F,1,FALSE)),ISERROR(VLOOKUP(E2514,ABBR!C:F,1,FALSE))),"")</f>
        <v/>
      </c>
    </row>
    <row r="2515" spans="1:17" hidden="1" x14ac:dyDescent="0.25">
      <c r="A2515" s="16" t="s">
        <v>299</v>
      </c>
      <c r="B2515" s="17" t="s">
        <v>594</v>
      </c>
      <c r="C2515" s="16" t="s">
        <v>857</v>
      </c>
      <c r="D2515" s="17"/>
      <c r="E2515" s="17" t="s">
        <v>618</v>
      </c>
      <c r="F2515" s="18" t="s">
        <v>858</v>
      </c>
      <c r="G2515" s="49" t="s">
        <v>3547</v>
      </c>
      <c r="H2515" s="17">
        <f t="shared" si="18"/>
        <v>4</v>
      </c>
      <c r="I2515" s="30" t="s">
        <v>955</v>
      </c>
      <c r="J2515" s="80">
        <v>4.0999999999999996</v>
      </c>
      <c r="M2515" t="s">
        <v>4290</v>
      </c>
      <c r="O2515" s="62" t="b">
        <f>IF(E2515="PA",IF(K2515&lt;&gt;"",ISERROR(VLOOKUP(K2515,ABBR!A:D,1,FALSE)),ISERROR(VLOOKUP(C2515,ABBR!A:D,1,FALSE))),"")</f>
        <v>0</v>
      </c>
      <c r="P2515" t="str">
        <f>VLOOKUP(A2515,Groups!A:L,5,FALSE)</f>
        <v>SAMP</v>
      </c>
      <c r="Q2515" s="62" t="str">
        <f>IF(G2515="PA",IF(M2515&lt;&gt;"",ISERROR(VLOOKUP(M2515,ABBR!C:F,1,FALSE)),ISERROR(VLOOKUP(E2515,ABBR!C:F,1,FALSE))),"")</f>
        <v/>
      </c>
    </row>
    <row r="2516" spans="1:17" hidden="1" x14ac:dyDescent="0.25">
      <c r="A2516" s="16" t="s">
        <v>299</v>
      </c>
      <c r="B2516" s="17" t="s">
        <v>594</v>
      </c>
      <c r="C2516" s="16" t="s">
        <v>860</v>
      </c>
      <c r="D2516" s="17"/>
      <c r="E2516" s="17" t="s">
        <v>596</v>
      </c>
      <c r="F2516" s="18" t="s">
        <v>942</v>
      </c>
      <c r="G2516" s="49" t="s">
        <v>862</v>
      </c>
      <c r="H2516" s="17">
        <f t="shared" si="18"/>
        <v>5</v>
      </c>
      <c r="I2516" s="30" t="s">
        <v>955</v>
      </c>
      <c r="J2516" s="80">
        <v>4.0999999999999996</v>
      </c>
      <c r="M2516" t="s">
        <v>4290</v>
      </c>
      <c r="O2516" s="62" t="str">
        <f>IF(E2516="PA",IF(K2516&lt;&gt;"",ISERROR(VLOOKUP(K2516,ABBR!A:D,1,FALSE)),ISERROR(VLOOKUP(C2516,ABBR!A:D,1,FALSE))),"")</f>
        <v/>
      </c>
      <c r="P2516" t="str">
        <f>VLOOKUP(A2516,Groups!A:L,5,FALSE)</f>
        <v>SAMP</v>
      </c>
      <c r="Q2516" s="62" t="str">
        <f>IF(G2516="PA",IF(M2516&lt;&gt;"",ISERROR(VLOOKUP(M2516,ABBR!C:F,1,FALSE)),ISERROR(VLOOKUP(E2516,ABBR!C:F,1,FALSE))),"")</f>
        <v/>
      </c>
    </row>
    <row r="2517" spans="1:17" hidden="1" x14ac:dyDescent="0.25">
      <c r="A2517" s="16" t="s">
        <v>299</v>
      </c>
      <c r="B2517" s="17" t="s">
        <v>594</v>
      </c>
      <c r="C2517" s="16" t="s">
        <v>863</v>
      </c>
      <c r="D2517" s="17"/>
      <c r="E2517" s="17" t="s">
        <v>608</v>
      </c>
      <c r="F2517" s="18" t="s">
        <v>864</v>
      </c>
      <c r="G2517" s="49" t="s">
        <v>865</v>
      </c>
      <c r="H2517" s="17">
        <f t="shared" si="18"/>
        <v>6</v>
      </c>
      <c r="I2517" s="30" t="s">
        <v>955</v>
      </c>
      <c r="J2517" s="80">
        <v>4.0999999999999996</v>
      </c>
      <c r="M2517" t="s">
        <v>4290</v>
      </c>
      <c r="O2517" s="62" t="str">
        <f>IF(E2517="PA",IF(K2517&lt;&gt;"",ISERROR(VLOOKUP(K2517,ABBR!A:D,1,FALSE)),ISERROR(VLOOKUP(C2517,ABBR!A:D,1,FALSE))),"")</f>
        <v/>
      </c>
      <c r="P2517" t="str">
        <f>VLOOKUP(A2517,Groups!A:L,5,FALSE)</f>
        <v>SAMP</v>
      </c>
      <c r="Q2517" s="62" t="str">
        <f>IF(G2517="PA",IF(M2517&lt;&gt;"",ISERROR(VLOOKUP(M2517,ABBR!C:F,1,FALSE)),ISERROR(VLOOKUP(E2517,ABBR!C:F,1,FALSE))),"")</f>
        <v/>
      </c>
    </row>
    <row r="2518" spans="1:17" hidden="1" x14ac:dyDescent="0.25">
      <c r="A2518" s="16" t="s">
        <v>299</v>
      </c>
      <c r="B2518" s="17" t="s">
        <v>594</v>
      </c>
      <c r="C2518" s="16" t="s">
        <v>866</v>
      </c>
      <c r="D2518" s="17" t="s">
        <v>600</v>
      </c>
      <c r="E2518" s="17" t="s">
        <v>601</v>
      </c>
      <c r="F2518" s="18" t="s">
        <v>867</v>
      </c>
      <c r="G2518" s="49" t="s">
        <v>853</v>
      </c>
      <c r="H2518" s="17">
        <f t="shared" si="18"/>
        <v>7</v>
      </c>
      <c r="I2518" s="30" t="s">
        <v>955</v>
      </c>
      <c r="J2518" s="80">
        <v>4.0999999999999996</v>
      </c>
      <c r="M2518" t="s">
        <v>4290</v>
      </c>
      <c r="O2518" s="62" t="str">
        <f>IF(E2518="PA",IF(K2518&lt;&gt;"",ISERROR(VLOOKUP(K2518,ABBR!A:D,1,FALSE)),ISERROR(VLOOKUP(C2518,ABBR!A:D,1,FALSE))),"")</f>
        <v/>
      </c>
      <c r="P2518" t="str">
        <f>VLOOKUP(A2518,Groups!A:L,5,FALSE)</f>
        <v>SAMP</v>
      </c>
      <c r="Q2518" s="62" t="str">
        <f>IF(G2518="PA",IF(M2518&lt;&gt;"",ISERROR(VLOOKUP(M2518,ABBR!C:F,1,FALSE)),ISERROR(VLOOKUP(E2518,ABBR!C:F,1,FALSE))),"")</f>
        <v/>
      </c>
    </row>
    <row r="2519" spans="1:17" hidden="1" x14ac:dyDescent="0.25">
      <c r="A2519" s="16" t="s">
        <v>299</v>
      </c>
      <c r="B2519" s="17"/>
      <c r="C2519" s="16" t="s">
        <v>868</v>
      </c>
      <c r="D2519" s="17"/>
      <c r="E2519" s="17" t="s">
        <v>608</v>
      </c>
      <c r="F2519" s="18" t="s">
        <v>869</v>
      </c>
      <c r="G2519" s="51" t="s">
        <v>1269</v>
      </c>
      <c r="H2519" s="17">
        <f t="shared" si="18"/>
        <v>8</v>
      </c>
      <c r="I2519" s="30" t="s">
        <v>955</v>
      </c>
      <c r="J2519" s="80">
        <v>4.0999999999999996</v>
      </c>
      <c r="M2519" t="s">
        <v>4290</v>
      </c>
      <c r="O2519" s="62" t="str">
        <f>IF(E2519="PA",IF(K2519&lt;&gt;"",ISERROR(VLOOKUP(K2519,ABBR!A:D,1,FALSE)),ISERROR(VLOOKUP(C2519,ABBR!A:D,1,FALSE))),"")</f>
        <v/>
      </c>
      <c r="P2519" t="str">
        <f>VLOOKUP(A2519,Groups!A:L,5,FALSE)</f>
        <v>SAMP</v>
      </c>
      <c r="Q2519" s="62" t="str">
        <f>IF(G2519="PA",IF(M2519&lt;&gt;"",ISERROR(VLOOKUP(M2519,ABBR!C:F,1,FALSE)),ISERROR(VLOOKUP(E2519,ABBR!C:F,1,FALSE))),"")</f>
        <v/>
      </c>
    </row>
    <row r="2520" spans="1:17" ht="25" hidden="1" x14ac:dyDescent="0.25">
      <c r="A2520" s="16" t="s">
        <v>299</v>
      </c>
      <c r="B2520" s="17"/>
      <c r="C2520" s="16" t="s">
        <v>871</v>
      </c>
      <c r="D2520" s="17"/>
      <c r="E2520" s="17" t="s">
        <v>608</v>
      </c>
      <c r="F2520" s="18" t="s">
        <v>872</v>
      </c>
      <c r="G2520" s="51" t="s">
        <v>873</v>
      </c>
      <c r="H2520" s="17">
        <f t="shared" si="18"/>
        <v>9</v>
      </c>
      <c r="I2520" s="30" t="s">
        <v>955</v>
      </c>
      <c r="J2520" s="80">
        <v>4.0999999999999996</v>
      </c>
      <c r="M2520" t="s">
        <v>4290</v>
      </c>
      <c r="O2520" s="62" t="str">
        <f>IF(E2520="PA",IF(K2520&lt;&gt;"",ISERROR(VLOOKUP(K2520,ABBR!A:D,1,FALSE)),ISERROR(VLOOKUP(C2520,ABBR!A:D,1,FALSE))),"")</f>
        <v/>
      </c>
      <c r="P2520" t="str">
        <f>VLOOKUP(A2520,Groups!A:L,5,FALSE)</f>
        <v>SAMP</v>
      </c>
      <c r="Q2520" s="62" t="str">
        <f>IF(G2520="PA",IF(M2520&lt;&gt;"",ISERROR(VLOOKUP(M2520,ABBR!C:F,1,FALSE)),ISERROR(VLOOKUP(E2520,ABBR!C:F,1,FALSE))),"")</f>
        <v/>
      </c>
    </row>
    <row r="2521" spans="1:17" hidden="1" x14ac:dyDescent="0.25">
      <c r="A2521" s="16" t="s">
        <v>299</v>
      </c>
      <c r="B2521" s="17"/>
      <c r="C2521" s="16" t="s">
        <v>877</v>
      </c>
      <c r="D2521" s="17" t="s">
        <v>600</v>
      </c>
      <c r="E2521" s="17" t="s">
        <v>601</v>
      </c>
      <c r="F2521" s="18" t="s">
        <v>878</v>
      </c>
      <c r="G2521" s="51" t="s">
        <v>879</v>
      </c>
      <c r="H2521" s="17">
        <f t="shared" si="18"/>
        <v>10</v>
      </c>
      <c r="I2521" s="30" t="s">
        <v>955</v>
      </c>
      <c r="J2521" s="80">
        <v>4.0999999999999996</v>
      </c>
      <c r="M2521" t="s">
        <v>4290</v>
      </c>
      <c r="O2521" s="62" t="str">
        <f>IF(E2521="PA",IF(K2521&lt;&gt;"",ISERROR(VLOOKUP(K2521,ABBR!A:D,1,FALSE)),ISERROR(VLOOKUP(C2521,ABBR!A:D,1,FALSE))),"")</f>
        <v/>
      </c>
      <c r="P2521" t="str">
        <f>VLOOKUP(A2521,Groups!A:L,5,FALSE)</f>
        <v>SAMP</v>
      </c>
      <c r="Q2521" s="62" t="str">
        <f>IF(G2521="PA",IF(M2521&lt;&gt;"",ISERROR(VLOOKUP(M2521,ABBR!C:F,1,FALSE)),ISERROR(VLOOKUP(E2521,ABBR!C:F,1,FALSE))),"")</f>
        <v/>
      </c>
    </row>
    <row r="2522" spans="1:17" ht="14.5" hidden="1" x14ac:dyDescent="0.25">
      <c r="A2522" s="16" t="s">
        <v>299</v>
      </c>
      <c r="B2522" s="43"/>
      <c r="C2522" s="16" t="s">
        <v>4292</v>
      </c>
      <c r="D2522" s="17"/>
      <c r="E2522" s="17" t="s">
        <v>608</v>
      </c>
      <c r="F2522" s="18" t="s">
        <v>1272</v>
      </c>
      <c r="G2522" s="51" t="s">
        <v>8809</v>
      </c>
      <c r="H2522" s="17">
        <f t="shared" si="18"/>
        <v>11</v>
      </c>
      <c r="I2522" s="30" t="s">
        <v>955</v>
      </c>
      <c r="J2522" s="80">
        <v>4.0999999999999996</v>
      </c>
      <c r="L2522" s="62" t="s">
        <v>8810</v>
      </c>
      <c r="M2522" t="s">
        <v>4290</v>
      </c>
      <c r="O2522" s="62" t="str">
        <f>IF(E2522="PA",IF(K2522&lt;&gt;"",ISERROR(VLOOKUP(K2522,ABBR!A:D,1,FALSE)),ISERROR(VLOOKUP(C2522,ABBR!A:D,1,FALSE))),"")</f>
        <v/>
      </c>
      <c r="P2522" t="str">
        <f>VLOOKUP(A2522,Groups!A:L,5,FALSE)</f>
        <v>SAMP</v>
      </c>
      <c r="Q2522" s="62" t="str">
        <f>IF(G2522="PA",IF(M2522&lt;&gt;"",ISERROR(VLOOKUP(M2522,ABBR!C:F,1,FALSE)),ISERROR(VLOOKUP(E2522,ABBR!C:F,1,FALSE))),"")</f>
        <v/>
      </c>
    </row>
    <row r="2523" spans="1:17" ht="14.5" hidden="1" x14ac:dyDescent="0.25">
      <c r="A2523" s="16" t="s">
        <v>299</v>
      </c>
      <c r="B2523" s="43"/>
      <c r="C2523" s="16" t="s">
        <v>4293</v>
      </c>
      <c r="D2523" s="17" t="s">
        <v>1077</v>
      </c>
      <c r="E2523" s="17" t="s">
        <v>601</v>
      </c>
      <c r="F2523" s="18" t="s">
        <v>3669</v>
      </c>
      <c r="G2523" s="51">
        <v>2.12</v>
      </c>
      <c r="H2523" s="17">
        <f t="shared" si="18"/>
        <v>12</v>
      </c>
      <c r="I2523" s="30" t="s">
        <v>955</v>
      </c>
      <c r="J2523" s="80">
        <v>4.0999999999999996</v>
      </c>
      <c r="M2523" t="s">
        <v>4290</v>
      </c>
      <c r="O2523" s="62" t="str">
        <f>IF(E2523="PA",IF(K2523&lt;&gt;"",ISERROR(VLOOKUP(K2523,ABBR!A:D,1,FALSE)),ISERROR(VLOOKUP(C2523,ABBR!A:D,1,FALSE))),"")</f>
        <v/>
      </c>
      <c r="P2523" t="str">
        <f>VLOOKUP(A2523,Groups!A:L,5,FALSE)</f>
        <v>SAMP</v>
      </c>
      <c r="Q2523" s="62" t="str">
        <f>IF(G2523="PA",IF(M2523&lt;&gt;"",ISERROR(VLOOKUP(M2523,ABBR!C:F,1,FALSE)),ISERROR(VLOOKUP(E2523,ABBR!C:F,1,FALSE))),"")</f>
        <v/>
      </c>
    </row>
    <row r="2524" spans="1:17" ht="14.5" hidden="1" x14ac:dyDescent="0.25">
      <c r="A2524" s="16" t="s">
        <v>299</v>
      </c>
      <c r="B2524" s="43"/>
      <c r="C2524" s="16" t="s">
        <v>4294</v>
      </c>
      <c r="D2524" s="17" t="s">
        <v>1077</v>
      </c>
      <c r="E2524" s="17" t="s">
        <v>601</v>
      </c>
      <c r="F2524" s="18" t="s">
        <v>3158</v>
      </c>
      <c r="G2524" s="51">
        <v>1.84</v>
      </c>
      <c r="H2524" s="17">
        <f t="shared" si="18"/>
        <v>13</v>
      </c>
      <c r="I2524" s="30" t="s">
        <v>955</v>
      </c>
      <c r="J2524" s="80">
        <v>4.0999999999999996</v>
      </c>
      <c r="M2524" t="s">
        <v>4290</v>
      </c>
      <c r="O2524" s="62" t="str">
        <f>IF(E2524="PA",IF(K2524&lt;&gt;"",ISERROR(VLOOKUP(K2524,ABBR!A:D,1,FALSE)),ISERROR(VLOOKUP(C2524,ABBR!A:D,1,FALSE))),"")</f>
        <v/>
      </c>
      <c r="P2524" t="str">
        <f>VLOOKUP(A2524,Groups!A:L,5,FALSE)</f>
        <v>SAMP</v>
      </c>
      <c r="Q2524" s="62" t="str">
        <f>IF(G2524="PA",IF(M2524&lt;&gt;"",ISERROR(VLOOKUP(M2524,ABBR!C:F,1,FALSE)),ISERROR(VLOOKUP(E2524,ABBR!C:F,1,FALSE))),"")</f>
        <v/>
      </c>
    </row>
    <row r="2525" spans="1:17" ht="14.5" hidden="1" x14ac:dyDescent="0.25">
      <c r="A2525" s="16" t="s">
        <v>299</v>
      </c>
      <c r="B2525" s="43"/>
      <c r="C2525" s="16" t="s">
        <v>4295</v>
      </c>
      <c r="D2525" s="17" t="s">
        <v>766</v>
      </c>
      <c r="E2525" s="17" t="s">
        <v>608</v>
      </c>
      <c r="F2525" s="18" t="s">
        <v>4296</v>
      </c>
      <c r="G2525" s="51">
        <v>57</v>
      </c>
      <c r="H2525" s="17">
        <f t="shared" si="18"/>
        <v>14</v>
      </c>
      <c r="I2525" s="30" t="s">
        <v>955</v>
      </c>
      <c r="J2525" s="80">
        <v>4.0999999999999996</v>
      </c>
      <c r="M2525" t="s">
        <v>4290</v>
      </c>
      <c r="O2525" s="62" t="str">
        <f>IF(E2525="PA",IF(K2525&lt;&gt;"",ISERROR(VLOOKUP(K2525,ABBR!A:D,1,FALSE)),ISERROR(VLOOKUP(C2525,ABBR!A:D,1,FALSE))),"")</f>
        <v/>
      </c>
      <c r="P2525" t="str">
        <f>VLOOKUP(A2525,Groups!A:L,5,FALSE)</f>
        <v>SAMP</v>
      </c>
      <c r="Q2525" s="62" t="str">
        <f>IF(G2525="PA",IF(M2525&lt;&gt;"",ISERROR(VLOOKUP(M2525,ABBR!C:F,1,FALSE)),ISERROR(VLOOKUP(E2525,ABBR!C:F,1,FALSE))),"")</f>
        <v/>
      </c>
    </row>
    <row r="2526" spans="1:17" ht="14.5" hidden="1" x14ac:dyDescent="0.25">
      <c r="A2526" s="16" t="s">
        <v>299</v>
      </c>
      <c r="B2526" s="43"/>
      <c r="C2526" s="16" t="s">
        <v>4297</v>
      </c>
      <c r="D2526" s="17" t="s">
        <v>4298</v>
      </c>
      <c r="E2526" s="17" t="s">
        <v>601</v>
      </c>
      <c r="F2526" s="18" t="s">
        <v>3483</v>
      </c>
      <c r="G2526" s="51">
        <v>3.21</v>
      </c>
      <c r="H2526" s="17">
        <f t="shared" si="18"/>
        <v>15</v>
      </c>
      <c r="I2526" s="30" t="s">
        <v>955</v>
      </c>
      <c r="J2526" s="80">
        <v>4.0999999999999996</v>
      </c>
      <c r="M2526" t="s">
        <v>4290</v>
      </c>
      <c r="O2526" s="62" t="str">
        <f>IF(E2526="PA",IF(K2526&lt;&gt;"",ISERROR(VLOOKUP(K2526,ABBR!A:D,1,FALSE)),ISERROR(VLOOKUP(C2526,ABBR!A:D,1,FALSE))),"")</f>
        <v/>
      </c>
      <c r="P2526" t="str">
        <f>VLOOKUP(A2526,Groups!A:L,5,FALSE)</f>
        <v>SAMP</v>
      </c>
      <c r="Q2526" s="62" t="str">
        <f>IF(G2526="PA",IF(M2526&lt;&gt;"",ISERROR(VLOOKUP(M2526,ABBR!C:F,1,FALSE)),ISERROR(VLOOKUP(E2526,ABBR!C:F,1,FALSE))),"")</f>
        <v/>
      </c>
    </row>
    <row r="2527" spans="1:17" ht="14.5" hidden="1" x14ac:dyDescent="0.25">
      <c r="A2527" s="16" t="s">
        <v>299</v>
      </c>
      <c r="B2527" s="43"/>
      <c r="C2527" s="16" t="s">
        <v>4299</v>
      </c>
      <c r="D2527" s="17" t="s">
        <v>4300</v>
      </c>
      <c r="E2527" s="17" t="s">
        <v>601</v>
      </c>
      <c r="F2527" s="18" t="s">
        <v>4301</v>
      </c>
      <c r="G2527" s="51">
        <v>0.75</v>
      </c>
      <c r="H2527" s="17">
        <f t="shared" si="18"/>
        <v>16</v>
      </c>
      <c r="I2527" s="30" t="s">
        <v>955</v>
      </c>
      <c r="J2527" s="80">
        <v>4.0999999999999996</v>
      </c>
      <c r="M2527" t="s">
        <v>4290</v>
      </c>
      <c r="O2527" s="62" t="str">
        <f>IF(E2527="PA",IF(K2527&lt;&gt;"",ISERROR(VLOOKUP(K2527,ABBR!A:D,1,FALSE)),ISERROR(VLOOKUP(C2527,ABBR!A:D,1,FALSE))),"")</f>
        <v/>
      </c>
      <c r="P2527" t="str">
        <f>VLOOKUP(A2527,Groups!A:L,5,FALSE)</f>
        <v>SAMP</v>
      </c>
      <c r="Q2527" s="62" t="str">
        <f>IF(G2527="PA",IF(M2527&lt;&gt;"",ISERROR(VLOOKUP(M2527,ABBR!C:F,1,FALSE)),ISERROR(VLOOKUP(E2527,ABBR!C:F,1,FALSE))),"")</f>
        <v/>
      </c>
    </row>
    <row r="2528" spans="1:17" ht="14.5" hidden="1" x14ac:dyDescent="0.25">
      <c r="A2528" s="16" t="s">
        <v>299</v>
      </c>
      <c r="B2528" s="43"/>
      <c r="C2528" s="16" t="s">
        <v>4302</v>
      </c>
      <c r="D2528" s="17" t="s">
        <v>1590</v>
      </c>
      <c r="E2528" s="17" t="s">
        <v>767</v>
      </c>
      <c r="F2528" s="18" t="s">
        <v>4303</v>
      </c>
      <c r="G2528" s="51">
        <v>22</v>
      </c>
      <c r="H2528" s="17">
        <f t="shared" si="18"/>
        <v>17</v>
      </c>
      <c r="I2528" s="30" t="s">
        <v>955</v>
      </c>
      <c r="J2528" s="80">
        <v>4.0999999999999996</v>
      </c>
      <c r="L2528" t="s">
        <v>4304</v>
      </c>
      <c r="M2528" t="s">
        <v>4305</v>
      </c>
      <c r="O2528" s="62" t="str">
        <f>IF(E2528="PA",IF(K2528&lt;&gt;"",ISERROR(VLOOKUP(K2528,ABBR!A:D,1,FALSE)),ISERROR(VLOOKUP(C2528,ABBR!A:D,1,FALSE))),"")</f>
        <v/>
      </c>
      <c r="P2528" t="str">
        <f>VLOOKUP(A2528,Groups!A:L,5,FALSE)</f>
        <v>SAMP</v>
      </c>
      <c r="Q2528" s="62" t="str">
        <f>IF(G2528="PA",IF(M2528&lt;&gt;"",ISERROR(VLOOKUP(M2528,ABBR!C:F,1,FALSE)),ISERROR(VLOOKUP(E2528,ABBR!C:F,1,FALSE))),"")</f>
        <v/>
      </c>
    </row>
    <row r="2529" spans="1:17" ht="14.5" hidden="1" x14ac:dyDescent="0.25">
      <c r="A2529" s="16" t="s">
        <v>299</v>
      </c>
      <c r="B2529" s="43"/>
      <c r="C2529" s="16" t="s">
        <v>4306</v>
      </c>
      <c r="D2529" s="17" t="s">
        <v>722</v>
      </c>
      <c r="E2529" s="17" t="s">
        <v>767</v>
      </c>
      <c r="F2529" s="18" t="s">
        <v>4307</v>
      </c>
      <c r="G2529" s="51">
        <v>15</v>
      </c>
      <c r="H2529" s="17">
        <f t="shared" si="18"/>
        <v>18</v>
      </c>
      <c r="I2529" s="30" t="s">
        <v>955</v>
      </c>
      <c r="J2529" s="80">
        <v>4.0999999999999996</v>
      </c>
      <c r="M2529" t="s">
        <v>4290</v>
      </c>
      <c r="O2529" s="62" t="str">
        <f>IF(E2529="PA",IF(K2529&lt;&gt;"",ISERROR(VLOOKUP(K2529,ABBR!A:D,1,FALSE)),ISERROR(VLOOKUP(C2529,ABBR!A:D,1,FALSE))),"")</f>
        <v/>
      </c>
      <c r="P2529" t="str">
        <f>VLOOKUP(A2529,Groups!A:L,5,FALSE)</f>
        <v>SAMP</v>
      </c>
      <c r="Q2529" s="62" t="str">
        <f>IF(G2529="PA",IF(M2529&lt;&gt;"",ISERROR(VLOOKUP(M2529,ABBR!C:F,1,FALSE)),ISERROR(VLOOKUP(E2529,ABBR!C:F,1,FALSE))),"")</f>
        <v/>
      </c>
    </row>
    <row r="2530" spans="1:17" ht="14.5" hidden="1" x14ac:dyDescent="0.25">
      <c r="A2530" s="16" t="s">
        <v>299</v>
      </c>
      <c r="B2530" s="43"/>
      <c r="C2530" s="16" t="s">
        <v>4308</v>
      </c>
      <c r="D2530" s="17" t="s">
        <v>722</v>
      </c>
      <c r="E2530" s="17" t="s">
        <v>767</v>
      </c>
      <c r="F2530" s="18" t="s">
        <v>4309</v>
      </c>
      <c r="G2530" s="51">
        <v>100</v>
      </c>
      <c r="H2530" s="17">
        <f t="shared" si="18"/>
        <v>19</v>
      </c>
      <c r="I2530" s="30" t="s">
        <v>955</v>
      </c>
      <c r="J2530" s="80">
        <v>4.0999999999999996</v>
      </c>
      <c r="M2530" t="s">
        <v>4290</v>
      </c>
      <c r="O2530" s="62" t="str">
        <f>IF(E2530="PA",IF(K2530&lt;&gt;"",ISERROR(VLOOKUP(K2530,ABBR!A:D,1,FALSE)),ISERROR(VLOOKUP(C2530,ABBR!A:D,1,FALSE))),"")</f>
        <v/>
      </c>
      <c r="P2530" t="str">
        <f>VLOOKUP(A2530,Groups!A:L,5,FALSE)</f>
        <v>SAMP</v>
      </c>
      <c r="Q2530" s="62" t="str">
        <f>IF(G2530="PA",IF(M2530&lt;&gt;"",ISERROR(VLOOKUP(M2530,ABBR!C:F,1,FALSE)),ISERROR(VLOOKUP(E2530,ABBR!C:F,1,FALSE))),"")</f>
        <v/>
      </c>
    </row>
    <row r="2531" spans="1:17" ht="14.5" hidden="1" x14ac:dyDescent="0.25">
      <c r="A2531" s="16" t="s">
        <v>299</v>
      </c>
      <c r="B2531" s="43"/>
      <c r="C2531" s="16" t="s">
        <v>4310</v>
      </c>
      <c r="D2531" s="17" t="s">
        <v>722</v>
      </c>
      <c r="E2531" s="17" t="s">
        <v>767</v>
      </c>
      <c r="F2531" s="18" t="s">
        <v>4311</v>
      </c>
      <c r="G2531" s="51">
        <v>75</v>
      </c>
      <c r="H2531" s="17">
        <f t="shared" si="18"/>
        <v>20</v>
      </c>
      <c r="I2531" s="30" t="s">
        <v>955</v>
      </c>
      <c r="J2531" s="80">
        <v>4.0999999999999996</v>
      </c>
      <c r="M2531" t="s">
        <v>4290</v>
      </c>
      <c r="O2531" s="62" t="str">
        <f>IF(E2531="PA",IF(K2531&lt;&gt;"",ISERROR(VLOOKUP(K2531,ABBR!A:D,1,FALSE)),ISERROR(VLOOKUP(C2531,ABBR!A:D,1,FALSE))),"")</f>
        <v/>
      </c>
      <c r="P2531" t="str">
        <f>VLOOKUP(A2531,Groups!A:L,5,FALSE)</f>
        <v>SAMP</v>
      </c>
      <c r="Q2531" s="62" t="str">
        <f>IF(G2531="PA",IF(M2531&lt;&gt;"",ISERROR(VLOOKUP(M2531,ABBR!C:F,1,FALSE)),ISERROR(VLOOKUP(E2531,ABBR!C:F,1,FALSE))),"")</f>
        <v/>
      </c>
    </row>
    <row r="2532" spans="1:17" ht="14.5" hidden="1" x14ac:dyDescent="0.25">
      <c r="A2532" s="16" t="s">
        <v>299</v>
      </c>
      <c r="B2532" s="43"/>
      <c r="C2532" s="16" t="s">
        <v>4312</v>
      </c>
      <c r="D2532" s="17"/>
      <c r="E2532" s="17" t="s">
        <v>608</v>
      </c>
      <c r="F2532" s="18" t="s">
        <v>4313</v>
      </c>
      <c r="G2532" s="51" t="s">
        <v>4314</v>
      </c>
      <c r="H2532" s="17">
        <f t="shared" si="18"/>
        <v>21</v>
      </c>
      <c r="I2532" s="30" t="s">
        <v>955</v>
      </c>
      <c r="J2532" s="80">
        <v>4.0999999999999996</v>
      </c>
      <c r="M2532" t="s">
        <v>4290</v>
      </c>
      <c r="O2532" s="62" t="str">
        <f>IF(E2532="PA",IF(K2532&lt;&gt;"",ISERROR(VLOOKUP(K2532,ABBR!A:D,1,FALSE)),ISERROR(VLOOKUP(C2532,ABBR!A:D,1,FALSE))),"")</f>
        <v/>
      </c>
      <c r="P2532" t="str">
        <f>VLOOKUP(A2532,Groups!A:L,5,FALSE)</f>
        <v>SAMP</v>
      </c>
      <c r="Q2532" s="62" t="str">
        <f>IF(G2532="PA",IF(M2532&lt;&gt;"",ISERROR(VLOOKUP(M2532,ABBR!C:F,1,FALSE)),ISERROR(VLOOKUP(E2532,ABBR!C:F,1,FALSE))),"")</f>
        <v/>
      </c>
    </row>
    <row r="2533" spans="1:17" ht="14.5" hidden="1" x14ac:dyDescent="0.25">
      <c r="A2533" s="16" t="s">
        <v>299</v>
      </c>
      <c r="B2533" s="43"/>
      <c r="C2533" s="16" t="s">
        <v>4315</v>
      </c>
      <c r="D2533" s="17"/>
      <c r="E2533" s="17" t="s">
        <v>608</v>
      </c>
      <c r="F2533" s="18" t="s">
        <v>4316</v>
      </c>
      <c r="G2533" s="51" t="s">
        <v>4317</v>
      </c>
      <c r="H2533" s="17">
        <f t="shared" si="18"/>
        <v>22</v>
      </c>
      <c r="I2533" s="30" t="s">
        <v>955</v>
      </c>
      <c r="J2533" s="80">
        <v>4.0999999999999996</v>
      </c>
      <c r="M2533" t="s">
        <v>4290</v>
      </c>
      <c r="O2533" s="62" t="str">
        <f>IF(E2533="PA",IF(K2533&lt;&gt;"",ISERROR(VLOOKUP(K2533,ABBR!A:D,1,FALSE)),ISERROR(VLOOKUP(C2533,ABBR!A:D,1,FALSE))),"")</f>
        <v/>
      </c>
      <c r="P2533" t="str">
        <f>VLOOKUP(A2533,Groups!A:L,5,FALSE)</f>
        <v>SAMP</v>
      </c>
      <c r="Q2533" s="62" t="str">
        <f>IF(G2533="PA",IF(M2533&lt;&gt;"",ISERROR(VLOOKUP(M2533,ABBR!C:F,1,FALSE)),ISERROR(VLOOKUP(E2533,ABBR!C:F,1,FALSE))),"")</f>
        <v/>
      </c>
    </row>
    <row r="2534" spans="1:17" hidden="1" x14ac:dyDescent="0.25">
      <c r="A2534" s="16" t="s">
        <v>299</v>
      </c>
      <c r="B2534" s="17"/>
      <c r="C2534" s="16" t="s">
        <v>4291</v>
      </c>
      <c r="D2534" s="17"/>
      <c r="E2534" s="17" t="s">
        <v>608</v>
      </c>
      <c r="F2534" s="18" t="s">
        <v>921</v>
      </c>
      <c r="G2534" s="94" t="s">
        <v>922</v>
      </c>
      <c r="H2534" s="17">
        <f t="shared" si="18"/>
        <v>23</v>
      </c>
      <c r="I2534" s="30" t="s">
        <v>955</v>
      </c>
      <c r="J2534" s="80">
        <v>4.0999999999999996</v>
      </c>
      <c r="L2534" s="62"/>
      <c r="M2534" s="101"/>
      <c r="O2534" s="62" t="str">
        <f>IF(E2534="PA",IF(K2534&lt;&gt;"",ISERROR(VLOOKUP(K2534,ABBR!A:D,1,FALSE)),ISERROR(VLOOKUP(C2534,ABBR!A:D,1,FALSE))),"")</f>
        <v/>
      </c>
      <c r="P2534" t="str">
        <f>VLOOKUP(A2534,Groups!A:L,5,FALSE)</f>
        <v>SAMP</v>
      </c>
      <c r="Q2534" s="62" t="str">
        <f>IF(G2534="PA",IF(M2534&lt;&gt;"",ISERROR(VLOOKUP(M2534,ABBR!C:F,1,FALSE)),ISERROR(VLOOKUP(E2534,ABBR!C:F,1,FALSE))),"")</f>
        <v/>
      </c>
    </row>
    <row r="2535" spans="1:17" ht="14.5" hidden="1" x14ac:dyDescent="0.25">
      <c r="A2535" s="16" t="s">
        <v>299</v>
      </c>
      <c r="B2535" s="43"/>
      <c r="C2535" s="16" t="s">
        <v>4318</v>
      </c>
      <c r="D2535" s="17"/>
      <c r="E2535" s="17" t="s">
        <v>608</v>
      </c>
      <c r="F2535" s="18" t="s">
        <v>1935</v>
      </c>
      <c r="G2535" s="49" t="s">
        <v>16</v>
      </c>
      <c r="H2535" s="17">
        <f t="shared" si="18"/>
        <v>24</v>
      </c>
      <c r="I2535" s="30" t="s">
        <v>955</v>
      </c>
      <c r="J2535" s="80">
        <v>4.0999999999999996</v>
      </c>
      <c r="M2535" s="101"/>
      <c r="O2535" s="62" t="str">
        <f>IF(E2535="PA",IF(K2535&lt;&gt;"",ISERROR(VLOOKUP(K2535,ABBR!A:D,1,FALSE)),ISERROR(VLOOKUP(C2535,ABBR!A:D,1,FALSE))),"")</f>
        <v/>
      </c>
      <c r="P2535" t="str">
        <f>VLOOKUP(A2535,Groups!A:L,5,FALSE)</f>
        <v>SAMP</v>
      </c>
      <c r="Q2535" s="62" t="str">
        <f>IF(G2535="PA",IF(M2535&lt;&gt;"",ISERROR(VLOOKUP(M2535,ABBR!C:F,1,FALSE)),ISERROR(VLOOKUP(E2535,ABBR!C:F,1,FALSE))),"")</f>
        <v/>
      </c>
    </row>
    <row r="2536" spans="1:17" ht="14.5" hidden="1" x14ac:dyDescent="0.25">
      <c r="A2536" s="16" t="s">
        <v>299</v>
      </c>
      <c r="B2536" s="43"/>
      <c r="C2536" s="16" t="s">
        <v>4319</v>
      </c>
      <c r="D2536" s="17"/>
      <c r="E2536" s="17" t="s">
        <v>608</v>
      </c>
      <c r="F2536" s="18" t="s">
        <v>918</v>
      </c>
      <c r="G2536" s="51" t="s">
        <v>4320</v>
      </c>
      <c r="H2536" s="17">
        <f t="shared" si="18"/>
        <v>25</v>
      </c>
      <c r="I2536" s="30" t="s">
        <v>955</v>
      </c>
      <c r="J2536" s="80">
        <v>4.0999999999999996</v>
      </c>
      <c r="M2536" t="s">
        <v>4290</v>
      </c>
      <c r="O2536" s="62" t="str">
        <f>IF(E2536="PA",IF(K2536&lt;&gt;"",ISERROR(VLOOKUP(K2536,ABBR!A:D,1,FALSE)),ISERROR(VLOOKUP(C2536,ABBR!A:D,1,FALSE))),"")</f>
        <v/>
      </c>
      <c r="P2536" t="str">
        <f>VLOOKUP(A2536,Groups!A:L,5,FALSE)</f>
        <v>SAMP</v>
      </c>
      <c r="Q2536" s="62" t="str">
        <f>IF(G2536="PA",IF(M2536&lt;&gt;"",ISERROR(VLOOKUP(M2536,ABBR!C:F,1,FALSE)),ISERROR(VLOOKUP(E2536,ABBR!C:F,1,FALSE))),"")</f>
        <v/>
      </c>
    </row>
    <row r="2537" spans="1:17" ht="14.5" hidden="1" x14ac:dyDescent="0.25">
      <c r="A2537" s="16" t="s">
        <v>299</v>
      </c>
      <c r="B2537" s="43"/>
      <c r="C2537" s="16" t="s">
        <v>4321</v>
      </c>
      <c r="D2537" s="17"/>
      <c r="E2537" s="17" t="s">
        <v>608</v>
      </c>
      <c r="F2537" s="18" t="s">
        <v>1943</v>
      </c>
      <c r="G2537" s="51" t="s">
        <v>4322</v>
      </c>
      <c r="H2537" s="17">
        <f t="shared" si="18"/>
        <v>26</v>
      </c>
      <c r="I2537" s="30" t="s">
        <v>955</v>
      </c>
      <c r="J2537" s="80">
        <v>4.0999999999999996</v>
      </c>
      <c r="O2537" s="62" t="str">
        <f>IF(E2537="PA",IF(K2537&lt;&gt;"",ISERROR(VLOOKUP(K2537,ABBR!A:D,1,FALSE)),ISERROR(VLOOKUP(C2537,ABBR!A:D,1,FALSE))),"")</f>
        <v/>
      </c>
      <c r="P2537" t="str">
        <f>VLOOKUP(A2537,Groups!A:L,5,FALSE)</f>
        <v>SAMP</v>
      </c>
      <c r="Q2537" s="62" t="str">
        <f>IF(G2537="PA",IF(M2537&lt;&gt;"",ISERROR(VLOOKUP(M2537,ABBR!C:F,1,FALSE)),ISERROR(VLOOKUP(E2537,ABBR!C:F,1,FALSE))),"")</f>
        <v/>
      </c>
    </row>
    <row r="2538" spans="1:17" ht="25" hidden="1" x14ac:dyDescent="0.25">
      <c r="A2538" s="16" t="s">
        <v>299</v>
      </c>
      <c r="B2538" s="43"/>
      <c r="C2538" s="16" t="s">
        <v>4323</v>
      </c>
      <c r="D2538" s="17"/>
      <c r="E2538" s="17" t="s">
        <v>608</v>
      </c>
      <c r="F2538" s="18" t="s">
        <v>4324</v>
      </c>
      <c r="G2538" s="51" t="s">
        <v>953</v>
      </c>
      <c r="H2538" s="17">
        <f t="shared" si="18"/>
        <v>27</v>
      </c>
      <c r="I2538" s="30" t="s">
        <v>955</v>
      </c>
      <c r="J2538" s="80">
        <v>4.0999999999999996</v>
      </c>
      <c r="M2538" t="s">
        <v>4290</v>
      </c>
      <c r="O2538" s="62" t="str">
        <f>IF(E2538="PA",IF(K2538&lt;&gt;"",ISERROR(VLOOKUP(K2538,ABBR!A:D,1,FALSE)),ISERROR(VLOOKUP(C2538,ABBR!A:D,1,FALSE))),"")</f>
        <v/>
      </c>
      <c r="P2538" t="str">
        <f>VLOOKUP(A2538,Groups!A:L,5,FALSE)</f>
        <v>SAMP</v>
      </c>
      <c r="Q2538" s="62" t="str">
        <f>IF(G2538="PA",IF(M2538&lt;&gt;"",ISERROR(VLOOKUP(M2538,ABBR!C:F,1,FALSE)),ISERROR(VLOOKUP(E2538,ABBR!C:F,1,FALSE))),"")</f>
        <v/>
      </c>
    </row>
    <row r="2539" spans="1:17" ht="14.5" hidden="1" x14ac:dyDescent="0.25">
      <c r="A2539" s="16" t="s">
        <v>299</v>
      </c>
      <c r="B2539" s="43"/>
      <c r="C2539" s="16" t="s">
        <v>936</v>
      </c>
      <c r="D2539" s="17"/>
      <c r="E2539" s="17" t="s">
        <v>608</v>
      </c>
      <c r="F2539" s="18" t="s">
        <v>937</v>
      </c>
      <c r="G2539" s="51" t="s">
        <v>938</v>
      </c>
      <c r="H2539" s="17">
        <f t="shared" si="18"/>
        <v>28</v>
      </c>
      <c r="I2539" s="30" t="s">
        <v>955</v>
      </c>
      <c r="J2539" s="80">
        <v>4.0999999999999996</v>
      </c>
      <c r="M2539" s="62" t="s">
        <v>8795</v>
      </c>
      <c r="O2539" s="62" t="str">
        <f>IF(E2539="PA",IF(K2539&lt;&gt;"",ISERROR(VLOOKUP(K2539,ABBR!A:D,1,FALSE)),ISERROR(VLOOKUP(C2539,ABBR!A:D,1,FALSE))),"")</f>
        <v/>
      </c>
      <c r="P2539" t="str">
        <f>VLOOKUP(A2539,Groups!A:L,5,FALSE)</f>
        <v>SAMP</v>
      </c>
      <c r="Q2539" s="62" t="str">
        <f>IF(G2539="PA",IF(M2539&lt;&gt;"",ISERROR(VLOOKUP(M2539,ABBR!C:F,1,FALSE)),ISERROR(VLOOKUP(E2539,ABBR!C:F,1,FALSE))),"")</f>
        <v/>
      </c>
    </row>
    <row r="2540" spans="1:17" ht="14.5" hidden="1" x14ac:dyDescent="0.25">
      <c r="A2540" s="16" t="s">
        <v>299</v>
      </c>
      <c r="B2540" s="43"/>
      <c r="C2540" s="16" t="s">
        <v>643</v>
      </c>
      <c r="D2540" s="17"/>
      <c r="E2540" s="17" t="s">
        <v>608</v>
      </c>
      <c r="F2540" s="18" t="s">
        <v>1714</v>
      </c>
      <c r="G2540" s="51" t="s">
        <v>4378</v>
      </c>
      <c r="H2540" s="17">
        <f t="shared" si="18"/>
        <v>29</v>
      </c>
      <c r="I2540" s="30" t="s">
        <v>955</v>
      </c>
      <c r="J2540" s="80">
        <v>4.0999999999999996</v>
      </c>
      <c r="M2540" s="62" t="s">
        <v>8798</v>
      </c>
      <c r="O2540" s="62" t="str">
        <f>IF(E2540="PA",IF(K2540&lt;&gt;"",ISERROR(VLOOKUP(K2540,ABBR!A:D,1,FALSE)),ISERROR(VLOOKUP(C2540,ABBR!A:D,1,FALSE))),"")</f>
        <v/>
      </c>
      <c r="P2540" t="str">
        <f>VLOOKUP(A2540,Groups!A:L,5,FALSE)</f>
        <v>SAMP</v>
      </c>
      <c r="Q2540" s="62" t="str">
        <f>IF(G2540="PA",IF(M2540&lt;&gt;"",ISERROR(VLOOKUP(M2540,ABBR!C:F,1,FALSE)),ISERROR(VLOOKUP(E2540,ABBR!C:F,1,FALSE))),"")</f>
        <v/>
      </c>
    </row>
    <row r="2541" spans="1:17" hidden="1" x14ac:dyDescent="0.25">
      <c r="A2541" s="16" t="s">
        <v>299</v>
      </c>
      <c r="B2541" s="17"/>
      <c r="C2541" s="16" t="s">
        <v>4326</v>
      </c>
      <c r="D2541" s="17"/>
      <c r="E2541" s="17" t="s">
        <v>608</v>
      </c>
      <c r="F2541" s="18" t="s">
        <v>875</v>
      </c>
      <c r="G2541" s="49" t="s">
        <v>876</v>
      </c>
      <c r="H2541" s="17">
        <f t="shared" si="18"/>
        <v>30</v>
      </c>
      <c r="J2541" s="7" t="s">
        <v>473</v>
      </c>
      <c r="K2541" s="62"/>
      <c r="L2541" s="62"/>
      <c r="M2541" s="62"/>
      <c r="N2541" s="62"/>
      <c r="O2541" s="62" t="str">
        <f>IF(E2541="PA",IF(K2541&lt;&gt;"",ISERROR(VLOOKUP(K2541,ABBR!A:D,1,FALSE)),ISERROR(VLOOKUP(C2541,ABBR!A:D,1,FALSE))),"")</f>
        <v/>
      </c>
      <c r="P2541" t="str">
        <f>VLOOKUP(A2541,Groups!A:L,5,FALSE)</f>
        <v>SAMP</v>
      </c>
      <c r="Q2541" s="62" t="str">
        <f>IF(G2541="PA",IF(M2541&lt;&gt;"",ISERROR(VLOOKUP(M2541,ABBR!C:F,1,FALSE)),ISERROR(VLOOKUP(E2541,ABBR!C:F,1,FALSE))),"")</f>
        <v/>
      </c>
    </row>
    <row r="2542" spans="1:17" hidden="1" x14ac:dyDescent="0.25">
      <c r="A2542" s="16" t="s">
        <v>299</v>
      </c>
      <c r="B2542" s="17"/>
      <c r="C2542" s="16" t="s">
        <v>4327</v>
      </c>
      <c r="D2542" s="17" t="s">
        <v>3739</v>
      </c>
      <c r="E2542" s="17" t="s">
        <v>723</v>
      </c>
      <c r="F2542" s="18" t="s">
        <v>4328</v>
      </c>
      <c r="G2542" s="49" t="s">
        <v>4329</v>
      </c>
      <c r="H2542" s="17">
        <f t="shared" si="18"/>
        <v>31</v>
      </c>
      <c r="J2542" s="62" t="s">
        <v>532</v>
      </c>
      <c r="K2542" s="62"/>
      <c r="L2542" s="62"/>
      <c r="M2542" s="62"/>
      <c r="N2542" s="62"/>
      <c r="O2542" s="62" t="str">
        <f>IF(E2542="PA",IF(K2542&lt;&gt;"",ISERROR(VLOOKUP(K2542,ABBR!A:D,1,FALSE)),ISERROR(VLOOKUP(C2542,ABBR!A:D,1,FALSE))),"")</f>
        <v/>
      </c>
      <c r="P2542" t="str">
        <f>VLOOKUP(A2542,Groups!A:L,5,FALSE)</f>
        <v>SAMP</v>
      </c>
      <c r="Q2542" s="62" t="str">
        <f>IF(G2542="PA",IF(M2542&lt;&gt;"",ISERROR(VLOOKUP(M2542,ABBR!C:F,1,FALSE)),ISERROR(VLOOKUP(E2542,ABBR!C:F,1,FALSE))),"")</f>
        <v/>
      </c>
    </row>
    <row r="2543" spans="1:17" hidden="1" x14ac:dyDescent="0.25">
      <c r="A2543" s="16" t="s">
        <v>299</v>
      </c>
      <c r="B2543" s="17"/>
      <c r="C2543" s="16" t="s">
        <v>4330</v>
      </c>
      <c r="D2543" s="17" t="s">
        <v>722</v>
      </c>
      <c r="E2543" s="17" t="s">
        <v>723</v>
      </c>
      <c r="F2543" s="18" t="s">
        <v>1725</v>
      </c>
      <c r="G2543" s="49"/>
      <c r="H2543" s="17">
        <f t="shared" si="18"/>
        <v>32</v>
      </c>
      <c r="J2543" s="62" t="s">
        <v>532</v>
      </c>
      <c r="K2543" s="62"/>
      <c r="L2543" s="62"/>
      <c r="M2543" s="101" t="s">
        <v>1044</v>
      </c>
      <c r="N2543" s="62"/>
      <c r="O2543" s="62" t="str">
        <f>IF(E2543="PA",IF(K2543&lt;&gt;"",ISERROR(VLOOKUP(K2543,ABBR!A:D,1,FALSE)),ISERROR(VLOOKUP(C2543,ABBR!A:D,1,FALSE))),"")</f>
        <v/>
      </c>
      <c r="P2543" t="str">
        <f>VLOOKUP(A2543,Groups!A:L,5,FALSE)</f>
        <v>SAMP</v>
      </c>
      <c r="Q2543" s="62" t="str">
        <f>IF(G2543="PA",IF(M2543&lt;&gt;"",ISERROR(VLOOKUP(M2543,ABBR!C:F,1,FALSE)),ISERROR(VLOOKUP(E2543,ABBR!C:F,1,FALSE))),"")</f>
        <v/>
      </c>
    </row>
    <row r="2544" spans="1:17" hidden="1" x14ac:dyDescent="0.25">
      <c r="A2544" s="16" t="s">
        <v>299</v>
      </c>
      <c r="B2544" s="17"/>
      <c r="C2544" s="16" t="s">
        <v>4331</v>
      </c>
      <c r="D2544" s="17" t="s">
        <v>722</v>
      </c>
      <c r="E2544" s="17" t="s">
        <v>723</v>
      </c>
      <c r="F2544" s="18" t="s">
        <v>4332</v>
      </c>
      <c r="G2544" s="49"/>
      <c r="H2544" s="17">
        <f t="shared" si="18"/>
        <v>33</v>
      </c>
      <c r="J2544" s="62" t="s">
        <v>532</v>
      </c>
      <c r="K2544" s="62"/>
      <c r="L2544" s="62"/>
      <c r="M2544" s="101" t="s">
        <v>1044</v>
      </c>
      <c r="N2544" s="62"/>
      <c r="O2544" s="62" t="str">
        <f>IF(E2544="PA",IF(K2544&lt;&gt;"",ISERROR(VLOOKUP(K2544,ABBR!A:D,1,FALSE)),ISERROR(VLOOKUP(C2544,ABBR!A:D,1,FALSE))),"")</f>
        <v/>
      </c>
      <c r="P2544" t="str">
        <f>VLOOKUP(A2544,Groups!A:L,5,FALSE)</f>
        <v>SAMP</v>
      </c>
      <c r="Q2544" s="62" t="str">
        <f>IF(G2544="PA",IF(M2544&lt;&gt;"",ISERROR(VLOOKUP(M2544,ABBR!C:F,1,FALSE)),ISERROR(VLOOKUP(E2544,ABBR!C:F,1,FALSE))),"")</f>
        <v/>
      </c>
    </row>
    <row r="2545" spans="1:17" ht="25" hidden="1" x14ac:dyDescent="0.25">
      <c r="A2545" s="16" t="s">
        <v>299</v>
      </c>
      <c r="B2545" s="17"/>
      <c r="C2545" s="16" t="s">
        <v>4333</v>
      </c>
      <c r="D2545" s="17"/>
      <c r="E2545" s="17"/>
      <c r="F2545" s="18" t="s">
        <v>4334</v>
      </c>
      <c r="G2545" s="49"/>
      <c r="H2545" s="17">
        <f t="shared" si="18"/>
        <v>34</v>
      </c>
      <c r="J2545" s="62" t="s">
        <v>532</v>
      </c>
      <c r="K2545" s="62"/>
      <c r="L2545" s="62"/>
      <c r="M2545" s="101" t="s">
        <v>1044</v>
      </c>
      <c r="N2545" s="62"/>
      <c r="O2545" s="62" t="str">
        <f>IF(E2545="PA",IF(K2545&lt;&gt;"",ISERROR(VLOOKUP(K2545,ABBR!A:D,1,FALSE)),ISERROR(VLOOKUP(C2545,ABBR!A:D,1,FALSE))),"")</f>
        <v/>
      </c>
      <c r="P2545" t="str">
        <f>VLOOKUP(A2545,Groups!A:L,5,FALSE)</f>
        <v>SAMP</v>
      </c>
      <c r="Q2545" s="62" t="str">
        <f>IF(G2545="PA",IF(M2545&lt;&gt;"",ISERROR(VLOOKUP(M2545,ABBR!C:F,1,FALSE)),ISERROR(VLOOKUP(E2545,ABBR!C:F,1,FALSE))),"")</f>
        <v/>
      </c>
    </row>
    <row r="2546" spans="1:17" hidden="1" x14ac:dyDescent="0.25">
      <c r="A2546" s="16" t="s">
        <v>299</v>
      </c>
      <c r="B2546" s="17"/>
      <c r="C2546" s="16" t="s">
        <v>4335</v>
      </c>
      <c r="D2546" s="17"/>
      <c r="E2546" s="17" t="s">
        <v>608</v>
      </c>
      <c r="F2546" s="18" t="s">
        <v>929</v>
      </c>
      <c r="G2546" s="49" t="s">
        <v>876</v>
      </c>
      <c r="H2546" s="17">
        <f t="shared" si="18"/>
        <v>35</v>
      </c>
      <c r="J2546" s="7" t="s">
        <v>473</v>
      </c>
      <c r="K2546" s="62"/>
      <c r="L2546" s="62"/>
      <c r="M2546" s="62" t="s">
        <v>4336</v>
      </c>
      <c r="N2546" s="62"/>
      <c r="O2546" s="62" t="str">
        <f>IF(E2546="PA",IF(K2546&lt;&gt;"",ISERROR(VLOOKUP(K2546,ABBR!A:D,1,FALSE)),ISERROR(VLOOKUP(C2546,ABBR!A:D,1,FALSE))),"")</f>
        <v/>
      </c>
      <c r="P2546" t="str">
        <f>VLOOKUP(A2546,Groups!A:L,5,FALSE)</f>
        <v>SAMP</v>
      </c>
      <c r="Q2546" s="62" t="str">
        <f>IF(G2546="PA",IF(M2546&lt;&gt;"",ISERROR(VLOOKUP(M2546,ABBR!C:F,1,FALSE)),ISERROR(VLOOKUP(E2546,ABBR!C:F,1,FALSE))),"")</f>
        <v/>
      </c>
    </row>
    <row r="2547" spans="1:17" hidden="1" x14ac:dyDescent="0.25">
      <c r="A2547" s="16" t="s">
        <v>299</v>
      </c>
      <c r="B2547" s="17"/>
      <c r="C2547" s="16" t="s">
        <v>4337</v>
      </c>
      <c r="D2547" s="17" t="s">
        <v>924</v>
      </c>
      <c r="E2547" s="17" t="s">
        <v>925</v>
      </c>
      <c r="F2547" s="18" t="s">
        <v>4338</v>
      </c>
      <c r="G2547" s="49" t="s">
        <v>927</v>
      </c>
      <c r="H2547" s="17">
        <f t="shared" si="18"/>
        <v>36</v>
      </c>
      <c r="J2547" s="62" t="s">
        <v>532</v>
      </c>
      <c r="K2547" s="62"/>
      <c r="L2547" s="62"/>
      <c r="M2547" s="62" t="s">
        <v>4336</v>
      </c>
      <c r="N2547" s="62"/>
      <c r="O2547" s="62" t="str">
        <f>IF(E2547="PA",IF(K2547&lt;&gt;"",ISERROR(VLOOKUP(K2547,ABBR!A:D,1,FALSE)),ISERROR(VLOOKUP(C2547,ABBR!A:D,1,FALSE))),"")</f>
        <v/>
      </c>
      <c r="P2547" t="str">
        <f>VLOOKUP(A2547,Groups!A:L,5,FALSE)</f>
        <v>SAMP</v>
      </c>
      <c r="Q2547" s="62" t="str">
        <f>IF(G2547="PA",IF(M2547&lt;&gt;"",ISERROR(VLOOKUP(M2547,ABBR!C:F,1,FALSE)),ISERROR(VLOOKUP(E2547,ABBR!C:F,1,FALSE))),"")</f>
        <v/>
      </c>
    </row>
    <row r="2548" spans="1:17" hidden="1" x14ac:dyDescent="0.25">
      <c r="A2548" s="16" t="s">
        <v>575</v>
      </c>
      <c r="B2548" s="17" t="s">
        <v>594</v>
      </c>
      <c r="C2548" s="16" t="s">
        <v>595</v>
      </c>
      <c r="D2548" s="17"/>
      <c r="E2548" s="17" t="s">
        <v>596</v>
      </c>
      <c r="F2548" s="18" t="s">
        <v>597</v>
      </c>
      <c r="G2548" s="49" t="s">
        <v>598</v>
      </c>
      <c r="H2548" s="17">
        <v>1</v>
      </c>
      <c r="J2548" s="62" t="s">
        <v>532</v>
      </c>
      <c r="K2548" s="62"/>
      <c r="L2548" s="62"/>
      <c r="M2548" s="62"/>
      <c r="N2548" s="62"/>
      <c r="O2548" s="62" t="str">
        <f>IF(E2548="PA",IF(K2548&lt;&gt;"",ISERROR(VLOOKUP(K2548,ABBR!A:D,1,FALSE)),ISERROR(VLOOKUP(C2548,ABBR!A:D,1,FALSE))),"")</f>
        <v/>
      </c>
      <c r="P2548" t="str">
        <f>VLOOKUP(A2548,Groups!A:L,5,FALSE)</f>
        <v>LTCH</v>
      </c>
      <c r="Q2548" s="62" t="str">
        <f>IF(G2548="PA",IF(M2548&lt;&gt;"",ISERROR(VLOOKUP(M2548,ABBR!C:F,1,FALSE)),ISERROR(VLOOKUP(E2548,ABBR!C:F,1,FALSE))),"")</f>
        <v/>
      </c>
    </row>
    <row r="2549" spans="1:17" hidden="1" x14ac:dyDescent="0.25">
      <c r="A2549" s="16" t="s">
        <v>575</v>
      </c>
      <c r="B2549" s="17" t="s">
        <v>594</v>
      </c>
      <c r="C2549" s="16" t="s">
        <v>851</v>
      </c>
      <c r="D2549" s="17" t="s">
        <v>600</v>
      </c>
      <c r="E2549" s="17" t="s">
        <v>601</v>
      </c>
      <c r="F2549" s="18" t="s">
        <v>852</v>
      </c>
      <c r="G2549" s="49" t="s">
        <v>853</v>
      </c>
      <c r="H2549" s="17">
        <v>2</v>
      </c>
      <c r="J2549" s="62" t="s">
        <v>532</v>
      </c>
      <c r="K2549" s="62"/>
      <c r="L2549" s="62"/>
      <c r="M2549" s="62"/>
      <c r="N2549" s="62"/>
      <c r="O2549" s="62" t="str">
        <f>IF(E2549="PA",IF(K2549&lt;&gt;"",ISERROR(VLOOKUP(K2549,ABBR!A:D,1,FALSE)),ISERROR(VLOOKUP(C2549,ABBR!A:D,1,FALSE))),"")</f>
        <v/>
      </c>
      <c r="P2549" t="str">
        <f>VLOOKUP(A2549,Groups!A:L,5,FALSE)</f>
        <v>LTCH</v>
      </c>
      <c r="Q2549" s="62" t="str">
        <f>IF(G2549="PA",IF(M2549&lt;&gt;"",ISERROR(VLOOKUP(M2549,ABBR!C:F,1,FALSE)),ISERROR(VLOOKUP(E2549,ABBR!C:F,1,FALSE))),"")</f>
        <v/>
      </c>
    </row>
    <row r="2550" spans="1:17" hidden="1" x14ac:dyDescent="0.25">
      <c r="A2550" s="16" t="s">
        <v>575</v>
      </c>
      <c r="B2550" s="17" t="s">
        <v>594</v>
      </c>
      <c r="C2550" s="16" t="s">
        <v>854</v>
      </c>
      <c r="D2550" s="17"/>
      <c r="E2550" s="17" t="s">
        <v>608</v>
      </c>
      <c r="F2550" s="18" t="s">
        <v>855</v>
      </c>
      <c r="G2550" s="49" t="s">
        <v>856</v>
      </c>
      <c r="H2550" s="17">
        <v>3</v>
      </c>
      <c r="J2550" s="62" t="s">
        <v>532</v>
      </c>
      <c r="K2550" s="62"/>
      <c r="L2550" s="62"/>
      <c r="M2550" s="62"/>
      <c r="N2550" s="62"/>
      <c r="O2550" s="62" t="str">
        <f>IF(E2550="PA",IF(K2550&lt;&gt;"",ISERROR(VLOOKUP(K2550,ABBR!A:D,1,FALSE)),ISERROR(VLOOKUP(C2550,ABBR!A:D,1,FALSE))),"")</f>
        <v/>
      </c>
      <c r="P2550" t="str">
        <f>VLOOKUP(A2550,Groups!A:L,5,FALSE)</f>
        <v>LTCH</v>
      </c>
      <c r="Q2550" s="62" t="str">
        <f>IF(G2550="PA",IF(M2550&lt;&gt;"",ISERROR(VLOOKUP(M2550,ABBR!C:F,1,FALSE)),ISERROR(VLOOKUP(E2550,ABBR!C:F,1,FALSE))),"")</f>
        <v/>
      </c>
    </row>
    <row r="2551" spans="1:17" hidden="1" x14ac:dyDescent="0.25">
      <c r="A2551" s="16" t="s">
        <v>575</v>
      </c>
      <c r="B2551" s="17" t="s">
        <v>594</v>
      </c>
      <c r="C2551" s="16" t="s">
        <v>857</v>
      </c>
      <c r="D2551" s="17"/>
      <c r="E2551" s="17" t="s">
        <v>618</v>
      </c>
      <c r="F2551" s="18" t="s">
        <v>858</v>
      </c>
      <c r="G2551" s="49" t="s">
        <v>859</v>
      </c>
      <c r="H2551" s="17">
        <v>4</v>
      </c>
      <c r="J2551" s="62" t="s">
        <v>532</v>
      </c>
      <c r="K2551" s="62"/>
      <c r="L2551" s="62"/>
      <c r="M2551" s="62"/>
      <c r="N2551" s="62"/>
      <c r="O2551" s="62" t="b">
        <f>IF(E2551="PA",IF(K2551&lt;&gt;"",ISERROR(VLOOKUP(K2551,ABBR!A:D,1,FALSE)),ISERROR(VLOOKUP(C2551,ABBR!A:D,1,FALSE))),"")</f>
        <v>0</v>
      </c>
      <c r="P2551" t="str">
        <f>VLOOKUP(A2551,Groups!A:L,5,FALSE)</f>
        <v>LTCH</v>
      </c>
      <c r="Q2551" s="62" t="str">
        <f>IF(G2551="PA",IF(M2551&lt;&gt;"",ISERROR(VLOOKUP(M2551,ABBR!C:F,1,FALSE)),ISERROR(VLOOKUP(E2551,ABBR!C:F,1,FALSE))),"")</f>
        <v/>
      </c>
    </row>
    <row r="2552" spans="1:17" hidden="1" x14ac:dyDescent="0.25">
      <c r="A2552" s="16" t="s">
        <v>575</v>
      </c>
      <c r="B2552" s="17" t="s">
        <v>594</v>
      </c>
      <c r="C2552" s="16" t="s">
        <v>860</v>
      </c>
      <c r="D2552" s="17"/>
      <c r="E2552" s="17" t="s">
        <v>596</v>
      </c>
      <c r="F2552" s="18" t="s">
        <v>942</v>
      </c>
      <c r="G2552" s="49" t="s">
        <v>862</v>
      </c>
      <c r="H2552" s="17">
        <v>5</v>
      </c>
      <c r="J2552" s="62" t="s">
        <v>532</v>
      </c>
      <c r="K2552" s="62"/>
      <c r="L2552" s="62"/>
      <c r="M2552" s="62"/>
      <c r="N2552" s="62"/>
      <c r="O2552" s="62" t="str">
        <f>IF(E2552="PA",IF(K2552&lt;&gt;"",ISERROR(VLOOKUP(K2552,ABBR!A:D,1,FALSE)),ISERROR(VLOOKUP(C2552,ABBR!A:D,1,FALSE))),"")</f>
        <v/>
      </c>
      <c r="P2552" t="str">
        <f>VLOOKUP(A2552,Groups!A:L,5,FALSE)</f>
        <v>LTCH</v>
      </c>
      <c r="Q2552" s="62" t="str">
        <f>IF(G2552="PA",IF(M2552&lt;&gt;"",ISERROR(VLOOKUP(M2552,ABBR!C:F,1,FALSE)),ISERROR(VLOOKUP(E2552,ABBR!C:F,1,FALSE))),"")</f>
        <v/>
      </c>
    </row>
    <row r="2553" spans="1:17" hidden="1" x14ac:dyDescent="0.25">
      <c r="A2553" s="16" t="s">
        <v>575</v>
      </c>
      <c r="B2553" s="17" t="s">
        <v>594</v>
      </c>
      <c r="C2553" s="16" t="s">
        <v>863</v>
      </c>
      <c r="D2553" s="17"/>
      <c r="E2553" s="17" t="s">
        <v>608</v>
      </c>
      <c r="F2553" s="18" t="s">
        <v>864</v>
      </c>
      <c r="G2553" s="49" t="s">
        <v>865</v>
      </c>
      <c r="H2553" s="17">
        <v>6</v>
      </c>
      <c r="J2553" s="62" t="s">
        <v>532</v>
      </c>
      <c r="K2553" s="62"/>
      <c r="L2553" s="62"/>
      <c r="M2553" s="62"/>
      <c r="N2553" s="62"/>
      <c r="O2553" s="62" t="str">
        <f>IF(E2553="PA",IF(K2553&lt;&gt;"",ISERROR(VLOOKUP(K2553,ABBR!A:D,1,FALSE)),ISERROR(VLOOKUP(C2553,ABBR!A:D,1,FALSE))),"")</f>
        <v/>
      </c>
      <c r="P2553" t="str">
        <f>VLOOKUP(A2553,Groups!A:L,5,FALSE)</f>
        <v>LTCH</v>
      </c>
      <c r="Q2553" s="62" t="str">
        <f>IF(G2553="PA",IF(M2553&lt;&gt;"",ISERROR(VLOOKUP(M2553,ABBR!C:F,1,FALSE)),ISERROR(VLOOKUP(E2553,ABBR!C:F,1,FALSE))),"")</f>
        <v/>
      </c>
    </row>
    <row r="2554" spans="1:17" hidden="1" x14ac:dyDescent="0.25">
      <c r="A2554" s="16" t="s">
        <v>575</v>
      </c>
      <c r="B2554" s="17" t="s">
        <v>594</v>
      </c>
      <c r="C2554" s="16" t="s">
        <v>866</v>
      </c>
      <c r="D2554" s="17" t="s">
        <v>600</v>
      </c>
      <c r="E2554" s="17" t="s">
        <v>601</v>
      </c>
      <c r="F2554" s="18" t="s">
        <v>867</v>
      </c>
      <c r="G2554" s="49" t="s">
        <v>853</v>
      </c>
      <c r="H2554" s="17">
        <v>7</v>
      </c>
      <c r="J2554" s="62" t="s">
        <v>532</v>
      </c>
      <c r="K2554" s="62"/>
      <c r="L2554" s="62"/>
      <c r="M2554" s="62"/>
      <c r="N2554" s="62"/>
      <c r="O2554" s="62" t="str">
        <f>IF(E2554="PA",IF(K2554&lt;&gt;"",ISERROR(VLOOKUP(K2554,ABBR!A:D,1,FALSE)),ISERROR(VLOOKUP(C2554,ABBR!A:D,1,FALSE))),"")</f>
        <v/>
      </c>
      <c r="P2554" t="str">
        <f>VLOOKUP(A2554,Groups!A:L,5,FALSE)</f>
        <v>LTCH</v>
      </c>
      <c r="Q2554" s="62" t="str">
        <f>IF(G2554="PA",IF(M2554&lt;&gt;"",ISERROR(VLOOKUP(M2554,ABBR!C:F,1,FALSE)),ISERROR(VLOOKUP(E2554,ABBR!C:F,1,FALSE))),"")</f>
        <v/>
      </c>
    </row>
    <row r="2555" spans="1:17" ht="25" hidden="1" x14ac:dyDescent="0.25">
      <c r="A2555" s="16" t="s">
        <v>575</v>
      </c>
      <c r="B2555" s="17" t="s">
        <v>594</v>
      </c>
      <c r="C2555" s="16" t="s">
        <v>4339</v>
      </c>
      <c r="D2555" s="17" t="s">
        <v>893</v>
      </c>
      <c r="E2555" s="17" t="s">
        <v>1699</v>
      </c>
      <c r="F2555" s="18" t="s">
        <v>4340</v>
      </c>
      <c r="G2555" s="49" t="s">
        <v>4341</v>
      </c>
      <c r="H2555" s="17">
        <v>8</v>
      </c>
      <c r="J2555" s="62" t="s">
        <v>532</v>
      </c>
      <c r="K2555" s="62"/>
      <c r="L2555" s="62"/>
      <c r="M2555" s="62"/>
      <c r="N2555" s="62"/>
      <c r="O2555" s="62" t="str">
        <f>IF(E2555="PA",IF(K2555&lt;&gt;"",ISERROR(VLOOKUP(K2555,ABBR!A:D,1,FALSE)),ISERROR(VLOOKUP(C2555,ABBR!A:D,1,FALSE))),"")</f>
        <v/>
      </c>
      <c r="P2555" t="str">
        <f>VLOOKUP(A2555,Groups!A:L,5,FALSE)</f>
        <v>LTCH</v>
      </c>
      <c r="Q2555" s="62" t="str">
        <f>IF(G2555="PA",IF(M2555&lt;&gt;"",ISERROR(VLOOKUP(M2555,ABBR!C:F,1,FALSE)),ISERROR(VLOOKUP(E2555,ABBR!C:F,1,FALSE))),"")</f>
        <v/>
      </c>
    </row>
    <row r="2556" spans="1:17" hidden="1" x14ac:dyDescent="0.25">
      <c r="A2556" s="16" t="s">
        <v>575</v>
      </c>
      <c r="B2556" s="17"/>
      <c r="C2556" s="16" t="s">
        <v>4342</v>
      </c>
      <c r="D2556" s="17" t="s">
        <v>893</v>
      </c>
      <c r="E2556" s="17" t="s">
        <v>1699</v>
      </c>
      <c r="F2556" s="18" t="s">
        <v>4343</v>
      </c>
      <c r="G2556" s="49" t="s">
        <v>4344</v>
      </c>
      <c r="H2556" s="17">
        <v>9</v>
      </c>
      <c r="J2556" s="62" t="s">
        <v>532</v>
      </c>
      <c r="K2556" s="62"/>
      <c r="L2556" s="62"/>
      <c r="M2556" s="62"/>
      <c r="N2556" s="62"/>
      <c r="O2556" s="62" t="str">
        <f>IF(E2556="PA",IF(K2556&lt;&gt;"",ISERROR(VLOOKUP(K2556,ABBR!A:D,1,FALSE)),ISERROR(VLOOKUP(C2556,ABBR!A:D,1,FALSE))),"")</f>
        <v/>
      </c>
      <c r="P2556" t="str">
        <f>VLOOKUP(A2556,Groups!A:L,5,FALSE)</f>
        <v>LTCH</v>
      </c>
      <c r="Q2556" s="62" t="str">
        <f>IF(G2556="PA",IF(M2556&lt;&gt;"",ISERROR(VLOOKUP(M2556,ABBR!C:F,1,FALSE)),ISERROR(VLOOKUP(E2556,ABBR!C:F,1,FALSE))),"")</f>
        <v/>
      </c>
    </row>
    <row r="2557" spans="1:17" hidden="1" x14ac:dyDescent="0.25">
      <c r="A2557" s="16" t="s">
        <v>575</v>
      </c>
      <c r="B2557" s="17"/>
      <c r="C2557" s="16" t="s">
        <v>4345</v>
      </c>
      <c r="D2557" s="17" t="s">
        <v>893</v>
      </c>
      <c r="E2557" s="17" t="s">
        <v>1699</v>
      </c>
      <c r="F2557" s="18" t="s">
        <v>4346</v>
      </c>
      <c r="G2557" s="49" t="s">
        <v>4347</v>
      </c>
      <c r="H2557" s="17">
        <v>10</v>
      </c>
      <c r="J2557" s="62" t="s">
        <v>532</v>
      </c>
      <c r="K2557" s="62"/>
      <c r="L2557" s="62"/>
      <c r="M2557" s="62"/>
      <c r="N2557" s="62"/>
      <c r="O2557" s="62" t="str">
        <f>IF(E2557="PA",IF(K2557&lt;&gt;"",ISERROR(VLOOKUP(K2557,ABBR!A:D,1,FALSE)),ISERROR(VLOOKUP(C2557,ABBR!A:D,1,FALSE))),"")</f>
        <v/>
      </c>
      <c r="P2557" t="str">
        <f>VLOOKUP(A2557,Groups!A:L,5,FALSE)</f>
        <v>LTCH</v>
      </c>
      <c r="Q2557" s="62" t="str">
        <f>IF(G2557="PA",IF(M2557&lt;&gt;"",ISERROR(VLOOKUP(M2557,ABBR!C:F,1,FALSE)),ISERROR(VLOOKUP(E2557,ABBR!C:F,1,FALSE))),"")</f>
        <v/>
      </c>
    </row>
    <row r="2558" spans="1:17" hidden="1" x14ac:dyDescent="0.25">
      <c r="A2558" s="16" t="s">
        <v>575</v>
      </c>
      <c r="B2558" s="17"/>
      <c r="C2558" s="16" t="s">
        <v>4348</v>
      </c>
      <c r="D2558" s="17" t="s">
        <v>3739</v>
      </c>
      <c r="E2558" s="17" t="s">
        <v>723</v>
      </c>
      <c r="F2558" s="18" t="s">
        <v>4349</v>
      </c>
      <c r="G2558" s="49" t="s">
        <v>4350</v>
      </c>
      <c r="H2558" s="17">
        <v>11</v>
      </c>
      <c r="J2558" s="62" t="s">
        <v>532</v>
      </c>
      <c r="K2558" s="62"/>
      <c r="L2558" s="62"/>
      <c r="M2558" s="62"/>
      <c r="N2558" s="62"/>
      <c r="O2558" s="62" t="str">
        <f>IF(E2558="PA",IF(K2558&lt;&gt;"",ISERROR(VLOOKUP(K2558,ABBR!A:D,1,FALSE)),ISERROR(VLOOKUP(C2558,ABBR!A:D,1,FALSE))),"")</f>
        <v/>
      </c>
      <c r="P2558" t="str">
        <f>VLOOKUP(A2558,Groups!A:L,5,FALSE)</f>
        <v>LTCH</v>
      </c>
      <c r="Q2558" s="62" t="str">
        <f>IF(G2558="PA",IF(M2558&lt;&gt;"",ISERROR(VLOOKUP(M2558,ABBR!C:F,1,FALSE)),ISERROR(VLOOKUP(E2558,ABBR!C:F,1,FALSE))),"")</f>
        <v/>
      </c>
    </row>
    <row r="2559" spans="1:17" hidden="1" x14ac:dyDescent="0.25">
      <c r="A2559" s="16" t="s">
        <v>301</v>
      </c>
      <c r="B2559" s="17" t="s">
        <v>594</v>
      </c>
      <c r="C2559" s="16" t="s">
        <v>595</v>
      </c>
      <c r="D2559" s="17"/>
      <c r="E2559" s="17" t="s">
        <v>596</v>
      </c>
      <c r="F2559" s="18" t="s">
        <v>597</v>
      </c>
      <c r="G2559" s="49" t="s">
        <v>598</v>
      </c>
      <c r="H2559" s="17">
        <v>1</v>
      </c>
      <c r="I2559" t="s">
        <v>955</v>
      </c>
      <c r="J2559" s="80">
        <v>4.0999999999999996</v>
      </c>
      <c r="O2559" s="62" t="str">
        <f>IF(E2559="PA",IF(K2559&lt;&gt;"",ISERROR(VLOOKUP(K2559,ABBR!A:D,1,FALSE)),ISERROR(VLOOKUP(C2559,ABBR!A:D,1,FALSE))),"")</f>
        <v/>
      </c>
      <c r="P2559" t="str">
        <f>VLOOKUP(A2559,Groups!A:L,5,FALSE)</f>
        <v>SAMP</v>
      </c>
      <c r="Q2559" s="62" t="str">
        <f>IF(G2559="PA",IF(M2559&lt;&gt;"",ISERROR(VLOOKUP(M2559,ABBR!C:F,1,FALSE)),ISERROR(VLOOKUP(E2559,ABBR!C:F,1,FALSE))),"")</f>
        <v/>
      </c>
    </row>
    <row r="2560" spans="1:17" hidden="1" x14ac:dyDescent="0.25">
      <c r="A2560" s="16" t="s">
        <v>301</v>
      </c>
      <c r="B2560" s="17" t="s">
        <v>594</v>
      </c>
      <c r="C2560" s="16" t="s">
        <v>851</v>
      </c>
      <c r="D2560" s="17" t="s">
        <v>600</v>
      </c>
      <c r="E2560" s="17" t="s">
        <v>601</v>
      </c>
      <c r="F2560" s="18" t="s">
        <v>852</v>
      </c>
      <c r="G2560" s="49" t="s">
        <v>853</v>
      </c>
      <c r="H2560" s="17">
        <v>2</v>
      </c>
      <c r="I2560" t="s">
        <v>955</v>
      </c>
      <c r="J2560" s="80">
        <v>4.0999999999999996</v>
      </c>
      <c r="O2560" s="62" t="str">
        <f>IF(E2560="PA",IF(K2560&lt;&gt;"",ISERROR(VLOOKUP(K2560,ABBR!A:D,1,FALSE)),ISERROR(VLOOKUP(C2560,ABBR!A:D,1,FALSE))),"")</f>
        <v/>
      </c>
      <c r="P2560" t="str">
        <f>VLOOKUP(A2560,Groups!A:L,5,FALSE)</f>
        <v>SAMP</v>
      </c>
      <c r="Q2560" s="62" t="str">
        <f>IF(G2560="PA",IF(M2560&lt;&gt;"",ISERROR(VLOOKUP(M2560,ABBR!C:F,1,FALSE)),ISERROR(VLOOKUP(E2560,ABBR!C:F,1,FALSE))),"")</f>
        <v/>
      </c>
    </row>
    <row r="2561" spans="1:17" hidden="1" x14ac:dyDescent="0.25">
      <c r="A2561" s="16" t="s">
        <v>301</v>
      </c>
      <c r="B2561" s="17" t="s">
        <v>594</v>
      </c>
      <c r="C2561" s="16" t="s">
        <v>854</v>
      </c>
      <c r="D2561" s="17"/>
      <c r="E2561" s="17" t="s">
        <v>608</v>
      </c>
      <c r="F2561" s="18" t="s">
        <v>855</v>
      </c>
      <c r="G2561" s="49" t="s">
        <v>941</v>
      </c>
      <c r="H2561" s="17">
        <v>3</v>
      </c>
      <c r="I2561" t="s">
        <v>955</v>
      </c>
      <c r="J2561" s="80">
        <v>4.0999999999999996</v>
      </c>
      <c r="O2561" s="62" t="str">
        <f>IF(E2561="PA",IF(K2561&lt;&gt;"",ISERROR(VLOOKUP(K2561,ABBR!A:D,1,FALSE)),ISERROR(VLOOKUP(C2561,ABBR!A:D,1,FALSE))),"")</f>
        <v/>
      </c>
      <c r="P2561" t="str">
        <f>VLOOKUP(A2561,Groups!A:L,5,FALSE)</f>
        <v>SAMP</v>
      </c>
      <c r="Q2561" s="62" t="str">
        <f>IF(G2561="PA",IF(M2561&lt;&gt;"",ISERROR(VLOOKUP(M2561,ABBR!C:F,1,FALSE)),ISERROR(VLOOKUP(E2561,ABBR!C:F,1,FALSE))),"")</f>
        <v/>
      </c>
    </row>
    <row r="2562" spans="1:17" hidden="1" x14ac:dyDescent="0.25">
      <c r="A2562" s="16" t="s">
        <v>301</v>
      </c>
      <c r="B2562" s="17" t="s">
        <v>594</v>
      </c>
      <c r="C2562" s="16" t="s">
        <v>857</v>
      </c>
      <c r="D2562" s="17"/>
      <c r="E2562" s="17" t="s">
        <v>618</v>
      </c>
      <c r="F2562" s="18" t="s">
        <v>858</v>
      </c>
      <c r="G2562" s="49" t="s">
        <v>859</v>
      </c>
      <c r="H2562" s="17">
        <v>4</v>
      </c>
      <c r="I2562" t="s">
        <v>955</v>
      </c>
      <c r="J2562" s="80">
        <v>4.0999999999999996</v>
      </c>
      <c r="O2562" s="62" t="b">
        <f>IF(E2562="PA",IF(K2562&lt;&gt;"",ISERROR(VLOOKUP(K2562,ABBR!A:D,1,FALSE)),ISERROR(VLOOKUP(C2562,ABBR!A:D,1,FALSE))),"")</f>
        <v>0</v>
      </c>
      <c r="P2562" t="str">
        <f>VLOOKUP(A2562,Groups!A:L,5,FALSE)</f>
        <v>SAMP</v>
      </c>
      <c r="Q2562" s="62" t="str">
        <f>IF(G2562="PA",IF(M2562&lt;&gt;"",ISERROR(VLOOKUP(M2562,ABBR!C:F,1,FALSE)),ISERROR(VLOOKUP(E2562,ABBR!C:F,1,FALSE))),"")</f>
        <v/>
      </c>
    </row>
    <row r="2563" spans="1:17" hidden="1" x14ac:dyDescent="0.25">
      <c r="A2563" s="16" t="s">
        <v>301</v>
      </c>
      <c r="B2563" s="17" t="s">
        <v>594</v>
      </c>
      <c r="C2563" s="16" t="s">
        <v>860</v>
      </c>
      <c r="D2563" s="17"/>
      <c r="E2563" s="17" t="s">
        <v>596</v>
      </c>
      <c r="F2563" s="18" t="s">
        <v>942</v>
      </c>
      <c r="G2563" s="49" t="s">
        <v>862</v>
      </c>
      <c r="H2563" s="17">
        <v>5</v>
      </c>
      <c r="I2563" t="s">
        <v>955</v>
      </c>
      <c r="J2563" s="80">
        <v>4.0999999999999996</v>
      </c>
      <c r="O2563" s="62" t="str">
        <f>IF(E2563="PA",IF(K2563&lt;&gt;"",ISERROR(VLOOKUP(K2563,ABBR!A:D,1,FALSE)),ISERROR(VLOOKUP(C2563,ABBR!A:D,1,FALSE))),"")</f>
        <v/>
      </c>
      <c r="P2563" t="str">
        <f>VLOOKUP(A2563,Groups!A:L,5,FALSE)</f>
        <v>SAMP</v>
      </c>
      <c r="Q2563" s="62" t="str">
        <f>IF(G2563="PA",IF(M2563&lt;&gt;"",ISERROR(VLOOKUP(M2563,ABBR!C:F,1,FALSE)),ISERROR(VLOOKUP(E2563,ABBR!C:F,1,FALSE))),"")</f>
        <v/>
      </c>
    </row>
    <row r="2564" spans="1:17" hidden="1" x14ac:dyDescent="0.25">
      <c r="A2564" s="16" t="s">
        <v>301</v>
      </c>
      <c r="B2564" s="17" t="s">
        <v>594</v>
      </c>
      <c r="C2564" s="16" t="s">
        <v>863</v>
      </c>
      <c r="D2564" s="17"/>
      <c r="E2564" s="17" t="s">
        <v>608</v>
      </c>
      <c r="F2564" s="18" t="s">
        <v>864</v>
      </c>
      <c r="G2564" s="49" t="s">
        <v>865</v>
      </c>
      <c r="H2564" s="17">
        <v>6</v>
      </c>
      <c r="I2564" t="s">
        <v>955</v>
      </c>
      <c r="J2564" s="80">
        <v>4.0999999999999996</v>
      </c>
      <c r="O2564" s="62" t="str">
        <f>IF(E2564="PA",IF(K2564&lt;&gt;"",ISERROR(VLOOKUP(K2564,ABBR!A:D,1,FALSE)),ISERROR(VLOOKUP(C2564,ABBR!A:D,1,FALSE))),"")</f>
        <v/>
      </c>
      <c r="P2564" t="str">
        <f>VLOOKUP(A2564,Groups!A:L,5,FALSE)</f>
        <v>SAMP</v>
      </c>
      <c r="Q2564" s="62" t="str">
        <f>IF(G2564="PA",IF(M2564&lt;&gt;"",ISERROR(VLOOKUP(M2564,ABBR!C:F,1,FALSE)),ISERROR(VLOOKUP(E2564,ABBR!C:F,1,FALSE))),"")</f>
        <v/>
      </c>
    </row>
    <row r="2565" spans="1:17" hidden="1" x14ac:dyDescent="0.25">
      <c r="A2565" s="16" t="s">
        <v>301</v>
      </c>
      <c r="B2565" s="17" t="s">
        <v>594</v>
      </c>
      <c r="C2565" s="16" t="s">
        <v>866</v>
      </c>
      <c r="D2565" s="17" t="s">
        <v>600</v>
      </c>
      <c r="E2565" s="17" t="s">
        <v>601</v>
      </c>
      <c r="F2565" s="18" t="s">
        <v>867</v>
      </c>
      <c r="G2565" s="49" t="s">
        <v>853</v>
      </c>
      <c r="H2565" s="17">
        <v>7</v>
      </c>
      <c r="I2565" t="s">
        <v>955</v>
      </c>
      <c r="J2565" s="80">
        <v>4.0999999999999996</v>
      </c>
      <c r="O2565" s="62" t="str">
        <f>IF(E2565="PA",IF(K2565&lt;&gt;"",ISERROR(VLOOKUP(K2565,ABBR!A:D,1,FALSE)),ISERROR(VLOOKUP(C2565,ABBR!A:D,1,FALSE))),"")</f>
        <v/>
      </c>
      <c r="P2565" t="str">
        <f>VLOOKUP(A2565,Groups!A:L,5,FALSE)</f>
        <v>SAMP</v>
      </c>
      <c r="Q2565" s="62" t="str">
        <f>IF(G2565="PA",IF(M2565&lt;&gt;"",ISERROR(VLOOKUP(M2565,ABBR!C:F,1,FALSE)),ISERROR(VLOOKUP(E2565,ABBR!C:F,1,FALSE))),"")</f>
        <v/>
      </c>
    </row>
    <row r="2566" spans="1:17" ht="25" hidden="1" x14ac:dyDescent="0.25">
      <c r="A2566" s="16" t="s">
        <v>301</v>
      </c>
      <c r="B2566" s="17"/>
      <c r="C2566" s="16" t="s">
        <v>868</v>
      </c>
      <c r="D2566" s="17"/>
      <c r="E2566" s="17" t="s">
        <v>608</v>
      </c>
      <c r="F2566" s="18" t="s">
        <v>869</v>
      </c>
      <c r="G2566" s="49" t="s">
        <v>1269</v>
      </c>
      <c r="H2566" s="17">
        <v>8</v>
      </c>
      <c r="I2566" t="s">
        <v>955</v>
      </c>
      <c r="J2566" s="80">
        <v>4.0999999999999996</v>
      </c>
      <c r="O2566" s="62" t="str">
        <f>IF(E2566="PA",IF(K2566&lt;&gt;"",ISERROR(VLOOKUP(K2566,ABBR!A:D,1,FALSE)),ISERROR(VLOOKUP(C2566,ABBR!A:D,1,FALSE))),"")</f>
        <v/>
      </c>
      <c r="P2566" t="str">
        <f>VLOOKUP(A2566,Groups!A:L,5,FALSE)</f>
        <v>SAMP</v>
      </c>
      <c r="Q2566" s="62" t="str">
        <f>IF(G2566="PA",IF(M2566&lt;&gt;"",ISERROR(VLOOKUP(M2566,ABBR!C:F,1,FALSE)),ISERROR(VLOOKUP(E2566,ABBR!C:F,1,FALSE))),"")</f>
        <v/>
      </c>
    </row>
    <row r="2567" spans="1:17" ht="25" hidden="1" x14ac:dyDescent="0.25">
      <c r="A2567" s="16" t="s">
        <v>301</v>
      </c>
      <c r="B2567" s="17"/>
      <c r="C2567" s="16" t="s">
        <v>871</v>
      </c>
      <c r="D2567" s="17"/>
      <c r="E2567" s="17" t="s">
        <v>608</v>
      </c>
      <c r="F2567" s="18" t="s">
        <v>872</v>
      </c>
      <c r="G2567" s="49" t="s">
        <v>873</v>
      </c>
      <c r="H2567" s="17">
        <v>9</v>
      </c>
      <c r="I2567" t="s">
        <v>955</v>
      </c>
      <c r="J2567" s="80">
        <v>4.0999999999999996</v>
      </c>
      <c r="O2567" s="62" t="str">
        <f>IF(E2567="PA",IF(K2567&lt;&gt;"",ISERROR(VLOOKUP(K2567,ABBR!A:D,1,FALSE)),ISERROR(VLOOKUP(C2567,ABBR!A:D,1,FALSE))),"")</f>
        <v/>
      </c>
      <c r="P2567" t="str">
        <f>VLOOKUP(A2567,Groups!A:L,5,FALSE)</f>
        <v>SAMP</v>
      </c>
      <c r="Q2567" s="62" t="str">
        <f>IF(G2567="PA",IF(M2567&lt;&gt;"",ISERROR(VLOOKUP(M2567,ABBR!C:F,1,FALSE)),ISERROR(VLOOKUP(E2567,ABBR!C:F,1,FALSE))),"")</f>
        <v/>
      </c>
    </row>
    <row r="2568" spans="1:17" hidden="1" x14ac:dyDescent="0.25">
      <c r="A2568" s="16" t="s">
        <v>301</v>
      </c>
      <c r="B2568" s="17"/>
      <c r="C2568" s="16" t="s">
        <v>877</v>
      </c>
      <c r="D2568" s="17" t="s">
        <v>600</v>
      </c>
      <c r="E2568" s="17" t="s">
        <v>601</v>
      </c>
      <c r="F2568" s="18" t="s">
        <v>878</v>
      </c>
      <c r="G2568" s="49" t="s">
        <v>879</v>
      </c>
      <c r="H2568" s="17">
        <v>10</v>
      </c>
      <c r="I2568" t="s">
        <v>955</v>
      </c>
      <c r="J2568" s="80">
        <v>4.0999999999999996</v>
      </c>
      <c r="O2568" s="62" t="str">
        <f>IF(E2568="PA",IF(K2568&lt;&gt;"",ISERROR(VLOOKUP(K2568,ABBR!A:D,1,FALSE)),ISERROR(VLOOKUP(C2568,ABBR!A:D,1,FALSE))),"")</f>
        <v/>
      </c>
      <c r="P2568" t="str">
        <f>VLOOKUP(A2568,Groups!A:L,5,FALSE)</f>
        <v>SAMP</v>
      </c>
      <c r="Q2568" s="62" t="str">
        <f>IF(G2568="PA",IF(M2568&lt;&gt;"",ISERROR(VLOOKUP(M2568,ABBR!C:F,1,FALSE)),ISERROR(VLOOKUP(E2568,ABBR!C:F,1,FALSE))),"")</f>
        <v/>
      </c>
    </row>
    <row r="2569" spans="1:17" hidden="1" x14ac:dyDescent="0.25">
      <c r="A2569" s="16" t="s">
        <v>301</v>
      </c>
      <c r="B2569" s="17"/>
      <c r="C2569" s="16" t="s">
        <v>4351</v>
      </c>
      <c r="D2569" s="17"/>
      <c r="E2569" s="17" t="s">
        <v>608</v>
      </c>
      <c r="F2569" s="18" t="s">
        <v>4352</v>
      </c>
      <c r="G2569" s="94" t="s">
        <v>922</v>
      </c>
      <c r="H2569" s="17">
        <v>11</v>
      </c>
      <c r="I2569" t="s">
        <v>955</v>
      </c>
      <c r="J2569" s="80">
        <v>4.0999999999999996</v>
      </c>
      <c r="M2569" s="101"/>
      <c r="O2569" s="62" t="str">
        <f>IF(E2569="PA",IF(K2569&lt;&gt;"",ISERROR(VLOOKUP(K2569,ABBR!A:D,1,FALSE)),ISERROR(VLOOKUP(C2569,ABBR!A:D,1,FALSE))),"")</f>
        <v/>
      </c>
      <c r="P2569" t="str">
        <f>VLOOKUP(A2569,Groups!A:L,5,FALSE)</f>
        <v>SAMP</v>
      </c>
      <c r="Q2569" s="62" t="str">
        <f>IF(G2569="PA",IF(M2569&lt;&gt;"",ISERROR(VLOOKUP(M2569,ABBR!C:F,1,FALSE)),ISERROR(VLOOKUP(E2569,ABBR!C:F,1,FALSE))),"")</f>
        <v/>
      </c>
    </row>
    <row r="2570" spans="1:17" hidden="1" x14ac:dyDescent="0.25">
      <c r="A2570" s="16" t="s">
        <v>301</v>
      </c>
      <c r="B2570" s="17"/>
      <c r="C2570" s="16" t="s">
        <v>4353</v>
      </c>
      <c r="D2570" s="17"/>
      <c r="E2570" s="17" t="s">
        <v>618</v>
      </c>
      <c r="F2570" s="18" t="s">
        <v>2547</v>
      </c>
      <c r="G2570" s="49" t="s">
        <v>1273</v>
      </c>
      <c r="H2570" s="17">
        <v>12</v>
      </c>
      <c r="I2570" t="s">
        <v>955</v>
      </c>
      <c r="J2570" s="80">
        <v>4.0999999999999996</v>
      </c>
      <c r="O2570" s="62" t="b">
        <f>IF(E2570="PA",IF(K2570&lt;&gt;"",ISERROR(VLOOKUP(K2570,ABBR!A:D,1,FALSE)),ISERROR(VLOOKUP(C2570,ABBR!A:D,1,FALSE))),"")</f>
        <v>0</v>
      </c>
      <c r="P2570" t="str">
        <f>VLOOKUP(A2570,Groups!A:L,5,FALSE)</f>
        <v>SAMP</v>
      </c>
      <c r="Q2570" s="62" t="str">
        <f>IF(G2570="PA",IF(M2570&lt;&gt;"",ISERROR(VLOOKUP(M2570,ABBR!C:F,1,FALSE)),ISERROR(VLOOKUP(E2570,ABBR!C:F,1,FALSE))),"")</f>
        <v/>
      </c>
    </row>
    <row r="2571" spans="1:17" hidden="1" x14ac:dyDescent="0.25">
      <c r="A2571" s="16" t="s">
        <v>301</v>
      </c>
      <c r="B2571" s="17"/>
      <c r="C2571" s="16" t="s">
        <v>4354</v>
      </c>
      <c r="D2571" s="17" t="s">
        <v>722</v>
      </c>
      <c r="E2571" s="17" t="s">
        <v>601</v>
      </c>
      <c r="F2571" s="18" t="s">
        <v>1725</v>
      </c>
      <c r="G2571" s="49" t="s">
        <v>4355</v>
      </c>
      <c r="H2571" s="17">
        <v>13</v>
      </c>
      <c r="I2571" t="s">
        <v>955</v>
      </c>
      <c r="J2571" s="80">
        <v>4.0999999999999996</v>
      </c>
      <c r="O2571" s="62" t="str">
        <f>IF(E2571="PA",IF(K2571&lt;&gt;"",ISERROR(VLOOKUP(K2571,ABBR!A:D,1,FALSE)),ISERROR(VLOOKUP(C2571,ABBR!A:D,1,FALSE))),"")</f>
        <v/>
      </c>
      <c r="P2571" t="str">
        <f>VLOOKUP(A2571,Groups!A:L,5,FALSE)</f>
        <v>SAMP</v>
      </c>
      <c r="Q2571" s="62" t="str">
        <f>IF(G2571="PA",IF(M2571&lt;&gt;"",ISERROR(VLOOKUP(M2571,ABBR!C:F,1,FALSE)),ISERROR(VLOOKUP(E2571,ABBR!C:F,1,FALSE))),"")</f>
        <v/>
      </c>
    </row>
    <row r="2572" spans="1:17" hidden="1" x14ac:dyDescent="0.25">
      <c r="A2572" s="16" t="s">
        <v>301</v>
      </c>
      <c r="B2572" s="17"/>
      <c r="C2572" s="16" t="s">
        <v>4356</v>
      </c>
      <c r="D2572" s="17" t="s">
        <v>722</v>
      </c>
      <c r="E2572" s="17" t="s">
        <v>601</v>
      </c>
      <c r="F2572" s="18" t="s">
        <v>4357</v>
      </c>
      <c r="G2572" s="49" t="s">
        <v>4358</v>
      </c>
      <c r="H2572" s="17">
        <v>14</v>
      </c>
      <c r="I2572" t="s">
        <v>955</v>
      </c>
      <c r="J2572" s="80">
        <v>4.0999999999999996</v>
      </c>
      <c r="O2572" s="62" t="str">
        <f>IF(E2572="PA",IF(K2572&lt;&gt;"",ISERROR(VLOOKUP(K2572,ABBR!A:D,1,FALSE)),ISERROR(VLOOKUP(C2572,ABBR!A:D,1,FALSE))),"")</f>
        <v/>
      </c>
      <c r="P2572" t="str">
        <f>VLOOKUP(A2572,Groups!A:L,5,FALSE)</f>
        <v>SAMP</v>
      </c>
      <c r="Q2572" s="62" t="str">
        <f>IF(G2572="PA",IF(M2572&lt;&gt;"",ISERROR(VLOOKUP(M2572,ABBR!C:F,1,FALSE)),ISERROR(VLOOKUP(E2572,ABBR!C:F,1,FALSE))),"")</f>
        <v/>
      </c>
    </row>
    <row r="2573" spans="1:17" hidden="1" x14ac:dyDescent="0.25">
      <c r="A2573" s="16" t="s">
        <v>301</v>
      </c>
      <c r="B2573" s="17"/>
      <c r="C2573" s="16" t="s">
        <v>4359</v>
      </c>
      <c r="D2573" s="17" t="s">
        <v>766</v>
      </c>
      <c r="E2573" s="17" t="s">
        <v>608</v>
      </c>
      <c r="F2573" s="18" t="s">
        <v>4360</v>
      </c>
      <c r="G2573" s="49" t="s">
        <v>4361</v>
      </c>
      <c r="H2573" s="17">
        <v>15</v>
      </c>
      <c r="I2573" t="s">
        <v>955</v>
      </c>
      <c r="J2573" s="80">
        <v>4.0999999999999996</v>
      </c>
      <c r="O2573" s="62" t="str">
        <f>IF(E2573="PA",IF(K2573&lt;&gt;"",ISERROR(VLOOKUP(K2573,ABBR!A:D,1,FALSE)),ISERROR(VLOOKUP(C2573,ABBR!A:D,1,FALSE))),"")</f>
        <v/>
      </c>
      <c r="P2573" t="str">
        <f>VLOOKUP(A2573,Groups!A:L,5,FALSE)</f>
        <v>SAMP</v>
      </c>
      <c r="Q2573" s="62" t="str">
        <f>IF(G2573="PA",IF(M2573&lt;&gt;"",ISERROR(VLOOKUP(M2573,ABBR!C:F,1,FALSE)),ISERROR(VLOOKUP(E2573,ABBR!C:F,1,FALSE))),"")</f>
        <v/>
      </c>
    </row>
    <row r="2574" spans="1:17" hidden="1" x14ac:dyDescent="0.25">
      <c r="A2574" s="16" t="s">
        <v>301</v>
      </c>
      <c r="B2574" s="17"/>
      <c r="C2574" s="16" t="s">
        <v>4362</v>
      </c>
      <c r="D2574" s="17" t="s">
        <v>1077</v>
      </c>
      <c r="E2574" s="17" t="s">
        <v>601</v>
      </c>
      <c r="F2574" s="18" t="s">
        <v>1339</v>
      </c>
      <c r="G2574" s="49" t="s">
        <v>1530</v>
      </c>
      <c r="H2574" s="17">
        <v>16</v>
      </c>
      <c r="I2574" t="s">
        <v>955</v>
      </c>
      <c r="J2574" s="80">
        <v>4.0999999999999996</v>
      </c>
      <c r="O2574" s="62" t="str">
        <f>IF(E2574="PA",IF(K2574&lt;&gt;"",ISERROR(VLOOKUP(K2574,ABBR!A:D,1,FALSE)),ISERROR(VLOOKUP(C2574,ABBR!A:D,1,FALSE))),"")</f>
        <v/>
      </c>
      <c r="P2574" t="str">
        <f>VLOOKUP(A2574,Groups!A:L,5,FALSE)</f>
        <v>SAMP</v>
      </c>
      <c r="Q2574" s="62" t="str">
        <f>IF(G2574="PA",IF(M2574&lt;&gt;"",ISERROR(VLOOKUP(M2574,ABBR!C:F,1,FALSE)),ISERROR(VLOOKUP(E2574,ABBR!C:F,1,FALSE))),"")</f>
        <v/>
      </c>
    </row>
    <row r="2575" spans="1:17" hidden="1" x14ac:dyDescent="0.25">
      <c r="A2575" s="16" t="s">
        <v>301</v>
      </c>
      <c r="B2575" s="17"/>
      <c r="C2575" s="16" t="s">
        <v>4363</v>
      </c>
      <c r="D2575" s="17" t="s">
        <v>1077</v>
      </c>
      <c r="E2575" s="17" t="s">
        <v>601</v>
      </c>
      <c r="F2575" s="18" t="s">
        <v>1532</v>
      </c>
      <c r="G2575" s="49" t="s">
        <v>1340</v>
      </c>
      <c r="H2575" s="17">
        <v>17</v>
      </c>
      <c r="I2575" t="s">
        <v>955</v>
      </c>
      <c r="J2575" s="80">
        <v>4.0999999999999996</v>
      </c>
      <c r="O2575" s="62" t="str">
        <f>IF(E2575="PA",IF(K2575&lt;&gt;"",ISERROR(VLOOKUP(K2575,ABBR!A:D,1,FALSE)),ISERROR(VLOOKUP(C2575,ABBR!A:D,1,FALSE))),"")</f>
        <v/>
      </c>
      <c r="P2575" t="str">
        <f>VLOOKUP(A2575,Groups!A:L,5,FALSE)</f>
        <v>SAMP</v>
      </c>
      <c r="Q2575" s="62" t="str">
        <f>IF(G2575="PA",IF(M2575&lt;&gt;"",ISERROR(VLOOKUP(M2575,ABBR!C:F,1,FALSE)),ISERROR(VLOOKUP(E2575,ABBR!C:F,1,FALSE))),"")</f>
        <v/>
      </c>
    </row>
    <row r="2576" spans="1:17" hidden="1" x14ac:dyDescent="0.25">
      <c r="A2576" s="16" t="s">
        <v>301</v>
      </c>
      <c r="B2576" s="17"/>
      <c r="C2576" s="16" t="s">
        <v>4364</v>
      </c>
      <c r="D2576" s="17" t="s">
        <v>4365</v>
      </c>
      <c r="E2576" s="17" t="s">
        <v>882</v>
      </c>
      <c r="F2576" s="18" t="s">
        <v>4366</v>
      </c>
      <c r="G2576" s="49" t="s">
        <v>2346</v>
      </c>
      <c r="H2576" s="17">
        <v>18</v>
      </c>
      <c r="I2576" t="s">
        <v>955</v>
      </c>
      <c r="J2576" s="80">
        <v>4.0999999999999996</v>
      </c>
      <c r="O2576" s="62" t="str">
        <f>IF(E2576="PA",IF(K2576&lt;&gt;"",ISERROR(VLOOKUP(K2576,ABBR!A:D,1,FALSE)),ISERROR(VLOOKUP(C2576,ABBR!A:D,1,FALSE))),"")</f>
        <v/>
      </c>
      <c r="P2576" t="str">
        <f>VLOOKUP(A2576,Groups!A:L,5,FALSE)</f>
        <v>SAMP</v>
      </c>
      <c r="Q2576" s="62" t="str">
        <f>IF(G2576="PA",IF(M2576&lt;&gt;"",ISERROR(VLOOKUP(M2576,ABBR!C:F,1,FALSE)),ISERROR(VLOOKUP(E2576,ABBR!C:F,1,FALSE))),"")</f>
        <v/>
      </c>
    </row>
    <row r="2577" spans="1:17" hidden="1" x14ac:dyDescent="0.25">
      <c r="A2577" s="16" t="s">
        <v>301</v>
      </c>
      <c r="B2577" s="17"/>
      <c r="C2577" s="16" t="s">
        <v>4367</v>
      </c>
      <c r="D2577" s="17" t="s">
        <v>1345</v>
      </c>
      <c r="E2577" s="17" t="s">
        <v>767</v>
      </c>
      <c r="F2577" s="18" t="s">
        <v>4368</v>
      </c>
      <c r="G2577" s="49" t="s">
        <v>4369</v>
      </c>
      <c r="H2577" s="17">
        <v>19</v>
      </c>
      <c r="I2577" t="s">
        <v>955</v>
      </c>
      <c r="J2577" s="80">
        <v>4.0999999999999996</v>
      </c>
      <c r="O2577" s="62" t="str">
        <f>IF(E2577="PA",IF(K2577&lt;&gt;"",ISERROR(VLOOKUP(K2577,ABBR!A:D,1,FALSE)),ISERROR(VLOOKUP(C2577,ABBR!A:D,1,FALSE))),"")</f>
        <v/>
      </c>
      <c r="P2577" t="str">
        <f>VLOOKUP(A2577,Groups!A:L,5,FALSE)</f>
        <v>SAMP</v>
      </c>
      <c r="Q2577" s="62" t="str">
        <f>IF(G2577="PA",IF(M2577&lt;&gt;"",ISERROR(VLOOKUP(M2577,ABBR!C:F,1,FALSE)),ISERROR(VLOOKUP(E2577,ABBR!C:F,1,FALSE))),"")</f>
        <v/>
      </c>
    </row>
    <row r="2578" spans="1:17" hidden="1" x14ac:dyDescent="0.25">
      <c r="A2578" s="16" t="s">
        <v>301</v>
      </c>
      <c r="B2578" s="17"/>
      <c r="C2578" s="16" t="s">
        <v>4370</v>
      </c>
      <c r="D2578" s="17" t="s">
        <v>766</v>
      </c>
      <c r="E2578" s="17" t="s">
        <v>723</v>
      </c>
      <c r="F2578" s="18" t="s">
        <v>4371</v>
      </c>
      <c r="G2578" s="49" t="s">
        <v>4372</v>
      </c>
      <c r="H2578" s="17">
        <v>20</v>
      </c>
      <c r="I2578" t="s">
        <v>955</v>
      </c>
      <c r="J2578" s="80">
        <v>4.0999999999999996</v>
      </c>
      <c r="O2578" s="62" t="str">
        <f>IF(E2578="PA",IF(K2578&lt;&gt;"",ISERROR(VLOOKUP(K2578,ABBR!A:D,1,FALSE)),ISERROR(VLOOKUP(C2578,ABBR!A:D,1,FALSE))),"")</f>
        <v/>
      </c>
      <c r="P2578" t="str">
        <f>VLOOKUP(A2578,Groups!A:L,5,FALSE)</f>
        <v>SAMP</v>
      </c>
      <c r="Q2578" s="62" t="str">
        <f>IF(G2578="PA",IF(M2578&lt;&gt;"",ISERROR(VLOOKUP(M2578,ABBR!C:F,1,FALSE)),ISERROR(VLOOKUP(E2578,ABBR!C:F,1,FALSE))),"")</f>
        <v/>
      </c>
    </row>
    <row r="2579" spans="1:17" hidden="1" x14ac:dyDescent="0.25">
      <c r="A2579" s="16" t="s">
        <v>301</v>
      </c>
      <c r="B2579" s="17"/>
      <c r="C2579" s="16" t="s">
        <v>4373</v>
      </c>
      <c r="D2579" s="17"/>
      <c r="E2579" s="17" t="s">
        <v>618</v>
      </c>
      <c r="F2579" s="18" t="s">
        <v>1891</v>
      </c>
      <c r="G2579" s="49" t="s">
        <v>1892</v>
      </c>
      <c r="H2579" s="17">
        <v>21</v>
      </c>
      <c r="I2579" t="s">
        <v>955</v>
      </c>
      <c r="J2579" s="80">
        <v>4.0999999999999996</v>
      </c>
      <c r="O2579" s="62" t="b">
        <f>IF(E2579="PA",IF(K2579&lt;&gt;"",ISERROR(VLOOKUP(K2579,ABBR!A:D,1,FALSE)),ISERROR(VLOOKUP(C2579,ABBR!A:D,1,FALSE))),"")</f>
        <v>0</v>
      </c>
      <c r="P2579" t="str">
        <f>VLOOKUP(A2579,Groups!A:L,5,FALSE)</f>
        <v>SAMP</v>
      </c>
      <c r="Q2579" s="62" t="str">
        <f>IF(G2579="PA",IF(M2579&lt;&gt;"",ISERROR(VLOOKUP(M2579,ABBR!C:F,1,FALSE)),ISERROR(VLOOKUP(E2579,ABBR!C:F,1,FALSE))),"")</f>
        <v/>
      </c>
    </row>
    <row r="2580" spans="1:17" hidden="1" x14ac:dyDescent="0.25">
      <c r="A2580" s="16" t="s">
        <v>301</v>
      </c>
      <c r="B2580" s="17"/>
      <c r="C2580" s="16" t="s">
        <v>4374</v>
      </c>
      <c r="D2580" s="17"/>
      <c r="E2580" s="17" t="s">
        <v>608</v>
      </c>
      <c r="F2580" s="18" t="s">
        <v>642</v>
      </c>
      <c r="G2580" s="49" t="s">
        <v>16</v>
      </c>
      <c r="H2580" s="17">
        <v>22</v>
      </c>
      <c r="I2580" t="s">
        <v>955</v>
      </c>
      <c r="J2580" s="80">
        <v>4.0999999999999996</v>
      </c>
      <c r="M2580" s="101"/>
      <c r="O2580" s="62" t="str">
        <f>IF(E2580="PA",IF(K2580&lt;&gt;"",ISERROR(VLOOKUP(K2580,ABBR!A:D,1,FALSE)),ISERROR(VLOOKUP(C2580,ABBR!A:D,1,FALSE))),"")</f>
        <v/>
      </c>
      <c r="P2580" t="str">
        <f>VLOOKUP(A2580,Groups!A:L,5,FALSE)</f>
        <v>SAMP</v>
      </c>
      <c r="Q2580" s="62" t="str">
        <f>IF(G2580="PA",IF(M2580&lt;&gt;"",ISERROR(VLOOKUP(M2580,ABBR!C:F,1,FALSE)),ISERROR(VLOOKUP(E2580,ABBR!C:F,1,FALSE))),"")</f>
        <v/>
      </c>
    </row>
    <row r="2581" spans="1:17" ht="25" hidden="1" x14ac:dyDescent="0.25">
      <c r="A2581" s="16" t="s">
        <v>301</v>
      </c>
      <c r="B2581" s="17"/>
      <c r="C2581" s="16" t="s">
        <v>4375</v>
      </c>
      <c r="D2581" s="17"/>
      <c r="E2581" s="17" t="s">
        <v>608</v>
      </c>
      <c r="F2581" s="18" t="s">
        <v>918</v>
      </c>
      <c r="G2581" s="49" t="s">
        <v>4320</v>
      </c>
      <c r="H2581" s="17">
        <v>23</v>
      </c>
      <c r="I2581" t="s">
        <v>955</v>
      </c>
      <c r="J2581" s="80">
        <v>4.0999999999999996</v>
      </c>
      <c r="O2581" s="62" t="str">
        <f>IF(E2581="PA",IF(K2581&lt;&gt;"",ISERROR(VLOOKUP(K2581,ABBR!A:D,1,FALSE)),ISERROR(VLOOKUP(C2581,ABBR!A:D,1,FALSE))),"")</f>
        <v/>
      </c>
      <c r="P2581" t="str">
        <f>VLOOKUP(A2581,Groups!A:L,5,FALSE)</f>
        <v>SAMP</v>
      </c>
      <c r="Q2581" s="62" t="str">
        <f>IF(G2581="PA",IF(M2581&lt;&gt;"",ISERROR(VLOOKUP(M2581,ABBR!C:F,1,FALSE)),ISERROR(VLOOKUP(E2581,ABBR!C:F,1,FALSE))),"")</f>
        <v/>
      </c>
    </row>
    <row r="2582" spans="1:17" ht="25" hidden="1" x14ac:dyDescent="0.25">
      <c r="A2582" s="16" t="s">
        <v>301</v>
      </c>
      <c r="B2582" s="17"/>
      <c r="C2582" s="16" t="s">
        <v>4376</v>
      </c>
      <c r="D2582" s="17"/>
      <c r="E2582" s="17" t="s">
        <v>608</v>
      </c>
      <c r="F2582" s="18" t="s">
        <v>950</v>
      </c>
      <c r="G2582" s="49" t="s">
        <v>951</v>
      </c>
      <c r="H2582" s="17">
        <v>24</v>
      </c>
      <c r="I2582" t="s">
        <v>955</v>
      </c>
      <c r="J2582" s="80">
        <v>4.0999999999999996</v>
      </c>
      <c r="O2582" s="62" t="str">
        <f>IF(E2582="PA",IF(K2582&lt;&gt;"",ISERROR(VLOOKUP(K2582,ABBR!A:D,1,FALSE)),ISERROR(VLOOKUP(C2582,ABBR!A:D,1,FALSE))),"")</f>
        <v/>
      </c>
      <c r="P2582" t="str">
        <f>VLOOKUP(A2582,Groups!A:L,5,FALSE)</f>
        <v>SAMP</v>
      </c>
      <c r="Q2582" s="62" t="str">
        <f>IF(G2582="PA",IF(M2582&lt;&gt;"",ISERROR(VLOOKUP(M2582,ABBR!C:F,1,FALSE)),ISERROR(VLOOKUP(E2582,ABBR!C:F,1,FALSE))),"")</f>
        <v/>
      </c>
    </row>
    <row r="2583" spans="1:17" ht="25" hidden="1" x14ac:dyDescent="0.25">
      <c r="A2583" s="16" t="s">
        <v>301</v>
      </c>
      <c r="B2583" s="17"/>
      <c r="C2583" s="16" t="s">
        <v>4377</v>
      </c>
      <c r="D2583" s="17"/>
      <c r="E2583" s="17" t="s">
        <v>608</v>
      </c>
      <c r="F2583" s="18" t="s">
        <v>934</v>
      </c>
      <c r="G2583" s="49" t="s">
        <v>953</v>
      </c>
      <c r="H2583" s="17">
        <v>25</v>
      </c>
      <c r="I2583" t="s">
        <v>955</v>
      </c>
      <c r="J2583" s="80">
        <v>4.0999999999999996</v>
      </c>
      <c r="O2583" s="62" t="str">
        <f>IF(E2583="PA",IF(K2583&lt;&gt;"",ISERROR(VLOOKUP(K2583,ABBR!A:D,1,FALSE)),ISERROR(VLOOKUP(C2583,ABBR!A:D,1,FALSE))),"")</f>
        <v/>
      </c>
      <c r="P2583" t="str">
        <f>VLOOKUP(A2583,Groups!A:L,5,FALSE)</f>
        <v>SAMP</v>
      </c>
      <c r="Q2583" s="62" t="str">
        <f>IF(G2583="PA",IF(M2583&lt;&gt;"",ISERROR(VLOOKUP(M2583,ABBR!C:F,1,FALSE)),ISERROR(VLOOKUP(E2583,ABBR!C:F,1,FALSE))),"")</f>
        <v/>
      </c>
    </row>
    <row r="2584" spans="1:17" hidden="1" x14ac:dyDescent="0.25">
      <c r="A2584" s="16" t="s">
        <v>301</v>
      </c>
      <c r="B2584" s="17"/>
      <c r="C2584" s="16" t="s">
        <v>936</v>
      </c>
      <c r="D2584" s="17"/>
      <c r="E2584" s="17" t="s">
        <v>608</v>
      </c>
      <c r="F2584" s="18" t="s">
        <v>937</v>
      </c>
      <c r="G2584" s="49" t="s">
        <v>938</v>
      </c>
      <c r="H2584" s="17">
        <v>26</v>
      </c>
      <c r="I2584" t="s">
        <v>955</v>
      </c>
      <c r="J2584" s="80">
        <v>4.0999999999999996</v>
      </c>
      <c r="O2584" s="62" t="str">
        <f>IF(E2584="PA",IF(K2584&lt;&gt;"",ISERROR(VLOOKUP(K2584,ABBR!A:D,1,FALSE)),ISERROR(VLOOKUP(C2584,ABBR!A:D,1,FALSE))),"")</f>
        <v/>
      </c>
      <c r="P2584" t="str">
        <f>VLOOKUP(A2584,Groups!A:L,5,FALSE)</f>
        <v>SAMP</v>
      </c>
      <c r="Q2584" s="62" t="str">
        <f>IF(G2584="PA",IF(M2584&lt;&gt;"",ISERROR(VLOOKUP(M2584,ABBR!C:F,1,FALSE)),ISERROR(VLOOKUP(E2584,ABBR!C:F,1,FALSE))),"")</f>
        <v/>
      </c>
    </row>
    <row r="2585" spans="1:17" hidden="1" x14ac:dyDescent="0.25">
      <c r="A2585" s="16" t="s">
        <v>301</v>
      </c>
      <c r="B2585" s="17"/>
      <c r="C2585" s="16" t="s">
        <v>643</v>
      </c>
      <c r="D2585" s="17"/>
      <c r="E2585" s="17" t="s">
        <v>608</v>
      </c>
      <c r="F2585" s="18" t="s">
        <v>1294</v>
      </c>
      <c r="G2585" s="49" t="s">
        <v>4378</v>
      </c>
      <c r="H2585" s="17">
        <v>27</v>
      </c>
      <c r="I2585" t="s">
        <v>955</v>
      </c>
      <c r="J2585" s="80">
        <v>4.0999999999999996</v>
      </c>
      <c r="O2585" s="62" t="str">
        <f>IF(E2585="PA",IF(K2585&lt;&gt;"",ISERROR(VLOOKUP(K2585,ABBR!A:D,1,FALSE)),ISERROR(VLOOKUP(C2585,ABBR!A:D,1,FALSE))),"")</f>
        <v/>
      </c>
      <c r="P2585" t="str">
        <f>VLOOKUP(A2585,Groups!A:L,5,FALSE)</f>
        <v>SAMP</v>
      </c>
      <c r="Q2585" s="62" t="str">
        <f>IF(G2585="PA",IF(M2585&lt;&gt;"",ISERROR(VLOOKUP(M2585,ABBR!C:F,1,FALSE)),ISERROR(VLOOKUP(E2585,ABBR!C:F,1,FALSE))),"")</f>
        <v/>
      </c>
    </row>
    <row r="2586" spans="1:17" hidden="1" x14ac:dyDescent="0.25">
      <c r="A2586" s="16" t="s">
        <v>301</v>
      </c>
      <c r="B2586" s="17"/>
      <c r="C2586" s="16" t="s">
        <v>4379</v>
      </c>
      <c r="D2586" s="17" t="s">
        <v>924</v>
      </c>
      <c r="E2586" s="17" t="s">
        <v>925</v>
      </c>
      <c r="F2586" s="18" t="s">
        <v>926</v>
      </c>
      <c r="G2586" s="49" t="s">
        <v>927</v>
      </c>
      <c r="H2586" s="17">
        <v>28</v>
      </c>
      <c r="I2586"/>
      <c r="J2586" s="7" t="s">
        <v>473</v>
      </c>
      <c r="O2586" s="62" t="str">
        <f>IF(E2586="PA",IF(K2586&lt;&gt;"",ISERROR(VLOOKUP(K2586,ABBR!A:D,1,FALSE)),ISERROR(VLOOKUP(C2586,ABBR!A:D,1,FALSE))),"")</f>
        <v/>
      </c>
      <c r="P2586" t="str">
        <f>VLOOKUP(A2586,Groups!A:L,5,FALSE)</f>
        <v>SAMP</v>
      </c>
      <c r="Q2586" s="62" t="str">
        <f>IF(G2586="PA",IF(M2586&lt;&gt;"",ISERROR(VLOOKUP(M2586,ABBR!C:F,1,FALSE)),ISERROR(VLOOKUP(E2586,ABBR!C:F,1,FALSE))),"")</f>
        <v/>
      </c>
    </row>
    <row r="2587" spans="1:17" hidden="1" x14ac:dyDescent="0.25">
      <c r="A2587" s="16" t="s">
        <v>301</v>
      </c>
      <c r="B2587" s="17"/>
      <c r="C2587" s="16" t="s">
        <v>4380</v>
      </c>
      <c r="D2587" s="17"/>
      <c r="E2587" s="17" t="s">
        <v>608</v>
      </c>
      <c r="F2587" s="18" t="s">
        <v>875</v>
      </c>
      <c r="G2587" s="49" t="s">
        <v>876</v>
      </c>
      <c r="H2587" s="17">
        <v>29</v>
      </c>
      <c r="I2587"/>
      <c r="J2587" s="7" t="s">
        <v>473</v>
      </c>
      <c r="O2587" s="62" t="str">
        <f>IF(E2587="PA",IF(K2587&lt;&gt;"",ISERROR(VLOOKUP(K2587,ABBR!A:D,1,FALSE)),ISERROR(VLOOKUP(C2587,ABBR!A:D,1,FALSE))),"")</f>
        <v/>
      </c>
      <c r="P2587" t="str">
        <f>VLOOKUP(A2587,Groups!A:L,5,FALSE)</f>
        <v>SAMP</v>
      </c>
      <c r="Q2587" s="62" t="str">
        <f>IF(G2587="PA",IF(M2587&lt;&gt;"",ISERROR(VLOOKUP(M2587,ABBR!C:F,1,FALSE)),ISERROR(VLOOKUP(E2587,ABBR!C:F,1,FALSE))),"")</f>
        <v/>
      </c>
    </row>
    <row r="2588" spans="1:17" hidden="1" x14ac:dyDescent="0.25">
      <c r="A2588" s="16" t="s">
        <v>301</v>
      </c>
      <c r="B2588" s="17"/>
      <c r="C2588" s="16" t="s">
        <v>4381</v>
      </c>
      <c r="D2588" s="17"/>
      <c r="E2588" s="17" t="s">
        <v>608</v>
      </c>
      <c r="F2588" s="18" t="s">
        <v>929</v>
      </c>
      <c r="G2588" s="49" t="s">
        <v>876</v>
      </c>
      <c r="H2588" s="17">
        <v>30</v>
      </c>
      <c r="I2588"/>
      <c r="J2588" s="7" t="s">
        <v>473</v>
      </c>
      <c r="O2588" s="62" t="str">
        <f>IF(E2588="PA",IF(K2588&lt;&gt;"",ISERROR(VLOOKUP(K2588,ABBR!A:D,1,FALSE)),ISERROR(VLOOKUP(C2588,ABBR!A:D,1,FALSE))),"")</f>
        <v/>
      </c>
      <c r="P2588" t="str">
        <f>VLOOKUP(A2588,Groups!A:L,5,FALSE)</f>
        <v>SAMP</v>
      </c>
      <c r="Q2588" s="62" t="str">
        <f>IF(G2588="PA",IF(M2588&lt;&gt;"",ISERROR(VLOOKUP(M2588,ABBR!C:F,1,FALSE)),ISERROR(VLOOKUP(E2588,ABBR!C:F,1,FALSE))),"")</f>
        <v/>
      </c>
    </row>
    <row r="2589" spans="1:17" hidden="1" x14ac:dyDescent="0.25">
      <c r="A2589" s="16" t="s">
        <v>304</v>
      </c>
      <c r="B2589" s="17" t="s">
        <v>594</v>
      </c>
      <c r="C2589" s="16" t="s">
        <v>595</v>
      </c>
      <c r="D2589" s="17"/>
      <c r="E2589" s="17" t="s">
        <v>596</v>
      </c>
      <c r="F2589" s="18" t="s">
        <v>597</v>
      </c>
      <c r="G2589" s="49" t="s">
        <v>598</v>
      </c>
      <c r="H2589" s="17">
        <v>1</v>
      </c>
      <c r="O2589" s="62" t="str">
        <f>IF(E2589="PA",IF(K2589&lt;&gt;"",ISERROR(VLOOKUP(K2589,ABBR!A:D,1,FALSE)),ISERROR(VLOOKUP(C2589,ABBR!A:D,1,FALSE))),"")</f>
        <v/>
      </c>
      <c r="P2589" t="str">
        <f>VLOOKUP(A2589,Groups!A:L,5,FALSE)</f>
        <v>SAMP</v>
      </c>
      <c r="Q2589" s="62" t="str">
        <f>IF(G2589="PA",IF(M2589&lt;&gt;"",ISERROR(VLOOKUP(M2589,ABBR!C:F,1,FALSE)),ISERROR(VLOOKUP(E2589,ABBR!C:F,1,FALSE))),"")</f>
        <v/>
      </c>
    </row>
    <row r="2590" spans="1:17" hidden="1" x14ac:dyDescent="0.25">
      <c r="A2590" s="16" t="s">
        <v>304</v>
      </c>
      <c r="B2590" s="17" t="s">
        <v>594</v>
      </c>
      <c r="C2590" s="16" t="s">
        <v>851</v>
      </c>
      <c r="D2590" s="17" t="s">
        <v>600</v>
      </c>
      <c r="E2590" s="17" t="s">
        <v>601</v>
      </c>
      <c r="F2590" s="18" t="s">
        <v>852</v>
      </c>
      <c r="G2590" s="49" t="s">
        <v>853</v>
      </c>
      <c r="H2590" s="17">
        <v>2</v>
      </c>
      <c r="O2590" s="62" t="str">
        <f>IF(E2590="PA",IF(K2590&lt;&gt;"",ISERROR(VLOOKUP(K2590,ABBR!A:D,1,FALSE)),ISERROR(VLOOKUP(C2590,ABBR!A:D,1,FALSE))),"")</f>
        <v/>
      </c>
      <c r="P2590" t="str">
        <f>VLOOKUP(A2590,Groups!A:L,5,FALSE)</f>
        <v>SAMP</v>
      </c>
      <c r="Q2590" s="62" t="str">
        <f>IF(G2590="PA",IF(M2590&lt;&gt;"",ISERROR(VLOOKUP(M2590,ABBR!C:F,1,FALSE)),ISERROR(VLOOKUP(E2590,ABBR!C:F,1,FALSE))),"")</f>
        <v/>
      </c>
    </row>
    <row r="2591" spans="1:17" hidden="1" x14ac:dyDescent="0.25">
      <c r="A2591" s="16" t="s">
        <v>304</v>
      </c>
      <c r="B2591" s="17" t="s">
        <v>594</v>
      </c>
      <c r="C2591" s="16" t="s">
        <v>854</v>
      </c>
      <c r="D2591" s="17"/>
      <c r="E2591" s="17" t="s">
        <v>608</v>
      </c>
      <c r="F2591" s="18" t="s">
        <v>855</v>
      </c>
      <c r="G2591" s="49" t="s">
        <v>941</v>
      </c>
      <c r="H2591" s="17">
        <v>3</v>
      </c>
      <c r="O2591" s="62" t="str">
        <f>IF(E2591="PA",IF(K2591&lt;&gt;"",ISERROR(VLOOKUP(K2591,ABBR!A:D,1,FALSE)),ISERROR(VLOOKUP(C2591,ABBR!A:D,1,FALSE))),"")</f>
        <v/>
      </c>
      <c r="P2591" t="str">
        <f>VLOOKUP(A2591,Groups!A:L,5,FALSE)</f>
        <v>SAMP</v>
      </c>
      <c r="Q2591" s="62" t="str">
        <f>IF(G2591="PA",IF(M2591&lt;&gt;"",ISERROR(VLOOKUP(M2591,ABBR!C:F,1,FALSE)),ISERROR(VLOOKUP(E2591,ABBR!C:F,1,FALSE))),"")</f>
        <v/>
      </c>
    </row>
    <row r="2592" spans="1:17" hidden="1" x14ac:dyDescent="0.25">
      <c r="A2592" s="16" t="s">
        <v>304</v>
      </c>
      <c r="B2592" s="17" t="s">
        <v>594</v>
      </c>
      <c r="C2592" s="16" t="s">
        <v>857</v>
      </c>
      <c r="D2592" s="17"/>
      <c r="E2592" s="17" t="s">
        <v>618</v>
      </c>
      <c r="F2592" s="18" t="s">
        <v>858</v>
      </c>
      <c r="G2592" s="49" t="s">
        <v>3547</v>
      </c>
      <c r="H2592" s="17">
        <v>4</v>
      </c>
      <c r="O2592" s="62" t="b">
        <f>IF(E2592="PA",IF(K2592&lt;&gt;"",ISERROR(VLOOKUP(K2592,ABBR!A:D,1,FALSE)),ISERROR(VLOOKUP(C2592,ABBR!A:D,1,FALSE))),"")</f>
        <v>0</v>
      </c>
      <c r="P2592" t="str">
        <f>VLOOKUP(A2592,Groups!A:L,5,FALSE)</f>
        <v>SAMP</v>
      </c>
      <c r="Q2592" s="62" t="str">
        <f>IF(G2592="PA",IF(M2592&lt;&gt;"",ISERROR(VLOOKUP(M2592,ABBR!C:F,1,FALSE)),ISERROR(VLOOKUP(E2592,ABBR!C:F,1,FALSE))),"")</f>
        <v/>
      </c>
    </row>
    <row r="2593" spans="1:17" hidden="1" x14ac:dyDescent="0.25">
      <c r="A2593" s="16" t="s">
        <v>304</v>
      </c>
      <c r="B2593" s="17" t="s">
        <v>594</v>
      </c>
      <c r="C2593" s="16" t="s">
        <v>860</v>
      </c>
      <c r="D2593" s="17"/>
      <c r="E2593" s="17" t="s">
        <v>596</v>
      </c>
      <c r="F2593" s="18" t="s">
        <v>942</v>
      </c>
      <c r="G2593" s="49" t="s">
        <v>862</v>
      </c>
      <c r="H2593" s="17">
        <v>5</v>
      </c>
      <c r="O2593" s="62" t="str">
        <f>IF(E2593="PA",IF(K2593&lt;&gt;"",ISERROR(VLOOKUP(K2593,ABBR!A:D,1,FALSE)),ISERROR(VLOOKUP(C2593,ABBR!A:D,1,FALSE))),"")</f>
        <v/>
      </c>
      <c r="P2593" t="str">
        <f>VLOOKUP(A2593,Groups!A:L,5,FALSE)</f>
        <v>SAMP</v>
      </c>
      <c r="Q2593" s="62" t="str">
        <f>IF(G2593="PA",IF(M2593&lt;&gt;"",ISERROR(VLOOKUP(M2593,ABBR!C:F,1,FALSE)),ISERROR(VLOOKUP(E2593,ABBR!C:F,1,FALSE))),"")</f>
        <v/>
      </c>
    </row>
    <row r="2594" spans="1:17" hidden="1" x14ac:dyDescent="0.25">
      <c r="A2594" s="16" t="s">
        <v>304</v>
      </c>
      <c r="B2594" s="17" t="s">
        <v>594</v>
      </c>
      <c r="C2594" s="16" t="s">
        <v>863</v>
      </c>
      <c r="D2594" s="17"/>
      <c r="E2594" s="17" t="s">
        <v>608</v>
      </c>
      <c r="F2594" s="18" t="s">
        <v>864</v>
      </c>
      <c r="G2594" s="49" t="s">
        <v>865</v>
      </c>
      <c r="H2594" s="17">
        <v>6</v>
      </c>
      <c r="O2594" s="62" t="str">
        <f>IF(E2594="PA",IF(K2594&lt;&gt;"",ISERROR(VLOOKUP(K2594,ABBR!A:D,1,FALSE)),ISERROR(VLOOKUP(C2594,ABBR!A:D,1,FALSE))),"")</f>
        <v/>
      </c>
      <c r="P2594" t="str">
        <f>VLOOKUP(A2594,Groups!A:L,5,FALSE)</f>
        <v>SAMP</v>
      </c>
      <c r="Q2594" s="62" t="str">
        <f>IF(G2594="PA",IF(M2594&lt;&gt;"",ISERROR(VLOOKUP(M2594,ABBR!C:F,1,FALSE)),ISERROR(VLOOKUP(E2594,ABBR!C:F,1,FALSE))),"")</f>
        <v/>
      </c>
    </row>
    <row r="2595" spans="1:17" hidden="1" x14ac:dyDescent="0.25">
      <c r="A2595" s="16" t="s">
        <v>304</v>
      </c>
      <c r="B2595" s="17" t="s">
        <v>594</v>
      </c>
      <c r="C2595" s="16" t="s">
        <v>866</v>
      </c>
      <c r="D2595" s="17" t="s">
        <v>600</v>
      </c>
      <c r="E2595" s="17" t="s">
        <v>601</v>
      </c>
      <c r="F2595" s="18" t="s">
        <v>867</v>
      </c>
      <c r="G2595" s="49" t="s">
        <v>853</v>
      </c>
      <c r="H2595" s="17">
        <v>7</v>
      </c>
      <c r="O2595" s="62" t="str">
        <f>IF(E2595="PA",IF(K2595&lt;&gt;"",ISERROR(VLOOKUP(K2595,ABBR!A:D,1,FALSE)),ISERROR(VLOOKUP(C2595,ABBR!A:D,1,FALSE))),"")</f>
        <v/>
      </c>
      <c r="P2595" t="str">
        <f>VLOOKUP(A2595,Groups!A:L,5,FALSE)</f>
        <v>SAMP</v>
      </c>
      <c r="Q2595" s="62" t="str">
        <f>IF(G2595="PA",IF(M2595&lt;&gt;"",ISERROR(VLOOKUP(M2595,ABBR!C:F,1,FALSE)),ISERROR(VLOOKUP(E2595,ABBR!C:F,1,FALSE))),"")</f>
        <v/>
      </c>
    </row>
    <row r="2596" spans="1:17" hidden="1" x14ac:dyDescent="0.25">
      <c r="A2596" s="16" t="s">
        <v>304</v>
      </c>
      <c r="B2596" s="17"/>
      <c r="C2596" s="16" t="s">
        <v>868</v>
      </c>
      <c r="D2596" s="17"/>
      <c r="E2596" s="17" t="s">
        <v>608</v>
      </c>
      <c r="F2596" s="18" t="s">
        <v>869</v>
      </c>
      <c r="G2596" s="51" t="s">
        <v>1269</v>
      </c>
      <c r="H2596" s="17">
        <v>8</v>
      </c>
      <c r="O2596" s="62" t="str">
        <f>IF(E2596="PA",IF(K2596&lt;&gt;"",ISERROR(VLOOKUP(K2596,ABBR!A:D,1,FALSE)),ISERROR(VLOOKUP(C2596,ABBR!A:D,1,FALSE))),"")</f>
        <v/>
      </c>
      <c r="P2596" t="str">
        <f>VLOOKUP(A2596,Groups!A:L,5,FALSE)</f>
        <v>SAMP</v>
      </c>
      <c r="Q2596" s="62" t="str">
        <f>IF(G2596="PA",IF(M2596&lt;&gt;"",ISERROR(VLOOKUP(M2596,ABBR!C:F,1,FALSE)),ISERROR(VLOOKUP(E2596,ABBR!C:F,1,FALSE))),"")</f>
        <v/>
      </c>
    </row>
    <row r="2597" spans="1:17" ht="25" hidden="1" x14ac:dyDescent="0.25">
      <c r="A2597" s="16" t="s">
        <v>304</v>
      </c>
      <c r="B2597" s="17"/>
      <c r="C2597" s="16" t="s">
        <v>871</v>
      </c>
      <c r="D2597" s="17"/>
      <c r="E2597" s="17" t="s">
        <v>608</v>
      </c>
      <c r="F2597" s="18" t="s">
        <v>872</v>
      </c>
      <c r="G2597" s="49" t="s">
        <v>873</v>
      </c>
      <c r="H2597" s="17">
        <v>9</v>
      </c>
      <c r="O2597" s="62" t="str">
        <f>IF(E2597="PA",IF(K2597&lt;&gt;"",ISERROR(VLOOKUP(K2597,ABBR!A:D,1,FALSE)),ISERROR(VLOOKUP(C2597,ABBR!A:D,1,FALSE))),"")</f>
        <v/>
      </c>
      <c r="P2597" t="str">
        <f>VLOOKUP(A2597,Groups!A:L,5,FALSE)</f>
        <v>SAMP</v>
      </c>
      <c r="Q2597" s="62" t="str">
        <f>IF(G2597="PA",IF(M2597&lt;&gt;"",ISERROR(VLOOKUP(M2597,ABBR!C:F,1,FALSE)),ISERROR(VLOOKUP(E2597,ABBR!C:F,1,FALSE))),"")</f>
        <v/>
      </c>
    </row>
    <row r="2598" spans="1:17" hidden="1" x14ac:dyDescent="0.25">
      <c r="A2598" s="16" t="s">
        <v>304</v>
      </c>
      <c r="B2598" s="17"/>
      <c r="C2598" s="16" t="s">
        <v>4382</v>
      </c>
      <c r="D2598" s="17" t="s">
        <v>1345</v>
      </c>
      <c r="E2598" s="17" t="s">
        <v>1391</v>
      </c>
      <c r="F2598" s="18" t="s">
        <v>4383</v>
      </c>
      <c r="G2598" s="49" t="s">
        <v>2360</v>
      </c>
      <c r="H2598" s="17">
        <v>10</v>
      </c>
      <c r="O2598" s="62" t="str">
        <f>IF(E2598="PA",IF(K2598&lt;&gt;"",ISERROR(VLOOKUP(K2598,ABBR!A:D,1,FALSE)),ISERROR(VLOOKUP(C2598,ABBR!A:D,1,FALSE))),"")</f>
        <v/>
      </c>
      <c r="P2598" t="str">
        <f>VLOOKUP(A2598,Groups!A:L,5,FALSE)</f>
        <v>SAMP</v>
      </c>
      <c r="Q2598" s="62" t="str">
        <f>IF(G2598="PA",IF(M2598&lt;&gt;"",ISERROR(VLOOKUP(M2598,ABBR!C:F,1,FALSE)),ISERROR(VLOOKUP(E2598,ABBR!C:F,1,FALSE))),"")</f>
        <v/>
      </c>
    </row>
    <row r="2599" spans="1:17" hidden="1" x14ac:dyDescent="0.25">
      <c r="A2599" s="16" t="s">
        <v>304</v>
      </c>
      <c r="B2599" s="17"/>
      <c r="C2599" s="16" t="s">
        <v>4384</v>
      </c>
      <c r="D2599" s="17" t="s">
        <v>1345</v>
      </c>
      <c r="E2599" s="17" t="s">
        <v>1391</v>
      </c>
      <c r="F2599" s="18" t="s">
        <v>4385</v>
      </c>
      <c r="G2599" s="49" t="s">
        <v>2971</v>
      </c>
      <c r="H2599" s="17">
        <v>11</v>
      </c>
      <c r="O2599" s="62" t="str">
        <f>IF(E2599="PA",IF(K2599&lt;&gt;"",ISERROR(VLOOKUP(K2599,ABBR!A:D,1,FALSE)),ISERROR(VLOOKUP(C2599,ABBR!A:D,1,FALSE))),"")</f>
        <v/>
      </c>
      <c r="P2599" t="str">
        <f>VLOOKUP(A2599,Groups!A:L,5,FALSE)</f>
        <v>SAMP</v>
      </c>
      <c r="Q2599" s="62" t="str">
        <f>IF(G2599="PA",IF(M2599&lt;&gt;"",ISERROR(VLOOKUP(M2599,ABBR!C:F,1,FALSE)),ISERROR(VLOOKUP(E2599,ABBR!C:F,1,FALSE))),"")</f>
        <v/>
      </c>
    </row>
    <row r="2600" spans="1:17" hidden="1" x14ac:dyDescent="0.25">
      <c r="A2600" s="16" t="s">
        <v>304</v>
      </c>
      <c r="B2600" s="17"/>
      <c r="C2600" s="16" t="s">
        <v>4386</v>
      </c>
      <c r="D2600" s="17" t="s">
        <v>766</v>
      </c>
      <c r="E2600" s="17" t="s">
        <v>608</v>
      </c>
      <c r="F2600" s="18" t="s">
        <v>4387</v>
      </c>
      <c r="G2600" s="49" t="s">
        <v>4388</v>
      </c>
      <c r="H2600" s="17">
        <v>12</v>
      </c>
      <c r="O2600" s="62" t="str">
        <f>IF(E2600="PA",IF(K2600&lt;&gt;"",ISERROR(VLOOKUP(K2600,ABBR!A:D,1,FALSE)),ISERROR(VLOOKUP(C2600,ABBR!A:D,1,FALSE))),"")</f>
        <v/>
      </c>
      <c r="P2600" t="str">
        <f>VLOOKUP(A2600,Groups!A:L,5,FALSE)</f>
        <v>SAMP</v>
      </c>
      <c r="Q2600" s="62" t="str">
        <f>IF(G2600="PA",IF(M2600&lt;&gt;"",ISERROR(VLOOKUP(M2600,ABBR!C:F,1,FALSE)),ISERROR(VLOOKUP(E2600,ABBR!C:F,1,FALSE))),"")</f>
        <v/>
      </c>
    </row>
    <row r="2601" spans="1:17" hidden="1" x14ac:dyDescent="0.25">
      <c r="A2601" s="16" t="s">
        <v>304</v>
      </c>
      <c r="B2601" s="17"/>
      <c r="C2601" s="16" t="s">
        <v>4389</v>
      </c>
      <c r="D2601" s="17" t="s">
        <v>722</v>
      </c>
      <c r="E2601" s="17" t="s">
        <v>723</v>
      </c>
      <c r="F2601" s="18" t="s">
        <v>4390</v>
      </c>
      <c r="G2601" s="49" t="s">
        <v>4391</v>
      </c>
      <c r="H2601" s="17">
        <v>13</v>
      </c>
      <c r="O2601" s="62" t="str">
        <f>IF(E2601="PA",IF(K2601&lt;&gt;"",ISERROR(VLOOKUP(K2601,ABBR!A:D,1,FALSE)),ISERROR(VLOOKUP(C2601,ABBR!A:D,1,FALSE))),"")</f>
        <v/>
      </c>
      <c r="P2601" t="str">
        <f>VLOOKUP(A2601,Groups!A:L,5,FALSE)</f>
        <v>SAMP</v>
      </c>
      <c r="Q2601" s="62" t="str">
        <f>IF(G2601="PA",IF(M2601&lt;&gt;"",ISERROR(VLOOKUP(M2601,ABBR!C:F,1,FALSE)),ISERROR(VLOOKUP(E2601,ABBR!C:F,1,FALSE))),"")</f>
        <v/>
      </c>
    </row>
    <row r="2602" spans="1:17" hidden="1" x14ac:dyDescent="0.25">
      <c r="A2602" s="16" t="s">
        <v>304</v>
      </c>
      <c r="B2602" s="17"/>
      <c r="C2602" s="16" t="s">
        <v>4392</v>
      </c>
      <c r="D2602" s="17" t="s">
        <v>722</v>
      </c>
      <c r="E2602" s="17" t="s">
        <v>723</v>
      </c>
      <c r="F2602" s="18" t="s">
        <v>4393</v>
      </c>
      <c r="G2602" s="49" t="s">
        <v>4391</v>
      </c>
      <c r="H2602" s="17">
        <v>14</v>
      </c>
      <c r="O2602" s="62" t="str">
        <f>IF(E2602="PA",IF(K2602&lt;&gt;"",ISERROR(VLOOKUP(K2602,ABBR!A:D,1,FALSE)),ISERROR(VLOOKUP(C2602,ABBR!A:D,1,FALSE))),"")</f>
        <v/>
      </c>
      <c r="P2602" t="str">
        <f>VLOOKUP(A2602,Groups!A:L,5,FALSE)</f>
        <v>SAMP</v>
      </c>
      <c r="Q2602" s="62" t="str">
        <f>IF(G2602="PA",IF(M2602&lt;&gt;"",ISERROR(VLOOKUP(M2602,ABBR!C:F,1,FALSE)),ISERROR(VLOOKUP(E2602,ABBR!C:F,1,FALSE))),"")</f>
        <v/>
      </c>
    </row>
    <row r="2603" spans="1:17" ht="37.5" hidden="1" x14ac:dyDescent="0.25">
      <c r="A2603" s="16" t="s">
        <v>304</v>
      </c>
      <c r="B2603" s="17"/>
      <c r="C2603" s="16" t="s">
        <v>4394</v>
      </c>
      <c r="D2603" s="17"/>
      <c r="E2603" s="17" t="s">
        <v>608</v>
      </c>
      <c r="F2603" s="18" t="s">
        <v>642</v>
      </c>
      <c r="G2603" s="49" t="s">
        <v>4395</v>
      </c>
      <c r="H2603" s="17">
        <v>15</v>
      </c>
      <c r="O2603" s="62" t="str">
        <f>IF(E2603="PA",IF(K2603&lt;&gt;"",ISERROR(VLOOKUP(K2603,ABBR!A:D,1,FALSE)),ISERROR(VLOOKUP(C2603,ABBR!A:D,1,FALSE))),"")</f>
        <v/>
      </c>
      <c r="P2603" t="str">
        <f>VLOOKUP(A2603,Groups!A:L,5,FALSE)</f>
        <v>SAMP</v>
      </c>
      <c r="Q2603" s="62" t="str">
        <f>IF(G2603="PA",IF(M2603&lt;&gt;"",ISERROR(VLOOKUP(M2603,ABBR!C:F,1,FALSE)),ISERROR(VLOOKUP(E2603,ABBR!C:F,1,FALSE))),"")</f>
        <v/>
      </c>
    </row>
    <row r="2604" spans="1:17" ht="50" hidden="1" x14ac:dyDescent="0.25">
      <c r="A2604" s="16" t="s">
        <v>304</v>
      </c>
      <c r="B2604" s="17"/>
      <c r="C2604" s="16" t="s">
        <v>4396</v>
      </c>
      <c r="D2604" s="17"/>
      <c r="E2604" s="17" t="s">
        <v>608</v>
      </c>
      <c r="F2604" s="18" t="s">
        <v>4397</v>
      </c>
      <c r="G2604" s="49" t="s">
        <v>4398</v>
      </c>
      <c r="H2604" s="17">
        <v>16</v>
      </c>
      <c r="O2604" s="62" t="str">
        <f>IF(E2604="PA",IF(K2604&lt;&gt;"",ISERROR(VLOOKUP(K2604,ABBR!A:D,1,FALSE)),ISERROR(VLOOKUP(C2604,ABBR!A:D,1,FALSE))),"")</f>
        <v/>
      </c>
      <c r="P2604" t="str">
        <f>VLOOKUP(A2604,Groups!A:L,5,FALSE)</f>
        <v>SAMP</v>
      </c>
      <c r="Q2604" s="62" t="str">
        <f>IF(G2604="PA",IF(M2604&lt;&gt;"",ISERROR(VLOOKUP(M2604,ABBR!C:F,1,FALSE)),ISERROR(VLOOKUP(E2604,ABBR!C:F,1,FALSE))),"")</f>
        <v/>
      </c>
    </row>
    <row r="2605" spans="1:17" hidden="1" x14ac:dyDescent="0.25">
      <c r="A2605" s="16" t="s">
        <v>304</v>
      </c>
      <c r="B2605" s="17"/>
      <c r="C2605" s="16" t="s">
        <v>4399</v>
      </c>
      <c r="D2605" s="17"/>
      <c r="E2605" s="17" t="s">
        <v>608</v>
      </c>
      <c r="F2605" s="18" t="s">
        <v>950</v>
      </c>
      <c r="G2605" s="27" t="s">
        <v>951</v>
      </c>
      <c r="H2605" s="17">
        <v>17</v>
      </c>
      <c r="O2605" s="62" t="str">
        <f>IF(E2605="PA",IF(K2605&lt;&gt;"",ISERROR(VLOOKUP(K2605,ABBR!A:D,1,FALSE)),ISERROR(VLOOKUP(C2605,ABBR!A:D,1,FALSE))),"")</f>
        <v/>
      </c>
      <c r="P2605" t="str">
        <f>VLOOKUP(A2605,Groups!A:L,5,FALSE)</f>
        <v>SAMP</v>
      </c>
      <c r="Q2605" s="62" t="str">
        <f>IF(G2605="PA",IF(M2605&lt;&gt;"",ISERROR(VLOOKUP(M2605,ABBR!C:F,1,FALSE)),ISERROR(VLOOKUP(E2605,ABBR!C:F,1,FALSE))),"")</f>
        <v/>
      </c>
    </row>
    <row r="2606" spans="1:17" ht="25" hidden="1" x14ac:dyDescent="0.25">
      <c r="A2606" s="16" t="s">
        <v>304</v>
      </c>
      <c r="B2606" s="17"/>
      <c r="C2606" s="16" t="s">
        <v>4400</v>
      </c>
      <c r="D2606" s="17"/>
      <c r="E2606" s="17" t="s">
        <v>608</v>
      </c>
      <c r="F2606" s="18" t="s">
        <v>934</v>
      </c>
      <c r="G2606" s="49" t="s">
        <v>953</v>
      </c>
      <c r="H2606" s="17">
        <v>18</v>
      </c>
      <c r="O2606" s="62" t="str">
        <f>IF(E2606="PA",IF(K2606&lt;&gt;"",ISERROR(VLOOKUP(K2606,ABBR!A:D,1,FALSE)),ISERROR(VLOOKUP(C2606,ABBR!A:D,1,FALSE))),"")</f>
        <v/>
      </c>
      <c r="P2606" t="str">
        <f>VLOOKUP(A2606,Groups!A:L,5,FALSE)</f>
        <v>SAMP</v>
      </c>
      <c r="Q2606" s="62" t="str">
        <f>IF(G2606="PA",IF(M2606&lt;&gt;"",ISERROR(VLOOKUP(M2606,ABBR!C:F,1,FALSE)),ISERROR(VLOOKUP(E2606,ABBR!C:F,1,FALSE))),"")</f>
        <v/>
      </c>
    </row>
    <row r="2607" spans="1:17" hidden="1" x14ac:dyDescent="0.25">
      <c r="A2607" s="16" t="s">
        <v>304</v>
      </c>
      <c r="B2607" s="17"/>
      <c r="C2607" s="16" t="s">
        <v>936</v>
      </c>
      <c r="D2607" s="17"/>
      <c r="E2607" s="22" t="s">
        <v>608</v>
      </c>
      <c r="F2607" s="18" t="s">
        <v>937</v>
      </c>
      <c r="G2607" s="49" t="s">
        <v>938</v>
      </c>
      <c r="H2607" s="17">
        <v>19</v>
      </c>
      <c r="O2607" s="62" t="str">
        <f>IF(E2607="PA",IF(K2607&lt;&gt;"",ISERROR(VLOOKUP(K2607,ABBR!A:D,1,FALSE)),ISERROR(VLOOKUP(C2607,ABBR!A:D,1,FALSE))),"")</f>
        <v/>
      </c>
      <c r="P2607" t="str">
        <f>VLOOKUP(A2607,Groups!A:L,5,FALSE)</f>
        <v>SAMP</v>
      </c>
      <c r="Q2607" s="62" t="str">
        <f>IF(G2607="PA",IF(M2607&lt;&gt;"",ISERROR(VLOOKUP(M2607,ABBR!C:F,1,FALSE)),ISERROR(VLOOKUP(E2607,ABBR!C:F,1,FALSE))),"")</f>
        <v/>
      </c>
    </row>
    <row r="2608" spans="1:17" hidden="1" x14ac:dyDescent="0.25">
      <c r="A2608" s="16" t="s">
        <v>304</v>
      </c>
      <c r="B2608" s="17"/>
      <c r="C2608" s="16" t="s">
        <v>643</v>
      </c>
      <c r="D2608" s="17"/>
      <c r="E2608" s="17" t="s">
        <v>608</v>
      </c>
      <c r="F2608" s="18" t="s">
        <v>954</v>
      </c>
      <c r="G2608" s="49" t="s">
        <v>940</v>
      </c>
      <c r="H2608" s="17">
        <v>20</v>
      </c>
      <c r="O2608" s="62" t="str">
        <f>IF(E2608="PA",IF(K2608&lt;&gt;"",ISERROR(VLOOKUP(K2608,ABBR!A:D,1,FALSE)),ISERROR(VLOOKUP(C2608,ABBR!A:D,1,FALSE))),"")</f>
        <v/>
      </c>
      <c r="P2608" t="str">
        <f>VLOOKUP(A2608,Groups!A:L,5,FALSE)</f>
        <v>SAMP</v>
      </c>
      <c r="Q2608" s="62" t="str">
        <f>IF(G2608="PA",IF(M2608&lt;&gt;"",ISERROR(VLOOKUP(M2608,ABBR!C:F,1,FALSE)),ISERROR(VLOOKUP(E2608,ABBR!C:F,1,FALSE))),"")</f>
        <v/>
      </c>
    </row>
    <row r="2609" spans="1:17" hidden="1" x14ac:dyDescent="0.25">
      <c r="A2609" s="16" t="s">
        <v>304</v>
      </c>
      <c r="B2609" s="17"/>
      <c r="C2609" s="16" t="s">
        <v>877</v>
      </c>
      <c r="D2609" s="17" t="s">
        <v>600</v>
      </c>
      <c r="E2609" s="17" t="s">
        <v>601</v>
      </c>
      <c r="F2609" s="18" t="s">
        <v>878</v>
      </c>
      <c r="G2609" s="49" t="s">
        <v>879</v>
      </c>
      <c r="H2609" s="17">
        <v>21</v>
      </c>
      <c r="I2609" s="30" t="s">
        <v>955</v>
      </c>
      <c r="J2609" s="80">
        <v>4.0999999999999996</v>
      </c>
      <c r="O2609" s="62" t="str">
        <f>IF(E2609="PA",IF(K2609&lt;&gt;"",ISERROR(VLOOKUP(K2609,ABBR!A:D,1,FALSE)),ISERROR(VLOOKUP(C2609,ABBR!A:D,1,FALSE))),"")</f>
        <v/>
      </c>
      <c r="P2609" t="str">
        <f>VLOOKUP(A2609,Groups!A:L,5,FALSE)</f>
        <v>SAMP</v>
      </c>
      <c r="Q2609" s="62" t="str">
        <f>IF(G2609="PA",IF(M2609&lt;&gt;"",ISERROR(VLOOKUP(M2609,ABBR!C:F,1,FALSE)),ISERROR(VLOOKUP(E2609,ABBR!C:F,1,FALSE))),"")</f>
        <v/>
      </c>
    </row>
    <row r="2610" spans="1:17" hidden="1" x14ac:dyDescent="0.25">
      <c r="A2610" s="16" t="s">
        <v>304</v>
      </c>
      <c r="B2610" s="17"/>
      <c r="C2610" s="16" t="s">
        <v>4401</v>
      </c>
      <c r="D2610" s="17"/>
      <c r="E2610" s="17" t="s">
        <v>608</v>
      </c>
      <c r="F2610" s="18" t="s">
        <v>921</v>
      </c>
      <c r="G2610" s="94" t="s">
        <v>922</v>
      </c>
      <c r="H2610" s="17">
        <v>22</v>
      </c>
      <c r="I2610" s="30" t="s">
        <v>955</v>
      </c>
      <c r="J2610" s="80">
        <v>4.0999999999999996</v>
      </c>
      <c r="M2610" s="101"/>
      <c r="O2610" s="62" t="str">
        <f>IF(E2610="PA",IF(K2610&lt;&gt;"",ISERROR(VLOOKUP(K2610,ABBR!A:D,1,FALSE)),ISERROR(VLOOKUP(C2610,ABBR!A:D,1,FALSE))),"")</f>
        <v/>
      </c>
      <c r="P2610" t="str">
        <f>VLOOKUP(A2610,Groups!A:L,5,FALSE)</f>
        <v>SAMP</v>
      </c>
      <c r="Q2610" s="62" t="str">
        <f>IF(G2610="PA",IF(M2610&lt;&gt;"",ISERROR(VLOOKUP(M2610,ABBR!C:F,1,FALSE)),ISERROR(VLOOKUP(E2610,ABBR!C:F,1,FALSE))),"")</f>
        <v/>
      </c>
    </row>
    <row r="2611" spans="1:17" hidden="1" x14ac:dyDescent="0.25">
      <c r="A2611" s="16" t="s">
        <v>304</v>
      </c>
      <c r="B2611" s="17"/>
      <c r="C2611" s="16" t="s">
        <v>4402</v>
      </c>
      <c r="D2611" s="17"/>
      <c r="E2611" s="17" t="s">
        <v>618</v>
      </c>
      <c r="F2611" s="18" t="s">
        <v>3498</v>
      </c>
      <c r="G2611" s="49" t="s">
        <v>7728</v>
      </c>
      <c r="H2611" s="17">
        <v>23</v>
      </c>
      <c r="I2611" s="30" t="s">
        <v>955</v>
      </c>
      <c r="J2611" s="80">
        <v>4.0999999999999996</v>
      </c>
      <c r="M2611" s="62" t="s">
        <v>8798</v>
      </c>
      <c r="O2611" s="62" t="b">
        <f>IF(E2611="PA",IF(K2611&lt;&gt;"",ISERROR(VLOOKUP(K2611,ABBR!A:D,1,FALSE)),ISERROR(VLOOKUP(C2611,ABBR!A:D,1,FALSE))),"")</f>
        <v>0</v>
      </c>
      <c r="P2611" t="str">
        <f>VLOOKUP(A2611,Groups!A:L,5,FALSE)</f>
        <v>SAMP</v>
      </c>
      <c r="Q2611" s="62" t="str">
        <f>IF(G2611="PA",IF(M2611&lt;&gt;"",ISERROR(VLOOKUP(M2611,ABBR!C:F,1,FALSE)),ISERROR(VLOOKUP(E2611,ABBR!C:F,1,FALSE))),"")</f>
        <v/>
      </c>
    </row>
    <row r="2612" spans="1:17" hidden="1" x14ac:dyDescent="0.25">
      <c r="A2612" s="16" t="s">
        <v>304</v>
      </c>
      <c r="B2612" s="17"/>
      <c r="C2612" s="16" t="s">
        <v>4404</v>
      </c>
      <c r="D2612" s="17"/>
      <c r="E2612" s="17" t="s">
        <v>608</v>
      </c>
      <c r="F2612" s="18" t="s">
        <v>3515</v>
      </c>
      <c r="G2612" s="49" t="s">
        <v>3516</v>
      </c>
      <c r="H2612" s="17">
        <v>24</v>
      </c>
      <c r="J2612" s="62" t="s">
        <v>473</v>
      </c>
      <c r="K2612" s="62"/>
      <c r="L2612" s="62"/>
      <c r="M2612" s="62"/>
      <c r="N2612" s="62"/>
      <c r="O2612" s="62" t="str">
        <f>IF(E2612="PA",IF(K2612&lt;&gt;"",ISERROR(VLOOKUP(K2612,ABBR!A:D,1,FALSE)),ISERROR(VLOOKUP(C2612,ABBR!A:D,1,FALSE))),"")</f>
        <v/>
      </c>
      <c r="P2612" t="str">
        <f>VLOOKUP(A2612,Groups!A:L,5,FALSE)</f>
        <v>SAMP</v>
      </c>
      <c r="Q2612" s="62" t="str">
        <f>IF(G2612="PA",IF(M2612&lt;&gt;"",ISERROR(VLOOKUP(M2612,ABBR!C:F,1,FALSE)),ISERROR(VLOOKUP(E2612,ABBR!C:F,1,FALSE))),"")</f>
        <v/>
      </c>
    </row>
    <row r="2613" spans="1:17" hidden="1" x14ac:dyDescent="0.25">
      <c r="A2613" s="16" t="s">
        <v>304</v>
      </c>
      <c r="B2613" s="17"/>
      <c r="C2613" s="16" t="s">
        <v>4405</v>
      </c>
      <c r="D2613" s="17"/>
      <c r="E2613" s="17" t="s">
        <v>608</v>
      </c>
      <c r="F2613" s="18" t="s">
        <v>3521</v>
      </c>
      <c r="G2613" s="49" t="s">
        <v>3522</v>
      </c>
      <c r="H2613" s="17">
        <v>25</v>
      </c>
      <c r="J2613" s="62" t="s">
        <v>473</v>
      </c>
      <c r="K2613" s="62"/>
      <c r="L2613" s="62"/>
      <c r="M2613" s="62"/>
      <c r="N2613" s="62"/>
      <c r="O2613" s="62" t="str">
        <f>IF(E2613="PA",IF(K2613&lt;&gt;"",ISERROR(VLOOKUP(K2613,ABBR!A:D,1,FALSE)),ISERROR(VLOOKUP(C2613,ABBR!A:D,1,FALSE))),"")</f>
        <v/>
      </c>
      <c r="P2613" t="str">
        <f>VLOOKUP(A2613,Groups!A:L,5,FALSE)</f>
        <v>SAMP</v>
      </c>
      <c r="Q2613" s="62" t="str">
        <f>IF(G2613="PA",IF(M2613&lt;&gt;"",ISERROR(VLOOKUP(M2613,ABBR!C:F,1,FALSE)),ISERROR(VLOOKUP(E2613,ABBR!C:F,1,FALSE))),"")</f>
        <v/>
      </c>
    </row>
    <row r="2614" spans="1:17" hidden="1" x14ac:dyDescent="0.25">
      <c r="A2614" s="16" t="s">
        <v>304</v>
      </c>
      <c r="B2614" s="17"/>
      <c r="C2614" s="16" t="s">
        <v>4406</v>
      </c>
      <c r="D2614" s="17" t="s">
        <v>3524</v>
      </c>
      <c r="E2614" s="17" t="s">
        <v>723</v>
      </c>
      <c r="F2614" s="18" t="s">
        <v>3525</v>
      </c>
      <c r="G2614" s="49" t="s">
        <v>3526</v>
      </c>
      <c r="H2614" s="17">
        <v>26</v>
      </c>
      <c r="J2614" s="62" t="s">
        <v>473</v>
      </c>
      <c r="K2614" s="62"/>
      <c r="L2614" s="62"/>
      <c r="M2614" s="62"/>
      <c r="N2614" s="62"/>
      <c r="O2614" s="62" t="str">
        <f>IF(E2614="PA",IF(K2614&lt;&gt;"",ISERROR(VLOOKUP(K2614,ABBR!A:D,1,FALSE)),ISERROR(VLOOKUP(C2614,ABBR!A:D,1,FALSE))),"")</f>
        <v/>
      </c>
      <c r="P2614" t="str">
        <f>VLOOKUP(A2614,Groups!A:L,5,FALSE)</f>
        <v>SAMP</v>
      </c>
      <c r="Q2614" s="62" t="str">
        <f>IF(G2614="PA",IF(M2614&lt;&gt;"",ISERROR(VLOOKUP(M2614,ABBR!C:F,1,FALSE)),ISERROR(VLOOKUP(E2614,ABBR!C:F,1,FALSE))),"")</f>
        <v/>
      </c>
    </row>
    <row r="2615" spans="1:17" hidden="1" x14ac:dyDescent="0.25">
      <c r="A2615" s="16" t="s">
        <v>304</v>
      </c>
      <c r="B2615" s="17"/>
      <c r="C2615" s="16" t="s">
        <v>4407</v>
      </c>
      <c r="D2615" s="17" t="s">
        <v>924</v>
      </c>
      <c r="E2615" s="17" t="s">
        <v>925</v>
      </c>
      <c r="F2615" s="18" t="s">
        <v>926</v>
      </c>
      <c r="G2615" s="49" t="s">
        <v>927</v>
      </c>
      <c r="H2615" s="17">
        <v>27</v>
      </c>
      <c r="J2615" s="62" t="s">
        <v>473</v>
      </c>
      <c r="K2615" s="62"/>
      <c r="L2615" s="62"/>
      <c r="M2615" s="62"/>
      <c r="N2615" s="62"/>
      <c r="O2615" s="62" t="str">
        <f>IF(E2615="PA",IF(K2615&lt;&gt;"",ISERROR(VLOOKUP(K2615,ABBR!A:D,1,FALSE)),ISERROR(VLOOKUP(C2615,ABBR!A:D,1,FALSE))),"")</f>
        <v/>
      </c>
      <c r="P2615" t="str">
        <f>VLOOKUP(A2615,Groups!A:L,5,FALSE)</f>
        <v>SAMP</v>
      </c>
      <c r="Q2615" s="62" t="str">
        <f>IF(G2615="PA",IF(M2615&lt;&gt;"",ISERROR(VLOOKUP(M2615,ABBR!C:F,1,FALSE)),ISERROR(VLOOKUP(E2615,ABBR!C:F,1,FALSE))),"")</f>
        <v/>
      </c>
    </row>
    <row r="2616" spans="1:17" hidden="1" x14ac:dyDescent="0.25">
      <c r="A2616" s="16" t="s">
        <v>304</v>
      </c>
      <c r="B2616" s="17"/>
      <c r="C2616" s="16" t="s">
        <v>4408</v>
      </c>
      <c r="D2616" s="17"/>
      <c r="E2616" s="17" t="s">
        <v>608</v>
      </c>
      <c r="F2616" s="18" t="s">
        <v>875</v>
      </c>
      <c r="G2616" s="49" t="s">
        <v>876</v>
      </c>
      <c r="H2616" s="17">
        <v>28</v>
      </c>
      <c r="J2616" s="7" t="s">
        <v>473</v>
      </c>
      <c r="K2616" s="62"/>
      <c r="L2616" s="62"/>
      <c r="M2616" s="62"/>
      <c r="N2616" s="62"/>
      <c r="O2616" s="62" t="str">
        <f>IF(E2616="PA",IF(K2616&lt;&gt;"",ISERROR(VLOOKUP(K2616,ABBR!A:D,1,FALSE)),ISERROR(VLOOKUP(C2616,ABBR!A:D,1,FALSE))),"")</f>
        <v/>
      </c>
      <c r="P2616" t="str">
        <f>VLOOKUP(A2616,Groups!A:L,5,FALSE)</f>
        <v>SAMP</v>
      </c>
      <c r="Q2616" s="62" t="str">
        <f>IF(G2616="PA",IF(M2616&lt;&gt;"",ISERROR(VLOOKUP(M2616,ABBR!C:F,1,FALSE)),ISERROR(VLOOKUP(E2616,ABBR!C:F,1,FALSE))),"")</f>
        <v/>
      </c>
    </row>
    <row r="2617" spans="1:17" hidden="1" x14ac:dyDescent="0.25">
      <c r="A2617" s="16" t="s">
        <v>304</v>
      </c>
      <c r="B2617" s="17"/>
      <c r="C2617" s="16" t="s">
        <v>4409</v>
      </c>
      <c r="D2617" s="17"/>
      <c r="E2617" s="17" t="s">
        <v>608</v>
      </c>
      <c r="F2617" s="18" t="s">
        <v>929</v>
      </c>
      <c r="G2617" s="49" t="s">
        <v>876</v>
      </c>
      <c r="H2617" s="17">
        <v>29</v>
      </c>
      <c r="J2617" s="7" t="s">
        <v>473</v>
      </c>
      <c r="K2617" s="62"/>
      <c r="L2617" s="62"/>
      <c r="M2617" s="62"/>
      <c r="N2617" s="62"/>
      <c r="O2617" s="62" t="str">
        <f>IF(E2617="PA",IF(K2617&lt;&gt;"",ISERROR(VLOOKUP(K2617,ABBR!A:D,1,FALSE)),ISERROR(VLOOKUP(C2617,ABBR!A:D,1,FALSE))),"")</f>
        <v/>
      </c>
      <c r="P2617" t="str">
        <f>VLOOKUP(A2617,Groups!A:L,5,FALSE)</f>
        <v>SAMP</v>
      </c>
      <c r="Q2617" s="62" t="str">
        <f>IF(G2617="PA",IF(M2617&lt;&gt;"",ISERROR(VLOOKUP(M2617,ABBR!C:F,1,FALSE)),ISERROR(VLOOKUP(E2617,ABBR!C:F,1,FALSE))),"")</f>
        <v/>
      </c>
    </row>
    <row r="2618" spans="1:17" hidden="1" x14ac:dyDescent="0.25">
      <c r="A2618" s="16" t="s">
        <v>308</v>
      </c>
      <c r="B2618" s="17" t="s">
        <v>594</v>
      </c>
      <c r="C2618" s="16" t="s">
        <v>595</v>
      </c>
      <c r="D2618" s="17"/>
      <c r="E2618" s="17" t="s">
        <v>596</v>
      </c>
      <c r="F2618" s="18" t="s">
        <v>597</v>
      </c>
      <c r="G2618" s="49" t="s">
        <v>598</v>
      </c>
      <c r="H2618" s="17">
        <v>1</v>
      </c>
      <c r="O2618" s="62" t="str">
        <f>IF(E2618="PA",IF(K2618&lt;&gt;"",ISERROR(VLOOKUP(K2618,ABBR!A:D,1,FALSE)),ISERROR(VLOOKUP(C2618,ABBR!A:D,1,FALSE))),"")</f>
        <v/>
      </c>
      <c r="P2618" t="str">
        <f>VLOOKUP(A2618,Groups!A:L,5,FALSE)</f>
        <v>SAMP</v>
      </c>
      <c r="Q2618" s="62" t="str">
        <f>IF(G2618="PA",IF(M2618&lt;&gt;"",ISERROR(VLOOKUP(M2618,ABBR!C:F,1,FALSE)),ISERROR(VLOOKUP(E2618,ABBR!C:F,1,FALSE))),"")</f>
        <v/>
      </c>
    </row>
    <row r="2619" spans="1:17" hidden="1" x14ac:dyDescent="0.25">
      <c r="A2619" s="16" t="s">
        <v>308</v>
      </c>
      <c r="B2619" s="17" t="s">
        <v>594</v>
      </c>
      <c r="C2619" s="16" t="s">
        <v>851</v>
      </c>
      <c r="D2619" s="17" t="s">
        <v>600</v>
      </c>
      <c r="E2619" s="17" t="s">
        <v>601</v>
      </c>
      <c r="F2619" s="18" t="s">
        <v>852</v>
      </c>
      <c r="G2619" s="49" t="s">
        <v>853</v>
      </c>
      <c r="H2619" s="17">
        <v>2</v>
      </c>
      <c r="O2619" s="62" t="str">
        <f>IF(E2619="PA",IF(K2619&lt;&gt;"",ISERROR(VLOOKUP(K2619,ABBR!A:D,1,FALSE)),ISERROR(VLOOKUP(C2619,ABBR!A:D,1,FALSE))),"")</f>
        <v/>
      </c>
      <c r="P2619" t="str">
        <f>VLOOKUP(A2619,Groups!A:L,5,FALSE)</f>
        <v>SAMP</v>
      </c>
      <c r="Q2619" s="62" t="str">
        <f>IF(G2619="PA",IF(M2619&lt;&gt;"",ISERROR(VLOOKUP(M2619,ABBR!C:F,1,FALSE)),ISERROR(VLOOKUP(E2619,ABBR!C:F,1,FALSE))),"")</f>
        <v/>
      </c>
    </row>
    <row r="2620" spans="1:17" hidden="1" x14ac:dyDescent="0.25">
      <c r="A2620" s="16" t="s">
        <v>308</v>
      </c>
      <c r="B2620" s="17" t="s">
        <v>594</v>
      </c>
      <c r="C2620" s="16" t="s">
        <v>854</v>
      </c>
      <c r="D2620" s="17"/>
      <c r="E2620" s="17" t="s">
        <v>608</v>
      </c>
      <c r="F2620" s="18" t="s">
        <v>855</v>
      </c>
      <c r="G2620" s="49" t="s">
        <v>941</v>
      </c>
      <c r="H2620" s="17">
        <v>3</v>
      </c>
      <c r="O2620" s="62" t="str">
        <f>IF(E2620="PA",IF(K2620&lt;&gt;"",ISERROR(VLOOKUP(K2620,ABBR!A:D,1,FALSE)),ISERROR(VLOOKUP(C2620,ABBR!A:D,1,FALSE))),"")</f>
        <v/>
      </c>
      <c r="P2620" t="str">
        <f>VLOOKUP(A2620,Groups!A:L,5,FALSE)</f>
        <v>SAMP</v>
      </c>
      <c r="Q2620" s="62" t="str">
        <f>IF(G2620="PA",IF(M2620&lt;&gt;"",ISERROR(VLOOKUP(M2620,ABBR!C:F,1,FALSE)),ISERROR(VLOOKUP(E2620,ABBR!C:F,1,FALSE))),"")</f>
        <v/>
      </c>
    </row>
    <row r="2621" spans="1:17" hidden="1" x14ac:dyDescent="0.25">
      <c r="A2621" s="16" t="s">
        <v>308</v>
      </c>
      <c r="B2621" s="17" t="s">
        <v>594</v>
      </c>
      <c r="C2621" s="16" t="s">
        <v>857</v>
      </c>
      <c r="D2621" s="17"/>
      <c r="E2621" s="17" t="s">
        <v>618</v>
      </c>
      <c r="F2621" s="18" t="s">
        <v>858</v>
      </c>
      <c r="G2621" s="49" t="s">
        <v>3547</v>
      </c>
      <c r="H2621" s="17">
        <v>4</v>
      </c>
      <c r="O2621" s="62" t="b">
        <f>IF(E2621="PA",IF(K2621&lt;&gt;"",ISERROR(VLOOKUP(K2621,ABBR!A:D,1,FALSE)),ISERROR(VLOOKUP(C2621,ABBR!A:D,1,FALSE))),"")</f>
        <v>0</v>
      </c>
      <c r="P2621" t="str">
        <f>VLOOKUP(A2621,Groups!A:L,5,FALSE)</f>
        <v>SAMP</v>
      </c>
      <c r="Q2621" s="62" t="str">
        <f>IF(G2621="PA",IF(M2621&lt;&gt;"",ISERROR(VLOOKUP(M2621,ABBR!C:F,1,FALSE)),ISERROR(VLOOKUP(E2621,ABBR!C:F,1,FALSE))),"")</f>
        <v/>
      </c>
    </row>
    <row r="2622" spans="1:17" hidden="1" x14ac:dyDescent="0.25">
      <c r="A2622" s="16" t="s">
        <v>308</v>
      </c>
      <c r="B2622" s="17" t="s">
        <v>594</v>
      </c>
      <c r="C2622" s="16" t="s">
        <v>860</v>
      </c>
      <c r="D2622" s="17"/>
      <c r="E2622" s="17" t="s">
        <v>596</v>
      </c>
      <c r="F2622" s="18" t="s">
        <v>942</v>
      </c>
      <c r="G2622" s="49" t="s">
        <v>862</v>
      </c>
      <c r="H2622" s="17">
        <v>5</v>
      </c>
      <c r="O2622" s="62" t="str">
        <f>IF(E2622="PA",IF(K2622&lt;&gt;"",ISERROR(VLOOKUP(K2622,ABBR!A:D,1,FALSE)),ISERROR(VLOOKUP(C2622,ABBR!A:D,1,FALSE))),"")</f>
        <v/>
      </c>
      <c r="P2622" t="str">
        <f>VLOOKUP(A2622,Groups!A:L,5,FALSE)</f>
        <v>SAMP</v>
      </c>
      <c r="Q2622" s="62" t="str">
        <f>IF(G2622="PA",IF(M2622&lt;&gt;"",ISERROR(VLOOKUP(M2622,ABBR!C:F,1,FALSE)),ISERROR(VLOOKUP(E2622,ABBR!C:F,1,FALSE))),"")</f>
        <v/>
      </c>
    </row>
    <row r="2623" spans="1:17" hidden="1" x14ac:dyDescent="0.25">
      <c r="A2623" s="16" t="s">
        <v>308</v>
      </c>
      <c r="B2623" s="17" t="s">
        <v>594</v>
      </c>
      <c r="C2623" s="16" t="s">
        <v>863</v>
      </c>
      <c r="D2623" s="17"/>
      <c r="E2623" s="17" t="s">
        <v>608</v>
      </c>
      <c r="F2623" s="18" t="s">
        <v>864</v>
      </c>
      <c r="G2623" s="49" t="s">
        <v>865</v>
      </c>
      <c r="H2623" s="17">
        <v>6</v>
      </c>
      <c r="O2623" s="62" t="str">
        <f>IF(E2623="PA",IF(K2623&lt;&gt;"",ISERROR(VLOOKUP(K2623,ABBR!A:D,1,FALSE)),ISERROR(VLOOKUP(C2623,ABBR!A:D,1,FALSE))),"")</f>
        <v/>
      </c>
      <c r="P2623" t="str">
        <f>VLOOKUP(A2623,Groups!A:L,5,FALSE)</f>
        <v>SAMP</v>
      </c>
      <c r="Q2623" s="62" t="str">
        <f>IF(G2623="PA",IF(M2623&lt;&gt;"",ISERROR(VLOOKUP(M2623,ABBR!C:F,1,FALSE)),ISERROR(VLOOKUP(E2623,ABBR!C:F,1,FALSE))),"")</f>
        <v/>
      </c>
    </row>
    <row r="2624" spans="1:17" hidden="1" x14ac:dyDescent="0.25">
      <c r="A2624" s="16" t="s">
        <v>308</v>
      </c>
      <c r="B2624" s="17" t="s">
        <v>594</v>
      </c>
      <c r="C2624" s="16" t="s">
        <v>866</v>
      </c>
      <c r="D2624" s="17" t="s">
        <v>600</v>
      </c>
      <c r="E2624" s="17" t="s">
        <v>601</v>
      </c>
      <c r="F2624" s="18" t="s">
        <v>867</v>
      </c>
      <c r="G2624" s="49" t="s">
        <v>853</v>
      </c>
      <c r="H2624" s="17">
        <v>7</v>
      </c>
      <c r="O2624" s="62" t="str">
        <f>IF(E2624="PA",IF(K2624&lt;&gt;"",ISERROR(VLOOKUP(K2624,ABBR!A:D,1,FALSE)),ISERROR(VLOOKUP(C2624,ABBR!A:D,1,FALSE))),"")</f>
        <v/>
      </c>
      <c r="P2624" t="str">
        <f>VLOOKUP(A2624,Groups!A:L,5,FALSE)</f>
        <v>SAMP</v>
      </c>
      <c r="Q2624" s="62" t="str">
        <f>IF(G2624="PA",IF(M2624&lt;&gt;"",ISERROR(VLOOKUP(M2624,ABBR!C:F,1,FALSE)),ISERROR(VLOOKUP(E2624,ABBR!C:F,1,FALSE))),"")</f>
        <v/>
      </c>
    </row>
    <row r="2625" spans="1:17" hidden="1" x14ac:dyDescent="0.25">
      <c r="A2625" s="16" t="s">
        <v>308</v>
      </c>
      <c r="B2625" s="17"/>
      <c r="C2625" s="16" t="s">
        <v>868</v>
      </c>
      <c r="D2625" s="17"/>
      <c r="E2625" s="17" t="s">
        <v>608</v>
      </c>
      <c r="F2625" s="18" t="s">
        <v>869</v>
      </c>
      <c r="G2625" s="51" t="s">
        <v>1269</v>
      </c>
      <c r="H2625" s="17">
        <v>8</v>
      </c>
      <c r="O2625" s="62" t="str">
        <f>IF(E2625="PA",IF(K2625&lt;&gt;"",ISERROR(VLOOKUP(K2625,ABBR!A:D,1,FALSE)),ISERROR(VLOOKUP(C2625,ABBR!A:D,1,FALSE))),"")</f>
        <v/>
      </c>
      <c r="P2625" t="str">
        <f>VLOOKUP(A2625,Groups!A:L,5,FALSE)</f>
        <v>SAMP</v>
      </c>
      <c r="Q2625" s="62" t="str">
        <f>IF(G2625="PA",IF(M2625&lt;&gt;"",ISERROR(VLOOKUP(M2625,ABBR!C:F,1,FALSE)),ISERROR(VLOOKUP(E2625,ABBR!C:F,1,FALSE))),"")</f>
        <v/>
      </c>
    </row>
    <row r="2626" spans="1:17" ht="75" hidden="1" x14ac:dyDescent="0.25">
      <c r="A2626" s="16" t="s">
        <v>308</v>
      </c>
      <c r="B2626" s="17"/>
      <c r="C2626" s="16" t="s">
        <v>871</v>
      </c>
      <c r="D2626" s="17"/>
      <c r="E2626" s="17" t="s">
        <v>608</v>
      </c>
      <c r="F2626" s="18" t="s">
        <v>872</v>
      </c>
      <c r="G2626" s="49" t="s">
        <v>1270</v>
      </c>
      <c r="H2626" s="17">
        <v>9</v>
      </c>
      <c r="O2626" s="62" t="str">
        <f>IF(E2626="PA",IF(K2626&lt;&gt;"",ISERROR(VLOOKUP(K2626,ABBR!A:D,1,FALSE)),ISERROR(VLOOKUP(C2626,ABBR!A:D,1,FALSE))),"")</f>
        <v/>
      </c>
      <c r="P2626" t="str">
        <f>VLOOKUP(A2626,Groups!A:L,5,FALSE)</f>
        <v>SAMP</v>
      </c>
      <c r="Q2626" s="62" t="str">
        <f>IF(G2626="PA",IF(M2626&lt;&gt;"",ISERROR(VLOOKUP(M2626,ABBR!C:F,1,FALSE)),ISERROR(VLOOKUP(E2626,ABBR!C:F,1,FALSE))),"")</f>
        <v/>
      </c>
    </row>
    <row r="2627" spans="1:17" hidden="1" x14ac:dyDescent="0.25">
      <c r="A2627" s="16" t="s">
        <v>308</v>
      </c>
      <c r="B2627" s="17"/>
      <c r="C2627" s="16" t="s">
        <v>4410</v>
      </c>
      <c r="D2627" s="17" t="s">
        <v>766</v>
      </c>
      <c r="E2627" s="17" t="s">
        <v>767</v>
      </c>
      <c r="F2627" s="18" t="s">
        <v>4411</v>
      </c>
      <c r="G2627" s="56" t="s">
        <v>1091</v>
      </c>
      <c r="H2627" s="17">
        <v>10</v>
      </c>
      <c r="O2627" s="62" t="str">
        <f>IF(E2627="PA",IF(K2627&lt;&gt;"",ISERROR(VLOOKUP(K2627,ABBR!A:D,1,FALSE)),ISERROR(VLOOKUP(C2627,ABBR!A:D,1,FALSE))),"")</f>
        <v/>
      </c>
      <c r="P2627" t="str">
        <f>VLOOKUP(A2627,Groups!A:L,5,FALSE)</f>
        <v>SAMP</v>
      </c>
      <c r="Q2627" s="62" t="str">
        <f>IF(G2627="PA",IF(M2627&lt;&gt;"",ISERROR(VLOOKUP(M2627,ABBR!C:F,1,FALSE)),ISERROR(VLOOKUP(E2627,ABBR!C:F,1,FALSE))),"")</f>
        <v/>
      </c>
    </row>
    <row r="2628" spans="1:17" hidden="1" x14ac:dyDescent="0.25">
      <c r="A2628" s="16" t="s">
        <v>308</v>
      </c>
      <c r="B2628" s="17"/>
      <c r="C2628" s="16" t="s">
        <v>4412</v>
      </c>
      <c r="D2628" s="17" t="s">
        <v>766</v>
      </c>
      <c r="E2628" s="17" t="s">
        <v>608</v>
      </c>
      <c r="F2628" s="18" t="s">
        <v>4413</v>
      </c>
      <c r="G2628" s="49" t="s">
        <v>4414</v>
      </c>
      <c r="H2628" s="17">
        <v>11</v>
      </c>
      <c r="O2628" s="62" t="str">
        <f>IF(E2628="PA",IF(K2628&lt;&gt;"",ISERROR(VLOOKUP(K2628,ABBR!A:D,1,FALSE)),ISERROR(VLOOKUP(C2628,ABBR!A:D,1,FALSE))),"")</f>
        <v/>
      </c>
      <c r="P2628" t="str">
        <f>VLOOKUP(A2628,Groups!A:L,5,FALSE)</f>
        <v>SAMP</v>
      </c>
      <c r="Q2628" s="62" t="str">
        <f>IF(G2628="PA",IF(M2628&lt;&gt;"",ISERROR(VLOOKUP(M2628,ABBR!C:F,1,FALSE)),ISERROR(VLOOKUP(E2628,ABBR!C:F,1,FALSE))),"")</f>
        <v/>
      </c>
    </row>
    <row r="2629" spans="1:17" hidden="1" x14ac:dyDescent="0.25">
      <c r="A2629" s="16" t="s">
        <v>308</v>
      </c>
      <c r="B2629" s="17"/>
      <c r="C2629" s="16" t="s">
        <v>4415</v>
      </c>
      <c r="D2629" s="17" t="s">
        <v>766</v>
      </c>
      <c r="E2629" s="17" t="s">
        <v>882</v>
      </c>
      <c r="F2629" s="18" t="s">
        <v>1281</v>
      </c>
      <c r="G2629" s="49" t="s">
        <v>1282</v>
      </c>
      <c r="H2629" s="17">
        <v>12</v>
      </c>
      <c r="O2629" s="62" t="str">
        <f>IF(E2629="PA",IF(K2629&lt;&gt;"",ISERROR(VLOOKUP(K2629,ABBR!A:D,1,FALSE)),ISERROR(VLOOKUP(C2629,ABBR!A:D,1,FALSE))),"")</f>
        <v/>
      </c>
      <c r="P2629" t="str">
        <f>VLOOKUP(A2629,Groups!A:L,5,FALSE)</f>
        <v>SAMP</v>
      </c>
      <c r="Q2629" s="62" t="str">
        <f>IF(G2629="PA",IF(M2629&lt;&gt;"",ISERROR(VLOOKUP(M2629,ABBR!C:F,1,FALSE)),ISERROR(VLOOKUP(E2629,ABBR!C:F,1,FALSE))),"")</f>
        <v/>
      </c>
    </row>
    <row r="2630" spans="1:17" hidden="1" x14ac:dyDescent="0.25">
      <c r="A2630" s="16" t="s">
        <v>308</v>
      </c>
      <c r="B2630" s="17"/>
      <c r="C2630" s="16" t="s">
        <v>4416</v>
      </c>
      <c r="D2630" s="17"/>
      <c r="E2630" s="17" t="s">
        <v>608</v>
      </c>
      <c r="F2630" s="18" t="s">
        <v>1284</v>
      </c>
      <c r="G2630" s="49" t="s">
        <v>1285</v>
      </c>
      <c r="H2630" s="17">
        <v>13</v>
      </c>
      <c r="O2630" s="62" t="str">
        <f>IF(E2630="PA",IF(K2630&lt;&gt;"",ISERROR(VLOOKUP(K2630,ABBR!A:D,1,FALSE)),ISERROR(VLOOKUP(C2630,ABBR!A:D,1,FALSE))),"")</f>
        <v/>
      </c>
      <c r="P2630" t="str">
        <f>VLOOKUP(A2630,Groups!A:L,5,FALSE)</f>
        <v>SAMP</v>
      </c>
      <c r="Q2630" s="62" t="str">
        <f>IF(G2630="PA",IF(M2630&lt;&gt;"",ISERROR(VLOOKUP(M2630,ABBR!C:F,1,FALSE)),ISERROR(VLOOKUP(E2630,ABBR!C:F,1,FALSE))),"")</f>
        <v/>
      </c>
    </row>
    <row r="2631" spans="1:17" ht="25" hidden="1" x14ac:dyDescent="0.25">
      <c r="A2631" s="16" t="s">
        <v>308</v>
      </c>
      <c r="B2631" s="17"/>
      <c r="C2631" s="16" t="s">
        <v>4417</v>
      </c>
      <c r="D2631" s="17"/>
      <c r="E2631" s="17" t="s">
        <v>608</v>
      </c>
      <c r="F2631" s="18" t="s">
        <v>1287</v>
      </c>
      <c r="G2631" s="49" t="s">
        <v>16</v>
      </c>
      <c r="H2631" s="17">
        <v>14</v>
      </c>
      <c r="M2631" s="101"/>
      <c r="O2631" s="62" t="str">
        <f>IF(E2631="PA",IF(K2631&lt;&gt;"",ISERROR(VLOOKUP(K2631,ABBR!A:D,1,FALSE)),ISERROR(VLOOKUP(C2631,ABBR!A:D,1,FALSE))),"")</f>
        <v/>
      </c>
      <c r="P2631" t="str">
        <f>VLOOKUP(A2631,Groups!A:L,5,FALSE)</f>
        <v>SAMP</v>
      </c>
      <c r="Q2631" s="62" t="str">
        <f>IF(G2631="PA",IF(M2631&lt;&gt;"",ISERROR(VLOOKUP(M2631,ABBR!C:F,1,FALSE)),ISERROR(VLOOKUP(E2631,ABBR!C:F,1,FALSE))),"")</f>
        <v/>
      </c>
    </row>
    <row r="2632" spans="1:17" ht="25" hidden="1" x14ac:dyDescent="0.25">
      <c r="A2632" s="16" t="s">
        <v>308</v>
      </c>
      <c r="B2632" s="17"/>
      <c r="C2632" s="16" t="s">
        <v>4418</v>
      </c>
      <c r="D2632" s="17"/>
      <c r="E2632" s="17" t="s">
        <v>608</v>
      </c>
      <c r="F2632" s="18" t="s">
        <v>918</v>
      </c>
      <c r="G2632" s="49" t="s">
        <v>4419</v>
      </c>
      <c r="H2632" s="17">
        <v>15</v>
      </c>
      <c r="O2632" s="62" t="str">
        <f>IF(E2632="PA",IF(K2632&lt;&gt;"",ISERROR(VLOOKUP(K2632,ABBR!A:D,1,FALSE)),ISERROR(VLOOKUP(C2632,ABBR!A:D,1,FALSE))),"")</f>
        <v/>
      </c>
      <c r="P2632" t="str">
        <f>VLOOKUP(A2632,Groups!A:L,5,FALSE)</f>
        <v>SAMP</v>
      </c>
      <c r="Q2632" s="62" t="str">
        <f>IF(G2632="PA",IF(M2632&lt;&gt;"",ISERROR(VLOOKUP(M2632,ABBR!C:F,1,FALSE)),ISERROR(VLOOKUP(E2632,ABBR!C:F,1,FALSE))),"")</f>
        <v/>
      </c>
    </row>
    <row r="2633" spans="1:17" hidden="1" x14ac:dyDescent="0.25">
      <c r="A2633" s="16" t="s">
        <v>308</v>
      </c>
      <c r="B2633" s="17"/>
      <c r="C2633" s="16" t="s">
        <v>4420</v>
      </c>
      <c r="D2633" s="17"/>
      <c r="E2633" s="17" t="s">
        <v>608</v>
      </c>
      <c r="F2633" s="18" t="s">
        <v>950</v>
      </c>
      <c r="G2633" s="27" t="s">
        <v>951</v>
      </c>
      <c r="H2633" s="17">
        <v>16</v>
      </c>
      <c r="O2633" s="62" t="str">
        <f>IF(E2633="PA",IF(K2633&lt;&gt;"",ISERROR(VLOOKUP(K2633,ABBR!A:D,1,FALSE)),ISERROR(VLOOKUP(C2633,ABBR!A:D,1,FALSE))),"")</f>
        <v/>
      </c>
      <c r="P2633" t="str">
        <f>VLOOKUP(A2633,Groups!A:L,5,FALSE)</f>
        <v>SAMP</v>
      </c>
      <c r="Q2633" s="62" t="str">
        <f>IF(G2633="PA",IF(M2633&lt;&gt;"",ISERROR(VLOOKUP(M2633,ABBR!C:F,1,FALSE)),ISERROR(VLOOKUP(E2633,ABBR!C:F,1,FALSE))),"")</f>
        <v/>
      </c>
    </row>
    <row r="2634" spans="1:17" ht="25" hidden="1" x14ac:dyDescent="0.25">
      <c r="A2634" s="16" t="s">
        <v>308</v>
      </c>
      <c r="B2634" s="17"/>
      <c r="C2634" s="16" t="s">
        <v>4421</v>
      </c>
      <c r="D2634" s="17"/>
      <c r="E2634" s="17" t="s">
        <v>608</v>
      </c>
      <c r="F2634" s="18" t="s">
        <v>934</v>
      </c>
      <c r="G2634" s="49" t="s">
        <v>953</v>
      </c>
      <c r="H2634" s="17">
        <v>17</v>
      </c>
      <c r="O2634" s="62" t="str">
        <f>IF(E2634="PA",IF(K2634&lt;&gt;"",ISERROR(VLOOKUP(K2634,ABBR!A:D,1,FALSE)),ISERROR(VLOOKUP(C2634,ABBR!A:D,1,FALSE))),"")</f>
        <v/>
      </c>
      <c r="P2634" t="str">
        <f>VLOOKUP(A2634,Groups!A:L,5,FALSE)</f>
        <v>SAMP</v>
      </c>
      <c r="Q2634" s="62" t="str">
        <f>IF(G2634="PA",IF(M2634&lt;&gt;"",ISERROR(VLOOKUP(M2634,ABBR!C:F,1,FALSE)),ISERROR(VLOOKUP(E2634,ABBR!C:F,1,FALSE))),"")</f>
        <v/>
      </c>
    </row>
    <row r="2635" spans="1:17" hidden="1" x14ac:dyDescent="0.25">
      <c r="A2635" s="16" t="s">
        <v>308</v>
      </c>
      <c r="B2635" s="17"/>
      <c r="C2635" s="16" t="s">
        <v>936</v>
      </c>
      <c r="D2635" s="17"/>
      <c r="E2635" s="22" t="s">
        <v>608</v>
      </c>
      <c r="F2635" s="18" t="s">
        <v>937</v>
      </c>
      <c r="G2635" s="49" t="s">
        <v>938</v>
      </c>
      <c r="H2635" s="17">
        <v>18</v>
      </c>
      <c r="O2635" s="62" t="str">
        <f>IF(E2635="PA",IF(K2635&lt;&gt;"",ISERROR(VLOOKUP(K2635,ABBR!A:D,1,FALSE)),ISERROR(VLOOKUP(C2635,ABBR!A:D,1,FALSE))),"")</f>
        <v/>
      </c>
      <c r="P2635" t="str">
        <f>VLOOKUP(A2635,Groups!A:L,5,FALSE)</f>
        <v>SAMP</v>
      </c>
      <c r="Q2635" s="62" t="str">
        <f>IF(G2635="PA",IF(M2635&lt;&gt;"",ISERROR(VLOOKUP(M2635,ABBR!C:F,1,FALSE)),ISERROR(VLOOKUP(E2635,ABBR!C:F,1,FALSE))),"")</f>
        <v/>
      </c>
    </row>
    <row r="2636" spans="1:17" hidden="1" x14ac:dyDescent="0.25">
      <c r="A2636" s="16" t="s">
        <v>308</v>
      </c>
      <c r="B2636" s="17"/>
      <c r="C2636" s="16" t="s">
        <v>643</v>
      </c>
      <c r="D2636" s="17"/>
      <c r="E2636" s="17" t="s">
        <v>608</v>
      </c>
      <c r="F2636" s="18" t="s">
        <v>1294</v>
      </c>
      <c r="G2636" s="49" t="s">
        <v>4252</v>
      </c>
      <c r="H2636" s="17">
        <v>19</v>
      </c>
      <c r="O2636" s="62" t="str">
        <f>IF(E2636="PA",IF(K2636&lt;&gt;"",ISERROR(VLOOKUP(K2636,ABBR!A:D,1,FALSE)),ISERROR(VLOOKUP(C2636,ABBR!A:D,1,FALSE))),"")</f>
        <v/>
      </c>
      <c r="P2636" t="str">
        <f>VLOOKUP(A2636,Groups!A:L,5,FALSE)</f>
        <v>SAMP</v>
      </c>
      <c r="Q2636" s="62" t="str">
        <f>IF(G2636="PA",IF(M2636&lt;&gt;"",ISERROR(VLOOKUP(M2636,ABBR!C:F,1,FALSE)),ISERROR(VLOOKUP(E2636,ABBR!C:F,1,FALSE))),"")</f>
        <v/>
      </c>
    </row>
    <row r="2637" spans="1:17" hidden="1" x14ac:dyDescent="0.25">
      <c r="A2637" s="16" t="s">
        <v>308</v>
      </c>
      <c r="B2637" s="17"/>
      <c r="C2637" s="16" t="s">
        <v>877</v>
      </c>
      <c r="D2637" s="17" t="s">
        <v>600</v>
      </c>
      <c r="E2637" s="17" t="s">
        <v>601</v>
      </c>
      <c r="F2637" s="18" t="s">
        <v>878</v>
      </c>
      <c r="G2637" s="49" t="s">
        <v>879</v>
      </c>
      <c r="H2637" s="17">
        <v>20</v>
      </c>
      <c r="I2637" s="30" t="s">
        <v>955</v>
      </c>
      <c r="J2637" s="80">
        <v>4.0999999999999996</v>
      </c>
      <c r="O2637" s="62" t="str">
        <f>IF(E2637="PA",IF(K2637&lt;&gt;"",ISERROR(VLOOKUP(K2637,ABBR!A:D,1,FALSE)),ISERROR(VLOOKUP(C2637,ABBR!A:D,1,FALSE))),"")</f>
        <v/>
      </c>
      <c r="P2637" t="str">
        <f>VLOOKUP(A2637,Groups!A:L,5,FALSE)</f>
        <v>SAMP</v>
      </c>
      <c r="Q2637" s="62" t="str">
        <f>IF(G2637="PA",IF(M2637&lt;&gt;"",ISERROR(VLOOKUP(M2637,ABBR!C:F,1,FALSE)),ISERROR(VLOOKUP(E2637,ABBR!C:F,1,FALSE))),"")</f>
        <v/>
      </c>
    </row>
    <row r="2638" spans="1:17" hidden="1" x14ac:dyDescent="0.25">
      <c r="A2638" s="16" t="s">
        <v>308</v>
      </c>
      <c r="B2638" s="17"/>
      <c r="C2638" s="16" t="s">
        <v>4422</v>
      </c>
      <c r="D2638" s="17"/>
      <c r="E2638" s="17" t="s">
        <v>608</v>
      </c>
      <c r="F2638" s="18" t="s">
        <v>921</v>
      </c>
      <c r="G2638" s="94" t="s">
        <v>922</v>
      </c>
      <c r="H2638" s="17">
        <v>21</v>
      </c>
      <c r="I2638" s="30" t="s">
        <v>955</v>
      </c>
      <c r="J2638" s="80">
        <v>4.0999999999999996</v>
      </c>
      <c r="M2638" s="101"/>
      <c r="O2638" s="62" t="str">
        <f>IF(E2638="PA",IF(K2638&lt;&gt;"",ISERROR(VLOOKUP(K2638,ABBR!A:D,1,FALSE)),ISERROR(VLOOKUP(C2638,ABBR!A:D,1,FALSE))),"")</f>
        <v/>
      </c>
      <c r="P2638" t="str">
        <f>VLOOKUP(A2638,Groups!A:L,5,FALSE)</f>
        <v>SAMP</v>
      </c>
      <c r="Q2638" s="62" t="str">
        <f>IF(G2638="PA",IF(M2638&lt;&gt;"",ISERROR(VLOOKUP(M2638,ABBR!C:F,1,FALSE)),ISERROR(VLOOKUP(E2638,ABBR!C:F,1,FALSE))),"")</f>
        <v/>
      </c>
    </row>
    <row r="2639" spans="1:17" hidden="1" x14ac:dyDescent="0.25">
      <c r="A2639" s="16" t="s">
        <v>308</v>
      </c>
      <c r="B2639" s="17"/>
      <c r="C2639" s="16" t="s">
        <v>4423</v>
      </c>
      <c r="D2639" s="17" t="s">
        <v>924</v>
      </c>
      <c r="E2639" s="17" t="s">
        <v>925</v>
      </c>
      <c r="F2639" s="18" t="s">
        <v>926</v>
      </c>
      <c r="G2639" s="49" t="s">
        <v>927</v>
      </c>
      <c r="H2639" s="17">
        <v>22</v>
      </c>
      <c r="J2639" s="62" t="s">
        <v>473</v>
      </c>
      <c r="K2639" s="62"/>
      <c r="L2639" s="62"/>
      <c r="M2639" s="62"/>
      <c r="N2639" s="62"/>
      <c r="O2639" s="62" t="str">
        <f>IF(E2639="PA",IF(K2639&lt;&gt;"",ISERROR(VLOOKUP(K2639,ABBR!A:D,1,FALSE)),ISERROR(VLOOKUP(C2639,ABBR!A:D,1,FALSE))),"")</f>
        <v/>
      </c>
      <c r="P2639" t="str">
        <f>VLOOKUP(A2639,Groups!A:L,5,FALSE)</f>
        <v>SAMP</v>
      </c>
      <c r="Q2639" s="62" t="str">
        <f>IF(G2639="PA",IF(M2639&lt;&gt;"",ISERROR(VLOOKUP(M2639,ABBR!C:F,1,FALSE)),ISERROR(VLOOKUP(E2639,ABBR!C:F,1,FALSE))),"")</f>
        <v/>
      </c>
    </row>
    <row r="2640" spans="1:17" hidden="1" x14ac:dyDescent="0.25">
      <c r="A2640" s="16" t="s">
        <v>308</v>
      </c>
      <c r="B2640" s="17"/>
      <c r="C2640" s="16" t="s">
        <v>4424</v>
      </c>
      <c r="D2640" s="17"/>
      <c r="E2640" s="17" t="s">
        <v>608</v>
      </c>
      <c r="F2640" s="18" t="s">
        <v>875</v>
      </c>
      <c r="G2640" s="49" t="s">
        <v>876</v>
      </c>
      <c r="H2640" s="17">
        <v>23</v>
      </c>
      <c r="J2640" s="7" t="s">
        <v>473</v>
      </c>
      <c r="K2640" s="62"/>
      <c r="L2640" s="62"/>
      <c r="M2640" s="62"/>
      <c r="N2640" s="62"/>
      <c r="O2640" s="62" t="str">
        <f>IF(E2640="PA",IF(K2640&lt;&gt;"",ISERROR(VLOOKUP(K2640,ABBR!A:D,1,FALSE)),ISERROR(VLOOKUP(C2640,ABBR!A:D,1,FALSE))),"")</f>
        <v/>
      </c>
      <c r="P2640" t="str">
        <f>VLOOKUP(A2640,Groups!A:L,5,FALSE)</f>
        <v>SAMP</v>
      </c>
      <c r="Q2640" s="62" t="str">
        <f>IF(G2640="PA",IF(M2640&lt;&gt;"",ISERROR(VLOOKUP(M2640,ABBR!C:F,1,FALSE)),ISERROR(VLOOKUP(E2640,ABBR!C:F,1,FALSE))),"")</f>
        <v/>
      </c>
    </row>
    <row r="2641" spans="1:17" hidden="1" x14ac:dyDescent="0.25">
      <c r="A2641" s="16" t="s">
        <v>308</v>
      </c>
      <c r="B2641" s="17"/>
      <c r="C2641" s="16" t="s">
        <v>4425</v>
      </c>
      <c r="D2641" s="17"/>
      <c r="E2641" s="17" t="s">
        <v>608</v>
      </c>
      <c r="F2641" s="18" t="s">
        <v>929</v>
      </c>
      <c r="G2641" s="49" t="s">
        <v>876</v>
      </c>
      <c r="H2641" s="17">
        <v>24</v>
      </c>
      <c r="J2641" s="7" t="s">
        <v>473</v>
      </c>
      <c r="K2641" s="62"/>
      <c r="L2641" s="62"/>
      <c r="M2641" s="62"/>
      <c r="N2641" s="62"/>
      <c r="O2641" s="62" t="str">
        <f>IF(E2641="PA",IF(K2641&lt;&gt;"",ISERROR(VLOOKUP(K2641,ABBR!A:D,1,FALSE)),ISERROR(VLOOKUP(C2641,ABBR!A:D,1,FALSE))),"")</f>
        <v/>
      </c>
      <c r="P2641" t="str">
        <f>VLOOKUP(A2641,Groups!A:L,5,FALSE)</f>
        <v>SAMP</v>
      </c>
      <c r="Q2641" s="62" t="str">
        <f>IF(G2641="PA",IF(M2641&lt;&gt;"",ISERROR(VLOOKUP(M2641,ABBR!C:F,1,FALSE)),ISERROR(VLOOKUP(E2641,ABBR!C:F,1,FALSE))),"")</f>
        <v/>
      </c>
    </row>
    <row r="2642" spans="1:17" hidden="1" x14ac:dyDescent="0.25">
      <c r="A2642" s="16" t="s">
        <v>310</v>
      </c>
      <c r="B2642" s="17" t="s">
        <v>594</v>
      </c>
      <c r="C2642" s="16" t="s">
        <v>595</v>
      </c>
      <c r="D2642" s="17"/>
      <c r="E2642" s="17" t="s">
        <v>596</v>
      </c>
      <c r="F2642" s="18" t="s">
        <v>597</v>
      </c>
      <c r="G2642" s="49" t="s">
        <v>598</v>
      </c>
      <c r="H2642" s="17">
        <v>1</v>
      </c>
      <c r="O2642" s="62" t="str">
        <f>IF(E2642="PA",IF(K2642&lt;&gt;"",ISERROR(VLOOKUP(K2642,ABBR!A:D,1,FALSE)),ISERROR(VLOOKUP(C2642,ABBR!A:D,1,FALSE))),"")</f>
        <v/>
      </c>
      <c r="P2642" t="str">
        <f>VLOOKUP(A2642,Groups!A:L,5,FALSE)</f>
        <v>MCVG</v>
      </c>
      <c r="Q2642" s="62" t="str">
        <f>IF(G2642="PA",IF(M2642&lt;&gt;"",ISERROR(VLOOKUP(M2642,ABBR!C:F,1,FALSE)),ISERROR(VLOOKUP(E2642,ABBR!C:F,1,FALSE))),"")</f>
        <v/>
      </c>
    </row>
    <row r="2643" spans="1:17" hidden="1" x14ac:dyDescent="0.25">
      <c r="A2643" s="16" t="s">
        <v>310</v>
      </c>
      <c r="B2643" s="17" t="s">
        <v>594</v>
      </c>
      <c r="C2643" s="16" t="s">
        <v>851</v>
      </c>
      <c r="D2643" s="17" t="s">
        <v>600</v>
      </c>
      <c r="E2643" s="17" t="s">
        <v>601</v>
      </c>
      <c r="F2643" s="18" t="s">
        <v>852</v>
      </c>
      <c r="G2643" s="49" t="s">
        <v>853</v>
      </c>
      <c r="H2643" s="17">
        <v>2</v>
      </c>
      <c r="O2643" s="62" t="str">
        <f>IF(E2643="PA",IF(K2643&lt;&gt;"",ISERROR(VLOOKUP(K2643,ABBR!A:D,1,FALSE)),ISERROR(VLOOKUP(C2643,ABBR!A:D,1,FALSE))),"")</f>
        <v/>
      </c>
      <c r="P2643" t="str">
        <f>VLOOKUP(A2643,Groups!A:L,5,FALSE)</f>
        <v>MCVG</v>
      </c>
      <c r="Q2643" s="62" t="str">
        <f>IF(G2643="PA",IF(M2643&lt;&gt;"",ISERROR(VLOOKUP(M2643,ABBR!C:F,1,FALSE)),ISERROR(VLOOKUP(E2643,ABBR!C:F,1,FALSE))),"")</f>
        <v/>
      </c>
    </row>
    <row r="2644" spans="1:17" hidden="1" x14ac:dyDescent="0.25">
      <c r="A2644" s="16" t="s">
        <v>310</v>
      </c>
      <c r="B2644" s="17" t="s">
        <v>594</v>
      </c>
      <c r="C2644" s="16" t="s">
        <v>854</v>
      </c>
      <c r="D2644" s="17"/>
      <c r="E2644" s="17" t="s">
        <v>608</v>
      </c>
      <c r="F2644" s="18" t="s">
        <v>855</v>
      </c>
      <c r="G2644" s="49" t="s">
        <v>941</v>
      </c>
      <c r="H2644" s="17">
        <v>3</v>
      </c>
      <c r="O2644" s="62" t="str">
        <f>IF(E2644="PA",IF(K2644&lt;&gt;"",ISERROR(VLOOKUP(K2644,ABBR!A:D,1,FALSE)),ISERROR(VLOOKUP(C2644,ABBR!A:D,1,FALSE))),"")</f>
        <v/>
      </c>
      <c r="P2644" t="str">
        <f>VLOOKUP(A2644,Groups!A:L,5,FALSE)</f>
        <v>MCVG</v>
      </c>
      <c r="Q2644" s="62" t="str">
        <f>IF(G2644="PA",IF(M2644&lt;&gt;"",ISERROR(VLOOKUP(M2644,ABBR!C:F,1,FALSE)),ISERROR(VLOOKUP(E2644,ABBR!C:F,1,FALSE))),"")</f>
        <v/>
      </c>
    </row>
    <row r="2645" spans="1:17" hidden="1" x14ac:dyDescent="0.25">
      <c r="A2645" s="16" t="s">
        <v>310</v>
      </c>
      <c r="B2645" s="17" t="s">
        <v>594</v>
      </c>
      <c r="C2645" s="16" t="s">
        <v>857</v>
      </c>
      <c r="D2645" s="17"/>
      <c r="E2645" s="17" t="s">
        <v>618</v>
      </c>
      <c r="F2645" s="18" t="s">
        <v>858</v>
      </c>
      <c r="G2645" s="49" t="s">
        <v>3547</v>
      </c>
      <c r="H2645" s="17">
        <v>4</v>
      </c>
      <c r="O2645" s="62" t="b">
        <f>IF(E2645="PA",IF(K2645&lt;&gt;"",ISERROR(VLOOKUP(K2645,ABBR!A:D,1,FALSE)),ISERROR(VLOOKUP(C2645,ABBR!A:D,1,FALSE))),"")</f>
        <v>0</v>
      </c>
      <c r="P2645" t="str">
        <f>VLOOKUP(A2645,Groups!A:L,5,FALSE)</f>
        <v>MCVG</v>
      </c>
      <c r="Q2645" s="62" t="str">
        <f>IF(G2645="PA",IF(M2645&lt;&gt;"",ISERROR(VLOOKUP(M2645,ABBR!C:F,1,FALSE)),ISERROR(VLOOKUP(E2645,ABBR!C:F,1,FALSE))),"")</f>
        <v/>
      </c>
    </row>
    <row r="2646" spans="1:17" hidden="1" x14ac:dyDescent="0.25">
      <c r="A2646" s="16" t="s">
        <v>310</v>
      </c>
      <c r="B2646" s="17" t="s">
        <v>594</v>
      </c>
      <c r="C2646" s="16" t="s">
        <v>860</v>
      </c>
      <c r="D2646" s="17"/>
      <c r="E2646" s="17" t="s">
        <v>596</v>
      </c>
      <c r="F2646" s="18" t="s">
        <v>942</v>
      </c>
      <c r="G2646" s="49" t="s">
        <v>862</v>
      </c>
      <c r="H2646" s="17">
        <v>5</v>
      </c>
      <c r="O2646" s="62" t="str">
        <f>IF(E2646="PA",IF(K2646&lt;&gt;"",ISERROR(VLOOKUP(K2646,ABBR!A:D,1,FALSE)),ISERROR(VLOOKUP(C2646,ABBR!A:D,1,FALSE))),"")</f>
        <v/>
      </c>
      <c r="P2646" t="str">
        <f>VLOOKUP(A2646,Groups!A:L,5,FALSE)</f>
        <v>MCVG</v>
      </c>
      <c r="Q2646" s="62" t="str">
        <f>IF(G2646="PA",IF(M2646&lt;&gt;"",ISERROR(VLOOKUP(M2646,ABBR!C:F,1,FALSE)),ISERROR(VLOOKUP(E2646,ABBR!C:F,1,FALSE))),"")</f>
        <v/>
      </c>
    </row>
    <row r="2647" spans="1:17" hidden="1" x14ac:dyDescent="0.25">
      <c r="A2647" s="16" t="s">
        <v>310</v>
      </c>
      <c r="B2647" s="17" t="s">
        <v>594</v>
      </c>
      <c r="C2647" s="16" t="s">
        <v>863</v>
      </c>
      <c r="D2647" s="17"/>
      <c r="E2647" s="17" t="s">
        <v>608</v>
      </c>
      <c r="F2647" s="18" t="s">
        <v>864</v>
      </c>
      <c r="G2647" s="49" t="s">
        <v>865</v>
      </c>
      <c r="H2647" s="17">
        <v>6</v>
      </c>
      <c r="O2647" s="62" t="str">
        <f>IF(E2647="PA",IF(K2647&lt;&gt;"",ISERROR(VLOOKUP(K2647,ABBR!A:D,1,FALSE)),ISERROR(VLOOKUP(C2647,ABBR!A:D,1,FALSE))),"")</f>
        <v/>
      </c>
      <c r="P2647" t="str">
        <f>VLOOKUP(A2647,Groups!A:L,5,FALSE)</f>
        <v>MCVG</v>
      </c>
      <c r="Q2647" s="62" t="str">
        <f>IF(G2647="PA",IF(M2647&lt;&gt;"",ISERROR(VLOOKUP(M2647,ABBR!C:F,1,FALSE)),ISERROR(VLOOKUP(E2647,ABBR!C:F,1,FALSE))),"")</f>
        <v/>
      </c>
    </row>
    <row r="2648" spans="1:17" hidden="1" x14ac:dyDescent="0.25">
      <c r="A2648" s="16" t="s">
        <v>310</v>
      </c>
      <c r="B2648" s="17" t="s">
        <v>594</v>
      </c>
      <c r="C2648" s="16" t="s">
        <v>866</v>
      </c>
      <c r="D2648" s="17" t="s">
        <v>600</v>
      </c>
      <c r="E2648" s="17" t="s">
        <v>601</v>
      </c>
      <c r="F2648" s="18" t="s">
        <v>867</v>
      </c>
      <c r="G2648" s="49" t="s">
        <v>853</v>
      </c>
      <c r="H2648" s="17">
        <v>7</v>
      </c>
      <c r="O2648" s="62" t="str">
        <f>IF(E2648="PA",IF(K2648&lt;&gt;"",ISERROR(VLOOKUP(K2648,ABBR!A:D,1,FALSE)),ISERROR(VLOOKUP(C2648,ABBR!A:D,1,FALSE))),"")</f>
        <v/>
      </c>
      <c r="P2648" t="str">
        <f>VLOOKUP(A2648,Groups!A:L,5,FALSE)</f>
        <v>MCVG</v>
      </c>
      <c r="Q2648" s="62" t="str">
        <f>IF(G2648="PA",IF(M2648&lt;&gt;"",ISERROR(VLOOKUP(M2648,ABBR!C:F,1,FALSE)),ISERROR(VLOOKUP(E2648,ABBR!C:F,1,FALSE))),"")</f>
        <v/>
      </c>
    </row>
    <row r="2649" spans="1:17" hidden="1" x14ac:dyDescent="0.25">
      <c r="A2649" s="16" t="s">
        <v>310</v>
      </c>
      <c r="B2649" s="17" t="s">
        <v>594</v>
      </c>
      <c r="C2649" s="16" t="s">
        <v>4426</v>
      </c>
      <c r="D2649" s="17"/>
      <c r="E2649" s="17" t="s">
        <v>608</v>
      </c>
      <c r="F2649" s="18" t="s">
        <v>1323</v>
      </c>
      <c r="G2649" s="49" t="s">
        <v>631</v>
      </c>
      <c r="H2649" s="17">
        <v>8</v>
      </c>
      <c r="O2649" s="62" t="str">
        <f>IF(E2649="PA",IF(K2649&lt;&gt;"",ISERROR(VLOOKUP(K2649,ABBR!A:D,1,FALSE)),ISERROR(VLOOKUP(C2649,ABBR!A:D,1,FALSE))),"")</f>
        <v/>
      </c>
      <c r="P2649" t="str">
        <f>VLOOKUP(A2649,Groups!A:L,5,FALSE)</f>
        <v>MCVG</v>
      </c>
      <c r="Q2649" s="62" t="str">
        <f>IF(G2649="PA",IF(M2649&lt;&gt;"",ISERROR(VLOOKUP(M2649,ABBR!C:F,1,FALSE)),ISERROR(VLOOKUP(E2649,ABBR!C:F,1,FALSE))),"")</f>
        <v/>
      </c>
    </row>
    <row r="2650" spans="1:17" hidden="1" x14ac:dyDescent="0.25">
      <c r="A2650" s="16" t="s">
        <v>310</v>
      </c>
      <c r="B2650" s="17"/>
      <c r="C2650" s="16" t="s">
        <v>4427</v>
      </c>
      <c r="D2650" s="17" t="s">
        <v>766</v>
      </c>
      <c r="E2650" s="17" t="s">
        <v>608</v>
      </c>
      <c r="F2650" s="18" t="s">
        <v>4428</v>
      </c>
      <c r="G2650" s="49" t="s">
        <v>4429</v>
      </c>
      <c r="H2650" s="17">
        <v>9</v>
      </c>
      <c r="O2650" s="62" t="str">
        <f>IF(E2650="PA",IF(K2650&lt;&gt;"",ISERROR(VLOOKUP(K2650,ABBR!A:D,1,FALSE)),ISERROR(VLOOKUP(C2650,ABBR!A:D,1,FALSE))),"")</f>
        <v/>
      </c>
      <c r="P2650" t="str">
        <f>VLOOKUP(A2650,Groups!A:L,5,FALSE)</f>
        <v>MCVG</v>
      </c>
      <c r="Q2650" s="62" t="str">
        <f>IF(G2650="PA",IF(M2650&lt;&gt;"",ISERROR(VLOOKUP(M2650,ABBR!C:F,1,FALSE)),ISERROR(VLOOKUP(E2650,ABBR!C:F,1,FALSE))),"")</f>
        <v/>
      </c>
    </row>
    <row r="2651" spans="1:17" hidden="1" x14ac:dyDescent="0.25">
      <c r="A2651" s="16" t="s">
        <v>310</v>
      </c>
      <c r="B2651" s="17"/>
      <c r="C2651" s="16" t="s">
        <v>4430</v>
      </c>
      <c r="D2651" s="17"/>
      <c r="E2651" s="17" t="s">
        <v>608</v>
      </c>
      <c r="F2651" s="18" t="s">
        <v>4431</v>
      </c>
      <c r="G2651" s="49" t="s">
        <v>4432</v>
      </c>
      <c r="H2651" s="17">
        <v>10</v>
      </c>
      <c r="O2651" s="62" t="str">
        <f>IF(E2651="PA",IF(K2651&lt;&gt;"",ISERROR(VLOOKUP(K2651,ABBR!A:D,1,FALSE)),ISERROR(VLOOKUP(C2651,ABBR!A:D,1,FALSE))),"")</f>
        <v/>
      </c>
      <c r="P2651" t="str">
        <f>VLOOKUP(A2651,Groups!A:L,5,FALSE)</f>
        <v>MCVG</v>
      </c>
      <c r="Q2651" s="62" t="str">
        <f>IF(G2651="PA",IF(M2651&lt;&gt;"",ISERROR(VLOOKUP(M2651,ABBR!C:F,1,FALSE)),ISERROR(VLOOKUP(E2651,ABBR!C:F,1,FALSE))),"")</f>
        <v/>
      </c>
    </row>
    <row r="2652" spans="1:17" hidden="1" x14ac:dyDescent="0.25">
      <c r="A2652" s="16" t="s">
        <v>310</v>
      </c>
      <c r="B2652" s="17"/>
      <c r="C2652" s="16" t="s">
        <v>4433</v>
      </c>
      <c r="D2652" s="17"/>
      <c r="E2652" s="17" t="s">
        <v>723</v>
      </c>
      <c r="F2652" s="18" t="s">
        <v>4434</v>
      </c>
      <c r="G2652" s="49" t="s">
        <v>4435</v>
      </c>
      <c r="H2652" s="17">
        <v>11</v>
      </c>
      <c r="O2652" s="62" t="str">
        <f>IF(E2652="PA",IF(K2652&lt;&gt;"",ISERROR(VLOOKUP(K2652,ABBR!A:D,1,FALSE)),ISERROR(VLOOKUP(C2652,ABBR!A:D,1,FALSE))),"")</f>
        <v/>
      </c>
      <c r="P2652" t="str">
        <f>VLOOKUP(A2652,Groups!A:L,5,FALSE)</f>
        <v>MCVG</v>
      </c>
      <c r="Q2652" s="62" t="str">
        <f>IF(G2652="PA",IF(M2652&lt;&gt;"",ISERROR(VLOOKUP(M2652,ABBR!C:F,1,FALSE)),ISERROR(VLOOKUP(E2652,ABBR!C:F,1,FALSE))),"")</f>
        <v/>
      </c>
    </row>
    <row r="2653" spans="1:17" hidden="1" x14ac:dyDescent="0.25">
      <c r="A2653" s="16" t="s">
        <v>310</v>
      </c>
      <c r="B2653" s="17"/>
      <c r="C2653" s="16" t="s">
        <v>4436</v>
      </c>
      <c r="D2653" s="17" t="s">
        <v>1077</v>
      </c>
      <c r="E2653" s="17" t="s">
        <v>601</v>
      </c>
      <c r="F2653" s="18" t="s">
        <v>4437</v>
      </c>
      <c r="G2653" s="49" t="s">
        <v>4438</v>
      </c>
      <c r="H2653" s="17">
        <v>12</v>
      </c>
      <c r="O2653" s="62" t="str">
        <f>IF(E2653="PA",IF(K2653&lt;&gt;"",ISERROR(VLOOKUP(K2653,ABBR!A:D,1,FALSE)),ISERROR(VLOOKUP(C2653,ABBR!A:D,1,FALSE))),"")</f>
        <v/>
      </c>
      <c r="P2653" t="str">
        <f>VLOOKUP(A2653,Groups!A:L,5,FALSE)</f>
        <v>MCVG</v>
      </c>
      <c r="Q2653" s="62" t="str">
        <f>IF(G2653="PA",IF(M2653&lt;&gt;"",ISERROR(VLOOKUP(M2653,ABBR!C:F,1,FALSE)),ISERROR(VLOOKUP(E2653,ABBR!C:F,1,FALSE))),"")</f>
        <v/>
      </c>
    </row>
    <row r="2654" spans="1:17" ht="25" hidden="1" x14ac:dyDescent="0.25">
      <c r="A2654" s="16" t="s">
        <v>310</v>
      </c>
      <c r="B2654" s="17"/>
      <c r="C2654" s="16" t="s">
        <v>4439</v>
      </c>
      <c r="D2654" s="17" t="s">
        <v>722</v>
      </c>
      <c r="E2654" s="17" t="s">
        <v>723</v>
      </c>
      <c r="F2654" s="18" t="s">
        <v>4440</v>
      </c>
      <c r="G2654" s="49" t="s">
        <v>2822</v>
      </c>
      <c r="H2654" s="17">
        <v>13</v>
      </c>
      <c r="O2654" s="62" t="str">
        <f>IF(E2654="PA",IF(K2654&lt;&gt;"",ISERROR(VLOOKUP(K2654,ABBR!A:D,1,FALSE)),ISERROR(VLOOKUP(C2654,ABBR!A:D,1,FALSE))),"")</f>
        <v/>
      </c>
      <c r="P2654" t="str">
        <f>VLOOKUP(A2654,Groups!A:L,5,FALSE)</f>
        <v>MCVG</v>
      </c>
      <c r="Q2654" s="62" t="str">
        <f>IF(G2654="PA",IF(M2654&lt;&gt;"",ISERROR(VLOOKUP(M2654,ABBR!C:F,1,FALSE)),ISERROR(VLOOKUP(E2654,ABBR!C:F,1,FALSE))),"")</f>
        <v/>
      </c>
    </row>
    <row r="2655" spans="1:17" hidden="1" x14ac:dyDescent="0.25">
      <c r="A2655" s="16" t="s">
        <v>310</v>
      </c>
      <c r="B2655" s="17"/>
      <c r="C2655" s="16" t="s">
        <v>4441</v>
      </c>
      <c r="D2655" s="17"/>
      <c r="E2655" s="17" t="s">
        <v>608</v>
      </c>
      <c r="F2655" s="18" t="s">
        <v>4442</v>
      </c>
      <c r="G2655" s="49" t="s">
        <v>4443</v>
      </c>
      <c r="H2655" s="17">
        <v>14</v>
      </c>
      <c r="O2655" s="62" t="str">
        <f>IF(E2655="PA",IF(K2655&lt;&gt;"",ISERROR(VLOOKUP(K2655,ABBR!A:D,1,FALSE)),ISERROR(VLOOKUP(C2655,ABBR!A:D,1,FALSE))),"")</f>
        <v/>
      </c>
      <c r="P2655" t="str">
        <f>VLOOKUP(A2655,Groups!A:L,5,FALSE)</f>
        <v>MCVG</v>
      </c>
      <c r="Q2655" s="62" t="str">
        <f>IF(G2655="PA",IF(M2655&lt;&gt;"",ISERROR(VLOOKUP(M2655,ABBR!C:F,1,FALSE)),ISERROR(VLOOKUP(E2655,ABBR!C:F,1,FALSE))),"")</f>
        <v/>
      </c>
    </row>
    <row r="2656" spans="1:17" hidden="1" x14ac:dyDescent="0.25">
      <c r="A2656" s="16" t="s">
        <v>310</v>
      </c>
      <c r="B2656" s="17"/>
      <c r="C2656" s="16" t="s">
        <v>4444</v>
      </c>
      <c r="D2656" s="17"/>
      <c r="E2656" s="17" t="s">
        <v>608</v>
      </c>
      <c r="F2656" s="18" t="s">
        <v>642</v>
      </c>
      <c r="G2656" s="49" t="s">
        <v>16</v>
      </c>
      <c r="H2656" s="17">
        <v>15</v>
      </c>
      <c r="M2656" s="101"/>
      <c r="O2656" s="62" t="str">
        <f>IF(E2656="PA",IF(K2656&lt;&gt;"",ISERROR(VLOOKUP(K2656,ABBR!A:D,1,FALSE)),ISERROR(VLOOKUP(C2656,ABBR!A:D,1,FALSE))),"")</f>
        <v/>
      </c>
      <c r="P2656" t="str">
        <f>VLOOKUP(A2656,Groups!A:L,5,FALSE)</f>
        <v>MCVG</v>
      </c>
      <c r="Q2656" s="62" t="str">
        <f>IF(G2656="PA",IF(M2656&lt;&gt;"",ISERROR(VLOOKUP(M2656,ABBR!C:F,1,FALSE)),ISERROR(VLOOKUP(E2656,ABBR!C:F,1,FALSE))),"")</f>
        <v/>
      </c>
    </row>
    <row r="2657" spans="1:17" hidden="1" x14ac:dyDescent="0.25">
      <c r="A2657" s="16" t="s">
        <v>310</v>
      </c>
      <c r="B2657" s="17"/>
      <c r="C2657" s="16" t="s">
        <v>643</v>
      </c>
      <c r="D2657" s="17"/>
      <c r="E2657" s="17" t="s">
        <v>608</v>
      </c>
      <c r="F2657" s="18" t="s">
        <v>954</v>
      </c>
      <c r="G2657" s="49" t="s">
        <v>4252</v>
      </c>
      <c r="H2657" s="17">
        <v>16</v>
      </c>
      <c r="O2657" s="62" t="str">
        <f>IF(E2657="PA",IF(K2657&lt;&gt;"",ISERROR(VLOOKUP(K2657,ABBR!A:D,1,FALSE)),ISERROR(VLOOKUP(C2657,ABBR!A:D,1,FALSE))),"")</f>
        <v/>
      </c>
      <c r="P2657" t="str">
        <f>VLOOKUP(A2657,Groups!A:L,5,FALSE)</f>
        <v>MCVG</v>
      </c>
      <c r="Q2657" s="62" t="str">
        <f>IF(G2657="PA",IF(M2657&lt;&gt;"",ISERROR(VLOOKUP(M2657,ABBR!C:F,1,FALSE)),ISERROR(VLOOKUP(E2657,ABBR!C:F,1,FALSE))),"")</f>
        <v/>
      </c>
    </row>
    <row r="2658" spans="1:17" hidden="1" x14ac:dyDescent="0.25">
      <c r="A2658" s="16" t="s">
        <v>313</v>
      </c>
      <c r="B2658" s="17" t="s">
        <v>594</v>
      </c>
      <c r="C2658" s="16" t="s">
        <v>595</v>
      </c>
      <c r="D2658" s="17"/>
      <c r="E2658" s="17" t="s">
        <v>596</v>
      </c>
      <c r="F2658" s="18" t="s">
        <v>597</v>
      </c>
      <c r="G2658" s="49" t="s">
        <v>598</v>
      </c>
      <c r="H2658" s="17">
        <v>1</v>
      </c>
      <c r="O2658" s="62" t="str">
        <f>IF(E2658="PA",IF(K2658&lt;&gt;"",ISERROR(VLOOKUP(K2658,ABBR!A:D,1,FALSE)),ISERROR(VLOOKUP(C2658,ABBR!A:D,1,FALSE))),"")</f>
        <v/>
      </c>
      <c r="P2658" t="str">
        <f>VLOOKUP(A2658,Groups!A:L,5,FALSE)</f>
        <v>MONG</v>
      </c>
      <c r="Q2658" s="62" t="str">
        <f>IF(G2658="PA",IF(M2658&lt;&gt;"",ISERROR(VLOOKUP(M2658,ABBR!C:F,1,FALSE)),ISERROR(VLOOKUP(E2658,ABBR!C:F,1,FALSE))),"")</f>
        <v/>
      </c>
    </row>
    <row r="2659" spans="1:17" hidden="1" x14ac:dyDescent="0.25">
      <c r="A2659" s="16" t="s">
        <v>313</v>
      </c>
      <c r="B2659" s="17" t="s">
        <v>594</v>
      </c>
      <c r="C2659" s="16" t="s">
        <v>4445</v>
      </c>
      <c r="D2659" s="17"/>
      <c r="E2659" s="17" t="s">
        <v>608</v>
      </c>
      <c r="F2659" s="18" t="s">
        <v>4446</v>
      </c>
      <c r="G2659" s="49" t="s">
        <v>2711</v>
      </c>
      <c r="H2659" s="17">
        <v>2</v>
      </c>
      <c r="O2659" s="62" t="str">
        <f>IF(E2659="PA",IF(K2659&lt;&gt;"",ISERROR(VLOOKUP(K2659,ABBR!A:D,1,FALSE)),ISERROR(VLOOKUP(C2659,ABBR!A:D,1,FALSE))),"")</f>
        <v/>
      </c>
      <c r="P2659" t="str">
        <f>VLOOKUP(A2659,Groups!A:L,5,FALSE)</f>
        <v>MONG</v>
      </c>
      <c r="Q2659" s="62" t="str">
        <f>IF(G2659="PA",IF(M2659&lt;&gt;"",ISERROR(VLOOKUP(M2659,ABBR!C:F,1,FALSE)),ISERROR(VLOOKUP(E2659,ABBR!C:F,1,FALSE))),"")</f>
        <v/>
      </c>
    </row>
    <row r="2660" spans="1:17" ht="25" hidden="1" x14ac:dyDescent="0.25">
      <c r="A2660" s="16" t="s">
        <v>313</v>
      </c>
      <c r="B2660" s="17" t="s">
        <v>594</v>
      </c>
      <c r="C2660" s="16" t="s">
        <v>4447</v>
      </c>
      <c r="D2660" s="17" t="s">
        <v>600</v>
      </c>
      <c r="E2660" s="17" t="s">
        <v>601</v>
      </c>
      <c r="F2660" s="18" t="s">
        <v>4448</v>
      </c>
      <c r="G2660" s="49" t="s">
        <v>3106</v>
      </c>
      <c r="H2660" s="17">
        <v>3</v>
      </c>
      <c r="I2660" s="30" t="s">
        <v>4449</v>
      </c>
      <c r="O2660" s="62" t="str">
        <f>IF(E2660="PA",IF(K2660&lt;&gt;"",ISERROR(VLOOKUP(K2660,ABBR!A:D,1,FALSE)),ISERROR(VLOOKUP(C2660,ABBR!A:D,1,FALSE))),"")</f>
        <v/>
      </c>
      <c r="P2660" t="str">
        <f>VLOOKUP(A2660,Groups!A:L,5,FALSE)</f>
        <v>MONG</v>
      </c>
      <c r="Q2660" s="62" t="str">
        <f>IF(G2660="PA",IF(M2660&lt;&gt;"",ISERROR(VLOOKUP(M2660,ABBR!C:F,1,FALSE)),ISERROR(VLOOKUP(E2660,ABBR!C:F,1,FALSE))),"")</f>
        <v/>
      </c>
    </row>
    <row r="2661" spans="1:17" ht="25" hidden="1" x14ac:dyDescent="0.25">
      <c r="A2661" s="16" t="s">
        <v>313</v>
      </c>
      <c r="B2661" s="17" t="s">
        <v>594</v>
      </c>
      <c r="C2661" s="16" t="s">
        <v>4450</v>
      </c>
      <c r="D2661" s="17" t="s">
        <v>1718</v>
      </c>
      <c r="E2661" s="17" t="s">
        <v>925</v>
      </c>
      <c r="F2661" s="18" t="s">
        <v>4451</v>
      </c>
      <c r="G2661" s="49" t="s">
        <v>4452</v>
      </c>
      <c r="H2661" s="17">
        <v>4</v>
      </c>
      <c r="O2661" s="62" t="str">
        <f>IF(E2661="PA",IF(K2661&lt;&gt;"",ISERROR(VLOOKUP(K2661,ABBR!A:D,1,FALSE)),ISERROR(VLOOKUP(C2661,ABBR!A:D,1,FALSE))),"")</f>
        <v/>
      </c>
      <c r="P2661" t="str">
        <f>VLOOKUP(A2661,Groups!A:L,5,FALSE)</f>
        <v>MONG</v>
      </c>
      <c r="Q2661" s="62" t="str">
        <f>IF(G2661="PA",IF(M2661&lt;&gt;"",ISERROR(VLOOKUP(M2661,ABBR!C:F,1,FALSE)),ISERROR(VLOOKUP(E2661,ABBR!C:F,1,FALSE))),"")</f>
        <v/>
      </c>
    </row>
    <row r="2662" spans="1:17" hidden="1" x14ac:dyDescent="0.25">
      <c r="A2662" s="16" t="s">
        <v>313</v>
      </c>
      <c r="B2662" s="17" t="s">
        <v>594</v>
      </c>
      <c r="C2662" s="16" t="s">
        <v>4453</v>
      </c>
      <c r="D2662" s="17"/>
      <c r="E2662" s="17" t="s">
        <v>618</v>
      </c>
      <c r="F2662" s="18" t="s">
        <v>4454</v>
      </c>
      <c r="G2662" s="49" t="s">
        <v>4455</v>
      </c>
      <c r="H2662" s="17">
        <v>5</v>
      </c>
      <c r="O2662" s="62" t="b">
        <f>IF(E2662="PA",IF(K2662&lt;&gt;"",ISERROR(VLOOKUP(K2662,ABBR!A:D,1,FALSE)),ISERROR(VLOOKUP(C2662,ABBR!A:D,1,FALSE))),"")</f>
        <v>0</v>
      </c>
      <c r="P2662" t="str">
        <f>VLOOKUP(A2662,Groups!A:L,5,FALSE)</f>
        <v>MONG</v>
      </c>
      <c r="Q2662" s="62" t="str">
        <f>IF(G2662="PA",IF(M2662&lt;&gt;"",ISERROR(VLOOKUP(M2662,ABBR!C:F,1,FALSE)),ISERROR(VLOOKUP(E2662,ABBR!C:F,1,FALSE))),"")</f>
        <v/>
      </c>
    </row>
    <row r="2663" spans="1:17" hidden="1" x14ac:dyDescent="0.25">
      <c r="A2663" s="16" t="s">
        <v>313</v>
      </c>
      <c r="B2663" s="17" t="s">
        <v>594</v>
      </c>
      <c r="C2663" s="16" t="s">
        <v>4456</v>
      </c>
      <c r="D2663" s="17"/>
      <c r="E2663" s="17" t="s">
        <v>608</v>
      </c>
      <c r="F2663" s="18" t="s">
        <v>4457</v>
      </c>
      <c r="G2663" s="49" t="s">
        <v>1229</v>
      </c>
      <c r="H2663" s="17">
        <v>6</v>
      </c>
      <c r="O2663" s="62" t="str">
        <f>IF(E2663="PA",IF(K2663&lt;&gt;"",ISERROR(VLOOKUP(K2663,ABBR!A:D,1,FALSE)),ISERROR(VLOOKUP(C2663,ABBR!A:D,1,FALSE))),"")</f>
        <v/>
      </c>
      <c r="P2663" t="str">
        <f>VLOOKUP(A2663,Groups!A:L,5,FALSE)</f>
        <v>MONG</v>
      </c>
      <c r="Q2663" s="62" t="str">
        <f>IF(G2663="PA",IF(M2663&lt;&gt;"",ISERROR(VLOOKUP(M2663,ABBR!C:F,1,FALSE)),ISERROR(VLOOKUP(E2663,ABBR!C:F,1,FALSE))),"")</f>
        <v/>
      </c>
    </row>
    <row r="2664" spans="1:17" s="62" customFormat="1" hidden="1" x14ac:dyDescent="0.25">
      <c r="A2664" s="16" t="s">
        <v>313</v>
      </c>
      <c r="B2664" s="17"/>
      <c r="C2664" s="16" t="s">
        <v>4458</v>
      </c>
      <c r="D2664" s="17"/>
      <c r="E2664" s="17" t="s">
        <v>608</v>
      </c>
      <c r="F2664" s="18" t="s">
        <v>2710</v>
      </c>
      <c r="G2664" s="49" t="s">
        <v>4459</v>
      </c>
      <c r="H2664" s="17">
        <v>7</v>
      </c>
      <c r="I2664" s="30"/>
      <c r="J2664"/>
      <c r="K2664"/>
      <c r="L2664"/>
      <c r="M2664"/>
      <c r="N2664"/>
      <c r="O2664" s="62" t="str">
        <f>IF(E2664="PA",IF(K2664&lt;&gt;"",ISERROR(VLOOKUP(K2664,ABBR!A:D,1,FALSE)),ISERROR(VLOOKUP(C2664,ABBR!A:D,1,FALSE))),"")</f>
        <v/>
      </c>
      <c r="P2664" t="str">
        <f>VLOOKUP(A2664,Groups!A:L,5,FALSE)</f>
        <v>MONG</v>
      </c>
      <c r="Q2664" s="62" t="str">
        <f>IF(G2664="PA",IF(M2664&lt;&gt;"",ISERROR(VLOOKUP(M2664,ABBR!C:F,1,FALSE)),ISERROR(VLOOKUP(E2664,ABBR!C:F,1,FALSE))),"")</f>
        <v/>
      </c>
    </row>
    <row r="2665" spans="1:17" s="62" customFormat="1" hidden="1" x14ac:dyDescent="0.25">
      <c r="A2665" s="16" t="s">
        <v>313</v>
      </c>
      <c r="B2665" s="17"/>
      <c r="C2665" s="16" t="s">
        <v>4460</v>
      </c>
      <c r="D2665" s="17"/>
      <c r="E2665" s="17" t="s">
        <v>1391</v>
      </c>
      <c r="F2665" s="18" t="s">
        <v>4461</v>
      </c>
      <c r="G2665" s="49" t="s">
        <v>4462</v>
      </c>
      <c r="H2665" s="17">
        <v>8</v>
      </c>
      <c r="I2665" s="30"/>
      <c r="J2665"/>
      <c r="K2665"/>
      <c r="L2665"/>
      <c r="M2665"/>
      <c r="N2665"/>
      <c r="O2665" s="62" t="str">
        <f>IF(E2665="PA",IF(K2665&lt;&gt;"",ISERROR(VLOOKUP(K2665,ABBR!A:D,1,FALSE)),ISERROR(VLOOKUP(C2665,ABBR!A:D,1,FALSE))),"")</f>
        <v/>
      </c>
      <c r="P2665" t="str">
        <f>VLOOKUP(A2665,Groups!A:L,5,FALSE)</f>
        <v>MONG</v>
      </c>
      <c r="Q2665" s="62" t="str">
        <f>IF(G2665="PA",IF(M2665&lt;&gt;"",ISERROR(VLOOKUP(M2665,ABBR!C:F,1,FALSE)),ISERROR(VLOOKUP(E2665,ABBR!C:F,1,FALSE))),"")</f>
        <v/>
      </c>
    </row>
    <row r="2666" spans="1:17" s="62" customFormat="1" hidden="1" x14ac:dyDescent="0.25">
      <c r="A2666" s="16" t="s">
        <v>313</v>
      </c>
      <c r="B2666" s="22" t="s">
        <v>966</v>
      </c>
      <c r="C2666" s="16" t="s">
        <v>4463</v>
      </c>
      <c r="D2666" s="17"/>
      <c r="E2666" s="17" t="s">
        <v>2004</v>
      </c>
      <c r="F2666" s="18" t="s">
        <v>4464</v>
      </c>
      <c r="G2666" s="49" t="s">
        <v>600</v>
      </c>
      <c r="H2666" s="17">
        <v>9</v>
      </c>
      <c r="I2666" s="30"/>
      <c r="J2666"/>
      <c r="K2666"/>
      <c r="L2666"/>
      <c r="M2666"/>
      <c r="N2666"/>
      <c r="O2666" s="62" t="str">
        <f>IF(E2666="PA",IF(K2666&lt;&gt;"",ISERROR(VLOOKUP(K2666,ABBR!A:D,1,FALSE)),ISERROR(VLOOKUP(C2666,ABBR!A:D,1,FALSE))),"")</f>
        <v/>
      </c>
      <c r="P2666" t="str">
        <f>VLOOKUP(A2666,Groups!A:L,5,FALSE)</f>
        <v>MONG</v>
      </c>
      <c r="Q2666" s="62" t="str">
        <f>IF(G2666="PA",IF(M2666&lt;&gt;"",ISERROR(VLOOKUP(M2666,ABBR!C:F,1,FALSE)),ISERROR(VLOOKUP(E2666,ABBR!C:F,1,FALSE))),"")</f>
        <v/>
      </c>
    </row>
    <row r="2667" spans="1:17" s="62" customFormat="1" hidden="1" x14ac:dyDescent="0.25">
      <c r="A2667" s="16" t="s">
        <v>313</v>
      </c>
      <c r="B2667" s="22"/>
      <c r="C2667" s="16" t="s">
        <v>4465</v>
      </c>
      <c r="D2667" s="17"/>
      <c r="E2667" s="17" t="s">
        <v>608</v>
      </c>
      <c r="F2667" s="18" t="s">
        <v>4466</v>
      </c>
      <c r="G2667" s="49"/>
      <c r="H2667" s="17">
        <v>10</v>
      </c>
      <c r="I2667" s="30"/>
      <c r="J2667"/>
      <c r="K2667"/>
      <c r="L2667"/>
      <c r="M2667" s="101" t="s">
        <v>1044</v>
      </c>
      <c r="N2667"/>
      <c r="O2667" s="62" t="str">
        <f>IF(E2667="PA",IF(K2667&lt;&gt;"",ISERROR(VLOOKUP(K2667,ABBR!A:D,1,FALSE)),ISERROR(VLOOKUP(C2667,ABBR!A:D,1,FALSE))),"")</f>
        <v/>
      </c>
      <c r="P2667" t="str">
        <f>VLOOKUP(A2667,Groups!A:L,5,FALSE)</f>
        <v>MONG</v>
      </c>
      <c r="Q2667" s="62" t="str">
        <f>IF(G2667="PA",IF(M2667&lt;&gt;"",ISERROR(VLOOKUP(M2667,ABBR!C:F,1,FALSE)),ISERROR(VLOOKUP(E2667,ABBR!C:F,1,FALSE))),"")</f>
        <v/>
      </c>
    </row>
    <row r="2668" spans="1:17" s="62" customFormat="1" hidden="1" x14ac:dyDescent="0.25">
      <c r="A2668" s="16" t="s">
        <v>313</v>
      </c>
      <c r="B2668" s="22"/>
      <c r="C2668" s="16" t="s">
        <v>4467</v>
      </c>
      <c r="D2668" s="17"/>
      <c r="E2668" s="17" t="s">
        <v>859</v>
      </c>
      <c r="F2668" s="18" t="s">
        <v>4468</v>
      </c>
      <c r="G2668" s="49"/>
      <c r="H2668" s="17">
        <v>11</v>
      </c>
      <c r="I2668" s="30"/>
      <c r="J2668"/>
      <c r="K2668"/>
      <c r="L2668"/>
      <c r="M2668" s="101" t="s">
        <v>1044</v>
      </c>
      <c r="N2668"/>
      <c r="O2668" s="62" t="str">
        <f>IF(E2668="PA",IF(K2668&lt;&gt;"",ISERROR(VLOOKUP(K2668,ABBR!A:D,1,FALSE)),ISERROR(VLOOKUP(C2668,ABBR!A:D,1,FALSE))),"")</f>
        <v/>
      </c>
      <c r="P2668" t="str">
        <f>VLOOKUP(A2668,Groups!A:L,5,FALSE)</f>
        <v>MONG</v>
      </c>
      <c r="Q2668" s="62" t="str">
        <f>IF(G2668="PA",IF(M2668&lt;&gt;"",ISERROR(VLOOKUP(M2668,ABBR!C:F,1,FALSE)),ISERROR(VLOOKUP(E2668,ABBR!C:F,1,FALSE))),"")</f>
        <v/>
      </c>
    </row>
    <row r="2669" spans="1:17" s="62" customFormat="1" ht="25" hidden="1" x14ac:dyDescent="0.25">
      <c r="A2669" s="16" t="s">
        <v>313</v>
      </c>
      <c r="B2669" s="22"/>
      <c r="C2669" s="16" t="s">
        <v>4469</v>
      </c>
      <c r="D2669" s="17"/>
      <c r="E2669" s="17" t="s">
        <v>859</v>
      </c>
      <c r="F2669" s="18" t="s">
        <v>4470</v>
      </c>
      <c r="G2669" s="49"/>
      <c r="H2669" s="17">
        <v>12</v>
      </c>
      <c r="I2669" s="30"/>
      <c r="J2669"/>
      <c r="K2669"/>
      <c r="L2669"/>
      <c r="M2669" s="101" t="s">
        <v>1044</v>
      </c>
      <c r="N2669"/>
      <c r="O2669" s="62" t="str">
        <f>IF(E2669="PA",IF(K2669&lt;&gt;"",ISERROR(VLOOKUP(K2669,ABBR!A:D,1,FALSE)),ISERROR(VLOOKUP(C2669,ABBR!A:D,1,FALSE))),"")</f>
        <v/>
      </c>
      <c r="P2669" t="str">
        <f>VLOOKUP(A2669,Groups!A:L,5,FALSE)</f>
        <v>MONG</v>
      </c>
      <c r="Q2669" s="62" t="str">
        <f>IF(G2669="PA",IF(M2669&lt;&gt;"",ISERROR(VLOOKUP(M2669,ABBR!C:F,1,FALSE)),ISERROR(VLOOKUP(E2669,ABBR!C:F,1,FALSE))),"")</f>
        <v/>
      </c>
    </row>
    <row r="2670" spans="1:17" s="62" customFormat="1" hidden="1" x14ac:dyDescent="0.25">
      <c r="A2670" s="16" t="s">
        <v>313</v>
      </c>
      <c r="B2670" s="22"/>
      <c r="C2670" s="16" t="s">
        <v>4471</v>
      </c>
      <c r="D2670" s="17"/>
      <c r="E2670" s="17" t="s">
        <v>608</v>
      </c>
      <c r="F2670" s="18" t="s">
        <v>4472</v>
      </c>
      <c r="G2670" s="49"/>
      <c r="H2670" s="17">
        <v>13</v>
      </c>
      <c r="I2670" s="30"/>
      <c r="J2670"/>
      <c r="K2670"/>
      <c r="L2670"/>
      <c r="M2670" s="101" t="s">
        <v>1044</v>
      </c>
      <c r="N2670"/>
      <c r="O2670" s="62" t="str">
        <f>IF(E2670="PA",IF(K2670&lt;&gt;"",ISERROR(VLOOKUP(K2670,ABBR!A:D,1,FALSE)),ISERROR(VLOOKUP(C2670,ABBR!A:D,1,FALSE))),"")</f>
        <v/>
      </c>
      <c r="P2670" t="str">
        <f>VLOOKUP(A2670,Groups!A:L,5,FALSE)</f>
        <v>MONG</v>
      </c>
      <c r="Q2670" s="62" t="str">
        <f>IF(G2670="PA",IF(M2670&lt;&gt;"",ISERROR(VLOOKUP(M2670,ABBR!C:F,1,FALSE)),ISERROR(VLOOKUP(E2670,ABBR!C:F,1,FALSE))),"")</f>
        <v/>
      </c>
    </row>
    <row r="2671" spans="1:17" s="62" customFormat="1" ht="25" hidden="1" x14ac:dyDescent="0.25">
      <c r="A2671" s="16" t="s">
        <v>313</v>
      </c>
      <c r="B2671" s="22"/>
      <c r="C2671" s="16" t="s">
        <v>4473</v>
      </c>
      <c r="D2671" s="17"/>
      <c r="E2671" s="17" t="s">
        <v>608</v>
      </c>
      <c r="F2671" s="18" t="s">
        <v>934</v>
      </c>
      <c r="G2671" s="49" t="s">
        <v>953</v>
      </c>
      <c r="H2671" s="17">
        <v>14</v>
      </c>
      <c r="I2671" s="30"/>
      <c r="J2671"/>
      <c r="K2671"/>
      <c r="L2671"/>
      <c r="M2671"/>
      <c r="N2671"/>
      <c r="O2671" s="62" t="str">
        <f>IF(E2671="PA",IF(K2671&lt;&gt;"",ISERROR(VLOOKUP(K2671,ABBR!A:D,1,FALSE)),ISERROR(VLOOKUP(C2671,ABBR!A:D,1,FALSE))),"")</f>
        <v/>
      </c>
      <c r="P2671" t="str">
        <f>VLOOKUP(A2671,Groups!A:L,5,FALSE)</f>
        <v>MONG</v>
      </c>
      <c r="Q2671" s="62" t="str">
        <f>IF(G2671="PA",IF(M2671&lt;&gt;"",ISERROR(VLOOKUP(M2671,ABBR!C:F,1,FALSE)),ISERROR(VLOOKUP(E2671,ABBR!C:F,1,FALSE))),"")</f>
        <v/>
      </c>
    </row>
    <row r="2672" spans="1:17" s="62" customFormat="1" hidden="1" x14ac:dyDescent="0.25">
      <c r="A2672" s="16" t="s">
        <v>313</v>
      </c>
      <c r="B2672" s="22"/>
      <c r="C2672" s="16" t="s">
        <v>4474</v>
      </c>
      <c r="D2672" s="17"/>
      <c r="E2672" s="17" t="s">
        <v>608</v>
      </c>
      <c r="F2672" s="18" t="s">
        <v>8811</v>
      </c>
      <c r="G2672" s="49" t="s">
        <v>4475</v>
      </c>
      <c r="H2672" s="17">
        <v>15</v>
      </c>
      <c r="I2672" s="30"/>
      <c r="J2672"/>
      <c r="K2672"/>
      <c r="L2672"/>
      <c r="M2672" s="62" t="s">
        <v>8795</v>
      </c>
      <c r="N2672"/>
      <c r="O2672" s="62" t="str">
        <f>IF(E2672="PA",IF(K2672&lt;&gt;"",ISERROR(VLOOKUP(K2672,ABBR!A:D,1,FALSE)),ISERROR(VLOOKUP(C2672,ABBR!A:D,1,FALSE))),"")</f>
        <v/>
      </c>
      <c r="P2672" t="str">
        <f>VLOOKUP(A2672,Groups!A:L,5,FALSE)</f>
        <v>MONG</v>
      </c>
      <c r="Q2672" s="62" t="str">
        <f>IF(G2672="PA",IF(M2672&lt;&gt;"",ISERROR(VLOOKUP(M2672,ABBR!C:F,1,FALSE)),ISERROR(VLOOKUP(E2672,ABBR!C:F,1,FALSE))),"")</f>
        <v/>
      </c>
    </row>
    <row r="2673" spans="1:17" s="62" customFormat="1" hidden="1" x14ac:dyDescent="0.25">
      <c r="A2673" s="16" t="s">
        <v>313</v>
      </c>
      <c r="B2673" s="17"/>
      <c r="C2673" s="16" t="s">
        <v>4476</v>
      </c>
      <c r="D2673" s="17"/>
      <c r="E2673" s="17" t="s">
        <v>608</v>
      </c>
      <c r="F2673" s="18" t="s">
        <v>4477</v>
      </c>
      <c r="G2673" s="49" t="s">
        <v>16</v>
      </c>
      <c r="H2673" s="17">
        <v>16</v>
      </c>
      <c r="I2673" s="30"/>
      <c r="J2673"/>
      <c r="K2673"/>
      <c r="L2673"/>
      <c r="M2673" s="101"/>
      <c r="N2673"/>
      <c r="O2673" s="62" t="str">
        <f>IF(E2673="PA",IF(K2673&lt;&gt;"",ISERROR(VLOOKUP(K2673,ABBR!A:D,1,FALSE)),ISERROR(VLOOKUP(C2673,ABBR!A:D,1,FALSE))),"")</f>
        <v/>
      </c>
      <c r="P2673" t="str">
        <f>VLOOKUP(A2673,Groups!A:L,5,FALSE)</f>
        <v>MONG</v>
      </c>
      <c r="Q2673" s="62" t="str">
        <f>IF(G2673="PA",IF(M2673&lt;&gt;"",ISERROR(VLOOKUP(M2673,ABBR!C:F,1,FALSE)),ISERROR(VLOOKUP(E2673,ABBR!C:F,1,FALSE))),"")</f>
        <v/>
      </c>
    </row>
    <row r="2674" spans="1:17" s="62" customFormat="1" ht="25" hidden="1" x14ac:dyDescent="0.25">
      <c r="A2674" s="16" t="s">
        <v>313</v>
      </c>
      <c r="B2674" s="17"/>
      <c r="C2674" s="16" t="s">
        <v>643</v>
      </c>
      <c r="D2674" s="17"/>
      <c r="E2674" s="17" t="s">
        <v>608</v>
      </c>
      <c r="F2674" s="18" t="s">
        <v>4478</v>
      </c>
      <c r="G2674" s="49" t="s">
        <v>4479</v>
      </c>
      <c r="H2674" s="17">
        <v>17</v>
      </c>
      <c r="I2674" s="30"/>
      <c r="J2674"/>
      <c r="K2674"/>
      <c r="L2674"/>
      <c r="M2674"/>
      <c r="N2674"/>
      <c r="O2674" s="62" t="str">
        <f>IF(E2674="PA",IF(K2674&lt;&gt;"",ISERROR(VLOOKUP(K2674,ABBR!A:D,1,FALSE)),ISERROR(VLOOKUP(C2674,ABBR!A:D,1,FALSE))),"")</f>
        <v/>
      </c>
      <c r="P2674" t="str">
        <f>VLOOKUP(A2674,Groups!A:L,5,FALSE)</f>
        <v>MONG</v>
      </c>
      <c r="Q2674" s="62" t="str">
        <f>IF(G2674="PA",IF(M2674&lt;&gt;"",ISERROR(VLOOKUP(M2674,ABBR!C:F,1,FALSE)),ISERROR(VLOOKUP(E2674,ABBR!C:F,1,FALSE))),"")</f>
        <v/>
      </c>
    </row>
    <row r="2675" spans="1:17" hidden="1" x14ac:dyDescent="0.25">
      <c r="A2675" s="16" t="s">
        <v>313</v>
      </c>
      <c r="B2675" s="17"/>
      <c r="C2675" s="16" t="s">
        <v>4480</v>
      </c>
      <c r="D2675" s="17"/>
      <c r="E2675" s="17" t="s">
        <v>608</v>
      </c>
      <c r="F2675" s="18" t="s">
        <v>4481</v>
      </c>
      <c r="G2675" s="49" t="s">
        <v>876</v>
      </c>
      <c r="H2675" s="17">
        <v>18</v>
      </c>
      <c r="J2675" s="7" t="s">
        <v>473</v>
      </c>
      <c r="K2675" s="62"/>
      <c r="L2675" s="62"/>
      <c r="M2675" s="62"/>
      <c r="N2675" s="62"/>
      <c r="O2675" s="62" t="str">
        <f>IF(E2675="PA",IF(K2675&lt;&gt;"",ISERROR(VLOOKUP(K2675,ABBR!A:D,1,FALSE)),ISERROR(VLOOKUP(C2675,ABBR!A:D,1,FALSE))),"")</f>
        <v/>
      </c>
      <c r="P2675" t="str">
        <f>VLOOKUP(A2675,Groups!A:L,5,FALSE)</f>
        <v>MONG</v>
      </c>
      <c r="Q2675" s="62" t="str">
        <f>IF(G2675="PA",IF(M2675&lt;&gt;"",ISERROR(VLOOKUP(M2675,ABBR!C:F,1,FALSE)),ISERROR(VLOOKUP(E2675,ABBR!C:F,1,FALSE))),"")</f>
        <v/>
      </c>
    </row>
    <row r="2676" spans="1:17" s="62" customFormat="1" hidden="1" x14ac:dyDescent="0.25">
      <c r="A2676" s="16" t="s">
        <v>313</v>
      </c>
      <c r="B2676" s="17"/>
      <c r="C2676" s="16" t="s">
        <v>936</v>
      </c>
      <c r="D2676" s="17"/>
      <c r="E2676" s="17" t="s">
        <v>608</v>
      </c>
      <c r="F2676" s="18" t="s">
        <v>4482</v>
      </c>
      <c r="G2676" s="49" t="s">
        <v>938</v>
      </c>
      <c r="H2676" s="17">
        <v>19</v>
      </c>
      <c r="I2676" s="30"/>
      <c r="J2676" s="62" t="s">
        <v>473</v>
      </c>
      <c r="O2676" s="62" t="str">
        <f>IF(E2676="PA",IF(K2676&lt;&gt;"",ISERROR(VLOOKUP(K2676,ABBR!A:D,1,FALSE)),ISERROR(VLOOKUP(C2676,ABBR!A:D,1,FALSE))),"")</f>
        <v/>
      </c>
      <c r="P2676" t="str">
        <f>VLOOKUP(A2676,Groups!A:L,5,FALSE)</f>
        <v>MONG</v>
      </c>
      <c r="Q2676" s="62" t="str">
        <f>IF(G2676="PA",IF(M2676&lt;&gt;"",ISERROR(VLOOKUP(M2676,ABBR!C:F,1,FALSE)),ISERROR(VLOOKUP(E2676,ABBR!C:F,1,FALSE))),"")</f>
        <v/>
      </c>
    </row>
    <row r="2677" spans="1:17" s="62" customFormat="1" hidden="1" x14ac:dyDescent="0.25">
      <c r="A2677" s="16" t="s">
        <v>316</v>
      </c>
      <c r="B2677" s="17" t="s">
        <v>594</v>
      </c>
      <c r="C2677" s="16" t="s">
        <v>595</v>
      </c>
      <c r="D2677" s="17"/>
      <c r="E2677" s="17" t="s">
        <v>596</v>
      </c>
      <c r="F2677" s="18" t="s">
        <v>597</v>
      </c>
      <c r="G2677" s="49" t="s">
        <v>598</v>
      </c>
      <c r="H2677" s="17">
        <v>1</v>
      </c>
      <c r="I2677" s="30"/>
      <c r="J2677"/>
      <c r="K2677"/>
      <c r="L2677"/>
      <c r="M2677"/>
      <c r="N2677"/>
      <c r="O2677" s="62" t="str">
        <f>IF(E2677="PA",IF(K2677&lt;&gt;"",ISERROR(VLOOKUP(K2677,ABBR!A:D,1,FALSE)),ISERROR(VLOOKUP(C2677,ABBR!A:D,1,FALSE))),"")</f>
        <v/>
      </c>
      <c r="P2677" t="str">
        <f>VLOOKUP(A2677,Groups!A:L,5,FALSE)</f>
        <v>LOCA</v>
      </c>
      <c r="Q2677" s="62" t="str">
        <f>IF(G2677="PA",IF(M2677&lt;&gt;"",ISERROR(VLOOKUP(M2677,ABBR!C:F,1,FALSE)),ISERROR(VLOOKUP(E2677,ABBR!C:F,1,FALSE))),"")</f>
        <v/>
      </c>
    </row>
    <row r="2678" spans="1:17" s="62" customFormat="1" hidden="1" x14ac:dyDescent="0.25">
      <c r="A2678" s="16" t="s">
        <v>316</v>
      </c>
      <c r="B2678" s="17" t="s">
        <v>594</v>
      </c>
      <c r="C2678" s="16" t="s">
        <v>4445</v>
      </c>
      <c r="D2678" s="17"/>
      <c r="E2678" s="17" t="s">
        <v>608</v>
      </c>
      <c r="F2678" s="18" t="s">
        <v>4446</v>
      </c>
      <c r="G2678" s="49" t="s">
        <v>2711</v>
      </c>
      <c r="H2678" s="17">
        <v>2</v>
      </c>
      <c r="I2678" s="30"/>
      <c r="J2678"/>
      <c r="K2678"/>
      <c r="L2678"/>
      <c r="M2678"/>
      <c r="N2678"/>
      <c r="O2678" s="62" t="str">
        <f>IF(E2678="PA",IF(K2678&lt;&gt;"",ISERROR(VLOOKUP(K2678,ABBR!A:D,1,FALSE)),ISERROR(VLOOKUP(C2678,ABBR!A:D,1,FALSE))),"")</f>
        <v/>
      </c>
      <c r="P2678" t="str">
        <f>VLOOKUP(A2678,Groups!A:L,5,FALSE)</f>
        <v>LOCA</v>
      </c>
      <c r="Q2678" s="62" t="str">
        <f>IF(G2678="PA",IF(M2678&lt;&gt;"",ISERROR(VLOOKUP(M2678,ABBR!C:F,1,FALSE)),ISERROR(VLOOKUP(E2678,ABBR!C:F,1,FALSE))),"")</f>
        <v/>
      </c>
    </row>
    <row r="2679" spans="1:17" s="62" customFormat="1" hidden="1" x14ac:dyDescent="0.25">
      <c r="A2679" s="16" t="s">
        <v>316</v>
      </c>
      <c r="B2679" s="17" t="s">
        <v>594</v>
      </c>
      <c r="C2679" s="16" t="s">
        <v>4447</v>
      </c>
      <c r="D2679" s="17" t="s">
        <v>600</v>
      </c>
      <c r="E2679" s="17" t="s">
        <v>601</v>
      </c>
      <c r="F2679" s="18" t="s">
        <v>4483</v>
      </c>
      <c r="G2679" s="49" t="s">
        <v>3106</v>
      </c>
      <c r="H2679" s="17">
        <v>3</v>
      </c>
      <c r="I2679" s="30"/>
      <c r="J2679"/>
      <c r="K2679"/>
      <c r="L2679"/>
      <c r="M2679"/>
      <c r="N2679"/>
      <c r="O2679" s="62" t="str">
        <f>IF(E2679="PA",IF(K2679&lt;&gt;"",ISERROR(VLOOKUP(K2679,ABBR!A:D,1,FALSE)),ISERROR(VLOOKUP(C2679,ABBR!A:D,1,FALSE))),"")</f>
        <v/>
      </c>
      <c r="P2679" t="str">
        <f>VLOOKUP(A2679,Groups!A:L,5,FALSE)</f>
        <v>LOCA</v>
      </c>
      <c r="Q2679" s="62" t="str">
        <f>IF(G2679="PA",IF(M2679&lt;&gt;"",ISERROR(VLOOKUP(M2679,ABBR!C:F,1,FALSE)),ISERROR(VLOOKUP(E2679,ABBR!C:F,1,FALSE))),"")</f>
        <v/>
      </c>
    </row>
    <row r="2680" spans="1:17" s="62" customFormat="1" hidden="1" x14ac:dyDescent="0.25">
      <c r="A2680" s="16" t="s">
        <v>316</v>
      </c>
      <c r="B2680" s="17"/>
      <c r="C2680" s="16" t="s">
        <v>4484</v>
      </c>
      <c r="D2680" s="17"/>
      <c r="E2680" s="17" t="s">
        <v>608</v>
      </c>
      <c r="F2680" s="18" t="s">
        <v>4485</v>
      </c>
      <c r="G2680" s="49" t="s">
        <v>4486</v>
      </c>
      <c r="H2680" s="17">
        <v>4</v>
      </c>
      <c r="I2680" s="30"/>
      <c r="J2680"/>
      <c r="K2680"/>
      <c r="L2680"/>
      <c r="M2680"/>
      <c r="N2680"/>
      <c r="O2680" s="62" t="str">
        <f>IF(E2680="PA",IF(K2680&lt;&gt;"",ISERROR(VLOOKUP(K2680,ABBR!A:D,1,FALSE)),ISERROR(VLOOKUP(C2680,ABBR!A:D,1,FALSE))),"")</f>
        <v/>
      </c>
      <c r="P2680" t="str">
        <f>VLOOKUP(A2680,Groups!A:L,5,FALSE)</f>
        <v>LOCA</v>
      </c>
      <c r="Q2680" s="62" t="str">
        <f>IF(G2680="PA",IF(M2680&lt;&gt;"",ISERROR(VLOOKUP(M2680,ABBR!C:F,1,FALSE)),ISERROR(VLOOKUP(E2680,ABBR!C:F,1,FALSE))),"")</f>
        <v/>
      </c>
    </row>
    <row r="2681" spans="1:17" s="62" customFormat="1" hidden="1" x14ac:dyDescent="0.25">
      <c r="A2681" s="16" t="s">
        <v>316</v>
      </c>
      <c r="B2681" s="17"/>
      <c r="C2681" s="16" t="s">
        <v>4487</v>
      </c>
      <c r="D2681" s="17" t="s">
        <v>924</v>
      </c>
      <c r="E2681" s="17" t="s">
        <v>925</v>
      </c>
      <c r="F2681" s="18" t="s">
        <v>4488</v>
      </c>
      <c r="G2681" s="49" t="s">
        <v>4489</v>
      </c>
      <c r="H2681" s="17">
        <v>5</v>
      </c>
      <c r="I2681" s="30"/>
      <c r="J2681"/>
      <c r="K2681"/>
      <c r="L2681"/>
      <c r="M2681"/>
      <c r="N2681"/>
      <c r="O2681" s="62" t="str">
        <f>IF(E2681="PA",IF(K2681&lt;&gt;"",ISERROR(VLOOKUP(K2681,ABBR!A:D,1,FALSE)),ISERROR(VLOOKUP(C2681,ABBR!A:D,1,FALSE))),"")</f>
        <v/>
      </c>
      <c r="P2681" t="str">
        <f>VLOOKUP(A2681,Groups!A:L,5,FALSE)</f>
        <v>LOCA</v>
      </c>
      <c r="Q2681" s="62" t="str">
        <f>IF(G2681="PA",IF(M2681&lt;&gt;"",ISERROR(VLOOKUP(M2681,ABBR!C:F,1,FALSE)),ISERROR(VLOOKUP(E2681,ABBR!C:F,1,FALSE))),"")</f>
        <v/>
      </c>
    </row>
    <row r="2682" spans="1:17" s="62" customFormat="1" hidden="1" x14ac:dyDescent="0.25">
      <c r="A2682" s="16" t="s">
        <v>316</v>
      </c>
      <c r="B2682" s="17"/>
      <c r="C2682" s="16" t="s">
        <v>4490</v>
      </c>
      <c r="D2682" s="17"/>
      <c r="E2682" s="17" t="s">
        <v>618</v>
      </c>
      <c r="F2682" s="18" t="s">
        <v>2537</v>
      </c>
      <c r="G2682" s="49" t="s">
        <v>4491</v>
      </c>
      <c r="H2682" s="17">
        <v>6</v>
      </c>
      <c r="I2682" s="30"/>
      <c r="J2682"/>
      <c r="K2682"/>
      <c r="L2682"/>
      <c r="M2682"/>
      <c r="N2682"/>
      <c r="O2682" s="62" t="b">
        <f>IF(E2682="PA",IF(K2682&lt;&gt;"",ISERROR(VLOOKUP(K2682,ABBR!A:D,1,FALSE)),ISERROR(VLOOKUP(C2682,ABBR!A:D,1,FALSE))),"")</f>
        <v>0</v>
      </c>
      <c r="P2682" t="str">
        <f>VLOOKUP(A2682,Groups!A:L,5,FALSE)</f>
        <v>LOCA</v>
      </c>
      <c r="Q2682" s="62" t="str">
        <f>IF(G2682="PA",IF(M2682&lt;&gt;"",ISERROR(VLOOKUP(M2682,ABBR!C:F,1,FALSE)),ISERROR(VLOOKUP(E2682,ABBR!C:F,1,FALSE))),"")</f>
        <v/>
      </c>
    </row>
    <row r="2683" spans="1:17" s="62" customFormat="1" hidden="1" x14ac:dyDescent="0.25">
      <c r="A2683" s="16" t="s">
        <v>316</v>
      </c>
      <c r="B2683" s="17"/>
      <c r="C2683" s="16" t="s">
        <v>4492</v>
      </c>
      <c r="D2683" s="17"/>
      <c r="E2683" s="17" t="s">
        <v>608</v>
      </c>
      <c r="F2683" s="18" t="s">
        <v>2716</v>
      </c>
      <c r="G2683" s="49" t="s">
        <v>4493</v>
      </c>
      <c r="H2683" s="17">
        <v>7</v>
      </c>
      <c r="I2683" s="30"/>
      <c r="J2683"/>
      <c r="K2683"/>
      <c r="L2683"/>
      <c r="M2683"/>
      <c r="N2683"/>
      <c r="O2683" s="62" t="str">
        <f>IF(E2683="PA",IF(K2683&lt;&gt;"",ISERROR(VLOOKUP(K2683,ABBR!A:D,1,FALSE)),ISERROR(VLOOKUP(C2683,ABBR!A:D,1,FALSE))),"")</f>
        <v/>
      </c>
      <c r="P2683" t="str">
        <f>VLOOKUP(A2683,Groups!A:L,5,FALSE)</f>
        <v>LOCA</v>
      </c>
      <c r="Q2683" s="62" t="str">
        <f>IF(G2683="PA",IF(M2683&lt;&gt;"",ISERROR(VLOOKUP(M2683,ABBR!C:F,1,FALSE)),ISERROR(VLOOKUP(E2683,ABBR!C:F,1,FALSE))),"")</f>
        <v/>
      </c>
    </row>
    <row r="2684" spans="1:17" s="62" customFormat="1" ht="25" hidden="1" x14ac:dyDescent="0.25">
      <c r="A2684" s="16" t="s">
        <v>316</v>
      </c>
      <c r="B2684" s="17"/>
      <c r="C2684" s="16" t="s">
        <v>4494</v>
      </c>
      <c r="D2684" s="17" t="s">
        <v>600</v>
      </c>
      <c r="E2684" s="17" t="s">
        <v>601</v>
      </c>
      <c r="F2684" s="18" t="s">
        <v>4495</v>
      </c>
      <c r="G2684" s="49" t="s">
        <v>4496</v>
      </c>
      <c r="H2684" s="17">
        <v>8</v>
      </c>
      <c r="I2684" s="30"/>
      <c r="J2684"/>
      <c r="K2684"/>
      <c r="L2684"/>
      <c r="M2684"/>
      <c r="N2684"/>
      <c r="O2684" s="62" t="str">
        <f>IF(E2684="PA",IF(K2684&lt;&gt;"",ISERROR(VLOOKUP(K2684,ABBR!A:D,1,FALSE)),ISERROR(VLOOKUP(C2684,ABBR!A:D,1,FALSE))),"")</f>
        <v/>
      </c>
      <c r="P2684" t="str">
        <f>VLOOKUP(A2684,Groups!A:L,5,FALSE)</f>
        <v>LOCA</v>
      </c>
      <c r="Q2684" s="62" t="str">
        <f>IF(G2684="PA",IF(M2684&lt;&gt;"",ISERROR(VLOOKUP(M2684,ABBR!C:F,1,FALSE)),ISERROR(VLOOKUP(E2684,ABBR!C:F,1,FALSE))),"")</f>
        <v/>
      </c>
    </row>
    <row r="2685" spans="1:17" s="62" customFormat="1" ht="25" hidden="1" x14ac:dyDescent="0.25">
      <c r="A2685" s="16" t="s">
        <v>316</v>
      </c>
      <c r="B2685" s="17"/>
      <c r="C2685" s="16" t="s">
        <v>4497</v>
      </c>
      <c r="D2685" s="17" t="s">
        <v>600</v>
      </c>
      <c r="E2685" s="17" t="s">
        <v>601</v>
      </c>
      <c r="F2685" s="18" t="s">
        <v>4498</v>
      </c>
      <c r="G2685" s="49" t="s">
        <v>4499</v>
      </c>
      <c r="H2685" s="17">
        <v>9</v>
      </c>
      <c r="I2685" s="30"/>
      <c r="J2685"/>
      <c r="K2685"/>
      <c r="L2685"/>
      <c r="M2685"/>
      <c r="N2685"/>
      <c r="O2685" s="62" t="str">
        <f>IF(E2685="PA",IF(K2685&lt;&gt;"",ISERROR(VLOOKUP(K2685,ABBR!A:D,1,FALSE)),ISERROR(VLOOKUP(C2685,ABBR!A:D,1,FALSE))),"")</f>
        <v/>
      </c>
      <c r="P2685" t="str">
        <f>VLOOKUP(A2685,Groups!A:L,5,FALSE)</f>
        <v>LOCA</v>
      </c>
      <c r="Q2685" s="62" t="str">
        <f>IF(G2685="PA",IF(M2685&lt;&gt;"",ISERROR(VLOOKUP(M2685,ABBR!C:F,1,FALSE)),ISERROR(VLOOKUP(E2685,ABBR!C:F,1,FALSE))),"")</f>
        <v/>
      </c>
    </row>
    <row r="2686" spans="1:17" s="62" customFormat="1" hidden="1" x14ac:dyDescent="0.25">
      <c r="A2686" s="16" t="s">
        <v>316</v>
      </c>
      <c r="B2686" s="17"/>
      <c r="C2686" s="16" t="s">
        <v>4500</v>
      </c>
      <c r="D2686" s="17" t="s">
        <v>2027</v>
      </c>
      <c r="E2686" s="17" t="s">
        <v>767</v>
      </c>
      <c r="F2686" s="18" t="s">
        <v>4501</v>
      </c>
      <c r="G2686" s="49" t="s">
        <v>2400</v>
      </c>
      <c r="H2686" s="17">
        <v>10</v>
      </c>
      <c r="I2686" s="30"/>
      <c r="J2686"/>
      <c r="K2686"/>
      <c r="L2686"/>
      <c r="M2686"/>
      <c r="N2686"/>
      <c r="O2686" s="62" t="str">
        <f>IF(E2686="PA",IF(K2686&lt;&gt;"",ISERROR(VLOOKUP(K2686,ABBR!A:D,1,FALSE)),ISERROR(VLOOKUP(C2686,ABBR!A:D,1,FALSE))),"")</f>
        <v/>
      </c>
      <c r="P2686" t="str">
        <f>VLOOKUP(A2686,Groups!A:L,5,FALSE)</f>
        <v>LOCA</v>
      </c>
      <c r="Q2686" s="62" t="str">
        <f>IF(G2686="PA",IF(M2686&lt;&gt;"",ISERROR(VLOOKUP(M2686,ABBR!C:F,1,FALSE)),ISERROR(VLOOKUP(E2686,ABBR!C:F,1,FALSE))),"")</f>
        <v/>
      </c>
    </row>
    <row r="2687" spans="1:17" s="62" customFormat="1" hidden="1" x14ac:dyDescent="0.25">
      <c r="A2687" s="16" t="s">
        <v>316</v>
      </c>
      <c r="B2687" s="17"/>
      <c r="C2687" s="16" t="s">
        <v>4502</v>
      </c>
      <c r="D2687" s="17" t="s">
        <v>2027</v>
      </c>
      <c r="E2687" s="17" t="s">
        <v>767</v>
      </c>
      <c r="F2687" s="18" t="s">
        <v>4503</v>
      </c>
      <c r="G2687" s="49" t="s">
        <v>4504</v>
      </c>
      <c r="H2687" s="17">
        <v>11</v>
      </c>
      <c r="I2687" s="30"/>
      <c r="J2687"/>
      <c r="K2687"/>
      <c r="L2687"/>
      <c r="M2687"/>
      <c r="N2687"/>
      <c r="O2687" s="62" t="str">
        <f>IF(E2687="PA",IF(K2687&lt;&gt;"",ISERROR(VLOOKUP(K2687,ABBR!A:D,1,FALSE)),ISERROR(VLOOKUP(C2687,ABBR!A:D,1,FALSE))),"")</f>
        <v/>
      </c>
      <c r="P2687" t="str">
        <f>VLOOKUP(A2687,Groups!A:L,5,FALSE)</f>
        <v>LOCA</v>
      </c>
      <c r="Q2687" s="62" t="str">
        <f>IF(G2687="PA",IF(M2687&lt;&gt;"",ISERROR(VLOOKUP(M2687,ABBR!C:F,1,FALSE)),ISERROR(VLOOKUP(E2687,ABBR!C:F,1,FALSE))),"")</f>
        <v/>
      </c>
    </row>
    <row r="2688" spans="1:17" s="62" customFormat="1" hidden="1" x14ac:dyDescent="0.25">
      <c r="A2688" s="16" t="s">
        <v>316</v>
      </c>
      <c r="B2688" s="17"/>
      <c r="C2688" s="16" t="s">
        <v>4505</v>
      </c>
      <c r="D2688" s="17" t="s">
        <v>2027</v>
      </c>
      <c r="E2688" s="17" t="s">
        <v>767</v>
      </c>
      <c r="F2688" s="18" t="s">
        <v>4506</v>
      </c>
      <c r="G2688" s="49" t="s">
        <v>4507</v>
      </c>
      <c r="H2688" s="17">
        <v>12</v>
      </c>
      <c r="I2688" s="30"/>
      <c r="J2688"/>
      <c r="K2688"/>
      <c r="L2688"/>
      <c r="M2688"/>
      <c r="N2688"/>
      <c r="O2688" s="62" t="str">
        <f>IF(E2688="PA",IF(K2688&lt;&gt;"",ISERROR(VLOOKUP(K2688,ABBR!A:D,1,FALSE)),ISERROR(VLOOKUP(C2688,ABBR!A:D,1,FALSE))),"")</f>
        <v/>
      </c>
      <c r="P2688" t="str">
        <f>VLOOKUP(A2688,Groups!A:L,5,FALSE)</f>
        <v>LOCA</v>
      </c>
      <c r="Q2688" s="62" t="str">
        <f>IF(G2688="PA",IF(M2688&lt;&gt;"",ISERROR(VLOOKUP(M2688,ABBR!C:F,1,FALSE)),ISERROR(VLOOKUP(E2688,ABBR!C:F,1,FALSE))),"")</f>
        <v/>
      </c>
    </row>
    <row r="2689" spans="1:17" s="62" customFormat="1" ht="25" hidden="1" x14ac:dyDescent="0.25">
      <c r="A2689" s="16" t="s">
        <v>316</v>
      </c>
      <c r="B2689" s="17"/>
      <c r="C2689" s="16" t="s">
        <v>4508</v>
      </c>
      <c r="D2689" s="17" t="s">
        <v>2027</v>
      </c>
      <c r="E2689" s="17" t="s">
        <v>767</v>
      </c>
      <c r="F2689" s="18" t="s">
        <v>4509</v>
      </c>
      <c r="G2689" s="49"/>
      <c r="H2689" s="17">
        <v>13</v>
      </c>
      <c r="I2689" s="30"/>
      <c r="J2689"/>
      <c r="K2689"/>
      <c r="L2689"/>
      <c r="M2689" s="101" t="s">
        <v>1044</v>
      </c>
      <c r="N2689"/>
      <c r="O2689" s="62" t="str">
        <f>IF(E2689="PA",IF(K2689&lt;&gt;"",ISERROR(VLOOKUP(K2689,ABBR!A:D,1,FALSE)),ISERROR(VLOOKUP(C2689,ABBR!A:D,1,FALSE))),"")</f>
        <v/>
      </c>
      <c r="P2689" t="str">
        <f>VLOOKUP(A2689,Groups!A:L,5,FALSE)</f>
        <v>LOCA</v>
      </c>
      <c r="Q2689" s="62" t="str">
        <f>IF(G2689="PA",IF(M2689&lt;&gt;"",ISERROR(VLOOKUP(M2689,ABBR!C:F,1,FALSE)),ISERROR(VLOOKUP(E2689,ABBR!C:F,1,FALSE))),"")</f>
        <v/>
      </c>
    </row>
    <row r="2690" spans="1:17" s="62" customFormat="1" ht="25" hidden="1" x14ac:dyDescent="0.25">
      <c r="A2690" s="16" t="s">
        <v>316</v>
      </c>
      <c r="B2690" s="17"/>
      <c r="C2690" s="16" t="s">
        <v>4510</v>
      </c>
      <c r="D2690" s="17" t="s">
        <v>2027</v>
      </c>
      <c r="E2690" s="17" t="s">
        <v>767</v>
      </c>
      <c r="F2690" s="18" t="s">
        <v>4511</v>
      </c>
      <c r="G2690" s="49"/>
      <c r="H2690" s="17">
        <v>14</v>
      </c>
      <c r="I2690" s="30"/>
      <c r="J2690"/>
      <c r="K2690"/>
      <c r="L2690"/>
      <c r="M2690" s="101" t="s">
        <v>1044</v>
      </c>
      <c r="N2690"/>
      <c r="O2690" s="62" t="str">
        <f>IF(E2690="PA",IF(K2690&lt;&gt;"",ISERROR(VLOOKUP(K2690,ABBR!A:D,1,FALSE)),ISERROR(VLOOKUP(C2690,ABBR!A:D,1,FALSE))),"")</f>
        <v/>
      </c>
      <c r="P2690" t="str">
        <f>VLOOKUP(A2690,Groups!A:L,5,FALSE)</f>
        <v>LOCA</v>
      </c>
      <c r="Q2690" s="62" t="str">
        <f>IF(G2690="PA",IF(M2690&lt;&gt;"",ISERROR(VLOOKUP(M2690,ABBR!C:F,1,FALSE)),ISERROR(VLOOKUP(E2690,ABBR!C:F,1,FALSE))),"")</f>
        <v/>
      </c>
    </row>
    <row r="2691" spans="1:17" s="62" customFormat="1" ht="25" hidden="1" x14ac:dyDescent="0.25">
      <c r="A2691" s="16" t="s">
        <v>316</v>
      </c>
      <c r="B2691" s="17"/>
      <c r="C2691" s="16" t="s">
        <v>4512</v>
      </c>
      <c r="D2691" s="17" t="s">
        <v>2027</v>
      </c>
      <c r="E2691" s="17" t="s">
        <v>767</v>
      </c>
      <c r="F2691" s="18" t="s">
        <v>4513</v>
      </c>
      <c r="G2691" s="49"/>
      <c r="H2691" s="17">
        <v>15</v>
      </c>
      <c r="I2691" s="30"/>
      <c r="J2691"/>
      <c r="K2691"/>
      <c r="L2691"/>
      <c r="M2691" s="101" t="s">
        <v>1044</v>
      </c>
      <c r="N2691"/>
      <c r="O2691" s="62" t="str">
        <f>IF(E2691="PA",IF(K2691&lt;&gt;"",ISERROR(VLOOKUP(K2691,ABBR!A:D,1,FALSE)),ISERROR(VLOOKUP(C2691,ABBR!A:D,1,FALSE))),"")</f>
        <v/>
      </c>
      <c r="P2691" t="str">
        <f>VLOOKUP(A2691,Groups!A:L,5,FALSE)</f>
        <v>LOCA</v>
      </c>
      <c r="Q2691" s="62" t="str">
        <f>IF(G2691="PA",IF(M2691&lt;&gt;"",ISERROR(VLOOKUP(M2691,ABBR!C:F,1,FALSE)),ISERROR(VLOOKUP(E2691,ABBR!C:F,1,FALSE))),"")</f>
        <v/>
      </c>
    </row>
    <row r="2692" spans="1:17" s="62" customFormat="1" ht="25" hidden="1" x14ac:dyDescent="0.25">
      <c r="A2692" s="16" t="s">
        <v>316</v>
      </c>
      <c r="B2692" s="17"/>
      <c r="C2692" s="16" t="s">
        <v>4514</v>
      </c>
      <c r="D2692" s="17"/>
      <c r="E2692" s="17" t="s">
        <v>608</v>
      </c>
      <c r="F2692" s="18" t="s">
        <v>4515</v>
      </c>
      <c r="G2692" s="49" t="s">
        <v>4516</v>
      </c>
      <c r="H2692" s="17">
        <v>16</v>
      </c>
      <c r="I2692" s="30"/>
      <c r="J2692"/>
      <c r="K2692"/>
      <c r="L2692"/>
      <c r="M2692"/>
      <c r="N2692"/>
      <c r="O2692" s="62" t="str">
        <f>IF(E2692="PA",IF(K2692&lt;&gt;"",ISERROR(VLOOKUP(K2692,ABBR!A:D,1,FALSE)),ISERROR(VLOOKUP(C2692,ABBR!A:D,1,FALSE))),"")</f>
        <v/>
      </c>
      <c r="P2692" t="str">
        <f>VLOOKUP(A2692,Groups!A:L,5,FALSE)</f>
        <v>LOCA</v>
      </c>
      <c r="Q2692" s="62" t="str">
        <f>IF(G2692="PA",IF(M2692&lt;&gt;"",ISERROR(VLOOKUP(M2692,ABBR!C:F,1,FALSE)),ISERROR(VLOOKUP(E2692,ABBR!C:F,1,FALSE))),"")</f>
        <v/>
      </c>
    </row>
    <row r="2693" spans="1:17" s="62" customFormat="1" ht="25" hidden="1" x14ac:dyDescent="0.25">
      <c r="A2693" s="16" t="s">
        <v>316</v>
      </c>
      <c r="B2693" s="17"/>
      <c r="C2693" s="16" t="s">
        <v>4517</v>
      </c>
      <c r="D2693" s="17"/>
      <c r="E2693" s="17" t="s">
        <v>608</v>
      </c>
      <c r="F2693" s="18" t="s">
        <v>4518</v>
      </c>
      <c r="G2693" s="49" t="s">
        <v>4519</v>
      </c>
      <c r="H2693" s="17">
        <v>17</v>
      </c>
      <c r="I2693" s="30"/>
      <c r="J2693"/>
      <c r="K2693"/>
      <c r="L2693"/>
      <c r="M2693"/>
      <c r="N2693"/>
      <c r="O2693" s="62" t="str">
        <f>IF(E2693="PA",IF(K2693&lt;&gt;"",ISERROR(VLOOKUP(K2693,ABBR!A:D,1,FALSE)),ISERROR(VLOOKUP(C2693,ABBR!A:D,1,FALSE))),"")</f>
        <v/>
      </c>
      <c r="P2693" t="str">
        <f>VLOOKUP(A2693,Groups!A:L,5,FALSE)</f>
        <v>LOCA</v>
      </c>
      <c r="Q2693" s="62" t="str">
        <f>IF(G2693="PA",IF(M2693&lt;&gt;"",ISERROR(VLOOKUP(M2693,ABBR!C:F,1,FALSE)),ISERROR(VLOOKUP(E2693,ABBR!C:F,1,FALSE))),"")</f>
        <v/>
      </c>
    </row>
    <row r="2694" spans="1:17" s="62" customFormat="1" hidden="1" x14ac:dyDescent="0.25">
      <c r="A2694" s="16" t="s">
        <v>316</v>
      </c>
      <c r="B2694" s="17"/>
      <c r="C2694" s="16" t="s">
        <v>4520</v>
      </c>
      <c r="D2694" s="17"/>
      <c r="E2694" s="17" t="s">
        <v>608</v>
      </c>
      <c r="F2694" s="18" t="s">
        <v>4521</v>
      </c>
      <c r="G2694" s="49" t="s">
        <v>4522</v>
      </c>
      <c r="H2694" s="17">
        <v>18</v>
      </c>
      <c r="I2694" s="30"/>
      <c r="J2694"/>
      <c r="K2694"/>
      <c r="L2694"/>
      <c r="M2694"/>
      <c r="N2694"/>
      <c r="O2694" s="62" t="str">
        <f>IF(E2694="PA",IF(K2694&lt;&gt;"",ISERROR(VLOOKUP(K2694,ABBR!A:D,1,FALSE)),ISERROR(VLOOKUP(C2694,ABBR!A:D,1,FALSE))),"")</f>
        <v/>
      </c>
      <c r="P2694" t="str">
        <f>VLOOKUP(A2694,Groups!A:L,5,FALSE)</f>
        <v>LOCA</v>
      </c>
      <c r="Q2694" s="62" t="str">
        <f>IF(G2694="PA",IF(M2694&lt;&gt;"",ISERROR(VLOOKUP(M2694,ABBR!C:F,1,FALSE)),ISERROR(VLOOKUP(E2694,ABBR!C:F,1,FALSE))),"")</f>
        <v/>
      </c>
    </row>
    <row r="2695" spans="1:17" s="62" customFormat="1" hidden="1" x14ac:dyDescent="0.25">
      <c r="A2695" s="16" t="s">
        <v>316</v>
      </c>
      <c r="B2695" s="17"/>
      <c r="C2695" s="16" t="s">
        <v>4523</v>
      </c>
      <c r="D2695" s="17"/>
      <c r="E2695" s="17" t="s">
        <v>608</v>
      </c>
      <c r="F2695" s="18" t="s">
        <v>642</v>
      </c>
      <c r="G2695" s="49" t="s">
        <v>4524</v>
      </c>
      <c r="H2695" s="17">
        <v>19</v>
      </c>
      <c r="I2695" s="30"/>
      <c r="J2695"/>
      <c r="K2695"/>
      <c r="L2695"/>
      <c r="M2695"/>
      <c r="N2695"/>
      <c r="O2695" s="62" t="str">
        <f>IF(E2695="PA",IF(K2695&lt;&gt;"",ISERROR(VLOOKUP(K2695,ABBR!A:D,1,FALSE)),ISERROR(VLOOKUP(C2695,ABBR!A:D,1,FALSE))),"")</f>
        <v/>
      </c>
      <c r="P2695" t="str">
        <f>VLOOKUP(A2695,Groups!A:L,5,FALSE)</f>
        <v>LOCA</v>
      </c>
      <c r="Q2695" s="62" t="str">
        <f>IF(G2695="PA",IF(M2695&lt;&gt;"",ISERROR(VLOOKUP(M2695,ABBR!C:F,1,FALSE)),ISERROR(VLOOKUP(E2695,ABBR!C:F,1,FALSE))),"")</f>
        <v/>
      </c>
    </row>
    <row r="2696" spans="1:17" s="62" customFormat="1" hidden="1" x14ac:dyDescent="0.25">
      <c r="A2696" s="16" t="s">
        <v>316</v>
      </c>
      <c r="B2696" s="17"/>
      <c r="C2696" s="16" t="s">
        <v>4525</v>
      </c>
      <c r="D2696" s="17"/>
      <c r="E2696" s="17" t="s">
        <v>608</v>
      </c>
      <c r="F2696" s="18" t="s">
        <v>4526</v>
      </c>
      <c r="G2696" s="49" t="s">
        <v>4527</v>
      </c>
      <c r="H2696" s="17">
        <v>20</v>
      </c>
      <c r="I2696" s="30"/>
      <c r="J2696"/>
      <c r="K2696"/>
      <c r="L2696"/>
      <c r="M2696"/>
      <c r="N2696"/>
      <c r="O2696" s="62" t="str">
        <f>IF(E2696="PA",IF(K2696&lt;&gt;"",ISERROR(VLOOKUP(K2696,ABBR!A:D,1,FALSE)),ISERROR(VLOOKUP(C2696,ABBR!A:D,1,FALSE))),"")</f>
        <v/>
      </c>
      <c r="P2696" t="str">
        <f>VLOOKUP(A2696,Groups!A:L,5,FALSE)</f>
        <v>LOCA</v>
      </c>
      <c r="Q2696" s="62" t="str">
        <f>IF(G2696="PA",IF(M2696&lt;&gt;"",ISERROR(VLOOKUP(M2696,ABBR!C:F,1,FALSE)),ISERROR(VLOOKUP(E2696,ABBR!C:F,1,FALSE))),"")</f>
        <v/>
      </c>
    </row>
    <row r="2697" spans="1:17" s="62" customFormat="1" hidden="1" x14ac:dyDescent="0.25">
      <c r="A2697" s="16" t="s">
        <v>316</v>
      </c>
      <c r="B2697" s="17"/>
      <c r="C2697" s="16" t="s">
        <v>643</v>
      </c>
      <c r="D2697" s="17"/>
      <c r="E2697" s="17" t="s">
        <v>608</v>
      </c>
      <c r="F2697" s="18" t="s">
        <v>1294</v>
      </c>
      <c r="G2697" s="49" t="s">
        <v>4528</v>
      </c>
      <c r="H2697" s="17">
        <v>21</v>
      </c>
      <c r="I2697" s="30"/>
      <c r="J2697"/>
      <c r="K2697"/>
      <c r="L2697"/>
      <c r="M2697"/>
      <c r="N2697"/>
      <c r="O2697" s="62" t="str">
        <f>IF(E2697="PA",IF(K2697&lt;&gt;"",ISERROR(VLOOKUP(K2697,ABBR!A:D,1,FALSE)),ISERROR(VLOOKUP(C2697,ABBR!A:D,1,FALSE))),"")</f>
        <v/>
      </c>
      <c r="P2697" t="str">
        <f>VLOOKUP(A2697,Groups!A:L,5,FALSE)</f>
        <v>LOCA</v>
      </c>
      <c r="Q2697" s="62" t="str">
        <f>IF(G2697="PA",IF(M2697&lt;&gt;"",ISERROR(VLOOKUP(M2697,ABBR!C:F,1,FALSE)),ISERROR(VLOOKUP(E2697,ABBR!C:F,1,FALSE))),"")</f>
        <v/>
      </c>
    </row>
    <row r="2698" spans="1:17" s="62" customFormat="1" hidden="1" x14ac:dyDescent="0.25">
      <c r="A2698" s="16" t="s">
        <v>561</v>
      </c>
      <c r="B2698" s="17" t="s">
        <v>594</v>
      </c>
      <c r="C2698" s="16" t="s">
        <v>595</v>
      </c>
      <c r="D2698" s="17"/>
      <c r="E2698" s="17" t="s">
        <v>596</v>
      </c>
      <c r="F2698" s="18" t="s">
        <v>1953</v>
      </c>
      <c r="G2698" s="49" t="s">
        <v>598</v>
      </c>
      <c r="H2698" s="17">
        <v>1</v>
      </c>
      <c r="I2698" s="30"/>
      <c r="J2698" s="62" t="s">
        <v>473</v>
      </c>
      <c r="O2698" s="62" t="str">
        <f>IF(E2698="PA",IF(K2698&lt;&gt;"",ISERROR(VLOOKUP(K2698,ABBR!A:D,1,FALSE)),ISERROR(VLOOKUP(C2698,ABBR!A:D,1,FALSE))),"")</f>
        <v/>
      </c>
      <c r="P2698" t="str">
        <f>VLOOKUP(A2698,Groups!A:L,5,FALSE)</f>
        <v>LOCA</v>
      </c>
      <c r="Q2698" s="62" t="str">
        <f>IF(G2698="PA",IF(M2698&lt;&gt;"",ISERROR(VLOOKUP(M2698,ABBR!C:F,1,FALSE)),ISERROR(VLOOKUP(E2698,ABBR!C:F,1,FALSE))),"")</f>
        <v/>
      </c>
    </row>
    <row r="2699" spans="1:17" s="62" customFormat="1" hidden="1" x14ac:dyDescent="0.25">
      <c r="A2699" s="16" t="s">
        <v>561</v>
      </c>
      <c r="B2699" s="17" t="s">
        <v>594</v>
      </c>
      <c r="C2699" s="16" t="s">
        <v>4529</v>
      </c>
      <c r="D2699" s="17" t="s">
        <v>600</v>
      </c>
      <c r="E2699" s="17" t="s">
        <v>601</v>
      </c>
      <c r="F2699" s="18" t="s">
        <v>1251</v>
      </c>
      <c r="G2699" s="49" t="s">
        <v>3406</v>
      </c>
      <c r="H2699" s="17">
        <v>2</v>
      </c>
      <c r="I2699" s="30"/>
      <c r="J2699" s="62" t="s">
        <v>473</v>
      </c>
      <c r="O2699" s="62" t="str">
        <f>IF(E2699="PA",IF(K2699&lt;&gt;"",ISERROR(VLOOKUP(K2699,ABBR!A:D,1,FALSE)),ISERROR(VLOOKUP(C2699,ABBR!A:D,1,FALSE))),"")</f>
        <v/>
      </c>
      <c r="P2699" t="str">
        <f>VLOOKUP(A2699,Groups!A:L,5,FALSE)</f>
        <v>LOCA</v>
      </c>
      <c r="Q2699" s="62" t="str">
        <f>IF(G2699="PA",IF(M2699&lt;&gt;"",ISERROR(VLOOKUP(M2699,ABBR!C:F,1,FALSE)),ISERROR(VLOOKUP(E2699,ABBR!C:F,1,FALSE))),"")</f>
        <v/>
      </c>
    </row>
    <row r="2700" spans="1:17" s="62" customFormat="1" hidden="1" x14ac:dyDescent="0.25">
      <c r="A2700" s="16" t="s">
        <v>561</v>
      </c>
      <c r="B2700" s="17"/>
      <c r="C2700" s="16" t="s">
        <v>4530</v>
      </c>
      <c r="D2700" s="17" t="s">
        <v>600</v>
      </c>
      <c r="E2700" s="17" t="s">
        <v>601</v>
      </c>
      <c r="F2700" s="18" t="s">
        <v>1254</v>
      </c>
      <c r="G2700" s="49" t="s">
        <v>4531</v>
      </c>
      <c r="H2700" s="17">
        <v>3</v>
      </c>
      <c r="I2700" s="30"/>
      <c r="J2700" s="62" t="s">
        <v>473</v>
      </c>
      <c r="O2700" s="62" t="str">
        <f>IF(E2700="PA",IF(K2700&lt;&gt;"",ISERROR(VLOOKUP(K2700,ABBR!A:D,1,FALSE)),ISERROR(VLOOKUP(C2700,ABBR!A:D,1,FALSE))),"")</f>
        <v/>
      </c>
      <c r="P2700" t="str">
        <f>VLOOKUP(A2700,Groups!A:L,5,FALSE)</f>
        <v>LOCA</v>
      </c>
      <c r="Q2700" s="62" t="str">
        <f>IF(G2700="PA",IF(M2700&lt;&gt;"",ISERROR(VLOOKUP(M2700,ABBR!C:F,1,FALSE)),ISERROR(VLOOKUP(E2700,ABBR!C:F,1,FALSE))),"")</f>
        <v/>
      </c>
    </row>
    <row r="2701" spans="1:17" s="62" customFormat="1" hidden="1" x14ac:dyDescent="0.25">
      <c r="A2701" s="16" t="s">
        <v>561</v>
      </c>
      <c r="B2701" s="17"/>
      <c r="C2701" s="16" t="s">
        <v>4532</v>
      </c>
      <c r="D2701" s="17"/>
      <c r="E2701" s="17" t="s">
        <v>618</v>
      </c>
      <c r="F2701" s="18" t="s">
        <v>4533</v>
      </c>
      <c r="G2701" s="49" t="s">
        <v>4534</v>
      </c>
      <c r="H2701" s="17">
        <v>4</v>
      </c>
      <c r="I2701" s="30"/>
      <c r="J2701" s="62" t="s">
        <v>473</v>
      </c>
      <c r="K2701" s="62" t="s">
        <v>4535</v>
      </c>
      <c r="O2701" s="62" t="b">
        <f>IF(E2701="PA",IF(K2701&lt;&gt;"",ISERROR(VLOOKUP(K2701,ABBR!A:D,1,FALSE)),ISERROR(VLOOKUP(C2701,ABBR!A:D,1,FALSE))),"")</f>
        <v>0</v>
      </c>
      <c r="P2701" t="str">
        <f>VLOOKUP(A2701,Groups!A:L,5,FALSE)</f>
        <v>LOCA</v>
      </c>
      <c r="Q2701" s="62" t="str">
        <f>IF(G2701="PA",IF(M2701&lt;&gt;"",ISERROR(VLOOKUP(M2701,ABBR!C:F,1,FALSE)),ISERROR(VLOOKUP(E2701,ABBR!C:F,1,FALSE))),"")</f>
        <v/>
      </c>
    </row>
    <row r="2702" spans="1:17" s="62" customFormat="1" hidden="1" x14ac:dyDescent="0.25">
      <c r="A2702" s="16" t="s">
        <v>561</v>
      </c>
      <c r="B2702" s="17"/>
      <c r="C2702" s="16" t="s">
        <v>4536</v>
      </c>
      <c r="D2702" s="17"/>
      <c r="E2702" s="17" t="s">
        <v>618</v>
      </c>
      <c r="F2702" s="18" t="s">
        <v>4537</v>
      </c>
      <c r="G2702" s="49" t="s">
        <v>4538</v>
      </c>
      <c r="H2702" s="17">
        <v>5</v>
      </c>
      <c r="I2702" s="30"/>
      <c r="J2702" s="62" t="s">
        <v>473</v>
      </c>
      <c r="K2702" s="62" t="s">
        <v>4535</v>
      </c>
      <c r="O2702" s="62" t="b">
        <f>IF(E2702="PA",IF(K2702&lt;&gt;"",ISERROR(VLOOKUP(K2702,ABBR!A:D,1,FALSE)),ISERROR(VLOOKUP(C2702,ABBR!A:D,1,FALSE))),"")</f>
        <v>0</v>
      </c>
      <c r="P2702" t="str">
        <f>VLOOKUP(A2702,Groups!A:L,5,FALSE)</f>
        <v>LOCA</v>
      </c>
      <c r="Q2702" s="62" t="str">
        <f>IF(G2702="PA",IF(M2702&lt;&gt;"",ISERROR(VLOOKUP(M2702,ABBR!C:F,1,FALSE)),ISERROR(VLOOKUP(E2702,ABBR!C:F,1,FALSE))),"")</f>
        <v/>
      </c>
    </row>
    <row r="2703" spans="1:17" s="62" customFormat="1" hidden="1" x14ac:dyDescent="0.25">
      <c r="A2703" s="16" t="s">
        <v>561</v>
      </c>
      <c r="B2703" s="17"/>
      <c r="C2703" s="16" t="s">
        <v>4539</v>
      </c>
      <c r="D2703" s="17"/>
      <c r="E2703" s="17" t="s">
        <v>618</v>
      </c>
      <c r="F2703" s="18" t="s">
        <v>4540</v>
      </c>
      <c r="G2703" s="49" t="s">
        <v>654</v>
      </c>
      <c r="H2703" s="17">
        <v>6</v>
      </c>
      <c r="I2703" s="30"/>
      <c r="J2703" s="62" t="s">
        <v>473</v>
      </c>
      <c r="K2703" s="62" t="s">
        <v>2891</v>
      </c>
      <c r="O2703" s="62" t="b">
        <f>IF(E2703="PA",IF(K2703&lt;&gt;"",ISERROR(VLOOKUP(K2703,ABBR!A:D,1,FALSE)),ISERROR(VLOOKUP(C2703,ABBR!A:D,1,FALSE))),"")</f>
        <v>0</v>
      </c>
      <c r="P2703" t="str">
        <f>VLOOKUP(A2703,Groups!A:L,5,FALSE)</f>
        <v>LOCA</v>
      </c>
      <c r="Q2703" s="62" t="str">
        <f>IF(G2703="PA",IF(M2703&lt;&gt;"",ISERROR(VLOOKUP(M2703,ABBR!C:F,1,FALSE)),ISERROR(VLOOKUP(E2703,ABBR!C:F,1,FALSE))),"")</f>
        <v/>
      </c>
    </row>
    <row r="2704" spans="1:17" s="62" customFormat="1" ht="25" hidden="1" x14ac:dyDescent="0.25">
      <c r="A2704" s="16" t="s">
        <v>561</v>
      </c>
      <c r="B2704" s="17"/>
      <c r="C2704" s="16" t="s">
        <v>4541</v>
      </c>
      <c r="D2704" s="17"/>
      <c r="E2704" s="17" t="s">
        <v>608</v>
      </c>
      <c r="F2704" s="18" t="s">
        <v>642</v>
      </c>
      <c r="G2704" s="49" t="s">
        <v>2274</v>
      </c>
      <c r="H2704" s="17">
        <v>7</v>
      </c>
      <c r="I2704" s="30"/>
      <c r="J2704" s="62" t="s">
        <v>473</v>
      </c>
      <c r="O2704" s="62" t="str">
        <f>IF(E2704="PA",IF(K2704&lt;&gt;"",ISERROR(VLOOKUP(K2704,ABBR!A:D,1,FALSE)),ISERROR(VLOOKUP(C2704,ABBR!A:D,1,FALSE))),"")</f>
        <v/>
      </c>
      <c r="P2704" t="str">
        <f>VLOOKUP(A2704,Groups!A:L,5,FALSE)</f>
        <v>LOCA</v>
      </c>
      <c r="Q2704" s="62" t="str">
        <f>IF(G2704="PA",IF(M2704&lt;&gt;"",ISERROR(VLOOKUP(M2704,ABBR!C:F,1,FALSE)),ISERROR(VLOOKUP(E2704,ABBR!C:F,1,FALSE))),"")</f>
        <v/>
      </c>
    </row>
    <row r="2705" spans="1:17" s="62" customFormat="1" hidden="1" x14ac:dyDescent="0.25">
      <c r="A2705" s="16" t="s">
        <v>321</v>
      </c>
      <c r="B2705" s="17" t="s">
        <v>594</v>
      </c>
      <c r="C2705" s="16" t="s">
        <v>595</v>
      </c>
      <c r="D2705" s="17"/>
      <c r="E2705" s="17" t="s">
        <v>596</v>
      </c>
      <c r="F2705" s="18" t="s">
        <v>597</v>
      </c>
      <c r="G2705" s="49" t="s">
        <v>598</v>
      </c>
      <c r="H2705" s="17">
        <v>1</v>
      </c>
      <c r="I2705" s="30"/>
      <c r="J2705"/>
      <c r="K2705"/>
      <c r="L2705"/>
      <c r="M2705"/>
      <c r="N2705"/>
      <c r="O2705" s="62" t="str">
        <f>IF(E2705="PA",IF(K2705&lt;&gt;"",ISERROR(VLOOKUP(K2705,ABBR!A:D,1,FALSE)),ISERROR(VLOOKUP(C2705,ABBR!A:D,1,FALSE))),"")</f>
        <v/>
      </c>
      <c r="P2705" t="str">
        <f>VLOOKUP(A2705,Groups!A:L,5,FALSE)</f>
        <v>LOCA</v>
      </c>
      <c r="Q2705" s="62" t="str">
        <f>IF(G2705="PA",IF(M2705&lt;&gt;"",ISERROR(VLOOKUP(M2705,ABBR!C:F,1,FALSE)),ISERROR(VLOOKUP(E2705,ABBR!C:F,1,FALSE))),"")</f>
        <v/>
      </c>
    </row>
    <row r="2706" spans="1:17" s="62" customFormat="1" hidden="1" x14ac:dyDescent="0.25">
      <c r="A2706" s="16" t="s">
        <v>321</v>
      </c>
      <c r="B2706" s="17" t="s">
        <v>594</v>
      </c>
      <c r="C2706" s="16" t="s">
        <v>4484</v>
      </c>
      <c r="D2706" s="17"/>
      <c r="E2706" s="17" t="s">
        <v>608</v>
      </c>
      <c r="F2706" s="18" t="s">
        <v>4485</v>
      </c>
      <c r="G2706" s="49" t="s">
        <v>4486</v>
      </c>
      <c r="H2706" s="17">
        <v>2</v>
      </c>
      <c r="I2706" s="30"/>
      <c r="J2706"/>
      <c r="K2706"/>
      <c r="L2706"/>
      <c r="M2706"/>
      <c r="N2706"/>
      <c r="O2706" s="62" t="str">
        <f>IF(E2706="PA",IF(K2706&lt;&gt;"",ISERROR(VLOOKUP(K2706,ABBR!A:D,1,FALSE)),ISERROR(VLOOKUP(C2706,ABBR!A:D,1,FALSE))),"")</f>
        <v/>
      </c>
      <c r="P2706" t="str">
        <f>VLOOKUP(A2706,Groups!A:L,5,FALSE)</f>
        <v>LOCA</v>
      </c>
      <c r="Q2706" s="62" t="str">
        <f>IF(G2706="PA",IF(M2706&lt;&gt;"",ISERROR(VLOOKUP(M2706,ABBR!C:F,1,FALSE)),ISERROR(VLOOKUP(E2706,ABBR!C:F,1,FALSE))),"")</f>
        <v/>
      </c>
    </row>
    <row r="2707" spans="1:17" s="62" customFormat="1" hidden="1" x14ac:dyDescent="0.25">
      <c r="A2707" s="16" t="s">
        <v>321</v>
      </c>
      <c r="B2707" s="17" t="s">
        <v>594</v>
      </c>
      <c r="C2707" s="16" t="s">
        <v>4542</v>
      </c>
      <c r="D2707" s="17" t="s">
        <v>600</v>
      </c>
      <c r="E2707" s="17" t="s">
        <v>601</v>
      </c>
      <c r="F2707" s="18" t="s">
        <v>4543</v>
      </c>
      <c r="G2707" s="49" t="s">
        <v>3051</v>
      </c>
      <c r="H2707" s="17">
        <v>3</v>
      </c>
      <c r="I2707" s="30"/>
      <c r="J2707"/>
      <c r="K2707"/>
      <c r="L2707"/>
      <c r="M2707"/>
      <c r="N2707"/>
      <c r="O2707" s="62" t="str">
        <f>IF(E2707="PA",IF(K2707&lt;&gt;"",ISERROR(VLOOKUP(K2707,ABBR!A:D,1,FALSE)),ISERROR(VLOOKUP(C2707,ABBR!A:D,1,FALSE))),"")</f>
        <v/>
      </c>
      <c r="P2707" t="str">
        <f>VLOOKUP(A2707,Groups!A:L,5,FALSE)</f>
        <v>LOCA</v>
      </c>
      <c r="Q2707" s="62" t="str">
        <f>IF(G2707="PA",IF(M2707&lt;&gt;"",ISERROR(VLOOKUP(M2707,ABBR!C:F,1,FALSE)),ISERROR(VLOOKUP(E2707,ABBR!C:F,1,FALSE))),"")</f>
        <v/>
      </c>
    </row>
    <row r="2708" spans="1:17" s="62" customFormat="1" hidden="1" x14ac:dyDescent="0.25">
      <c r="A2708" s="16" t="s">
        <v>321</v>
      </c>
      <c r="B2708" s="17" t="s">
        <v>594</v>
      </c>
      <c r="C2708" s="16" t="s">
        <v>4544</v>
      </c>
      <c r="D2708" s="17" t="s">
        <v>600</v>
      </c>
      <c r="E2708" s="17" t="s">
        <v>601</v>
      </c>
      <c r="F2708" s="18" t="s">
        <v>4545</v>
      </c>
      <c r="G2708" s="49" t="s">
        <v>2355</v>
      </c>
      <c r="H2708" s="17">
        <v>4</v>
      </c>
      <c r="I2708" s="30"/>
      <c r="J2708"/>
      <c r="K2708"/>
      <c r="L2708"/>
      <c r="M2708"/>
      <c r="N2708"/>
      <c r="O2708" s="62" t="str">
        <f>IF(E2708="PA",IF(K2708&lt;&gt;"",ISERROR(VLOOKUP(K2708,ABBR!A:D,1,FALSE)),ISERROR(VLOOKUP(C2708,ABBR!A:D,1,FALSE))),"")</f>
        <v/>
      </c>
      <c r="P2708" t="str">
        <f>VLOOKUP(A2708,Groups!A:L,5,FALSE)</f>
        <v>LOCA</v>
      </c>
      <c r="Q2708" s="62" t="str">
        <f>IF(G2708="PA",IF(M2708&lt;&gt;"",ISERROR(VLOOKUP(M2708,ABBR!C:F,1,FALSE)),ISERROR(VLOOKUP(E2708,ABBR!C:F,1,FALSE))),"")</f>
        <v/>
      </c>
    </row>
    <row r="2709" spans="1:17" s="62" customFormat="1" hidden="1" x14ac:dyDescent="0.25">
      <c r="A2709" s="16" t="s">
        <v>321</v>
      </c>
      <c r="B2709" s="17"/>
      <c r="C2709" s="16" t="s">
        <v>4546</v>
      </c>
      <c r="D2709" s="17" t="s">
        <v>722</v>
      </c>
      <c r="E2709" s="17" t="s">
        <v>767</v>
      </c>
      <c r="F2709" s="18" t="s">
        <v>4547</v>
      </c>
      <c r="G2709" s="49" t="s">
        <v>1027</v>
      </c>
      <c r="H2709" s="17">
        <v>5</v>
      </c>
      <c r="I2709" s="30"/>
      <c r="J2709"/>
      <c r="K2709"/>
      <c r="L2709"/>
      <c r="M2709"/>
      <c r="N2709"/>
      <c r="O2709" s="62" t="str">
        <f>IF(E2709="PA",IF(K2709&lt;&gt;"",ISERROR(VLOOKUP(K2709,ABBR!A:D,1,FALSE)),ISERROR(VLOOKUP(C2709,ABBR!A:D,1,FALSE))),"")</f>
        <v/>
      </c>
      <c r="P2709" t="str">
        <f>VLOOKUP(A2709,Groups!A:L,5,FALSE)</f>
        <v>LOCA</v>
      </c>
      <c r="Q2709" s="62" t="str">
        <f>IF(G2709="PA",IF(M2709&lt;&gt;"",ISERROR(VLOOKUP(M2709,ABBR!C:F,1,FALSE)),ISERROR(VLOOKUP(E2709,ABBR!C:F,1,FALSE))),"")</f>
        <v/>
      </c>
    </row>
    <row r="2710" spans="1:17" s="62" customFormat="1" hidden="1" x14ac:dyDescent="0.25">
      <c r="A2710" s="16" t="s">
        <v>321</v>
      </c>
      <c r="B2710" s="17"/>
      <c r="C2710" s="16" t="s">
        <v>4548</v>
      </c>
      <c r="D2710" s="17"/>
      <c r="E2710" s="17" t="s">
        <v>618</v>
      </c>
      <c r="F2710" s="18" t="s">
        <v>4549</v>
      </c>
      <c r="G2710" s="49" t="s">
        <v>4550</v>
      </c>
      <c r="H2710" s="17">
        <v>6</v>
      </c>
      <c r="I2710" s="30"/>
      <c r="J2710"/>
      <c r="K2710"/>
      <c r="L2710"/>
      <c r="M2710"/>
      <c r="N2710"/>
      <c r="O2710" s="62" t="b">
        <f>IF(E2710="PA",IF(K2710&lt;&gt;"",ISERROR(VLOOKUP(K2710,ABBR!A:D,1,FALSE)),ISERROR(VLOOKUP(C2710,ABBR!A:D,1,FALSE))),"")</f>
        <v>0</v>
      </c>
      <c r="P2710" t="str">
        <f>VLOOKUP(A2710,Groups!A:L,5,FALSE)</f>
        <v>LOCA</v>
      </c>
      <c r="Q2710" s="62" t="str">
        <f>IF(G2710="PA",IF(M2710&lt;&gt;"",ISERROR(VLOOKUP(M2710,ABBR!C:F,1,FALSE)),ISERROR(VLOOKUP(E2710,ABBR!C:F,1,FALSE))),"")</f>
        <v/>
      </c>
    </row>
    <row r="2711" spans="1:17" s="62" customFormat="1" hidden="1" x14ac:dyDescent="0.25">
      <c r="A2711" s="16" t="s">
        <v>321</v>
      </c>
      <c r="B2711" s="17"/>
      <c r="C2711" s="16" t="s">
        <v>4551</v>
      </c>
      <c r="D2711" s="17"/>
      <c r="E2711" s="17" t="s">
        <v>608</v>
      </c>
      <c r="F2711" s="18" t="s">
        <v>4552</v>
      </c>
      <c r="G2711" s="49"/>
      <c r="H2711" s="17">
        <v>7</v>
      </c>
      <c r="I2711" s="30"/>
      <c r="J2711"/>
      <c r="K2711"/>
      <c r="L2711"/>
      <c r="M2711" s="101" t="s">
        <v>1044</v>
      </c>
      <c r="N2711"/>
      <c r="O2711" s="62" t="str">
        <f>IF(E2711="PA",IF(K2711&lt;&gt;"",ISERROR(VLOOKUP(K2711,ABBR!A:D,1,FALSE)),ISERROR(VLOOKUP(C2711,ABBR!A:D,1,FALSE))),"")</f>
        <v/>
      </c>
      <c r="P2711" t="str">
        <f>VLOOKUP(A2711,Groups!A:L,5,FALSE)</f>
        <v>LOCA</v>
      </c>
      <c r="Q2711" s="62" t="str">
        <f>IF(G2711="PA",IF(M2711&lt;&gt;"",ISERROR(VLOOKUP(M2711,ABBR!C:F,1,FALSE)),ISERROR(VLOOKUP(E2711,ABBR!C:F,1,FALSE))),"")</f>
        <v/>
      </c>
    </row>
    <row r="2712" spans="1:17" s="62" customFormat="1" hidden="1" x14ac:dyDescent="0.25">
      <c r="A2712" s="16" t="s">
        <v>321</v>
      </c>
      <c r="B2712" s="17"/>
      <c r="C2712" s="16" t="s">
        <v>4553</v>
      </c>
      <c r="D2712" s="17"/>
      <c r="E2712" s="17" t="s">
        <v>608</v>
      </c>
      <c r="F2712" s="18" t="s">
        <v>642</v>
      </c>
      <c r="G2712" s="49" t="s">
        <v>16</v>
      </c>
      <c r="H2712" s="17">
        <v>8</v>
      </c>
      <c r="I2712" s="30"/>
      <c r="J2712"/>
      <c r="K2712"/>
      <c r="L2712"/>
      <c r="M2712" s="101"/>
      <c r="N2712"/>
      <c r="O2712" s="62" t="str">
        <f>IF(E2712="PA",IF(K2712&lt;&gt;"",ISERROR(VLOOKUP(K2712,ABBR!A:D,1,FALSE)),ISERROR(VLOOKUP(C2712,ABBR!A:D,1,FALSE))),"")</f>
        <v/>
      </c>
      <c r="P2712" t="str">
        <f>VLOOKUP(A2712,Groups!A:L,5,FALSE)</f>
        <v>LOCA</v>
      </c>
      <c r="Q2712" s="62" t="str">
        <f>IF(G2712="PA",IF(M2712&lt;&gt;"",ISERROR(VLOOKUP(M2712,ABBR!C:F,1,FALSE)),ISERROR(VLOOKUP(E2712,ABBR!C:F,1,FALSE))),"")</f>
        <v/>
      </c>
    </row>
    <row r="2713" spans="1:17" s="62" customFormat="1" hidden="1" x14ac:dyDescent="0.25">
      <c r="A2713" s="16" t="s">
        <v>321</v>
      </c>
      <c r="B2713" s="17"/>
      <c r="C2713" s="16" t="s">
        <v>643</v>
      </c>
      <c r="D2713" s="17"/>
      <c r="E2713" s="17" t="s">
        <v>608</v>
      </c>
      <c r="F2713" s="18" t="s">
        <v>1267</v>
      </c>
      <c r="G2713" s="49" t="s">
        <v>4554</v>
      </c>
      <c r="H2713" s="17">
        <v>9</v>
      </c>
      <c r="I2713" s="30"/>
      <c r="J2713"/>
      <c r="K2713"/>
      <c r="L2713"/>
      <c r="M2713"/>
      <c r="N2713"/>
      <c r="O2713" s="62" t="str">
        <f>IF(E2713="PA",IF(K2713&lt;&gt;"",ISERROR(VLOOKUP(K2713,ABBR!A:D,1,FALSE)),ISERROR(VLOOKUP(C2713,ABBR!A:D,1,FALSE))),"")</f>
        <v/>
      </c>
      <c r="P2713" t="str">
        <f>VLOOKUP(A2713,Groups!A:L,5,FALSE)</f>
        <v>LOCA</v>
      </c>
      <c r="Q2713" s="62" t="str">
        <f>IF(G2713="PA",IF(M2713&lt;&gt;"",ISERROR(VLOOKUP(M2713,ABBR!C:F,1,FALSE)),ISERROR(VLOOKUP(E2713,ABBR!C:F,1,FALSE))),"")</f>
        <v/>
      </c>
    </row>
    <row r="2714" spans="1:17" s="62" customFormat="1" hidden="1" x14ac:dyDescent="0.25">
      <c r="A2714" s="16" t="s">
        <v>324</v>
      </c>
      <c r="B2714" s="17" t="s">
        <v>594</v>
      </c>
      <c r="C2714" s="16" t="s">
        <v>595</v>
      </c>
      <c r="D2714" s="17"/>
      <c r="E2714" s="17" t="s">
        <v>596</v>
      </c>
      <c r="F2714" s="18" t="s">
        <v>597</v>
      </c>
      <c r="G2714" s="49" t="s">
        <v>598</v>
      </c>
      <c r="H2714" s="17">
        <v>1</v>
      </c>
      <c r="I2714" s="30"/>
      <c r="J2714"/>
      <c r="K2714"/>
      <c r="L2714"/>
      <c r="M2714"/>
      <c r="N2714"/>
      <c r="O2714" s="62" t="str">
        <f>IF(E2714="PA",IF(K2714&lt;&gt;"",ISERROR(VLOOKUP(K2714,ABBR!A:D,1,FALSE)),ISERROR(VLOOKUP(C2714,ABBR!A:D,1,FALSE))),"")</f>
        <v/>
      </c>
      <c r="P2714" t="str">
        <f>VLOOKUP(A2714,Groups!A:L,5,FALSE)</f>
        <v>LOCA</v>
      </c>
      <c r="Q2714" s="62" t="str">
        <f>IF(G2714="PA",IF(M2714&lt;&gt;"",ISERROR(VLOOKUP(M2714,ABBR!C:F,1,FALSE)),ISERROR(VLOOKUP(E2714,ABBR!C:F,1,FALSE))),"")</f>
        <v/>
      </c>
    </row>
    <row r="2715" spans="1:17" s="62" customFormat="1" hidden="1" x14ac:dyDescent="0.25">
      <c r="A2715" s="16" t="s">
        <v>324</v>
      </c>
      <c r="B2715" s="17" t="s">
        <v>594</v>
      </c>
      <c r="C2715" s="16" t="s">
        <v>4555</v>
      </c>
      <c r="D2715" s="17" t="s">
        <v>600</v>
      </c>
      <c r="E2715" s="17" t="s">
        <v>601</v>
      </c>
      <c r="F2715" s="18" t="s">
        <v>4556</v>
      </c>
      <c r="G2715" s="49" t="s">
        <v>4557</v>
      </c>
      <c r="H2715" s="17">
        <v>2</v>
      </c>
      <c r="I2715" s="30"/>
      <c r="J2715"/>
      <c r="K2715"/>
      <c r="L2715"/>
      <c r="M2715"/>
      <c r="N2715"/>
      <c r="O2715" s="62" t="str">
        <f>IF(E2715="PA",IF(K2715&lt;&gt;"",ISERROR(VLOOKUP(K2715,ABBR!A:D,1,FALSE)),ISERROR(VLOOKUP(C2715,ABBR!A:D,1,FALSE))),"")</f>
        <v/>
      </c>
      <c r="P2715" t="str">
        <f>VLOOKUP(A2715,Groups!A:L,5,FALSE)</f>
        <v>LOCA</v>
      </c>
      <c r="Q2715" s="62" t="str">
        <f>IF(G2715="PA",IF(M2715&lt;&gt;"",ISERROR(VLOOKUP(M2715,ABBR!C:F,1,FALSE)),ISERROR(VLOOKUP(E2715,ABBR!C:F,1,FALSE))),"")</f>
        <v/>
      </c>
    </row>
    <row r="2716" spans="1:17" s="62" customFormat="1" hidden="1" x14ac:dyDescent="0.25">
      <c r="A2716" s="16" t="s">
        <v>324</v>
      </c>
      <c r="B2716" s="17" t="s">
        <v>594</v>
      </c>
      <c r="C2716" s="16" t="s">
        <v>4558</v>
      </c>
      <c r="D2716" s="17"/>
      <c r="E2716" s="17" t="s">
        <v>608</v>
      </c>
      <c r="F2716" s="18" t="s">
        <v>1323</v>
      </c>
      <c r="G2716" s="49" t="s">
        <v>631</v>
      </c>
      <c r="H2716" s="17">
        <v>3</v>
      </c>
      <c r="I2716" s="30"/>
      <c r="J2716"/>
      <c r="K2716"/>
      <c r="L2716"/>
      <c r="M2716"/>
      <c r="N2716"/>
      <c r="O2716" s="62" t="str">
        <f>IF(E2716="PA",IF(K2716&lt;&gt;"",ISERROR(VLOOKUP(K2716,ABBR!A:D,1,FALSE)),ISERROR(VLOOKUP(C2716,ABBR!A:D,1,FALSE))),"")</f>
        <v/>
      </c>
      <c r="P2716" t="str">
        <f>VLOOKUP(A2716,Groups!A:L,5,FALSE)</f>
        <v>LOCA</v>
      </c>
      <c r="Q2716" s="62" t="str">
        <f>IF(G2716="PA",IF(M2716&lt;&gt;"",ISERROR(VLOOKUP(M2716,ABBR!C:F,1,FALSE)),ISERROR(VLOOKUP(E2716,ABBR!C:F,1,FALSE))),"")</f>
        <v/>
      </c>
    </row>
    <row r="2717" spans="1:17" s="62" customFormat="1" hidden="1" x14ac:dyDescent="0.25">
      <c r="A2717" s="16" t="s">
        <v>324</v>
      </c>
      <c r="B2717" s="17" t="s">
        <v>594</v>
      </c>
      <c r="C2717" s="16" t="s">
        <v>4559</v>
      </c>
      <c r="D2717" s="17"/>
      <c r="E2717" s="17" t="s">
        <v>608</v>
      </c>
      <c r="F2717" s="18" t="s">
        <v>4560</v>
      </c>
      <c r="G2717" s="49" t="s">
        <v>631</v>
      </c>
      <c r="H2717" s="17">
        <v>4</v>
      </c>
      <c r="I2717" s="30"/>
      <c r="J2717"/>
      <c r="K2717"/>
      <c r="L2717"/>
      <c r="M2717"/>
      <c r="N2717"/>
      <c r="O2717" s="62" t="str">
        <f>IF(E2717="PA",IF(K2717&lt;&gt;"",ISERROR(VLOOKUP(K2717,ABBR!A:D,1,FALSE)),ISERROR(VLOOKUP(C2717,ABBR!A:D,1,FALSE))),"")</f>
        <v/>
      </c>
      <c r="P2717" t="str">
        <f>VLOOKUP(A2717,Groups!A:L,5,FALSE)</f>
        <v>LOCA</v>
      </c>
      <c r="Q2717" s="62" t="str">
        <f>IF(G2717="PA",IF(M2717&lt;&gt;"",ISERROR(VLOOKUP(M2717,ABBR!C:F,1,FALSE)),ISERROR(VLOOKUP(E2717,ABBR!C:F,1,FALSE))),"")</f>
        <v/>
      </c>
    </row>
    <row r="2718" spans="1:17" s="62" customFormat="1" hidden="1" x14ac:dyDescent="0.25">
      <c r="A2718" s="16" t="s">
        <v>324</v>
      </c>
      <c r="B2718" s="17"/>
      <c r="C2718" s="16" t="s">
        <v>4561</v>
      </c>
      <c r="D2718" s="17" t="s">
        <v>722</v>
      </c>
      <c r="E2718" s="17" t="s">
        <v>767</v>
      </c>
      <c r="F2718" s="18" t="s">
        <v>4562</v>
      </c>
      <c r="G2718" s="49" t="s">
        <v>2630</v>
      </c>
      <c r="H2718" s="17">
        <v>5</v>
      </c>
      <c r="I2718" s="30"/>
      <c r="J2718"/>
      <c r="K2718"/>
      <c r="L2718"/>
      <c r="M2718"/>
      <c r="N2718"/>
      <c r="O2718" s="62" t="str">
        <f>IF(E2718="PA",IF(K2718&lt;&gt;"",ISERROR(VLOOKUP(K2718,ABBR!A:D,1,FALSE)),ISERROR(VLOOKUP(C2718,ABBR!A:D,1,FALSE))),"")</f>
        <v/>
      </c>
      <c r="P2718" t="str">
        <f>VLOOKUP(A2718,Groups!A:L,5,FALSE)</f>
        <v>LOCA</v>
      </c>
      <c r="Q2718" s="62" t="str">
        <f>IF(G2718="PA",IF(M2718&lt;&gt;"",ISERROR(VLOOKUP(M2718,ABBR!C:F,1,FALSE)),ISERROR(VLOOKUP(E2718,ABBR!C:F,1,FALSE))),"")</f>
        <v/>
      </c>
    </row>
    <row r="2719" spans="1:17" s="62" customFormat="1" hidden="1" x14ac:dyDescent="0.25">
      <c r="A2719" s="16" t="s">
        <v>324</v>
      </c>
      <c r="B2719" s="17"/>
      <c r="C2719" s="16" t="s">
        <v>4563</v>
      </c>
      <c r="D2719" s="17" t="s">
        <v>1002</v>
      </c>
      <c r="E2719" s="17" t="s">
        <v>723</v>
      </c>
      <c r="F2719" s="18" t="s">
        <v>4564</v>
      </c>
      <c r="G2719" s="49" t="s">
        <v>1300</v>
      </c>
      <c r="H2719" s="17">
        <v>6</v>
      </c>
      <c r="I2719" s="30"/>
      <c r="J2719"/>
      <c r="K2719"/>
      <c r="L2719"/>
      <c r="M2719"/>
      <c r="N2719"/>
      <c r="O2719" s="62" t="str">
        <f>IF(E2719="PA",IF(K2719&lt;&gt;"",ISERROR(VLOOKUP(K2719,ABBR!A:D,1,FALSE)),ISERROR(VLOOKUP(C2719,ABBR!A:D,1,FALSE))),"")</f>
        <v/>
      </c>
      <c r="P2719" t="str">
        <f>VLOOKUP(A2719,Groups!A:L,5,FALSE)</f>
        <v>LOCA</v>
      </c>
      <c r="Q2719" s="62" t="str">
        <f>IF(G2719="PA",IF(M2719&lt;&gt;"",ISERROR(VLOOKUP(M2719,ABBR!C:F,1,FALSE)),ISERROR(VLOOKUP(E2719,ABBR!C:F,1,FALSE))),"")</f>
        <v/>
      </c>
    </row>
    <row r="2720" spans="1:17" s="62" customFormat="1" hidden="1" x14ac:dyDescent="0.25">
      <c r="A2720" s="16" t="s">
        <v>324</v>
      </c>
      <c r="B2720" s="17"/>
      <c r="C2720" s="16" t="s">
        <v>4565</v>
      </c>
      <c r="D2720" s="17"/>
      <c r="E2720" s="17" t="s">
        <v>601</v>
      </c>
      <c r="F2720" s="18" t="s">
        <v>4566</v>
      </c>
      <c r="G2720" s="49" t="s">
        <v>3051</v>
      </c>
      <c r="H2720" s="17">
        <v>7</v>
      </c>
      <c r="I2720" s="30"/>
      <c r="J2720"/>
      <c r="K2720"/>
      <c r="L2720"/>
      <c r="M2720"/>
      <c r="N2720"/>
      <c r="O2720" s="62" t="str">
        <f>IF(E2720="PA",IF(K2720&lt;&gt;"",ISERROR(VLOOKUP(K2720,ABBR!A:D,1,FALSE)),ISERROR(VLOOKUP(C2720,ABBR!A:D,1,FALSE))),"")</f>
        <v/>
      </c>
      <c r="P2720" t="str">
        <f>VLOOKUP(A2720,Groups!A:L,5,FALSE)</f>
        <v>LOCA</v>
      </c>
      <c r="Q2720" s="62" t="str">
        <f>IF(G2720="PA",IF(M2720&lt;&gt;"",ISERROR(VLOOKUP(M2720,ABBR!C:F,1,FALSE)),ISERROR(VLOOKUP(E2720,ABBR!C:F,1,FALSE))),"")</f>
        <v/>
      </c>
    </row>
    <row r="2721" spans="1:17" s="62" customFormat="1" hidden="1" x14ac:dyDescent="0.25">
      <c r="A2721" s="16" t="s">
        <v>324</v>
      </c>
      <c r="B2721" s="17"/>
      <c r="C2721" s="16" t="s">
        <v>4567</v>
      </c>
      <c r="D2721" s="17"/>
      <c r="E2721" s="17" t="s">
        <v>601</v>
      </c>
      <c r="F2721" s="18" t="s">
        <v>4568</v>
      </c>
      <c r="G2721" s="49" t="s">
        <v>4569</v>
      </c>
      <c r="H2721" s="17">
        <v>8</v>
      </c>
      <c r="I2721" s="30"/>
      <c r="J2721"/>
      <c r="K2721"/>
      <c r="L2721"/>
      <c r="M2721"/>
      <c r="N2721"/>
      <c r="O2721" s="62" t="str">
        <f>IF(E2721="PA",IF(K2721&lt;&gt;"",ISERROR(VLOOKUP(K2721,ABBR!A:D,1,FALSE)),ISERROR(VLOOKUP(C2721,ABBR!A:D,1,FALSE))),"")</f>
        <v/>
      </c>
      <c r="P2721" t="str">
        <f>VLOOKUP(A2721,Groups!A:L,5,FALSE)</f>
        <v>LOCA</v>
      </c>
      <c r="Q2721" s="62" t="str">
        <f>IF(G2721="PA",IF(M2721&lt;&gt;"",ISERROR(VLOOKUP(M2721,ABBR!C:F,1,FALSE)),ISERROR(VLOOKUP(E2721,ABBR!C:F,1,FALSE))),"")</f>
        <v/>
      </c>
    </row>
    <row r="2722" spans="1:17" s="62" customFormat="1" hidden="1" x14ac:dyDescent="0.25">
      <c r="A2722" s="16" t="s">
        <v>324</v>
      </c>
      <c r="B2722" s="17"/>
      <c r="C2722" s="16" t="s">
        <v>4570</v>
      </c>
      <c r="D2722" s="17"/>
      <c r="E2722" s="17" t="s">
        <v>601</v>
      </c>
      <c r="F2722" s="18" t="s">
        <v>4571</v>
      </c>
      <c r="G2722" s="49" t="s">
        <v>4572</v>
      </c>
      <c r="H2722" s="17">
        <v>9</v>
      </c>
      <c r="I2722" s="30"/>
      <c r="J2722"/>
      <c r="K2722"/>
      <c r="L2722"/>
      <c r="M2722"/>
      <c r="N2722"/>
      <c r="O2722" s="62" t="str">
        <f>IF(E2722="PA",IF(K2722&lt;&gt;"",ISERROR(VLOOKUP(K2722,ABBR!A:D,1,FALSE)),ISERROR(VLOOKUP(C2722,ABBR!A:D,1,FALSE))),"")</f>
        <v/>
      </c>
      <c r="P2722" t="str">
        <f>VLOOKUP(A2722,Groups!A:L,5,FALSE)</f>
        <v>LOCA</v>
      </c>
      <c r="Q2722" s="62" t="str">
        <f>IF(G2722="PA",IF(M2722&lt;&gt;"",ISERROR(VLOOKUP(M2722,ABBR!C:F,1,FALSE)),ISERROR(VLOOKUP(E2722,ABBR!C:F,1,FALSE))),"")</f>
        <v/>
      </c>
    </row>
    <row r="2723" spans="1:17" s="62" customFormat="1" hidden="1" x14ac:dyDescent="0.25">
      <c r="A2723" s="16" t="s">
        <v>324</v>
      </c>
      <c r="B2723" s="17"/>
      <c r="C2723" s="16" t="s">
        <v>4573</v>
      </c>
      <c r="D2723" s="17" t="s">
        <v>1710</v>
      </c>
      <c r="E2723" s="17" t="s">
        <v>723</v>
      </c>
      <c r="F2723" s="18" t="s">
        <v>4574</v>
      </c>
      <c r="G2723" s="49" t="s">
        <v>4575</v>
      </c>
      <c r="H2723" s="17">
        <v>10</v>
      </c>
      <c r="I2723" s="30"/>
      <c r="J2723"/>
      <c r="K2723"/>
      <c r="L2723"/>
      <c r="M2723"/>
      <c r="N2723"/>
      <c r="O2723" s="62" t="str">
        <f>IF(E2723="PA",IF(K2723&lt;&gt;"",ISERROR(VLOOKUP(K2723,ABBR!A:D,1,FALSE)),ISERROR(VLOOKUP(C2723,ABBR!A:D,1,FALSE))),"")</f>
        <v/>
      </c>
      <c r="P2723" t="str">
        <f>VLOOKUP(A2723,Groups!A:L,5,FALSE)</f>
        <v>LOCA</v>
      </c>
      <c r="Q2723" s="62" t="str">
        <f>IF(G2723="PA",IF(M2723&lt;&gt;"",ISERROR(VLOOKUP(M2723,ABBR!C:F,1,FALSE)),ISERROR(VLOOKUP(E2723,ABBR!C:F,1,FALSE))),"")</f>
        <v/>
      </c>
    </row>
    <row r="2724" spans="1:17" s="62" customFormat="1" hidden="1" x14ac:dyDescent="0.25">
      <c r="A2724" s="16" t="s">
        <v>324</v>
      </c>
      <c r="B2724" s="17"/>
      <c r="C2724" s="16" t="s">
        <v>4576</v>
      </c>
      <c r="D2724" s="17" t="s">
        <v>1710</v>
      </c>
      <c r="E2724" s="17" t="s">
        <v>723</v>
      </c>
      <c r="F2724" s="18" t="s">
        <v>4577</v>
      </c>
      <c r="G2724" s="49" t="s">
        <v>4578</v>
      </c>
      <c r="H2724" s="17">
        <v>11</v>
      </c>
      <c r="I2724" s="30"/>
      <c r="J2724"/>
      <c r="K2724"/>
      <c r="L2724"/>
      <c r="M2724"/>
      <c r="N2724"/>
      <c r="O2724" s="62" t="str">
        <f>IF(E2724="PA",IF(K2724&lt;&gt;"",ISERROR(VLOOKUP(K2724,ABBR!A:D,1,FALSE)),ISERROR(VLOOKUP(C2724,ABBR!A:D,1,FALSE))),"")</f>
        <v/>
      </c>
      <c r="P2724" t="str">
        <f>VLOOKUP(A2724,Groups!A:L,5,FALSE)</f>
        <v>LOCA</v>
      </c>
      <c r="Q2724" s="62" t="str">
        <f>IF(G2724="PA",IF(M2724&lt;&gt;"",ISERROR(VLOOKUP(M2724,ABBR!C:F,1,FALSE)),ISERROR(VLOOKUP(E2724,ABBR!C:F,1,FALSE))),"")</f>
        <v/>
      </c>
    </row>
    <row r="2725" spans="1:17" s="62" customFormat="1" hidden="1" x14ac:dyDescent="0.25">
      <c r="A2725" s="16" t="s">
        <v>324</v>
      </c>
      <c r="B2725" s="17"/>
      <c r="C2725" s="16" t="s">
        <v>4579</v>
      </c>
      <c r="D2725" s="29" t="s">
        <v>4580</v>
      </c>
      <c r="E2725" s="17" t="s">
        <v>723</v>
      </c>
      <c r="F2725" s="18" t="s">
        <v>4581</v>
      </c>
      <c r="G2725" s="49" t="s">
        <v>4582</v>
      </c>
      <c r="H2725" s="17">
        <v>12</v>
      </c>
      <c r="I2725" s="30"/>
      <c r="J2725"/>
      <c r="K2725"/>
      <c r="L2725"/>
      <c r="M2725"/>
      <c r="N2725"/>
      <c r="O2725" s="62" t="str">
        <f>IF(E2725="PA",IF(K2725&lt;&gt;"",ISERROR(VLOOKUP(K2725,ABBR!A:D,1,FALSE)),ISERROR(VLOOKUP(C2725,ABBR!A:D,1,FALSE))),"")</f>
        <v/>
      </c>
      <c r="P2725" t="str">
        <f>VLOOKUP(A2725,Groups!A:L,5,FALSE)</f>
        <v>LOCA</v>
      </c>
      <c r="Q2725" s="62" t="str">
        <f>IF(G2725="PA",IF(M2725&lt;&gt;"",ISERROR(VLOOKUP(M2725,ABBR!C:F,1,FALSE)),ISERROR(VLOOKUP(E2725,ABBR!C:F,1,FALSE))),"")</f>
        <v/>
      </c>
    </row>
    <row r="2726" spans="1:17" s="62" customFormat="1" hidden="1" x14ac:dyDescent="0.25">
      <c r="A2726" s="16" t="s">
        <v>324</v>
      </c>
      <c r="B2726" s="17"/>
      <c r="C2726" s="16" t="s">
        <v>4583</v>
      </c>
      <c r="D2726" s="17" t="s">
        <v>1710</v>
      </c>
      <c r="E2726" s="17" t="s">
        <v>723</v>
      </c>
      <c r="F2726" s="18" t="s">
        <v>4584</v>
      </c>
      <c r="G2726" s="49" t="s">
        <v>4585</v>
      </c>
      <c r="H2726" s="17">
        <v>13</v>
      </c>
      <c r="I2726" s="30"/>
      <c r="J2726"/>
      <c r="K2726"/>
      <c r="L2726"/>
      <c r="M2726"/>
      <c r="N2726"/>
      <c r="O2726" s="62" t="str">
        <f>IF(E2726="PA",IF(K2726&lt;&gt;"",ISERROR(VLOOKUP(K2726,ABBR!A:D,1,FALSE)),ISERROR(VLOOKUP(C2726,ABBR!A:D,1,FALSE))),"")</f>
        <v/>
      </c>
      <c r="P2726" t="str">
        <f>VLOOKUP(A2726,Groups!A:L,5,FALSE)</f>
        <v>LOCA</v>
      </c>
      <c r="Q2726" s="62" t="str">
        <f>IF(G2726="PA",IF(M2726&lt;&gt;"",ISERROR(VLOOKUP(M2726,ABBR!C:F,1,FALSE)),ISERROR(VLOOKUP(E2726,ABBR!C:F,1,FALSE))),"")</f>
        <v/>
      </c>
    </row>
    <row r="2727" spans="1:17" s="62" customFormat="1" hidden="1" x14ac:dyDescent="0.25">
      <c r="A2727" s="16" t="s">
        <v>324</v>
      </c>
      <c r="B2727" s="17"/>
      <c r="C2727" s="16" t="s">
        <v>4586</v>
      </c>
      <c r="D2727" s="17" t="s">
        <v>924</v>
      </c>
      <c r="E2727" s="17" t="s">
        <v>925</v>
      </c>
      <c r="F2727" s="18" t="s">
        <v>1922</v>
      </c>
      <c r="G2727" s="49" t="s">
        <v>4587</v>
      </c>
      <c r="H2727" s="17">
        <v>14</v>
      </c>
      <c r="I2727" s="30"/>
      <c r="J2727"/>
      <c r="K2727"/>
      <c r="L2727"/>
      <c r="M2727"/>
      <c r="N2727"/>
      <c r="O2727" s="62" t="str">
        <f>IF(E2727="PA",IF(K2727&lt;&gt;"",ISERROR(VLOOKUP(K2727,ABBR!A:D,1,FALSE)),ISERROR(VLOOKUP(C2727,ABBR!A:D,1,FALSE))),"")</f>
        <v/>
      </c>
      <c r="P2727" t="str">
        <f>VLOOKUP(A2727,Groups!A:L,5,FALSE)</f>
        <v>LOCA</v>
      </c>
      <c r="Q2727" s="62" t="str">
        <f>IF(G2727="PA",IF(M2727&lt;&gt;"",ISERROR(VLOOKUP(M2727,ABBR!C:F,1,FALSE)),ISERROR(VLOOKUP(E2727,ABBR!C:F,1,FALSE))),"")</f>
        <v/>
      </c>
    </row>
    <row r="2728" spans="1:17" s="62" customFormat="1" hidden="1" x14ac:dyDescent="0.25">
      <c r="A2728" s="16" t="s">
        <v>324</v>
      </c>
      <c r="B2728" s="17"/>
      <c r="C2728" s="16" t="s">
        <v>4588</v>
      </c>
      <c r="D2728" s="17" t="s">
        <v>766</v>
      </c>
      <c r="E2728" s="17" t="s">
        <v>882</v>
      </c>
      <c r="F2728" s="18" t="s">
        <v>1281</v>
      </c>
      <c r="G2728" s="49" t="s">
        <v>1282</v>
      </c>
      <c r="H2728" s="17">
        <v>15</v>
      </c>
      <c r="I2728" s="30"/>
      <c r="J2728"/>
      <c r="K2728"/>
      <c r="L2728"/>
      <c r="M2728"/>
      <c r="N2728"/>
      <c r="O2728" s="62" t="str">
        <f>IF(E2728="PA",IF(K2728&lt;&gt;"",ISERROR(VLOOKUP(K2728,ABBR!A:D,1,FALSE)),ISERROR(VLOOKUP(C2728,ABBR!A:D,1,FALSE))),"")</f>
        <v/>
      </c>
      <c r="P2728" t="str">
        <f>VLOOKUP(A2728,Groups!A:L,5,FALSE)</f>
        <v>LOCA</v>
      </c>
      <c r="Q2728" s="62" t="str">
        <f>IF(G2728="PA",IF(M2728&lt;&gt;"",ISERROR(VLOOKUP(M2728,ABBR!C:F,1,FALSE)),ISERROR(VLOOKUP(E2728,ABBR!C:F,1,FALSE))),"")</f>
        <v/>
      </c>
    </row>
    <row r="2729" spans="1:17" s="62" customFormat="1" hidden="1" x14ac:dyDescent="0.25">
      <c r="A2729" s="16" t="s">
        <v>324</v>
      </c>
      <c r="B2729" s="17"/>
      <c r="C2729" s="16" t="s">
        <v>4589</v>
      </c>
      <c r="D2729" s="17"/>
      <c r="E2729" s="17" t="s">
        <v>608</v>
      </c>
      <c r="F2729" s="18" t="s">
        <v>1284</v>
      </c>
      <c r="G2729" s="49" t="s">
        <v>1285</v>
      </c>
      <c r="H2729" s="17">
        <v>16</v>
      </c>
      <c r="I2729" s="30"/>
      <c r="J2729"/>
      <c r="K2729"/>
      <c r="L2729"/>
      <c r="M2729"/>
      <c r="N2729"/>
      <c r="O2729" s="62" t="str">
        <f>IF(E2729="PA",IF(K2729&lt;&gt;"",ISERROR(VLOOKUP(K2729,ABBR!A:D,1,FALSE)),ISERROR(VLOOKUP(C2729,ABBR!A:D,1,FALSE))),"")</f>
        <v/>
      </c>
      <c r="P2729" t="str">
        <f>VLOOKUP(A2729,Groups!A:L,5,FALSE)</f>
        <v>LOCA</v>
      </c>
      <c r="Q2729" s="62" t="str">
        <f>IF(G2729="PA",IF(M2729&lt;&gt;"",ISERROR(VLOOKUP(M2729,ABBR!C:F,1,FALSE)),ISERROR(VLOOKUP(E2729,ABBR!C:F,1,FALSE))),"")</f>
        <v/>
      </c>
    </row>
    <row r="2730" spans="1:17" s="62" customFormat="1" hidden="1" x14ac:dyDescent="0.25">
      <c r="A2730" s="16" t="s">
        <v>324</v>
      </c>
      <c r="B2730" s="17"/>
      <c r="C2730" s="16" t="s">
        <v>4590</v>
      </c>
      <c r="D2730" s="17"/>
      <c r="E2730" s="17" t="s">
        <v>608</v>
      </c>
      <c r="F2730" s="18" t="s">
        <v>642</v>
      </c>
      <c r="G2730" s="49" t="s">
        <v>16</v>
      </c>
      <c r="H2730" s="17">
        <v>17</v>
      </c>
      <c r="I2730" s="30"/>
      <c r="J2730"/>
      <c r="K2730"/>
      <c r="L2730"/>
      <c r="M2730" s="101"/>
      <c r="N2730"/>
      <c r="O2730" s="62" t="str">
        <f>IF(E2730="PA",IF(K2730&lt;&gt;"",ISERROR(VLOOKUP(K2730,ABBR!A:D,1,FALSE)),ISERROR(VLOOKUP(C2730,ABBR!A:D,1,FALSE))),"")</f>
        <v/>
      </c>
      <c r="P2730" t="str">
        <f>VLOOKUP(A2730,Groups!A:L,5,FALSE)</f>
        <v>LOCA</v>
      </c>
      <c r="Q2730" s="62" t="str">
        <f>IF(G2730="PA",IF(M2730&lt;&gt;"",ISERROR(VLOOKUP(M2730,ABBR!C:F,1,FALSE)),ISERROR(VLOOKUP(E2730,ABBR!C:F,1,FALSE))),"")</f>
        <v/>
      </c>
    </row>
    <row r="2731" spans="1:17" s="62" customFormat="1" ht="25" hidden="1" x14ac:dyDescent="0.25">
      <c r="A2731" s="16" t="s">
        <v>324</v>
      </c>
      <c r="B2731" s="17"/>
      <c r="C2731" s="16" t="s">
        <v>4591</v>
      </c>
      <c r="D2731" s="17"/>
      <c r="E2731" s="17" t="s">
        <v>608</v>
      </c>
      <c r="F2731" s="18" t="s">
        <v>1938</v>
      </c>
      <c r="G2731" s="49" t="s">
        <v>3234</v>
      </c>
      <c r="H2731" s="17">
        <v>18</v>
      </c>
      <c r="I2731" s="30"/>
      <c r="J2731"/>
      <c r="K2731"/>
      <c r="L2731"/>
      <c r="M2731"/>
      <c r="N2731"/>
      <c r="O2731" s="62" t="str">
        <f>IF(E2731="PA",IF(K2731&lt;&gt;"",ISERROR(VLOOKUP(K2731,ABBR!A:D,1,FALSE)),ISERROR(VLOOKUP(C2731,ABBR!A:D,1,FALSE))),"")</f>
        <v/>
      </c>
      <c r="P2731" t="str">
        <f>VLOOKUP(A2731,Groups!A:L,5,FALSE)</f>
        <v>LOCA</v>
      </c>
      <c r="Q2731" s="62" t="str">
        <f>IF(G2731="PA",IF(M2731&lt;&gt;"",ISERROR(VLOOKUP(M2731,ABBR!C:F,1,FALSE)),ISERROR(VLOOKUP(E2731,ABBR!C:F,1,FALSE))),"")</f>
        <v/>
      </c>
    </row>
    <row r="2732" spans="1:17" s="62" customFormat="1" ht="25" hidden="1" x14ac:dyDescent="0.25">
      <c r="A2732" s="16" t="s">
        <v>324</v>
      </c>
      <c r="B2732" s="17"/>
      <c r="C2732" s="16" t="s">
        <v>4592</v>
      </c>
      <c r="D2732" s="17"/>
      <c r="E2732" s="17" t="s">
        <v>608</v>
      </c>
      <c r="F2732" s="18" t="s">
        <v>918</v>
      </c>
      <c r="G2732" s="49" t="s">
        <v>4593</v>
      </c>
      <c r="H2732" s="17">
        <v>19</v>
      </c>
      <c r="I2732" s="30"/>
      <c r="J2732"/>
      <c r="K2732"/>
      <c r="L2732"/>
      <c r="M2732"/>
      <c r="N2732"/>
      <c r="O2732" s="62" t="str">
        <f>IF(E2732="PA",IF(K2732&lt;&gt;"",ISERROR(VLOOKUP(K2732,ABBR!A:D,1,FALSE)),ISERROR(VLOOKUP(C2732,ABBR!A:D,1,FALSE))),"")</f>
        <v/>
      </c>
      <c r="P2732" t="str">
        <f>VLOOKUP(A2732,Groups!A:L,5,FALSE)</f>
        <v>LOCA</v>
      </c>
      <c r="Q2732" s="62" t="str">
        <f>IF(G2732="PA",IF(M2732&lt;&gt;"",ISERROR(VLOOKUP(M2732,ABBR!C:F,1,FALSE)),ISERROR(VLOOKUP(E2732,ABBR!C:F,1,FALSE))),"")</f>
        <v/>
      </c>
    </row>
    <row r="2733" spans="1:17" s="62" customFormat="1" ht="25" hidden="1" x14ac:dyDescent="0.25">
      <c r="A2733" s="16" t="s">
        <v>324</v>
      </c>
      <c r="B2733" s="17"/>
      <c r="C2733" s="16" t="s">
        <v>4594</v>
      </c>
      <c r="D2733" s="17"/>
      <c r="E2733" s="17" t="s">
        <v>608</v>
      </c>
      <c r="F2733" s="18" t="s">
        <v>1943</v>
      </c>
      <c r="G2733" s="49" t="s">
        <v>1944</v>
      </c>
      <c r="H2733" s="17">
        <v>20</v>
      </c>
      <c r="I2733" s="30"/>
      <c r="J2733"/>
      <c r="K2733"/>
      <c r="L2733"/>
      <c r="M2733"/>
      <c r="N2733"/>
      <c r="O2733" s="62" t="str">
        <f>IF(E2733="PA",IF(K2733&lt;&gt;"",ISERROR(VLOOKUP(K2733,ABBR!A:D,1,FALSE)),ISERROR(VLOOKUP(C2733,ABBR!A:D,1,FALSE))),"")</f>
        <v/>
      </c>
      <c r="P2733" t="str">
        <f>VLOOKUP(A2733,Groups!A:L,5,FALSE)</f>
        <v>LOCA</v>
      </c>
      <c r="Q2733" s="62" t="str">
        <f>IF(G2733="PA",IF(M2733&lt;&gt;"",ISERROR(VLOOKUP(M2733,ABBR!C:F,1,FALSE)),ISERROR(VLOOKUP(E2733,ABBR!C:F,1,FALSE))),"")</f>
        <v/>
      </c>
    </row>
    <row r="2734" spans="1:17" s="62" customFormat="1" ht="25" hidden="1" x14ac:dyDescent="0.25">
      <c r="A2734" s="16" t="s">
        <v>324</v>
      </c>
      <c r="B2734" s="17"/>
      <c r="C2734" s="16" t="s">
        <v>4595</v>
      </c>
      <c r="D2734" s="17"/>
      <c r="E2734" s="17" t="s">
        <v>608</v>
      </c>
      <c r="F2734" s="18" t="s">
        <v>934</v>
      </c>
      <c r="G2734" s="8" t="s">
        <v>953</v>
      </c>
      <c r="H2734" s="17">
        <v>21</v>
      </c>
      <c r="I2734" s="30"/>
      <c r="J2734"/>
      <c r="K2734"/>
      <c r="L2734"/>
      <c r="M2734"/>
      <c r="N2734"/>
      <c r="O2734" s="62" t="str">
        <f>IF(E2734="PA",IF(K2734&lt;&gt;"",ISERROR(VLOOKUP(K2734,ABBR!A:D,1,FALSE)),ISERROR(VLOOKUP(C2734,ABBR!A:D,1,FALSE))),"")</f>
        <v/>
      </c>
      <c r="P2734" t="str">
        <f>VLOOKUP(A2734,Groups!A:L,5,FALSE)</f>
        <v>LOCA</v>
      </c>
      <c r="Q2734" s="62" t="str">
        <f>IF(G2734="PA",IF(M2734&lt;&gt;"",ISERROR(VLOOKUP(M2734,ABBR!C:F,1,FALSE)),ISERROR(VLOOKUP(E2734,ABBR!C:F,1,FALSE))),"")</f>
        <v/>
      </c>
    </row>
    <row r="2735" spans="1:17" s="62" customFormat="1" hidden="1" x14ac:dyDescent="0.25">
      <c r="A2735" s="16" t="s">
        <v>324</v>
      </c>
      <c r="B2735" s="17"/>
      <c r="C2735" s="16" t="s">
        <v>936</v>
      </c>
      <c r="D2735" s="17"/>
      <c r="E2735" s="22" t="s">
        <v>608</v>
      </c>
      <c r="F2735" s="18" t="s">
        <v>937</v>
      </c>
      <c r="G2735" s="49" t="s">
        <v>938</v>
      </c>
      <c r="H2735" s="17">
        <v>22</v>
      </c>
      <c r="I2735" s="30"/>
      <c r="J2735"/>
      <c r="K2735"/>
      <c r="L2735"/>
      <c r="M2735"/>
      <c r="N2735"/>
      <c r="O2735" s="62" t="str">
        <f>IF(E2735="PA",IF(K2735&lt;&gt;"",ISERROR(VLOOKUP(K2735,ABBR!A:D,1,FALSE)),ISERROR(VLOOKUP(C2735,ABBR!A:D,1,FALSE))),"")</f>
        <v/>
      </c>
      <c r="P2735" t="str">
        <f>VLOOKUP(A2735,Groups!A:L,5,FALSE)</f>
        <v>LOCA</v>
      </c>
      <c r="Q2735" s="62" t="str">
        <f>IF(G2735="PA",IF(M2735&lt;&gt;"",ISERROR(VLOOKUP(M2735,ABBR!C:F,1,FALSE)),ISERROR(VLOOKUP(E2735,ABBR!C:F,1,FALSE))),"")</f>
        <v/>
      </c>
    </row>
    <row r="2736" spans="1:17" s="62" customFormat="1" hidden="1" x14ac:dyDescent="0.25">
      <c r="A2736" s="16" t="s">
        <v>324</v>
      </c>
      <c r="B2736" s="17"/>
      <c r="C2736" s="16" t="s">
        <v>629</v>
      </c>
      <c r="D2736" s="17"/>
      <c r="E2736" s="17" t="s">
        <v>608</v>
      </c>
      <c r="F2736" s="18" t="s">
        <v>630</v>
      </c>
      <c r="G2736" s="49" t="s">
        <v>631</v>
      </c>
      <c r="H2736" s="17">
        <v>23</v>
      </c>
      <c r="I2736" s="30"/>
      <c r="J2736"/>
      <c r="K2736"/>
      <c r="L2736"/>
      <c r="M2736"/>
      <c r="N2736"/>
      <c r="O2736" s="62" t="str">
        <f>IF(E2736="PA",IF(K2736&lt;&gt;"",ISERROR(VLOOKUP(K2736,ABBR!A:D,1,FALSE)),ISERROR(VLOOKUP(C2736,ABBR!A:D,1,FALSE))),"")</f>
        <v/>
      </c>
      <c r="P2736" t="str">
        <f>VLOOKUP(A2736,Groups!A:L,5,FALSE)</f>
        <v>LOCA</v>
      </c>
      <c r="Q2736" s="62" t="str">
        <f>IF(G2736="PA",IF(M2736&lt;&gt;"",ISERROR(VLOOKUP(M2736,ABBR!C:F,1,FALSE)),ISERROR(VLOOKUP(E2736,ABBR!C:F,1,FALSE))),"")</f>
        <v/>
      </c>
    </row>
    <row r="2737" spans="1:17" s="62" customFormat="1" hidden="1" x14ac:dyDescent="0.25">
      <c r="A2737" s="16" t="s">
        <v>324</v>
      </c>
      <c r="B2737" s="17"/>
      <c r="C2737" s="16" t="s">
        <v>643</v>
      </c>
      <c r="D2737" s="17"/>
      <c r="E2737" s="17" t="s">
        <v>608</v>
      </c>
      <c r="F2737" s="18" t="s">
        <v>1294</v>
      </c>
      <c r="G2737" s="49" t="s">
        <v>3238</v>
      </c>
      <c r="H2737" s="17">
        <v>24</v>
      </c>
      <c r="I2737" s="30"/>
      <c r="J2737"/>
      <c r="K2737"/>
      <c r="L2737"/>
      <c r="M2737"/>
      <c r="N2737"/>
      <c r="O2737" s="62" t="str">
        <f>IF(E2737="PA",IF(K2737&lt;&gt;"",ISERROR(VLOOKUP(K2737,ABBR!A:D,1,FALSE)),ISERROR(VLOOKUP(C2737,ABBR!A:D,1,FALSE))),"")</f>
        <v/>
      </c>
      <c r="P2737" t="str">
        <f>VLOOKUP(A2737,Groups!A:L,5,FALSE)</f>
        <v>LOCA</v>
      </c>
      <c r="Q2737" s="62" t="str">
        <f>IF(G2737="PA",IF(M2737&lt;&gt;"",ISERROR(VLOOKUP(M2737,ABBR!C:F,1,FALSE)),ISERROR(VLOOKUP(E2737,ABBR!C:F,1,FALSE))),"")</f>
        <v/>
      </c>
    </row>
    <row r="2738" spans="1:17" s="62" customFormat="1" hidden="1" x14ac:dyDescent="0.25">
      <c r="A2738" s="16" t="s">
        <v>324</v>
      </c>
      <c r="B2738" s="17"/>
      <c r="C2738" s="9" t="s">
        <v>4596</v>
      </c>
      <c r="D2738" s="46"/>
      <c r="E2738" s="46" t="s">
        <v>608</v>
      </c>
      <c r="F2738" s="93" t="s">
        <v>1952</v>
      </c>
      <c r="G2738" s="179" t="s">
        <v>876</v>
      </c>
      <c r="H2738" s="46">
        <v>25</v>
      </c>
      <c r="I2738" s="180"/>
      <c r="J2738" s="62" t="s">
        <v>473</v>
      </c>
      <c r="K2738"/>
      <c r="L2738"/>
      <c r="M2738"/>
      <c r="N2738"/>
      <c r="O2738" s="62" t="str">
        <f>IF(E2738="PA",IF(K2738&lt;&gt;"",ISERROR(VLOOKUP(K2738,ABBR!A:D,1,FALSE)),ISERROR(VLOOKUP(C2738,ABBR!A:D,1,FALSE))),"")</f>
        <v/>
      </c>
      <c r="P2738" t="str">
        <f>VLOOKUP(A2738,Groups!A:L,5,FALSE)</f>
        <v>LOCA</v>
      </c>
      <c r="Q2738" s="62" t="str">
        <f>IF(G2738="PA",IF(M2738&lt;&gt;"",ISERROR(VLOOKUP(M2738,ABBR!C:F,1,FALSE)),ISERROR(VLOOKUP(E2738,ABBR!C:F,1,FALSE))),"")</f>
        <v/>
      </c>
    </row>
    <row r="2739" spans="1:17" s="62" customFormat="1" hidden="1" x14ac:dyDescent="0.25">
      <c r="A2739" s="16" t="s">
        <v>326</v>
      </c>
      <c r="B2739" s="17" t="s">
        <v>594</v>
      </c>
      <c r="C2739" s="16" t="s">
        <v>595</v>
      </c>
      <c r="D2739" s="17"/>
      <c r="E2739" s="17" t="s">
        <v>596</v>
      </c>
      <c r="F2739" s="18" t="s">
        <v>597</v>
      </c>
      <c r="G2739" s="49" t="s">
        <v>598</v>
      </c>
      <c r="H2739" s="17">
        <v>1</v>
      </c>
      <c r="I2739" s="30"/>
      <c r="J2739"/>
      <c r="K2739"/>
      <c r="L2739"/>
      <c r="M2739"/>
      <c r="N2739"/>
      <c r="O2739" s="62" t="str">
        <f>IF(E2739="PA",IF(K2739&lt;&gt;"",ISERROR(VLOOKUP(K2739,ABBR!A:D,1,FALSE)),ISERROR(VLOOKUP(C2739,ABBR!A:D,1,FALSE))),"")</f>
        <v/>
      </c>
      <c r="P2739" t="str">
        <f>VLOOKUP(A2739,Groups!A:L,5,FALSE)</f>
        <v>PLTG</v>
      </c>
      <c r="Q2739" s="62" t="str">
        <f>IF(G2739="PA",IF(M2739&lt;&gt;"",ISERROR(VLOOKUP(M2739,ABBR!C:F,1,FALSE)),ISERROR(VLOOKUP(E2739,ABBR!C:F,1,FALSE))),"")</f>
        <v/>
      </c>
    </row>
    <row r="2740" spans="1:17" s="62" customFormat="1" hidden="1" x14ac:dyDescent="0.25">
      <c r="A2740" s="16" t="s">
        <v>326</v>
      </c>
      <c r="B2740" s="17" t="s">
        <v>594</v>
      </c>
      <c r="C2740" s="16" t="s">
        <v>4555</v>
      </c>
      <c r="D2740" s="17" t="s">
        <v>600</v>
      </c>
      <c r="E2740" s="17" t="s">
        <v>601</v>
      </c>
      <c r="F2740" s="18" t="s">
        <v>4556</v>
      </c>
      <c r="G2740" s="49" t="s">
        <v>4557</v>
      </c>
      <c r="H2740" s="17">
        <v>2</v>
      </c>
      <c r="I2740" s="30"/>
      <c r="J2740"/>
      <c r="K2740"/>
      <c r="L2740"/>
      <c r="M2740"/>
      <c r="N2740"/>
      <c r="O2740" s="62" t="str">
        <f>IF(E2740="PA",IF(K2740&lt;&gt;"",ISERROR(VLOOKUP(K2740,ABBR!A:D,1,FALSE)),ISERROR(VLOOKUP(C2740,ABBR!A:D,1,FALSE))),"")</f>
        <v/>
      </c>
      <c r="P2740" t="str">
        <f>VLOOKUP(A2740,Groups!A:L,5,FALSE)</f>
        <v>PLTG</v>
      </c>
      <c r="Q2740" s="62" t="str">
        <f>IF(G2740="PA",IF(M2740&lt;&gt;"",ISERROR(VLOOKUP(M2740,ABBR!C:F,1,FALSE)),ISERROR(VLOOKUP(E2740,ABBR!C:F,1,FALSE))),"")</f>
        <v/>
      </c>
    </row>
    <row r="2741" spans="1:17" s="62" customFormat="1" hidden="1" x14ac:dyDescent="0.25">
      <c r="A2741" s="16" t="s">
        <v>326</v>
      </c>
      <c r="B2741" s="17" t="s">
        <v>594</v>
      </c>
      <c r="C2741" s="16" t="s">
        <v>4558</v>
      </c>
      <c r="D2741" s="17"/>
      <c r="E2741" s="17" t="s">
        <v>608</v>
      </c>
      <c r="F2741" s="18" t="s">
        <v>1323</v>
      </c>
      <c r="G2741" s="49" t="s">
        <v>631</v>
      </c>
      <c r="H2741" s="17">
        <v>3</v>
      </c>
      <c r="I2741" s="30"/>
      <c r="J2741"/>
      <c r="K2741"/>
      <c r="L2741"/>
      <c r="M2741"/>
      <c r="N2741"/>
      <c r="O2741" s="62" t="str">
        <f>IF(E2741="PA",IF(K2741&lt;&gt;"",ISERROR(VLOOKUP(K2741,ABBR!A:D,1,FALSE)),ISERROR(VLOOKUP(C2741,ABBR!A:D,1,FALSE))),"")</f>
        <v/>
      </c>
      <c r="P2741" t="str">
        <f>VLOOKUP(A2741,Groups!A:L,5,FALSE)</f>
        <v>PLTG</v>
      </c>
      <c r="Q2741" s="62" t="str">
        <f>IF(G2741="PA",IF(M2741&lt;&gt;"",ISERROR(VLOOKUP(M2741,ABBR!C:F,1,FALSE)),ISERROR(VLOOKUP(E2741,ABBR!C:F,1,FALSE))),"")</f>
        <v/>
      </c>
    </row>
    <row r="2742" spans="1:17" s="62" customFormat="1" hidden="1" x14ac:dyDescent="0.25">
      <c r="A2742" s="16" t="s">
        <v>326</v>
      </c>
      <c r="B2742" s="17" t="s">
        <v>594</v>
      </c>
      <c r="C2742" s="16" t="s">
        <v>4559</v>
      </c>
      <c r="D2742" s="17"/>
      <c r="E2742" s="17" t="s">
        <v>608</v>
      </c>
      <c r="F2742" s="18" t="s">
        <v>4560</v>
      </c>
      <c r="G2742" s="49" t="s">
        <v>631</v>
      </c>
      <c r="H2742" s="17">
        <v>4</v>
      </c>
      <c r="I2742" s="30"/>
      <c r="J2742"/>
      <c r="K2742"/>
      <c r="L2742"/>
      <c r="M2742"/>
      <c r="N2742"/>
      <c r="O2742" s="62" t="str">
        <f>IF(E2742="PA",IF(K2742&lt;&gt;"",ISERROR(VLOOKUP(K2742,ABBR!A:D,1,FALSE)),ISERROR(VLOOKUP(C2742,ABBR!A:D,1,FALSE))),"")</f>
        <v/>
      </c>
      <c r="P2742" t="str">
        <f>VLOOKUP(A2742,Groups!A:L,5,FALSE)</f>
        <v>PLTG</v>
      </c>
      <c r="Q2742" s="62" t="str">
        <f>IF(G2742="PA",IF(M2742&lt;&gt;"",ISERROR(VLOOKUP(M2742,ABBR!C:F,1,FALSE)),ISERROR(VLOOKUP(E2742,ABBR!C:F,1,FALSE))),"")</f>
        <v/>
      </c>
    </row>
    <row r="2743" spans="1:17" s="62" customFormat="1" hidden="1" x14ac:dyDescent="0.25">
      <c r="A2743" s="16" t="s">
        <v>326</v>
      </c>
      <c r="B2743" s="17" t="s">
        <v>594</v>
      </c>
      <c r="C2743" s="16" t="s">
        <v>4597</v>
      </c>
      <c r="D2743" s="17"/>
      <c r="E2743" s="17" t="s">
        <v>608</v>
      </c>
      <c r="F2743" s="18" t="s">
        <v>4598</v>
      </c>
      <c r="G2743" s="49" t="s">
        <v>631</v>
      </c>
      <c r="H2743" s="17">
        <v>5</v>
      </c>
      <c r="I2743" s="30"/>
      <c r="J2743"/>
      <c r="K2743"/>
      <c r="L2743"/>
      <c r="M2743"/>
      <c r="N2743"/>
      <c r="O2743" s="62" t="str">
        <f>IF(E2743="PA",IF(K2743&lt;&gt;"",ISERROR(VLOOKUP(K2743,ABBR!A:D,1,FALSE)),ISERROR(VLOOKUP(C2743,ABBR!A:D,1,FALSE))),"")</f>
        <v/>
      </c>
      <c r="P2743" t="str">
        <f>VLOOKUP(A2743,Groups!A:L,5,FALSE)</f>
        <v>PLTG</v>
      </c>
      <c r="Q2743" s="62" t="str">
        <f>IF(G2743="PA",IF(M2743&lt;&gt;"",ISERROR(VLOOKUP(M2743,ABBR!C:F,1,FALSE)),ISERROR(VLOOKUP(E2743,ABBR!C:F,1,FALSE))),"")</f>
        <v/>
      </c>
    </row>
    <row r="2744" spans="1:17" s="62" customFormat="1" hidden="1" x14ac:dyDescent="0.25">
      <c r="A2744" s="16" t="s">
        <v>326</v>
      </c>
      <c r="B2744" s="17" t="s">
        <v>594</v>
      </c>
      <c r="C2744" s="16" t="s">
        <v>4599</v>
      </c>
      <c r="D2744" s="17" t="s">
        <v>893</v>
      </c>
      <c r="E2744" s="17" t="s">
        <v>723</v>
      </c>
      <c r="F2744" s="18" t="s">
        <v>4600</v>
      </c>
      <c r="G2744" s="49" t="s">
        <v>2044</v>
      </c>
      <c r="H2744" s="17">
        <v>6</v>
      </c>
      <c r="I2744" s="30"/>
      <c r="J2744"/>
      <c r="K2744"/>
      <c r="L2744"/>
      <c r="M2744"/>
      <c r="N2744"/>
      <c r="O2744" s="62" t="str">
        <f>IF(E2744="PA",IF(K2744&lt;&gt;"",ISERROR(VLOOKUP(K2744,ABBR!A:D,1,FALSE)),ISERROR(VLOOKUP(C2744,ABBR!A:D,1,FALSE))),"")</f>
        <v/>
      </c>
      <c r="P2744" t="str">
        <f>VLOOKUP(A2744,Groups!A:L,5,FALSE)</f>
        <v>PLTG</v>
      </c>
      <c r="Q2744" s="62" t="str">
        <f>IF(G2744="PA",IF(M2744&lt;&gt;"",ISERROR(VLOOKUP(M2744,ABBR!C:F,1,FALSE)),ISERROR(VLOOKUP(E2744,ABBR!C:F,1,FALSE))),"")</f>
        <v/>
      </c>
    </row>
    <row r="2745" spans="1:17" s="62" customFormat="1" hidden="1" x14ac:dyDescent="0.25">
      <c r="A2745" s="16" t="s">
        <v>326</v>
      </c>
      <c r="B2745" s="17"/>
      <c r="C2745" s="16" t="s">
        <v>4601</v>
      </c>
      <c r="D2745" s="17" t="s">
        <v>1002</v>
      </c>
      <c r="E2745" s="17" t="s">
        <v>723</v>
      </c>
      <c r="F2745" s="18" t="s">
        <v>4602</v>
      </c>
      <c r="G2745" s="49" t="s">
        <v>1300</v>
      </c>
      <c r="H2745" s="17">
        <v>7</v>
      </c>
      <c r="I2745" s="30"/>
      <c r="J2745"/>
      <c r="K2745"/>
      <c r="L2745"/>
      <c r="M2745"/>
      <c r="N2745"/>
      <c r="O2745" s="62" t="str">
        <f>IF(E2745="PA",IF(K2745&lt;&gt;"",ISERROR(VLOOKUP(K2745,ABBR!A:D,1,FALSE)),ISERROR(VLOOKUP(C2745,ABBR!A:D,1,FALSE))),"")</f>
        <v/>
      </c>
      <c r="P2745" t="str">
        <f>VLOOKUP(A2745,Groups!A:L,5,FALSE)</f>
        <v>PLTG</v>
      </c>
      <c r="Q2745" s="62" t="str">
        <f>IF(G2745="PA",IF(M2745&lt;&gt;"",ISERROR(VLOOKUP(M2745,ABBR!C:F,1,FALSE)),ISERROR(VLOOKUP(E2745,ABBR!C:F,1,FALSE))),"")</f>
        <v/>
      </c>
    </row>
    <row r="2746" spans="1:17" s="62" customFormat="1" hidden="1" x14ac:dyDescent="0.25">
      <c r="A2746" s="16" t="s">
        <v>326</v>
      </c>
      <c r="B2746" s="17"/>
      <c r="C2746" s="16" t="s">
        <v>4603</v>
      </c>
      <c r="D2746" s="17" t="s">
        <v>722</v>
      </c>
      <c r="E2746" s="17" t="s">
        <v>601</v>
      </c>
      <c r="F2746" s="18" t="s">
        <v>4604</v>
      </c>
      <c r="G2746" s="49" t="s">
        <v>4605</v>
      </c>
      <c r="H2746" s="17">
        <v>8</v>
      </c>
      <c r="I2746" s="30"/>
      <c r="J2746"/>
      <c r="K2746"/>
      <c r="L2746"/>
      <c r="M2746"/>
      <c r="N2746"/>
      <c r="O2746" s="62" t="str">
        <f>IF(E2746="PA",IF(K2746&lt;&gt;"",ISERROR(VLOOKUP(K2746,ABBR!A:D,1,FALSE)),ISERROR(VLOOKUP(C2746,ABBR!A:D,1,FALSE))),"")</f>
        <v/>
      </c>
      <c r="P2746" t="str">
        <f>VLOOKUP(A2746,Groups!A:L,5,FALSE)</f>
        <v>PLTG</v>
      </c>
      <c r="Q2746" s="62" t="str">
        <f>IF(G2746="PA",IF(M2746&lt;&gt;"",ISERROR(VLOOKUP(M2746,ABBR!C:F,1,FALSE)),ISERROR(VLOOKUP(E2746,ABBR!C:F,1,FALSE))),"")</f>
        <v/>
      </c>
    </row>
    <row r="2747" spans="1:17" s="62" customFormat="1" hidden="1" x14ac:dyDescent="0.25">
      <c r="A2747" s="16" t="s">
        <v>326</v>
      </c>
      <c r="B2747" s="17"/>
      <c r="C2747" s="16" t="s">
        <v>4606</v>
      </c>
      <c r="D2747" s="17" t="s">
        <v>722</v>
      </c>
      <c r="E2747" s="17" t="s">
        <v>601</v>
      </c>
      <c r="F2747" s="18" t="s">
        <v>4607</v>
      </c>
      <c r="G2747" s="49" t="s">
        <v>4608</v>
      </c>
      <c r="H2747" s="17">
        <v>9</v>
      </c>
      <c r="I2747" s="30"/>
      <c r="J2747"/>
      <c r="K2747"/>
      <c r="L2747"/>
      <c r="M2747"/>
      <c r="N2747"/>
      <c r="O2747" s="62" t="str">
        <f>IF(E2747="PA",IF(K2747&lt;&gt;"",ISERROR(VLOOKUP(K2747,ABBR!A:D,1,FALSE)),ISERROR(VLOOKUP(C2747,ABBR!A:D,1,FALSE))),"")</f>
        <v/>
      </c>
      <c r="P2747" t="str">
        <f>VLOOKUP(A2747,Groups!A:L,5,FALSE)</f>
        <v>PLTG</v>
      </c>
      <c r="Q2747" s="62" t="str">
        <f>IF(G2747="PA",IF(M2747&lt;&gt;"",ISERROR(VLOOKUP(M2747,ABBR!C:F,1,FALSE)),ISERROR(VLOOKUP(E2747,ABBR!C:F,1,FALSE))),"")</f>
        <v/>
      </c>
    </row>
    <row r="2748" spans="1:17" s="62" customFormat="1" hidden="1" x14ac:dyDescent="0.25">
      <c r="A2748" s="16" t="s">
        <v>326</v>
      </c>
      <c r="B2748" s="17"/>
      <c r="C2748" s="16" t="s">
        <v>4609</v>
      </c>
      <c r="D2748" s="17" t="s">
        <v>722</v>
      </c>
      <c r="E2748" s="17" t="s">
        <v>601</v>
      </c>
      <c r="F2748" s="18" t="s">
        <v>4610</v>
      </c>
      <c r="G2748" s="49" t="s">
        <v>4611</v>
      </c>
      <c r="H2748" s="17">
        <v>10</v>
      </c>
      <c r="I2748" s="30"/>
      <c r="J2748"/>
      <c r="K2748"/>
      <c r="L2748"/>
      <c r="M2748"/>
      <c r="N2748"/>
      <c r="O2748" s="62" t="str">
        <f>IF(E2748="PA",IF(K2748&lt;&gt;"",ISERROR(VLOOKUP(K2748,ABBR!A:D,1,FALSE)),ISERROR(VLOOKUP(C2748,ABBR!A:D,1,FALSE))),"")</f>
        <v/>
      </c>
      <c r="P2748" t="str">
        <f>VLOOKUP(A2748,Groups!A:L,5,FALSE)</f>
        <v>PLTG</v>
      </c>
      <c r="Q2748" s="62" t="str">
        <f>IF(G2748="PA",IF(M2748&lt;&gt;"",ISERROR(VLOOKUP(M2748,ABBR!C:F,1,FALSE)),ISERROR(VLOOKUP(E2748,ABBR!C:F,1,FALSE))),"")</f>
        <v/>
      </c>
    </row>
    <row r="2749" spans="1:17" s="62" customFormat="1" hidden="1" x14ac:dyDescent="0.25">
      <c r="A2749" s="16" t="s">
        <v>326</v>
      </c>
      <c r="B2749" s="17"/>
      <c r="C2749" s="16" t="s">
        <v>4612</v>
      </c>
      <c r="D2749" s="17" t="s">
        <v>722</v>
      </c>
      <c r="E2749" s="17" t="s">
        <v>601</v>
      </c>
      <c r="F2749" s="18" t="s">
        <v>4613</v>
      </c>
      <c r="G2749" s="49" t="s">
        <v>3051</v>
      </c>
      <c r="H2749" s="17">
        <v>11</v>
      </c>
      <c r="I2749" s="30"/>
      <c r="J2749"/>
      <c r="K2749"/>
      <c r="L2749"/>
      <c r="M2749"/>
      <c r="N2749"/>
      <c r="O2749" s="62" t="str">
        <f>IF(E2749="PA",IF(K2749&lt;&gt;"",ISERROR(VLOOKUP(K2749,ABBR!A:D,1,FALSE)),ISERROR(VLOOKUP(C2749,ABBR!A:D,1,FALSE))),"")</f>
        <v/>
      </c>
      <c r="P2749" t="str">
        <f>VLOOKUP(A2749,Groups!A:L,5,FALSE)</f>
        <v>PLTG</v>
      </c>
      <c r="Q2749" s="62" t="str">
        <f>IF(G2749="PA",IF(M2749&lt;&gt;"",ISERROR(VLOOKUP(M2749,ABBR!C:F,1,FALSE)),ISERROR(VLOOKUP(E2749,ABBR!C:F,1,FALSE))),"")</f>
        <v/>
      </c>
    </row>
    <row r="2750" spans="1:17" s="62" customFormat="1" hidden="1" x14ac:dyDescent="0.25">
      <c r="A2750" s="16" t="s">
        <v>326</v>
      </c>
      <c r="B2750" s="17"/>
      <c r="C2750" s="16" t="s">
        <v>4614</v>
      </c>
      <c r="D2750" s="17"/>
      <c r="E2750" s="17" t="s">
        <v>608</v>
      </c>
      <c r="F2750" s="18" t="s">
        <v>4477</v>
      </c>
      <c r="G2750" s="49" t="s">
        <v>16</v>
      </c>
      <c r="H2750" s="17">
        <v>12</v>
      </c>
      <c r="I2750" s="30"/>
      <c r="J2750"/>
      <c r="K2750"/>
      <c r="L2750"/>
      <c r="M2750" s="101"/>
      <c r="N2750"/>
      <c r="O2750" s="62" t="str">
        <f>IF(E2750="PA",IF(K2750&lt;&gt;"",ISERROR(VLOOKUP(K2750,ABBR!A:D,1,FALSE)),ISERROR(VLOOKUP(C2750,ABBR!A:D,1,FALSE))),"")</f>
        <v/>
      </c>
      <c r="P2750" t="str">
        <f>VLOOKUP(A2750,Groups!A:L,5,FALSE)</f>
        <v>PLTG</v>
      </c>
      <c r="Q2750" s="62" t="str">
        <f>IF(G2750="PA",IF(M2750&lt;&gt;"",ISERROR(VLOOKUP(M2750,ABBR!C:F,1,FALSE)),ISERROR(VLOOKUP(E2750,ABBR!C:F,1,FALSE))),"")</f>
        <v/>
      </c>
    </row>
    <row r="2751" spans="1:17" s="62" customFormat="1" hidden="1" x14ac:dyDescent="0.25">
      <c r="A2751" s="16" t="s">
        <v>326</v>
      </c>
      <c r="B2751" s="17"/>
      <c r="C2751" s="16" t="s">
        <v>643</v>
      </c>
      <c r="D2751" s="17"/>
      <c r="E2751" s="17" t="s">
        <v>608</v>
      </c>
      <c r="F2751" s="18" t="s">
        <v>954</v>
      </c>
      <c r="G2751" s="49" t="s">
        <v>3238</v>
      </c>
      <c r="H2751" s="17">
        <v>13</v>
      </c>
      <c r="I2751" s="30"/>
      <c r="J2751"/>
      <c r="K2751"/>
      <c r="L2751"/>
      <c r="M2751"/>
      <c r="N2751"/>
      <c r="O2751" s="62" t="str">
        <f>IF(E2751="PA",IF(K2751&lt;&gt;"",ISERROR(VLOOKUP(K2751,ABBR!A:D,1,FALSE)),ISERROR(VLOOKUP(C2751,ABBR!A:D,1,FALSE))),"")</f>
        <v/>
      </c>
      <c r="P2751" t="str">
        <f>VLOOKUP(A2751,Groups!A:L,5,FALSE)</f>
        <v>PLTG</v>
      </c>
      <c r="Q2751" s="62" t="str">
        <f>IF(G2751="PA",IF(M2751&lt;&gt;"",ISERROR(VLOOKUP(M2751,ABBR!C:F,1,FALSE)),ISERROR(VLOOKUP(E2751,ABBR!C:F,1,FALSE))),"")</f>
        <v/>
      </c>
    </row>
    <row r="2752" spans="1:17" s="62" customFormat="1" hidden="1" x14ac:dyDescent="0.25">
      <c r="A2752" s="16" t="s">
        <v>330</v>
      </c>
      <c r="B2752" s="17" t="s">
        <v>594</v>
      </c>
      <c r="C2752" s="16" t="s">
        <v>595</v>
      </c>
      <c r="D2752" s="17"/>
      <c r="E2752" s="17" t="s">
        <v>596</v>
      </c>
      <c r="F2752" s="18" t="s">
        <v>597</v>
      </c>
      <c r="G2752" s="49" t="s">
        <v>598</v>
      </c>
      <c r="H2752" s="17">
        <v>1</v>
      </c>
      <c r="I2752" s="30"/>
      <c r="J2752"/>
      <c r="K2752"/>
      <c r="L2752"/>
      <c r="M2752"/>
      <c r="N2752"/>
      <c r="O2752" s="62" t="str">
        <f>IF(E2752="PA",IF(K2752&lt;&gt;"",ISERROR(VLOOKUP(K2752,ABBR!A:D,1,FALSE)),ISERROR(VLOOKUP(C2752,ABBR!A:D,1,FALSE))),"")</f>
        <v/>
      </c>
      <c r="P2752" t="str">
        <f>VLOOKUP(A2752,Groups!A:L,5,FALSE)</f>
        <v>PMTG</v>
      </c>
      <c r="Q2752" s="62" t="str">
        <f>IF(G2752="PA",IF(M2752&lt;&gt;"",ISERROR(VLOOKUP(M2752,ABBR!C:F,1,FALSE)),ISERROR(VLOOKUP(E2752,ABBR!C:F,1,FALSE))),"")</f>
        <v/>
      </c>
    </row>
    <row r="2753" spans="1:17" s="62" customFormat="1" hidden="1" x14ac:dyDescent="0.25">
      <c r="A2753" s="16" t="s">
        <v>330</v>
      </c>
      <c r="B2753" s="17" t="s">
        <v>594</v>
      </c>
      <c r="C2753" s="16" t="s">
        <v>4615</v>
      </c>
      <c r="D2753" s="17" t="s">
        <v>600</v>
      </c>
      <c r="E2753" s="17" t="s">
        <v>601</v>
      </c>
      <c r="F2753" s="18" t="s">
        <v>3224</v>
      </c>
      <c r="G2753" s="49" t="s">
        <v>4616</v>
      </c>
      <c r="H2753" s="17">
        <v>2</v>
      </c>
      <c r="I2753" s="30"/>
      <c r="J2753"/>
      <c r="K2753"/>
      <c r="L2753"/>
      <c r="M2753"/>
      <c r="N2753"/>
      <c r="O2753" s="62" t="str">
        <f>IF(E2753="PA",IF(K2753&lt;&gt;"",ISERROR(VLOOKUP(K2753,ABBR!A:D,1,FALSE)),ISERROR(VLOOKUP(C2753,ABBR!A:D,1,FALSE))),"")</f>
        <v/>
      </c>
      <c r="P2753" t="str">
        <f>VLOOKUP(A2753,Groups!A:L,5,FALSE)</f>
        <v>PMTG</v>
      </c>
      <c r="Q2753" s="62" t="str">
        <f>IF(G2753="PA",IF(M2753&lt;&gt;"",ISERROR(VLOOKUP(M2753,ABBR!C:F,1,FALSE)),ISERROR(VLOOKUP(E2753,ABBR!C:F,1,FALSE))),"")</f>
        <v/>
      </c>
    </row>
    <row r="2754" spans="1:17" s="62" customFormat="1" hidden="1" x14ac:dyDescent="0.25">
      <c r="A2754" s="16" t="s">
        <v>330</v>
      </c>
      <c r="B2754" s="17" t="s">
        <v>594</v>
      </c>
      <c r="C2754" s="16" t="s">
        <v>4617</v>
      </c>
      <c r="D2754" s="17"/>
      <c r="E2754" s="17" t="s">
        <v>608</v>
      </c>
      <c r="F2754" s="18" t="s">
        <v>1323</v>
      </c>
      <c r="G2754" s="49" t="s">
        <v>4618</v>
      </c>
      <c r="H2754" s="17">
        <v>3</v>
      </c>
      <c r="I2754" s="30"/>
      <c r="J2754"/>
      <c r="K2754"/>
      <c r="L2754"/>
      <c r="M2754"/>
      <c r="N2754"/>
      <c r="O2754" s="62" t="str">
        <f>IF(E2754="PA",IF(K2754&lt;&gt;"",ISERROR(VLOOKUP(K2754,ABBR!A:D,1,FALSE)),ISERROR(VLOOKUP(C2754,ABBR!A:D,1,FALSE))),"")</f>
        <v/>
      </c>
      <c r="P2754" t="str">
        <f>VLOOKUP(A2754,Groups!A:L,5,FALSE)</f>
        <v>PMTG</v>
      </c>
      <c r="Q2754" s="62" t="str">
        <f>IF(G2754="PA",IF(M2754&lt;&gt;"",ISERROR(VLOOKUP(M2754,ABBR!C:F,1,FALSE)),ISERROR(VLOOKUP(E2754,ABBR!C:F,1,FALSE))),"")</f>
        <v/>
      </c>
    </row>
    <row r="2755" spans="1:17" s="62" customFormat="1" hidden="1" x14ac:dyDescent="0.25">
      <c r="A2755" s="16" t="s">
        <v>330</v>
      </c>
      <c r="B2755" s="17" t="s">
        <v>594</v>
      </c>
      <c r="C2755" s="16" t="s">
        <v>4619</v>
      </c>
      <c r="D2755" s="17"/>
      <c r="E2755" s="17" t="s">
        <v>767</v>
      </c>
      <c r="F2755" s="18" t="s">
        <v>4620</v>
      </c>
      <c r="G2755" s="49" t="s">
        <v>631</v>
      </c>
      <c r="H2755" s="17">
        <v>4</v>
      </c>
      <c r="I2755" s="30"/>
      <c r="J2755"/>
      <c r="K2755"/>
      <c r="L2755"/>
      <c r="M2755"/>
      <c r="N2755"/>
      <c r="O2755" s="62" t="str">
        <f>IF(E2755="PA",IF(K2755&lt;&gt;"",ISERROR(VLOOKUP(K2755,ABBR!A:D,1,FALSE)),ISERROR(VLOOKUP(C2755,ABBR!A:D,1,FALSE))),"")</f>
        <v/>
      </c>
      <c r="P2755" t="str">
        <f>VLOOKUP(A2755,Groups!A:L,5,FALSE)</f>
        <v>PMTG</v>
      </c>
      <c r="Q2755" s="62" t="str">
        <f>IF(G2755="PA",IF(M2755&lt;&gt;"",ISERROR(VLOOKUP(M2755,ABBR!C:F,1,FALSE)),ISERROR(VLOOKUP(E2755,ABBR!C:F,1,FALSE))),"")</f>
        <v/>
      </c>
    </row>
    <row r="2756" spans="1:17" s="62" customFormat="1" hidden="1" x14ac:dyDescent="0.25">
      <c r="A2756" s="16" t="s">
        <v>330</v>
      </c>
      <c r="B2756" s="17"/>
      <c r="C2756" s="16" t="s">
        <v>4621</v>
      </c>
      <c r="D2756" s="17" t="s">
        <v>1345</v>
      </c>
      <c r="E2756" s="17" t="s">
        <v>723</v>
      </c>
      <c r="F2756" s="18" t="s">
        <v>4622</v>
      </c>
      <c r="G2756" s="49" t="s">
        <v>4623</v>
      </c>
      <c r="H2756" s="17">
        <v>5</v>
      </c>
      <c r="I2756" s="30"/>
      <c r="J2756"/>
      <c r="K2756"/>
      <c r="L2756"/>
      <c r="M2756"/>
      <c r="N2756"/>
      <c r="O2756" s="62" t="str">
        <f>IF(E2756="PA",IF(K2756&lt;&gt;"",ISERROR(VLOOKUP(K2756,ABBR!A:D,1,FALSE)),ISERROR(VLOOKUP(C2756,ABBR!A:D,1,FALSE))),"")</f>
        <v/>
      </c>
      <c r="P2756" t="str">
        <f>VLOOKUP(A2756,Groups!A:L,5,FALSE)</f>
        <v>PMTG</v>
      </c>
      <c r="Q2756" s="62" t="str">
        <f>IF(G2756="PA",IF(M2756&lt;&gt;"",ISERROR(VLOOKUP(M2756,ABBR!C:F,1,FALSE)),ISERROR(VLOOKUP(E2756,ABBR!C:F,1,FALSE))),"")</f>
        <v/>
      </c>
    </row>
    <row r="2757" spans="1:17" s="62" customFormat="1" hidden="1" x14ac:dyDescent="0.25">
      <c r="A2757" s="16" t="s">
        <v>330</v>
      </c>
      <c r="B2757" s="17"/>
      <c r="C2757" s="16" t="s">
        <v>4624</v>
      </c>
      <c r="D2757" s="17" t="s">
        <v>1345</v>
      </c>
      <c r="E2757" s="17" t="s">
        <v>723</v>
      </c>
      <c r="F2757" s="18" t="s">
        <v>4625</v>
      </c>
      <c r="G2757" s="49" t="s">
        <v>4626</v>
      </c>
      <c r="H2757" s="17">
        <v>6</v>
      </c>
      <c r="I2757" s="30"/>
      <c r="J2757"/>
      <c r="K2757"/>
      <c r="L2757"/>
      <c r="M2757"/>
      <c r="N2757"/>
      <c r="O2757" s="62" t="str">
        <f>IF(E2757="PA",IF(K2757&lt;&gt;"",ISERROR(VLOOKUP(K2757,ABBR!A:D,1,FALSE)),ISERROR(VLOOKUP(C2757,ABBR!A:D,1,FALSE))),"")</f>
        <v/>
      </c>
      <c r="P2757" t="str">
        <f>VLOOKUP(A2757,Groups!A:L,5,FALSE)</f>
        <v>PMTG</v>
      </c>
      <c r="Q2757" s="62" t="str">
        <f>IF(G2757="PA",IF(M2757&lt;&gt;"",ISERROR(VLOOKUP(M2757,ABBR!C:F,1,FALSE)),ISERROR(VLOOKUP(E2757,ABBR!C:F,1,FALSE))),"")</f>
        <v/>
      </c>
    </row>
    <row r="2758" spans="1:17" s="62" customFormat="1" hidden="1" x14ac:dyDescent="0.25">
      <c r="A2758" s="16" t="s">
        <v>330</v>
      </c>
      <c r="B2758" s="17"/>
      <c r="C2758" s="16" t="s">
        <v>4627</v>
      </c>
      <c r="D2758" s="17" t="s">
        <v>1345</v>
      </c>
      <c r="E2758" s="17" t="s">
        <v>723</v>
      </c>
      <c r="F2758" s="18" t="s">
        <v>4628</v>
      </c>
      <c r="G2758" s="49" t="s">
        <v>4626</v>
      </c>
      <c r="H2758" s="17">
        <v>7</v>
      </c>
      <c r="I2758" s="30"/>
      <c r="J2758"/>
      <c r="K2758"/>
      <c r="L2758"/>
      <c r="M2758"/>
      <c r="N2758"/>
      <c r="O2758" s="62" t="str">
        <f>IF(E2758="PA",IF(K2758&lt;&gt;"",ISERROR(VLOOKUP(K2758,ABBR!A:D,1,FALSE)),ISERROR(VLOOKUP(C2758,ABBR!A:D,1,FALSE))),"")</f>
        <v/>
      </c>
      <c r="P2758" t="str">
        <f>VLOOKUP(A2758,Groups!A:L,5,FALSE)</f>
        <v>PMTG</v>
      </c>
      <c r="Q2758" s="62" t="str">
        <f>IF(G2758="PA",IF(M2758&lt;&gt;"",ISERROR(VLOOKUP(M2758,ABBR!C:F,1,FALSE)),ISERROR(VLOOKUP(E2758,ABBR!C:F,1,FALSE))),"")</f>
        <v/>
      </c>
    </row>
    <row r="2759" spans="1:17" s="62" customFormat="1" hidden="1" x14ac:dyDescent="0.25">
      <c r="A2759" s="16" t="s">
        <v>330</v>
      </c>
      <c r="B2759" s="17"/>
      <c r="C2759" s="16" t="s">
        <v>4629</v>
      </c>
      <c r="D2759" s="17" t="s">
        <v>4630</v>
      </c>
      <c r="E2759" s="17" t="s">
        <v>723</v>
      </c>
      <c r="F2759" s="18" t="s">
        <v>4631</v>
      </c>
      <c r="G2759" s="49" t="s">
        <v>1240</v>
      </c>
      <c r="H2759" s="17">
        <v>8</v>
      </c>
      <c r="I2759" s="30"/>
      <c r="J2759"/>
      <c r="K2759"/>
      <c r="L2759"/>
      <c r="M2759"/>
      <c r="N2759"/>
      <c r="O2759" s="62" t="str">
        <f>IF(E2759="PA",IF(K2759&lt;&gt;"",ISERROR(VLOOKUP(K2759,ABBR!A:D,1,FALSE)),ISERROR(VLOOKUP(C2759,ABBR!A:D,1,FALSE))),"")</f>
        <v/>
      </c>
      <c r="P2759" t="str">
        <f>VLOOKUP(A2759,Groups!A:L,5,FALSE)</f>
        <v>PMTG</v>
      </c>
      <c r="Q2759" s="62" t="str">
        <f>IF(G2759="PA",IF(M2759&lt;&gt;"",ISERROR(VLOOKUP(M2759,ABBR!C:F,1,FALSE)),ISERROR(VLOOKUP(E2759,ABBR!C:F,1,FALSE))),"")</f>
        <v/>
      </c>
    </row>
    <row r="2760" spans="1:17" s="62" customFormat="1" hidden="1" x14ac:dyDescent="0.25">
      <c r="A2760" s="16" t="s">
        <v>330</v>
      </c>
      <c r="B2760" s="17"/>
      <c r="C2760" s="16" t="s">
        <v>4632</v>
      </c>
      <c r="D2760" s="17"/>
      <c r="E2760" s="17" t="s">
        <v>608</v>
      </c>
      <c r="F2760" s="18" t="s">
        <v>642</v>
      </c>
      <c r="G2760" s="49" t="s">
        <v>16</v>
      </c>
      <c r="H2760" s="17">
        <v>9</v>
      </c>
      <c r="I2760" s="30"/>
      <c r="J2760"/>
      <c r="K2760"/>
      <c r="L2760"/>
      <c r="M2760" s="101"/>
      <c r="N2760"/>
      <c r="O2760" s="62" t="str">
        <f>IF(E2760="PA",IF(K2760&lt;&gt;"",ISERROR(VLOOKUP(K2760,ABBR!A:D,1,FALSE)),ISERROR(VLOOKUP(C2760,ABBR!A:D,1,FALSE))),"")</f>
        <v/>
      </c>
      <c r="P2760" t="str">
        <f>VLOOKUP(A2760,Groups!A:L,5,FALSE)</f>
        <v>PMTG</v>
      </c>
      <c r="Q2760" s="62" t="str">
        <f>IF(G2760="PA",IF(M2760&lt;&gt;"",ISERROR(VLOOKUP(M2760,ABBR!C:F,1,FALSE)),ISERROR(VLOOKUP(E2760,ABBR!C:F,1,FALSE))),"")</f>
        <v/>
      </c>
    </row>
    <row r="2761" spans="1:17" s="62" customFormat="1" hidden="1" x14ac:dyDescent="0.25">
      <c r="A2761" s="16" t="s">
        <v>330</v>
      </c>
      <c r="B2761" s="17"/>
      <c r="C2761" s="16" t="s">
        <v>643</v>
      </c>
      <c r="D2761" s="17"/>
      <c r="E2761" s="17" t="s">
        <v>608</v>
      </c>
      <c r="F2761" s="18" t="s">
        <v>954</v>
      </c>
      <c r="G2761" s="49" t="s">
        <v>3238</v>
      </c>
      <c r="H2761" s="17">
        <v>10</v>
      </c>
      <c r="I2761" s="30"/>
      <c r="J2761"/>
      <c r="K2761"/>
      <c r="L2761"/>
      <c r="M2761"/>
      <c r="N2761"/>
      <c r="O2761" s="62" t="str">
        <f>IF(E2761="PA",IF(K2761&lt;&gt;"",ISERROR(VLOOKUP(K2761,ABBR!A:D,1,FALSE)),ISERROR(VLOOKUP(C2761,ABBR!A:D,1,FALSE))),"")</f>
        <v/>
      </c>
      <c r="P2761" t="str">
        <f>VLOOKUP(A2761,Groups!A:L,5,FALSE)</f>
        <v>PMTG</v>
      </c>
      <c r="Q2761" s="62" t="str">
        <f>IF(G2761="PA",IF(M2761&lt;&gt;"",ISERROR(VLOOKUP(M2761,ABBR!C:F,1,FALSE)),ISERROR(VLOOKUP(E2761,ABBR!C:F,1,FALSE))),"")</f>
        <v/>
      </c>
    </row>
    <row r="2762" spans="1:17" s="62" customFormat="1" hidden="1" x14ac:dyDescent="0.25">
      <c r="A2762" s="16" t="s">
        <v>330</v>
      </c>
      <c r="B2762" s="17"/>
      <c r="C2762" s="16" t="s">
        <v>4633</v>
      </c>
      <c r="D2762" s="17" t="s">
        <v>722</v>
      </c>
      <c r="E2762" s="17" t="s">
        <v>1321</v>
      </c>
      <c r="F2762" s="18" t="s">
        <v>4634</v>
      </c>
      <c r="G2762" s="49" t="s">
        <v>4635</v>
      </c>
      <c r="H2762" s="17">
        <v>11</v>
      </c>
      <c r="I2762" s="30" t="s">
        <v>955</v>
      </c>
      <c r="J2762" s="80">
        <v>4.0999999999999996</v>
      </c>
      <c r="K2762"/>
      <c r="L2762"/>
      <c r="M2762"/>
      <c r="N2762"/>
      <c r="O2762" s="62" t="str">
        <f>IF(E2762="PA",IF(K2762&lt;&gt;"",ISERROR(VLOOKUP(K2762,ABBR!A:D,1,FALSE)),ISERROR(VLOOKUP(C2762,ABBR!A:D,1,FALSE))),"")</f>
        <v/>
      </c>
      <c r="P2762" t="str">
        <f>VLOOKUP(A2762,Groups!A:L,5,FALSE)</f>
        <v>PMTG</v>
      </c>
      <c r="Q2762" s="62" t="str">
        <f>IF(G2762="PA",IF(M2762&lt;&gt;"",ISERROR(VLOOKUP(M2762,ABBR!C:F,1,FALSE)),ISERROR(VLOOKUP(E2762,ABBR!C:F,1,FALSE))),"")</f>
        <v/>
      </c>
    </row>
    <row r="2763" spans="1:17" s="62" customFormat="1" hidden="1" x14ac:dyDescent="0.25">
      <c r="A2763" s="16" t="s">
        <v>330</v>
      </c>
      <c r="B2763" s="17"/>
      <c r="C2763" s="16" t="s">
        <v>4636</v>
      </c>
      <c r="D2763" s="17" t="s">
        <v>722</v>
      </c>
      <c r="E2763" s="17" t="s">
        <v>1321</v>
      </c>
      <c r="F2763" s="18" t="s">
        <v>4637</v>
      </c>
      <c r="G2763" s="49" t="s">
        <v>4638</v>
      </c>
      <c r="H2763" s="17">
        <v>12</v>
      </c>
      <c r="I2763" s="30" t="s">
        <v>955</v>
      </c>
      <c r="J2763" s="80">
        <v>4.0999999999999996</v>
      </c>
      <c r="K2763"/>
      <c r="L2763"/>
      <c r="M2763"/>
      <c r="N2763"/>
      <c r="O2763" s="62" t="str">
        <f>IF(E2763="PA",IF(K2763&lt;&gt;"",ISERROR(VLOOKUP(K2763,ABBR!A:D,1,FALSE)),ISERROR(VLOOKUP(C2763,ABBR!A:D,1,FALSE))),"")</f>
        <v/>
      </c>
      <c r="P2763" t="str">
        <f>VLOOKUP(A2763,Groups!A:L,5,FALSE)</f>
        <v>PMTG</v>
      </c>
      <c r="Q2763" s="62" t="str">
        <f>IF(G2763="PA",IF(M2763&lt;&gt;"",ISERROR(VLOOKUP(M2763,ABBR!C:F,1,FALSE)),ISERROR(VLOOKUP(E2763,ABBR!C:F,1,FALSE))),"")</f>
        <v/>
      </c>
    </row>
    <row r="2764" spans="1:17" s="62" customFormat="1" hidden="1" x14ac:dyDescent="0.25">
      <c r="A2764" s="16" t="s">
        <v>330</v>
      </c>
      <c r="B2764" s="17"/>
      <c r="C2764" s="16" t="s">
        <v>4639</v>
      </c>
      <c r="D2764" s="17" t="s">
        <v>722</v>
      </c>
      <c r="E2764" s="17" t="s">
        <v>1321</v>
      </c>
      <c r="F2764" s="18" t="s">
        <v>4640</v>
      </c>
      <c r="G2764" s="49" t="s">
        <v>4641</v>
      </c>
      <c r="H2764" s="17">
        <v>13</v>
      </c>
      <c r="I2764" s="30" t="s">
        <v>955</v>
      </c>
      <c r="J2764" s="80">
        <v>4.0999999999999996</v>
      </c>
      <c r="K2764"/>
      <c r="L2764"/>
      <c r="M2764"/>
      <c r="N2764"/>
      <c r="O2764" s="62" t="str">
        <f>IF(E2764="PA",IF(K2764&lt;&gt;"",ISERROR(VLOOKUP(K2764,ABBR!A:D,1,FALSE)),ISERROR(VLOOKUP(C2764,ABBR!A:D,1,FALSE))),"")</f>
        <v/>
      </c>
      <c r="P2764" t="str">
        <f>VLOOKUP(A2764,Groups!A:L,5,FALSE)</f>
        <v>PMTG</v>
      </c>
      <c r="Q2764" s="62" t="str">
        <f>IF(G2764="PA",IF(M2764&lt;&gt;"",ISERROR(VLOOKUP(M2764,ABBR!C:F,1,FALSE)),ISERROR(VLOOKUP(E2764,ABBR!C:F,1,FALSE))),"")</f>
        <v/>
      </c>
    </row>
    <row r="2765" spans="1:17" s="62" customFormat="1" hidden="1" x14ac:dyDescent="0.25">
      <c r="A2765" s="16" t="s">
        <v>330</v>
      </c>
      <c r="B2765" s="17"/>
      <c r="C2765" s="16" t="s">
        <v>4642</v>
      </c>
      <c r="D2765" s="17" t="s">
        <v>722</v>
      </c>
      <c r="E2765" s="17" t="s">
        <v>1321</v>
      </c>
      <c r="F2765" s="18" t="s">
        <v>4643</v>
      </c>
      <c r="G2765" s="49" t="s">
        <v>4644</v>
      </c>
      <c r="H2765" s="17">
        <v>14</v>
      </c>
      <c r="I2765" s="30" t="s">
        <v>955</v>
      </c>
      <c r="J2765" s="80">
        <v>4.0999999999999996</v>
      </c>
      <c r="K2765"/>
      <c r="L2765"/>
      <c r="M2765"/>
      <c r="N2765"/>
      <c r="O2765" s="62" t="str">
        <f>IF(E2765="PA",IF(K2765&lt;&gt;"",ISERROR(VLOOKUP(K2765,ABBR!A:D,1,FALSE)),ISERROR(VLOOKUP(C2765,ABBR!A:D,1,FALSE))),"")</f>
        <v/>
      </c>
      <c r="P2765" t="str">
        <f>VLOOKUP(A2765,Groups!A:L,5,FALSE)</f>
        <v>PMTG</v>
      </c>
      <c r="Q2765" s="62" t="str">
        <f>IF(G2765="PA",IF(M2765&lt;&gt;"",ISERROR(VLOOKUP(M2765,ABBR!C:F,1,FALSE)),ISERROR(VLOOKUP(E2765,ABBR!C:F,1,FALSE))),"")</f>
        <v/>
      </c>
    </row>
    <row r="2766" spans="1:17" s="62" customFormat="1" hidden="1" x14ac:dyDescent="0.25">
      <c r="A2766" s="16" t="s">
        <v>330</v>
      </c>
      <c r="B2766" s="17"/>
      <c r="C2766" s="16" t="s">
        <v>4645</v>
      </c>
      <c r="D2766" s="17" t="s">
        <v>722</v>
      </c>
      <c r="E2766" s="17" t="s">
        <v>1321</v>
      </c>
      <c r="F2766" s="18" t="s">
        <v>4646</v>
      </c>
      <c r="G2766" s="49" t="s">
        <v>4647</v>
      </c>
      <c r="H2766" s="17">
        <v>15</v>
      </c>
      <c r="I2766" s="30" t="s">
        <v>955</v>
      </c>
      <c r="J2766" s="80">
        <v>4.0999999999999996</v>
      </c>
      <c r="K2766"/>
      <c r="L2766"/>
      <c r="M2766"/>
      <c r="N2766"/>
      <c r="O2766" s="62" t="str">
        <f>IF(E2766="PA",IF(K2766&lt;&gt;"",ISERROR(VLOOKUP(K2766,ABBR!A:D,1,FALSE)),ISERROR(VLOOKUP(C2766,ABBR!A:D,1,FALSE))),"")</f>
        <v/>
      </c>
      <c r="P2766" t="str">
        <f>VLOOKUP(A2766,Groups!A:L,5,FALSE)</f>
        <v>PMTG</v>
      </c>
      <c r="Q2766" s="62" t="str">
        <f>IF(G2766="PA",IF(M2766&lt;&gt;"",ISERROR(VLOOKUP(M2766,ABBR!C:F,1,FALSE)),ISERROR(VLOOKUP(E2766,ABBR!C:F,1,FALSE))),"")</f>
        <v/>
      </c>
    </row>
    <row r="2767" spans="1:17" s="62" customFormat="1" hidden="1" x14ac:dyDescent="0.25">
      <c r="A2767" s="16" t="s">
        <v>330</v>
      </c>
      <c r="B2767" s="17"/>
      <c r="C2767" s="16" t="s">
        <v>4648</v>
      </c>
      <c r="D2767" s="17" t="s">
        <v>722</v>
      </c>
      <c r="E2767" s="17" t="s">
        <v>1321</v>
      </c>
      <c r="F2767" s="18" t="s">
        <v>4649</v>
      </c>
      <c r="G2767" s="49" t="s">
        <v>4650</v>
      </c>
      <c r="H2767" s="17">
        <v>16</v>
      </c>
      <c r="I2767" s="30" t="s">
        <v>955</v>
      </c>
      <c r="J2767" s="80">
        <v>4.0999999999999996</v>
      </c>
      <c r="K2767"/>
      <c r="L2767"/>
      <c r="M2767"/>
      <c r="N2767"/>
      <c r="O2767" s="62" t="str">
        <f>IF(E2767="PA",IF(K2767&lt;&gt;"",ISERROR(VLOOKUP(K2767,ABBR!A:D,1,FALSE)),ISERROR(VLOOKUP(C2767,ABBR!A:D,1,FALSE))),"")</f>
        <v/>
      </c>
      <c r="P2767" t="str">
        <f>VLOOKUP(A2767,Groups!A:L,5,FALSE)</f>
        <v>PMTG</v>
      </c>
      <c r="Q2767" s="62" t="str">
        <f>IF(G2767="PA",IF(M2767&lt;&gt;"",ISERROR(VLOOKUP(M2767,ABBR!C:F,1,FALSE)),ISERROR(VLOOKUP(E2767,ABBR!C:F,1,FALSE))),"")</f>
        <v/>
      </c>
    </row>
    <row r="2768" spans="1:17" s="62" customFormat="1" hidden="1" x14ac:dyDescent="0.25">
      <c r="A2768" s="16" t="s">
        <v>330</v>
      </c>
      <c r="B2768" s="17"/>
      <c r="C2768" s="16" t="s">
        <v>4651</v>
      </c>
      <c r="D2768" s="17" t="s">
        <v>722</v>
      </c>
      <c r="E2768" s="17" t="s">
        <v>1321</v>
      </c>
      <c r="F2768" s="18" t="s">
        <v>4652</v>
      </c>
      <c r="G2768" s="49" t="s">
        <v>4653</v>
      </c>
      <c r="H2768" s="17">
        <v>17</v>
      </c>
      <c r="I2768" s="30" t="s">
        <v>955</v>
      </c>
      <c r="J2768" s="80">
        <v>4.0999999999999996</v>
      </c>
      <c r="K2768"/>
      <c r="L2768"/>
      <c r="M2768"/>
      <c r="N2768"/>
      <c r="O2768" s="62" t="str">
        <f>IF(E2768="PA",IF(K2768&lt;&gt;"",ISERROR(VLOOKUP(K2768,ABBR!A:D,1,FALSE)),ISERROR(VLOOKUP(C2768,ABBR!A:D,1,FALSE))),"")</f>
        <v/>
      </c>
      <c r="P2768" t="str">
        <f>VLOOKUP(A2768,Groups!A:L,5,FALSE)</f>
        <v>PMTG</v>
      </c>
      <c r="Q2768" s="62" t="str">
        <f>IF(G2768="PA",IF(M2768&lt;&gt;"",ISERROR(VLOOKUP(M2768,ABBR!C:F,1,FALSE)),ISERROR(VLOOKUP(E2768,ABBR!C:F,1,FALSE))),"")</f>
        <v/>
      </c>
    </row>
    <row r="2769" spans="1:17" s="62" customFormat="1" hidden="1" x14ac:dyDescent="0.25">
      <c r="A2769" s="16" t="s">
        <v>330</v>
      </c>
      <c r="B2769" s="17"/>
      <c r="C2769" s="16" t="s">
        <v>4654</v>
      </c>
      <c r="D2769" s="17" t="s">
        <v>722</v>
      </c>
      <c r="E2769" s="17" t="s">
        <v>1321</v>
      </c>
      <c r="F2769" s="18" t="s">
        <v>4655</v>
      </c>
      <c r="G2769" s="49" t="s">
        <v>4656</v>
      </c>
      <c r="H2769" s="17">
        <v>18</v>
      </c>
      <c r="I2769" s="30" t="s">
        <v>955</v>
      </c>
      <c r="J2769" s="80">
        <v>4.0999999999999996</v>
      </c>
      <c r="K2769"/>
      <c r="L2769"/>
      <c r="M2769"/>
      <c r="N2769"/>
      <c r="O2769" s="62" t="str">
        <f>IF(E2769="PA",IF(K2769&lt;&gt;"",ISERROR(VLOOKUP(K2769,ABBR!A:D,1,FALSE)),ISERROR(VLOOKUP(C2769,ABBR!A:D,1,FALSE))),"")</f>
        <v/>
      </c>
      <c r="P2769" t="str">
        <f>VLOOKUP(A2769,Groups!A:L,5,FALSE)</f>
        <v>PMTG</v>
      </c>
      <c r="Q2769" s="62" t="str">
        <f>IF(G2769="PA",IF(M2769&lt;&gt;"",ISERROR(VLOOKUP(M2769,ABBR!C:F,1,FALSE)),ISERROR(VLOOKUP(E2769,ABBR!C:F,1,FALSE))),"")</f>
        <v/>
      </c>
    </row>
    <row r="2770" spans="1:17" s="62" customFormat="1" hidden="1" x14ac:dyDescent="0.25">
      <c r="A2770" s="16" t="s">
        <v>330</v>
      </c>
      <c r="B2770" s="17"/>
      <c r="C2770" s="16" t="s">
        <v>4657</v>
      </c>
      <c r="D2770" s="17" t="s">
        <v>722</v>
      </c>
      <c r="E2770" s="17" t="s">
        <v>1321</v>
      </c>
      <c r="F2770" s="18" t="s">
        <v>4658</v>
      </c>
      <c r="G2770" s="49" t="s">
        <v>4659</v>
      </c>
      <c r="H2770" s="17">
        <v>19</v>
      </c>
      <c r="I2770" s="30" t="s">
        <v>955</v>
      </c>
      <c r="J2770" s="80">
        <v>4.0999999999999996</v>
      </c>
      <c r="K2770"/>
      <c r="L2770"/>
      <c r="M2770"/>
      <c r="N2770"/>
      <c r="O2770" s="62" t="str">
        <f>IF(E2770="PA",IF(K2770&lt;&gt;"",ISERROR(VLOOKUP(K2770,ABBR!A:D,1,FALSE)),ISERROR(VLOOKUP(C2770,ABBR!A:D,1,FALSE))),"")</f>
        <v/>
      </c>
      <c r="P2770" t="str">
        <f>VLOOKUP(A2770,Groups!A:L,5,FALSE)</f>
        <v>PMTG</v>
      </c>
      <c r="Q2770" s="62" t="str">
        <f>IF(G2770="PA",IF(M2770&lt;&gt;"",ISERROR(VLOOKUP(M2770,ABBR!C:F,1,FALSE)),ISERROR(VLOOKUP(E2770,ABBR!C:F,1,FALSE))),"")</f>
        <v/>
      </c>
    </row>
    <row r="2771" spans="1:17" s="62" customFormat="1" hidden="1" x14ac:dyDescent="0.25">
      <c r="A2771" s="16" t="s">
        <v>330</v>
      </c>
      <c r="B2771" s="17"/>
      <c r="C2771" s="16" t="s">
        <v>4660</v>
      </c>
      <c r="D2771" s="17" t="s">
        <v>722</v>
      </c>
      <c r="E2771" s="17" t="s">
        <v>1321</v>
      </c>
      <c r="F2771" s="18" t="s">
        <v>4661</v>
      </c>
      <c r="G2771" s="49" t="s">
        <v>4653</v>
      </c>
      <c r="H2771" s="17">
        <v>20</v>
      </c>
      <c r="I2771" s="30" t="s">
        <v>955</v>
      </c>
      <c r="J2771" s="80">
        <v>4.0999999999999996</v>
      </c>
      <c r="K2771"/>
      <c r="L2771"/>
      <c r="M2771"/>
      <c r="N2771"/>
      <c r="O2771" s="62" t="str">
        <f>IF(E2771="PA",IF(K2771&lt;&gt;"",ISERROR(VLOOKUP(K2771,ABBR!A:D,1,FALSE)),ISERROR(VLOOKUP(C2771,ABBR!A:D,1,FALSE))),"")</f>
        <v/>
      </c>
      <c r="P2771" t="str">
        <f>VLOOKUP(A2771,Groups!A:L,5,FALSE)</f>
        <v>PMTG</v>
      </c>
      <c r="Q2771" s="62" t="str">
        <f>IF(G2771="PA",IF(M2771&lt;&gt;"",ISERROR(VLOOKUP(M2771,ABBR!C:F,1,FALSE)),ISERROR(VLOOKUP(E2771,ABBR!C:F,1,FALSE))),"")</f>
        <v/>
      </c>
    </row>
    <row r="2772" spans="1:17" s="62" customFormat="1" hidden="1" x14ac:dyDescent="0.25">
      <c r="A2772" s="16" t="s">
        <v>332</v>
      </c>
      <c r="B2772" s="17" t="s">
        <v>594</v>
      </c>
      <c r="C2772" s="16" t="s">
        <v>595</v>
      </c>
      <c r="D2772" s="17"/>
      <c r="E2772" s="17" t="s">
        <v>596</v>
      </c>
      <c r="F2772" s="18" t="s">
        <v>597</v>
      </c>
      <c r="G2772" s="49" t="s">
        <v>598</v>
      </c>
      <c r="H2772" s="17">
        <v>1</v>
      </c>
      <c r="I2772" s="30"/>
      <c r="J2772"/>
      <c r="K2772"/>
      <c r="L2772"/>
      <c r="M2772"/>
      <c r="N2772"/>
      <c r="O2772" s="62" t="str">
        <f>IF(E2772="PA",IF(K2772&lt;&gt;"",ISERROR(VLOOKUP(K2772,ABBR!A:D,1,FALSE)),ISERROR(VLOOKUP(C2772,ABBR!A:D,1,FALSE))),"")</f>
        <v/>
      </c>
      <c r="P2772" t="str">
        <f>VLOOKUP(A2772,Groups!A:L,5,FALSE)</f>
        <v>LOCA</v>
      </c>
      <c r="Q2772" s="62" t="str">
        <f>IF(G2772="PA",IF(M2772&lt;&gt;"",ISERROR(VLOOKUP(M2772,ABBR!C:F,1,FALSE)),ISERROR(VLOOKUP(E2772,ABBR!C:F,1,FALSE))),"")</f>
        <v/>
      </c>
    </row>
    <row r="2773" spans="1:17" s="62" customFormat="1" hidden="1" x14ac:dyDescent="0.25">
      <c r="A2773" s="16" t="s">
        <v>332</v>
      </c>
      <c r="B2773" s="17" t="s">
        <v>594</v>
      </c>
      <c r="C2773" s="16" t="s">
        <v>4615</v>
      </c>
      <c r="D2773" s="17" t="s">
        <v>600</v>
      </c>
      <c r="E2773" s="17" t="s">
        <v>601</v>
      </c>
      <c r="F2773" s="18" t="s">
        <v>3224</v>
      </c>
      <c r="G2773" s="49" t="s">
        <v>4616</v>
      </c>
      <c r="H2773" s="17">
        <v>2</v>
      </c>
      <c r="I2773" s="30"/>
      <c r="J2773"/>
      <c r="K2773"/>
      <c r="L2773"/>
      <c r="M2773"/>
      <c r="N2773"/>
      <c r="O2773" s="62" t="str">
        <f>IF(E2773="PA",IF(K2773&lt;&gt;"",ISERROR(VLOOKUP(K2773,ABBR!A:D,1,FALSE)),ISERROR(VLOOKUP(C2773,ABBR!A:D,1,FALSE))),"")</f>
        <v/>
      </c>
      <c r="P2773" t="str">
        <f>VLOOKUP(A2773,Groups!A:L,5,FALSE)</f>
        <v>LOCA</v>
      </c>
      <c r="Q2773" s="62" t="str">
        <f>IF(G2773="PA",IF(M2773&lt;&gt;"",ISERROR(VLOOKUP(M2773,ABBR!C:F,1,FALSE)),ISERROR(VLOOKUP(E2773,ABBR!C:F,1,FALSE))),"")</f>
        <v/>
      </c>
    </row>
    <row r="2774" spans="1:17" s="62" customFormat="1" hidden="1" x14ac:dyDescent="0.25">
      <c r="A2774" s="16" t="s">
        <v>332</v>
      </c>
      <c r="B2774" s="17" t="s">
        <v>594</v>
      </c>
      <c r="C2774" s="16" t="s">
        <v>4617</v>
      </c>
      <c r="D2774" s="17"/>
      <c r="E2774" s="17" t="s">
        <v>608</v>
      </c>
      <c r="F2774" s="18" t="s">
        <v>1323</v>
      </c>
      <c r="G2774" s="49" t="s">
        <v>4618</v>
      </c>
      <c r="H2774" s="17">
        <v>3</v>
      </c>
      <c r="I2774" s="30"/>
      <c r="J2774"/>
      <c r="K2774"/>
      <c r="L2774"/>
      <c r="M2774"/>
      <c r="N2774"/>
      <c r="O2774" s="62" t="str">
        <f>IF(E2774="PA",IF(K2774&lt;&gt;"",ISERROR(VLOOKUP(K2774,ABBR!A:D,1,FALSE)),ISERROR(VLOOKUP(C2774,ABBR!A:D,1,FALSE))),"")</f>
        <v/>
      </c>
      <c r="P2774" t="str">
        <f>VLOOKUP(A2774,Groups!A:L,5,FALSE)</f>
        <v>LOCA</v>
      </c>
      <c r="Q2774" s="62" t="str">
        <f>IF(G2774="PA",IF(M2774&lt;&gt;"",ISERROR(VLOOKUP(M2774,ABBR!C:F,1,FALSE)),ISERROR(VLOOKUP(E2774,ABBR!C:F,1,FALSE))),"")</f>
        <v/>
      </c>
    </row>
    <row r="2775" spans="1:17" s="62" customFormat="1" hidden="1" x14ac:dyDescent="0.25">
      <c r="A2775" s="16" t="s">
        <v>332</v>
      </c>
      <c r="B2775" s="17"/>
      <c r="C2775" s="16" t="s">
        <v>4662</v>
      </c>
      <c r="D2775" s="17" t="s">
        <v>924</v>
      </c>
      <c r="E2775" s="17" t="s">
        <v>925</v>
      </c>
      <c r="F2775" s="18" t="s">
        <v>4338</v>
      </c>
      <c r="G2775" s="49" t="s">
        <v>4663</v>
      </c>
      <c r="H2775" s="17">
        <v>4</v>
      </c>
      <c r="I2775" s="30"/>
      <c r="J2775"/>
      <c r="K2775"/>
      <c r="L2775"/>
      <c r="M2775"/>
      <c r="N2775"/>
      <c r="O2775" s="62" t="str">
        <f>IF(E2775="PA",IF(K2775&lt;&gt;"",ISERROR(VLOOKUP(K2775,ABBR!A:D,1,FALSE)),ISERROR(VLOOKUP(C2775,ABBR!A:D,1,FALSE))),"")</f>
        <v/>
      </c>
      <c r="P2775" t="str">
        <f>VLOOKUP(A2775,Groups!A:L,5,FALSE)</f>
        <v>LOCA</v>
      </c>
      <c r="Q2775" s="62" t="str">
        <f>IF(G2775="PA",IF(M2775&lt;&gt;"",ISERROR(VLOOKUP(M2775,ABBR!C:F,1,FALSE)),ISERROR(VLOOKUP(E2775,ABBR!C:F,1,FALSE))),"")</f>
        <v/>
      </c>
    </row>
    <row r="2776" spans="1:17" s="62" customFormat="1" hidden="1" x14ac:dyDescent="0.25">
      <c r="A2776" s="16" t="s">
        <v>332</v>
      </c>
      <c r="B2776" s="17"/>
      <c r="C2776" s="16" t="s">
        <v>4664</v>
      </c>
      <c r="D2776" s="17" t="s">
        <v>600</v>
      </c>
      <c r="E2776" s="17" t="s">
        <v>601</v>
      </c>
      <c r="F2776" s="18" t="s">
        <v>4665</v>
      </c>
      <c r="G2776" s="49" t="s">
        <v>4666</v>
      </c>
      <c r="H2776" s="17">
        <v>5</v>
      </c>
      <c r="I2776" s="30"/>
      <c r="J2776"/>
      <c r="K2776"/>
      <c r="L2776"/>
      <c r="M2776"/>
      <c r="N2776"/>
      <c r="O2776" s="62" t="str">
        <f>IF(E2776="PA",IF(K2776&lt;&gt;"",ISERROR(VLOOKUP(K2776,ABBR!A:D,1,FALSE)),ISERROR(VLOOKUP(C2776,ABBR!A:D,1,FALSE))),"")</f>
        <v/>
      </c>
      <c r="P2776" t="str">
        <f>VLOOKUP(A2776,Groups!A:L,5,FALSE)</f>
        <v>LOCA</v>
      </c>
      <c r="Q2776" s="62" t="str">
        <f>IF(G2776="PA",IF(M2776&lt;&gt;"",ISERROR(VLOOKUP(M2776,ABBR!C:F,1,FALSE)),ISERROR(VLOOKUP(E2776,ABBR!C:F,1,FALSE))),"")</f>
        <v/>
      </c>
    </row>
    <row r="2777" spans="1:17" s="62" customFormat="1" hidden="1" x14ac:dyDescent="0.25">
      <c r="A2777" s="16" t="s">
        <v>332</v>
      </c>
      <c r="B2777" s="17"/>
      <c r="C2777" s="16" t="s">
        <v>4667</v>
      </c>
      <c r="D2777" s="17"/>
      <c r="E2777" s="17" t="s">
        <v>608</v>
      </c>
      <c r="F2777" s="18" t="s">
        <v>2149</v>
      </c>
      <c r="G2777" s="49" t="s">
        <v>4668</v>
      </c>
      <c r="H2777" s="17">
        <v>6</v>
      </c>
      <c r="I2777" s="30"/>
      <c r="J2777"/>
      <c r="K2777"/>
      <c r="L2777"/>
      <c r="M2777"/>
      <c r="N2777"/>
      <c r="O2777" s="62" t="str">
        <f>IF(E2777="PA",IF(K2777&lt;&gt;"",ISERROR(VLOOKUP(K2777,ABBR!A:D,1,FALSE)),ISERROR(VLOOKUP(C2777,ABBR!A:D,1,FALSE))),"")</f>
        <v/>
      </c>
      <c r="P2777" t="str">
        <f>VLOOKUP(A2777,Groups!A:L,5,FALSE)</f>
        <v>LOCA</v>
      </c>
      <c r="Q2777" s="62" t="str">
        <f>IF(G2777="PA",IF(M2777&lt;&gt;"",ISERROR(VLOOKUP(M2777,ABBR!C:F,1,FALSE)),ISERROR(VLOOKUP(E2777,ABBR!C:F,1,FALSE))),"")</f>
        <v/>
      </c>
    </row>
    <row r="2778" spans="1:17" s="62" customFormat="1" hidden="1" x14ac:dyDescent="0.25">
      <c r="A2778" s="16" t="s">
        <v>332</v>
      </c>
      <c r="B2778" s="17"/>
      <c r="C2778" s="16" t="s">
        <v>4669</v>
      </c>
      <c r="D2778" s="17"/>
      <c r="E2778" s="17" t="s">
        <v>608</v>
      </c>
      <c r="F2778" s="18" t="s">
        <v>4670</v>
      </c>
      <c r="G2778" s="49" t="s">
        <v>4671</v>
      </c>
      <c r="H2778" s="17">
        <v>7</v>
      </c>
      <c r="I2778" s="30"/>
      <c r="J2778"/>
      <c r="K2778"/>
      <c r="L2778"/>
      <c r="M2778"/>
      <c r="N2778"/>
      <c r="O2778" s="62" t="str">
        <f>IF(E2778="PA",IF(K2778&lt;&gt;"",ISERROR(VLOOKUP(K2778,ABBR!A:D,1,FALSE)),ISERROR(VLOOKUP(C2778,ABBR!A:D,1,FALSE))),"")</f>
        <v/>
      </c>
      <c r="P2778" t="str">
        <f>VLOOKUP(A2778,Groups!A:L,5,FALSE)</f>
        <v>LOCA</v>
      </c>
      <c r="Q2778" s="62" t="str">
        <f>IF(G2778="PA",IF(M2778&lt;&gt;"",ISERROR(VLOOKUP(M2778,ABBR!C:F,1,FALSE)),ISERROR(VLOOKUP(E2778,ABBR!C:F,1,FALSE))),"")</f>
        <v/>
      </c>
    </row>
    <row r="2779" spans="1:17" s="62" customFormat="1" hidden="1" x14ac:dyDescent="0.25">
      <c r="A2779" s="16" t="s">
        <v>332</v>
      </c>
      <c r="B2779" s="17"/>
      <c r="C2779" s="16" t="s">
        <v>4672</v>
      </c>
      <c r="D2779" s="17"/>
      <c r="E2779" s="17" t="s">
        <v>608</v>
      </c>
      <c r="F2779" s="18" t="s">
        <v>4673</v>
      </c>
      <c r="G2779" s="49" t="s">
        <v>4674</v>
      </c>
      <c r="H2779" s="17">
        <v>8</v>
      </c>
      <c r="I2779" s="30"/>
      <c r="J2779"/>
      <c r="K2779"/>
      <c r="L2779"/>
      <c r="M2779"/>
      <c r="N2779"/>
      <c r="O2779" s="62" t="str">
        <f>IF(E2779="PA",IF(K2779&lt;&gt;"",ISERROR(VLOOKUP(K2779,ABBR!A:D,1,FALSE)),ISERROR(VLOOKUP(C2779,ABBR!A:D,1,FALSE))),"")</f>
        <v/>
      </c>
      <c r="P2779" t="str">
        <f>VLOOKUP(A2779,Groups!A:L,5,FALSE)</f>
        <v>LOCA</v>
      </c>
      <c r="Q2779" s="62" t="str">
        <f>IF(G2779="PA",IF(M2779&lt;&gt;"",ISERROR(VLOOKUP(M2779,ABBR!C:F,1,FALSE)),ISERROR(VLOOKUP(E2779,ABBR!C:F,1,FALSE))),"")</f>
        <v/>
      </c>
    </row>
    <row r="2780" spans="1:17" s="62" customFormat="1" hidden="1" x14ac:dyDescent="0.25">
      <c r="A2780" s="16" t="s">
        <v>332</v>
      </c>
      <c r="B2780" s="17"/>
      <c r="C2780" s="16" t="s">
        <v>4675</v>
      </c>
      <c r="D2780" s="17"/>
      <c r="E2780" s="17" t="s">
        <v>618</v>
      </c>
      <c r="F2780" s="18" t="s">
        <v>4676</v>
      </c>
      <c r="G2780" s="49" t="s">
        <v>4677</v>
      </c>
      <c r="H2780" s="17">
        <v>9</v>
      </c>
      <c r="I2780" s="30"/>
      <c r="J2780"/>
      <c r="K2780"/>
      <c r="L2780"/>
      <c r="M2780"/>
      <c r="N2780"/>
      <c r="O2780" s="62" t="b">
        <f>IF(E2780="PA",IF(K2780&lt;&gt;"",ISERROR(VLOOKUP(K2780,ABBR!A:D,1,FALSE)),ISERROR(VLOOKUP(C2780,ABBR!A:D,1,FALSE))),"")</f>
        <v>0</v>
      </c>
      <c r="P2780" t="str">
        <f>VLOOKUP(A2780,Groups!A:L,5,FALSE)</f>
        <v>LOCA</v>
      </c>
      <c r="Q2780" s="62" t="str">
        <f>IF(G2780="PA",IF(M2780&lt;&gt;"",ISERROR(VLOOKUP(M2780,ABBR!C:F,1,FALSE)),ISERROR(VLOOKUP(E2780,ABBR!C:F,1,FALSE))),"")</f>
        <v/>
      </c>
    </row>
    <row r="2781" spans="1:17" s="62" customFormat="1" hidden="1" x14ac:dyDescent="0.25">
      <c r="A2781" s="16" t="s">
        <v>332</v>
      </c>
      <c r="B2781" s="17"/>
      <c r="C2781" s="16" t="s">
        <v>4678</v>
      </c>
      <c r="D2781" s="17" t="s">
        <v>722</v>
      </c>
      <c r="E2781" s="17" t="s">
        <v>601</v>
      </c>
      <c r="F2781" s="18" t="s">
        <v>4679</v>
      </c>
      <c r="G2781" s="49" t="s">
        <v>4680</v>
      </c>
      <c r="H2781" s="17">
        <v>10</v>
      </c>
      <c r="I2781" s="30"/>
      <c r="J2781"/>
      <c r="K2781"/>
      <c r="L2781"/>
      <c r="M2781"/>
      <c r="N2781"/>
      <c r="O2781" s="62" t="str">
        <f>IF(E2781="PA",IF(K2781&lt;&gt;"",ISERROR(VLOOKUP(K2781,ABBR!A:D,1,FALSE)),ISERROR(VLOOKUP(C2781,ABBR!A:D,1,FALSE))),"")</f>
        <v/>
      </c>
      <c r="P2781" t="str">
        <f>VLOOKUP(A2781,Groups!A:L,5,FALSE)</f>
        <v>LOCA</v>
      </c>
      <c r="Q2781" s="62" t="str">
        <f>IF(G2781="PA",IF(M2781&lt;&gt;"",ISERROR(VLOOKUP(M2781,ABBR!C:F,1,FALSE)),ISERROR(VLOOKUP(E2781,ABBR!C:F,1,FALSE))),"")</f>
        <v/>
      </c>
    </row>
    <row r="2782" spans="1:17" s="62" customFormat="1" hidden="1" x14ac:dyDescent="0.25">
      <c r="A2782" s="16" t="s">
        <v>332</v>
      </c>
      <c r="B2782" s="17"/>
      <c r="C2782" s="16" t="s">
        <v>4681</v>
      </c>
      <c r="D2782" s="17" t="s">
        <v>1345</v>
      </c>
      <c r="E2782" s="17" t="s">
        <v>767</v>
      </c>
      <c r="F2782" s="18" t="s">
        <v>4682</v>
      </c>
      <c r="G2782" s="49" t="s">
        <v>4683</v>
      </c>
      <c r="H2782" s="17">
        <v>11</v>
      </c>
      <c r="I2782" s="30"/>
      <c r="J2782"/>
      <c r="K2782"/>
      <c r="L2782"/>
      <c r="M2782"/>
      <c r="N2782"/>
      <c r="O2782" s="62" t="str">
        <f>IF(E2782="PA",IF(K2782&lt;&gt;"",ISERROR(VLOOKUP(K2782,ABBR!A:D,1,FALSE)),ISERROR(VLOOKUP(C2782,ABBR!A:D,1,FALSE))),"")</f>
        <v/>
      </c>
      <c r="P2782" t="str">
        <f>VLOOKUP(A2782,Groups!A:L,5,FALSE)</f>
        <v>LOCA</v>
      </c>
      <c r="Q2782" s="62" t="str">
        <f>IF(G2782="PA",IF(M2782&lt;&gt;"",ISERROR(VLOOKUP(M2782,ABBR!C:F,1,FALSE)),ISERROR(VLOOKUP(E2782,ABBR!C:F,1,FALSE))),"")</f>
        <v/>
      </c>
    </row>
    <row r="2783" spans="1:17" s="62" customFormat="1" hidden="1" x14ac:dyDescent="0.25">
      <c r="A2783" s="16" t="s">
        <v>332</v>
      </c>
      <c r="B2783" s="17"/>
      <c r="C2783" s="16" t="s">
        <v>4684</v>
      </c>
      <c r="D2783" s="17" t="s">
        <v>1710</v>
      </c>
      <c r="E2783" s="17" t="s">
        <v>767</v>
      </c>
      <c r="F2783" s="18" t="s">
        <v>4685</v>
      </c>
      <c r="G2783" s="49" t="s">
        <v>2786</v>
      </c>
      <c r="H2783" s="17">
        <v>12</v>
      </c>
      <c r="I2783" s="30"/>
      <c r="J2783"/>
      <c r="K2783"/>
      <c r="L2783"/>
      <c r="M2783"/>
      <c r="N2783"/>
      <c r="O2783" s="62" t="str">
        <f>IF(E2783="PA",IF(K2783&lt;&gt;"",ISERROR(VLOOKUP(K2783,ABBR!A:D,1,FALSE)),ISERROR(VLOOKUP(C2783,ABBR!A:D,1,FALSE))),"")</f>
        <v/>
      </c>
      <c r="P2783" t="str">
        <f>VLOOKUP(A2783,Groups!A:L,5,FALSE)</f>
        <v>LOCA</v>
      </c>
      <c r="Q2783" s="62" t="str">
        <f>IF(G2783="PA",IF(M2783&lt;&gt;"",ISERROR(VLOOKUP(M2783,ABBR!C:F,1,FALSE)),ISERROR(VLOOKUP(E2783,ABBR!C:F,1,FALSE))),"")</f>
        <v/>
      </c>
    </row>
    <row r="2784" spans="1:17" s="62" customFormat="1" hidden="1" x14ac:dyDescent="0.25">
      <c r="A2784" s="16" t="s">
        <v>332</v>
      </c>
      <c r="B2784" s="17"/>
      <c r="C2784" s="16" t="s">
        <v>4686</v>
      </c>
      <c r="D2784" s="17" t="s">
        <v>1345</v>
      </c>
      <c r="E2784" s="17" t="s">
        <v>767</v>
      </c>
      <c r="F2784" s="18" t="s">
        <v>4687</v>
      </c>
      <c r="G2784" s="49" t="s">
        <v>4688</v>
      </c>
      <c r="H2784" s="17">
        <v>13</v>
      </c>
      <c r="I2784" s="30"/>
      <c r="J2784"/>
      <c r="K2784"/>
      <c r="L2784"/>
      <c r="M2784"/>
      <c r="N2784"/>
      <c r="O2784" s="62" t="str">
        <f>IF(E2784="PA",IF(K2784&lt;&gt;"",ISERROR(VLOOKUP(K2784,ABBR!A:D,1,FALSE)),ISERROR(VLOOKUP(C2784,ABBR!A:D,1,FALSE))),"")</f>
        <v/>
      </c>
      <c r="P2784" t="str">
        <f>VLOOKUP(A2784,Groups!A:L,5,FALSE)</f>
        <v>LOCA</v>
      </c>
      <c r="Q2784" s="62" t="str">
        <f>IF(G2784="PA",IF(M2784&lt;&gt;"",ISERROR(VLOOKUP(M2784,ABBR!C:F,1,FALSE)),ISERROR(VLOOKUP(E2784,ABBR!C:F,1,FALSE))),"")</f>
        <v/>
      </c>
    </row>
    <row r="2785" spans="1:17" s="62" customFormat="1" hidden="1" x14ac:dyDescent="0.25">
      <c r="A2785" s="16" t="s">
        <v>332</v>
      </c>
      <c r="B2785" s="17"/>
      <c r="C2785" s="16" t="s">
        <v>4689</v>
      </c>
      <c r="D2785" s="17" t="s">
        <v>1345</v>
      </c>
      <c r="E2785" s="17" t="s">
        <v>767</v>
      </c>
      <c r="F2785" s="18" t="s">
        <v>4690</v>
      </c>
      <c r="G2785" s="49" t="s">
        <v>4691</v>
      </c>
      <c r="H2785" s="17">
        <v>14</v>
      </c>
      <c r="I2785" s="30"/>
      <c r="J2785"/>
      <c r="K2785"/>
      <c r="L2785"/>
      <c r="M2785"/>
      <c r="N2785"/>
      <c r="O2785" s="62" t="str">
        <f>IF(E2785="PA",IF(K2785&lt;&gt;"",ISERROR(VLOOKUP(K2785,ABBR!A:D,1,FALSE)),ISERROR(VLOOKUP(C2785,ABBR!A:D,1,FALSE))),"")</f>
        <v/>
      </c>
      <c r="P2785" t="str">
        <f>VLOOKUP(A2785,Groups!A:L,5,FALSE)</f>
        <v>LOCA</v>
      </c>
      <c r="Q2785" s="62" t="str">
        <f>IF(G2785="PA",IF(M2785&lt;&gt;"",ISERROR(VLOOKUP(M2785,ABBR!C:F,1,FALSE)),ISERROR(VLOOKUP(E2785,ABBR!C:F,1,FALSE))),"")</f>
        <v/>
      </c>
    </row>
    <row r="2786" spans="1:17" s="62" customFormat="1" hidden="1" x14ac:dyDescent="0.25">
      <c r="A2786" s="16" t="s">
        <v>332</v>
      </c>
      <c r="B2786" s="17"/>
      <c r="C2786" s="16" t="s">
        <v>4692</v>
      </c>
      <c r="D2786" s="17" t="s">
        <v>2027</v>
      </c>
      <c r="E2786" s="17" t="s">
        <v>723</v>
      </c>
      <c r="F2786" s="18" t="s">
        <v>4693</v>
      </c>
      <c r="G2786" s="49" t="s">
        <v>4694</v>
      </c>
      <c r="H2786" s="17">
        <v>15</v>
      </c>
      <c r="I2786" s="30"/>
      <c r="J2786"/>
      <c r="K2786"/>
      <c r="L2786"/>
      <c r="M2786"/>
      <c r="N2786"/>
      <c r="O2786" s="62" t="str">
        <f>IF(E2786="PA",IF(K2786&lt;&gt;"",ISERROR(VLOOKUP(K2786,ABBR!A:D,1,FALSE)),ISERROR(VLOOKUP(C2786,ABBR!A:D,1,FALSE))),"")</f>
        <v/>
      </c>
      <c r="P2786" t="str">
        <f>VLOOKUP(A2786,Groups!A:L,5,FALSE)</f>
        <v>LOCA</v>
      </c>
      <c r="Q2786" s="62" t="str">
        <f>IF(G2786="PA",IF(M2786&lt;&gt;"",ISERROR(VLOOKUP(M2786,ABBR!C:F,1,FALSE)),ISERROR(VLOOKUP(E2786,ABBR!C:F,1,FALSE))),"")</f>
        <v/>
      </c>
    </row>
    <row r="2787" spans="1:17" s="62" customFormat="1" hidden="1" x14ac:dyDescent="0.25">
      <c r="A2787" s="16" t="s">
        <v>332</v>
      </c>
      <c r="B2787" s="17"/>
      <c r="C2787" s="16" t="s">
        <v>4695</v>
      </c>
      <c r="D2787" s="17" t="s">
        <v>2027</v>
      </c>
      <c r="E2787" s="17" t="s">
        <v>767</v>
      </c>
      <c r="F2787" s="18" t="s">
        <v>4696</v>
      </c>
      <c r="G2787" s="49" t="s">
        <v>910</v>
      </c>
      <c r="H2787" s="17">
        <v>16</v>
      </c>
      <c r="I2787" s="30"/>
      <c r="J2787"/>
      <c r="K2787"/>
      <c r="L2787"/>
      <c r="M2787"/>
      <c r="N2787"/>
      <c r="O2787" s="62" t="str">
        <f>IF(E2787="PA",IF(K2787&lt;&gt;"",ISERROR(VLOOKUP(K2787,ABBR!A:D,1,FALSE)),ISERROR(VLOOKUP(C2787,ABBR!A:D,1,FALSE))),"")</f>
        <v/>
      </c>
      <c r="P2787" t="str">
        <f>VLOOKUP(A2787,Groups!A:L,5,FALSE)</f>
        <v>LOCA</v>
      </c>
      <c r="Q2787" s="62" t="str">
        <f>IF(G2787="PA",IF(M2787&lt;&gt;"",ISERROR(VLOOKUP(M2787,ABBR!C:F,1,FALSE)),ISERROR(VLOOKUP(E2787,ABBR!C:F,1,FALSE))),"")</f>
        <v/>
      </c>
    </row>
    <row r="2788" spans="1:17" s="62" customFormat="1" hidden="1" x14ac:dyDescent="0.25">
      <c r="A2788" s="16" t="s">
        <v>332</v>
      </c>
      <c r="B2788" s="17"/>
      <c r="C2788" s="16" t="s">
        <v>4697</v>
      </c>
      <c r="D2788" s="17" t="s">
        <v>2027</v>
      </c>
      <c r="E2788" s="17" t="s">
        <v>723</v>
      </c>
      <c r="F2788" s="18" t="s">
        <v>4698</v>
      </c>
      <c r="G2788" s="49" t="s">
        <v>3634</v>
      </c>
      <c r="H2788" s="17">
        <v>17</v>
      </c>
      <c r="I2788" s="30"/>
      <c r="J2788"/>
      <c r="K2788"/>
      <c r="L2788"/>
      <c r="M2788"/>
      <c r="N2788"/>
      <c r="O2788" s="62" t="str">
        <f>IF(E2788="PA",IF(K2788&lt;&gt;"",ISERROR(VLOOKUP(K2788,ABBR!A:D,1,FALSE)),ISERROR(VLOOKUP(C2788,ABBR!A:D,1,FALSE))),"")</f>
        <v/>
      </c>
      <c r="P2788" t="str">
        <f>VLOOKUP(A2788,Groups!A:L,5,FALSE)</f>
        <v>LOCA</v>
      </c>
      <c r="Q2788" s="62" t="str">
        <f>IF(G2788="PA",IF(M2788&lt;&gt;"",ISERROR(VLOOKUP(M2788,ABBR!C:F,1,FALSE)),ISERROR(VLOOKUP(E2788,ABBR!C:F,1,FALSE))),"")</f>
        <v/>
      </c>
    </row>
    <row r="2789" spans="1:17" s="62" customFormat="1" ht="25" hidden="1" x14ac:dyDescent="0.25">
      <c r="A2789" s="16" t="s">
        <v>332</v>
      </c>
      <c r="B2789" s="17"/>
      <c r="C2789" s="16" t="s">
        <v>4699</v>
      </c>
      <c r="D2789" s="17"/>
      <c r="E2789" s="17" t="s">
        <v>608</v>
      </c>
      <c r="F2789" s="18" t="s">
        <v>4700</v>
      </c>
      <c r="G2789" s="49"/>
      <c r="H2789" s="17">
        <v>18</v>
      </c>
      <c r="I2789" s="30"/>
      <c r="J2789"/>
      <c r="K2789"/>
      <c r="L2789"/>
      <c r="M2789" s="101" t="s">
        <v>1044</v>
      </c>
      <c r="N2789"/>
      <c r="O2789" s="62" t="str">
        <f>IF(E2789="PA",IF(K2789&lt;&gt;"",ISERROR(VLOOKUP(K2789,ABBR!A:D,1,FALSE)),ISERROR(VLOOKUP(C2789,ABBR!A:D,1,FALSE))),"")</f>
        <v/>
      </c>
      <c r="P2789" t="str">
        <f>VLOOKUP(A2789,Groups!A:L,5,FALSE)</f>
        <v>LOCA</v>
      </c>
      <c r="Q2789" s="62" t="str">
        <f>IF(G2789="PA",IF(M2789&lt;&gt;"",ISERROR(VLOOKUP(M2789,ABBR!C:F,1,FALSE)),ISERROR(VLOOKUP(E2789,ABBR!C:F,1,FALSE))),"")</f>
        <v/>
      </c>
    </row>
    <row r="2790" spans="1:17" s="62" customFormat="1" ht="25" hidden="1" x14ac:dyDescent="0.25">
      <c r="A2790" s="16" t="s">
        <v>332</v>
      </c>
      <c r="B2790" s="17"/>
      <c r="C2790" s="16" t="s">
        <v>4701</v>
      </c>
      <c r="D2790" s="17"/>
      <c r="E2790" s="17" t="s">
        <v>608</v>
      </c>
      <c r="F2790" s="18" t="s">
        <v>934</v>
      </c>
      <c r="G2790" s="49" t="s">
        <v>953</v>
      </c>
      <c r="H2790" s="17">
        <v>19</v>
      </c>
      <c r="I2790" s="30"/>
      <c r="J2790"/>
      <c r="K2790"/>
      <c r="L2790"/>
      <c r="M2790"/>
      <c r="N2790"/>
      <c r="O2790" s="62" t="str">
        <f>IF(E2790="PA",IF(K2790&lt;&gt;"",ISERROR(VLOOKUP(K2790,ABBR!A:D,1,FALSE)),ISERROR(VLOOKUP(C2790,ABBR!A:D,1,FALSE))),"")</f>
        <v/>
      </c>
      <c r="P2790" t="str">
        <f>VLOOKUP(A2790,Groups!A:L,5,FALSE)</f>
        <v>LOCA</v>
      </c>
      <c r="Q2790" s="62" t="str">
        <f>IF(G2790="PA",IF(M2790&lt;&gt;"",ISERROR(VLOOKUP(M2790,ABBR!C:F,1,FALSE)),ISERROR(VLOOKUP(E2790,ABBR!C:F,1,FALSE))),"")</f>
        <v/>
      </c>
    </row>
    <row r="2791" spans="1:17" s="62" customFormat="1" hidden="1" x14ac:dyDescent="0.25">
      <c r="A2791" s="16" t="s">
        <v>332</v>
      </c>
      <c r="B2791" s="17"/>
      <c r="C2791" s="16" t="s">
        <v>936</v>
      </c>
      <c r="D2791" s="17"/>
      <c r="E2791" s="22" t="s">
        <v>608</v>
      </c>
      <c r="F2791" s="18" t="s">
        <v>937</v>
      </c>
      <c r="G2791" s="49" t="s">
        <v>938</v>
      </c>
      <c r="H2791" s="17">
        <v>20</v>
      </c>
      <c r="I2791" s="30"/>
      <c r="J2791"/>
      <c r="K2791"/>
      <c r="L2791"/>
      <c r="M2791"/>
      <c r="N2791"/>
      <c r="O2791" s="62" t="str">
        <f>IF(E2791="PA",IF(K2791&lt;&gt;"",ISERROR(VLOOKUP(K2791,ABBR!A:D,1,FALSE)),ISERROR(VLOOKUP(C2791,ABBR!A:D,1,FALSE))),"")</f>
        <v/>
      </c>
      <c r="P2791" t="str">
        <f>VLOOKUP(A2791,Groups!A:L,5,FALSE)</f>
        <v>LOCA</v>
      </c>
      <c r="Q2791" s="62" t="str">
        <f>IF(G2791="PA",IF(M2791&lt;&gt;"",ISERROR(VLOOKUP(M2791,ABBR!C:F,1,FALSE)),ISERROR(VLOOKUP(E2791,ABBR!C:F,1,FALSE))),"")</f>
        <v/>
      </c>
    </row>
    <row r="2792" spans="1:17" s="62" customFormat="1" ht="25" hidden="1" x14ac:dyDescent="0.25">
      <c r="A2792" s="16" t="s">
        <v>332</v>
      </c>
      <c r="B2792" s="17"/>
      <c r="C2792" s="16" t="s">
        <v>4702</v>
      </c>
      <c r="D2792" s="17"/>
      <c r="E2792" s="17" t="s">
        <v>608</v>
      </c>
      <c r="F2792" s="18" t="s">
        <v>1938</v>
      </c>
      <c r="G2792" s="49" t="s">
        <v>4703</v>
      </c>
      <c r="H2792" s="17">
        <v>21</v>
      </c>
      <c r="I2792" s="30"/>
      <c r="J2792"/>
      <c r="K2792"/>
      <c r="L2792"/>
      <c r="M2792"/>
      <c r="N2792"/>
      <c r="O2792" s="62" t="str">
        <f>IF(E2792="PA",IF(K2792&lt;&gt;"",ISERROR(VLOOKUP(K2792,ABBR!A:D,1,FALSE)),ISERROR(VLOOKUP(C2792,ABBR!A:D,1,FALSE))),"")</f>
        <v/>
      </c>
      <c r="P2792" t="str">
        <f>VLOOKUP(A2792,Groups!A:L,5,FALSE)</f>
        <v>LOCA</v>
      </c>
      <c r="Q2792" s="62" t="str">
        <f>IF(G2792="PA",IF(M2792&lt;&gt;"",ISERROR(VLOOKUP(M2792,ABBR!C:F,1,FALSE)),ISERROR(VLOOKUP(E2792,ABBR!C:F,1,FALSE))),"")</f>
        <v/>
      </c>
    </row>
    <row r="2793" spans="1:17" s="62" customFormat="1" ht="37.5" hidden="1" x14ac:dyDescent="0.25">
      <c r="A2793" s="16" t="s">
        <v>332</v>
      </c>
      <c r="B2793" s="17"/>
      <c r="C2793" s="16" t="s">
        <v>4704</v>
      </c>
      <c r="D2793" s="17"/>
      <c r="E2793" s="17" t="s">
        <v>608</v>
      </c>
      <c r="F2793" s="18" t="s">
        <v>642</v>
      </c>
      <c r="G2793" s="49" t="s">
        <v>4705</v>
      </c>
      <c r="H2793" s="17">
        <v>22</v>
      </c>
      <c r="I2793" s="30"/>
      <c r="J2793"/>
      <c r="K2793"/>
      <c r="L2793"/>
      <c r="M2793"/>
      <c r="N2793"/>
      <c r="O2793" s="62" t="str">
        <f>IF(E2793="PA",IF(K2793&lt;&gt;"",ISERROR(VLOOKUP(K2793,ABBR!A:D,1,FALSE)),ISERROR(VLOOKUP(C2793,ABBR!A:D,1,FALSE))),"")</f>
        <v/>
      </c>
      <c r="P2793" t="str">
        <f>VLOOKUP(A2793,Groups!A:L,5,FALSE)</f>
        <v>LOCA</v>
      </c>
      <c r="Q2793" s="62" t="str">
        <f>IF(G2793="PA",IF(M2793&lt;&gt;"",ISERROR(VLOOKUP(M2793,ABBR!C:F,1,FALSE)),ISERROR(VLOOKUP(E2793,ABBR!C:F,1,FALSE))),"")</f>
        <v/>
      </c>
    </row>
    <row r="2794" spans="1:17" s="62" customFormat="1" hidden="1" x14ac:dyDescent="0.25">
      <c r="A2794" s="16" t="s">
        <v>332</v>
      </c>
      <c r="B2794" s="17"/>
      <c r="C2794" s="16" t="s">
        <v>643</v>
      </c>
      <c r="D2794" s="17"/>
      <c r="E2794" s="17" t="s">
        <v>608</v>
      </c>
      <c r="F2794" s="18" t="s">
        <v>1294</v>
      </c>
      <c r="G2794" s="49" t="s">
        <v>3238</v>
      </c>
      <c r="H2794" s="17">
        <v>23</v>
      </c>
      <c r="I2794" s="30"/>
      <c r="J2794"/>
      <c r="K2794"/>
      <c r="L2794"/>
      <c r="M2794"/>
      <c r="N2794"/>
      <c r="O2794" s="62" t="str">
        <f>IF(E2794="PA",IF(K2794&lt;&gt;"",ISERROR(VLOOKUP(K2794,ABBR!A:D,1,FALSE)),ISERROR(VLOOKUP(C2794,ABBR!A:D,1,FALSE))),"")</f>
        <v/>
      </c>
      <c r="P2794" t="str">
        <f>VLOOKUP(A2794,Groups!A:L,5,FALSE)</f>
        <v>LOCA</v>
      </c>
      <c r="Q2794" s="62" t="str">
        <f>IF(G2794="PA",IF(M2794&lt;&gt;"",ISERROR(VLOOKUP(M2794,ABBR!C:F,1,FALSE)),ISERROR(VLOOKUP(E2794,ABBR!C:F,1,FALSE))),"")</f>
        <v/>
      </c>
    </row>
    <row r="2795" spans="1:17" s="62" customFormat="1" hidden="1" x14ac:dyDescent="0.25">
      <c r="A2795" s="16" t="s">
        <v>332</v>
      </c>
      <c r="B2795" s="17"/>
      <c r="C2795" s="16" t="s">
        <v>4706</v>
      </c>
      <c r="D2795" s="17"/>
      <c r="E2795" s="17" t="s">
        <v>767</v>
      </c>
      <c r="F2795" s="18" t="s">
        <v>4707</v>
      </c>
      <c r="G2795" s="49" t="s">
        <v>3422</v>
      </c>
      <c r="H2795" s="17">
        <v>24</v>
      </c>
      <c r="I2795" s="30" t="s">
        <v>955</v>
      </c>
      <c r="J2795" s="80">
        <v>4.0999999999999996</v>
      </c>
      <c r="K2795"/>
      <c r="L2795"/>
      <c r="M2795"/>
      <c r="N2795"/>
      <c r="O2795" s="62" t="str">
        <f>IF(E2795="PA",IF(K2795&lt;&gt;"",ISERROR(VLOOKUP(K2795,ABBR!A:D,1,FALSE)),ISERROR(VLOOKUP(C2795,ABBR!A:D,1,FALSE))),"")</f>
        <v/>
      </c>
      <c r="P2795" t="str">
        <f>VLOOKUP(A2795,Groups!A:L,5,FALSE)</f>
        <v>LOCA</v>
      </c>
      <c r="Q2795" s="62" t="str">
        <f>IF(G2795="PA",IF(M2795&lt;&gt;"",ISERROR(VLOOKUP(M2795,ABBR!C:F,1,FALSE)),ISERROR(VLOOKUP(E2795,ABBR!C:F,1,FALSE))),"")</f>
        <v/>
      </c>
    </row>
    <row r="2796" spans="1:17" s="62" customFormat="1" hidden="1" x14ac:dyDescent="0.25">
      <c r="A2796" s="16" t="s">
        <v>332</v>
      </c>
      <c r="B2796" s="17"/>
      <c r="C2796" s="16" t="s">
        <v>4708</v>
      </c>
      <c r="D2796" s="17"/>
      <c r="E2796" s="17" t="s">
        <v>608</v>
      </c>
      <c r="F2796" s="18" t="s">
        <v>4709</v>
      </c>
      <c r="G2796" s="49" t="s">
        <v>4710</v>
      </c>
      <c r="H2796" s="17">
        <v>25</v>
      </c>
      <c r="I2796" s="30" t="s">
        <v>955</v>
      </c>
      <c r="J2796" s="80">
        <v>4.0999999999999996</v>
      </c>
      <c r="K2796"/>
      <c r="L2796"/>
      <c r="M2796"/>
      <c r="N2796"/>
      <c r="O2796" s="62" t="str">
        <f>IF(E2796="PA",IF(K2796&lt;&gt;"",ISERROR(VLOOKUP(K2796,ABBR!A:D,1,FALSE)),ISERROR(VLOOKUP(C2796,ABBR!A:D,1,FALSE))),"")</f>
        <v/>
      </c>
      <c r="P2796" t="str">
        <f>VLOOKUP(A2796,Groups!A:L,5,FALSE)</f>
        <v>LOCA</v>
      </c>
      <c r="Q2796" s="62" t="str">
        <f>IF(G2796="PA",IF(M2796&lt;&gt;"",ISERROR(VLOOKUP(M2796,ABBR!C:F,1,FALSE)),ISERROR(VLOOKUP(E2796,ABBR!C:F,1,FALSE))),"")</f>
        <v/>
      </c>
    </row>
    <row r="2797" spans="1:17" s="62" customFormat="1" hidden="1" x14ac:dyDescent="0.25">
      <c r="A2797" s="16" t="s">
        <v>332</v>
      </c>
      <c r="B2797" s="17"/>
      <c r="C2797" s="16" t="s">
        <v>4711</v>
      </c>
      <c r="D2797" s="17"/>
      <c r="E2797" s="17" t="s">
        <v>608</v>
      </c>
      <c r="F2797" s="18" t="s">
        <v>4712</v>
      </c>
      <c r="G2797" s="49" t="s">
        <v>4713</v>
      </c>
      <c r="H2797" s="17">
        <v>26</v>
      </c>
      <c r="I2797" s="30" t="s">
        <v>955</v>
      </c>
      <c r="J2797" s="80">
        <v>4.0999999999999996</v>
      </c>
      <c r="K2797"/>
      <c r="L2797"/>
      <c r="M2797"/>
      <c r="N2797"/>
      <c r="O2797" s="62" t="str">
        <f>IF(E2797="PA",IF(K2797&lt;&gt;"",ISERROR(VLOOKUP(K2797,ABBR!A:D,1,FALSE)),ISERROR(VLOOKUP(C2797,ABBR!A:D,1,FALSE))),"")</f>
        <v/>
      </c>
      <c r="P2797" t="str">
        <f>VLOOKUP(A2797,Groups!A:L,5,FALSE)</f>
        <v>LOCA</v>
      </c>
      <c r="Q2797" s="62" t="str">
        <f>IF(G2797="PA",IF(M2797&lt;&gt;"",ISERROR(VLOOKUP(M2797,ABBR!C:F,1,FALSE)),ISERROR(VLOOKUP(E2797,ABBR!C:F,1,FALSE))),"")</f>
        <v/>
      </c>
    </row>
    <row r="2798" spans="1:17" s="62" customFormat="1" hidden="1" x14ac:dyDescent="0.25">
      <c r="A2798" s="16" t="s">
        <v>332</v>
      </c>
      <c r="B2798" s="17"/>
      <c r="C2798" s="9" t="s">
        <v>4714</v>
      </c>
      <c r="D2798" s="46"/>
      <c r="E2798" s="46" t="s">
        <v>608</v>
      </c>
      <c r="F2798" s="93" t="s">
        <v>1952</v>
      </c>
      <c r="G2798" s="179" t="s">
        <v>876</v>
      </c>
      <c r="H2798" s="46">
        <v>27</v>
      </c>
      <c r="I2798" s="180"/>
      <c r="J2798" s="62" t="s">
        <v>473</v>
      </c>
      <c r="K2798"/>
      <c r="L2798"/>
      <c r="M2798"/>
      <c r="N2798"/>
      <c r="O2798" s="62" t="str">
        <f>IF(E2798="PA",IF(K2798&lt;&gt;"",ISERROR(VLOOKUP(K2798,ABBR!A:D,1,FALSE)),ISERROR(VLOOKUP(C2798,ABBR!A:D,1,FALSE))),"")</f>
        <v/>
      </c>
      <c r="P2798" t="str">
        <f>VLOOKUP(A2798,Groups!A:L,5,FALSE)</f>
        <v>LOCA</v>
      </c>
      <c r="Q2798" s="62" t="str">
        <f>IF(G2798="PA",IF(M2798&lt;&gt;"",ISERROR(VLOOKUP(M2798,ABBR!C:F,1,FALSE)),ISERROR(VLOOKUP(E2798,ABBR!C:F,1,FALSE))),"")</f>
        <v/>
      </c>
    </row>
    <row r="2799" spans="1:17" s="62" customFormat="1" hidden="1" x14ac:dyDescent="0.25">
      <c r="A2799" s="16" t="s">
        <v>337</v>
      </c>
      <c r="B2799" s="17" t="s">
        <v>594</v>
      </c>
      <c r="C2799" s="16" t="s">
        <v>595</v>
      </c>
      <c r="D2799" s="17"/>
      <c r="E2799" s="17" t="s">
        <v>596</v>
      </c>
      <c r="F2799" s="18" t="s">
        <v>597</v>
      </c>
      <c r="G2799" s="49" t="s">
        <v>598</v>
      </c>
      <c r="H2799" s="17">
        <v>1</v>
      </c>
      <c r="I2799" s="30"/>
      <c r="J2799"/>
      <c r="K2799"/>
      <c r="L2799"/>
      <c r="M2799"/>
      <c r="N2799"/>
      <c r="O2799" s="62" t="str">
        <f>IF(E2799="PA",IF(K2799&lt;&gt;"",ISERROR(VLOOKUP(K2799,ABBR!A:D,1,FALSE)),ISERROR(VLOOKUP(C2799,ABBR!A:D,1,FALSE))),"")</f>
        <v/>
      </c>
      <c r="P2799" t="str">
        <f>VLOOKUP(A2799,Groups!A:L,5,FALSE)</f>
        <v>PMTG</v>
      </c>
      <c r="Q2799" s="62" t="str">
        <f>IF(G2799="PA",IF(M2799&lt;&gt;"",ISERROR(VLOOKUP(M2799,ABBR!C:F,1,FALSE)),ISERROR(VLOOKUP(E2799,ABBR!C:F,1,FALSE))),"")</f>
        <v/>
      </c>
    </row>
    <row r="2800" spans="1:17" s="62" customFormat="1" hidden="1" x14ac:dyDescent="0.25">
      <c r="A2800" s="16" t="s">
        <v>337</v>
      </c>
      <c r="B2800" s="17" t="s">
        <v>594</v>
      </c>
      <c r="C2800" s="16" t="s">
        <v>4615</v>
      </c>
      <c r="D2800" s="17" t="s">
        <v>600</v>
      </c>
      <c r="E2800" s="17" t="s">
        <v>601</v>
      </c>
      <c r="F2800" s="18" t="s">
        <v>3224</v>
      </c>
      <c r="G2800" s="49" t="s">
        <v>4616</v>
      </c>
      <c r="H2800" s="17">
        <v>2</v>
      </c>
      <c r="I2800" s="30"/>
      <c r="J2800"/>
      <c r="K2800"/>
      <c r="L2800"/>
      <c r="M2800"/>
      <c r="N2800"/>
      <c r="O2800" s="62" t="str">
        <f>IF(E2800="PA",IF(K2800&lt;&gt;"",ISERROR(VLOOKUP(K2800,ABBR!A:D,1,FALSE)),ISERROR(VLOOKUP(C2800,ABBR!A:D,1,FALSE))),"")</f>
        <v/>
      </c>
      <c r="P2800" t="str">
        <f>VLOOKUP(A2800,Groups!A:L,5,FALSE)</f>
        <v>PMTG</v>
      </c>
      <c r="Q2800" s="62" t="str">
        <f>IF(G2800="PA",IF(M2800&lt;&gt;"",ISERROR(VLOOKUP(M2800,ABBR!C:F,1,FALSE)),ISERROR(VLOOKUP(E2800,ABBR!C:F,1,FALSE))),"")</f>
        <v/>
      </c>
    </row>
    <row r="2801" spans="1:17" s="62" customFormat="1" hidden="1" x14ac:dyDescent="0.25">
      <c r="A2801" s="16" t="s">
        <v>337</v>
      </c>
      <c r="B2801" s="17" t="s">
        <v>594</v>
      </c>
      <c r="C2801" s="16" t="s">
        <v>4617</v>
      </c>
      <c r="D2801" s="17"/>
      <c r="E2801" s="17" t="s">
        <v>608</v>
      </c>
      <c r="F2801" s="18" t="s">
        <v>1323</v>
      </c>
      <c r="G2801" s="49" t="s">
        <v>4618</v>
      </c>
      <c r="H2801" s="17">
        <v>3</v>
      </c>
      <c r="I2801" s="30"/>
      <c r="J2801"/>
      <c r="K2801"/>
      <c r="L2801"/>
      <c r="M2801"/>
      <c r="N2801"/>
      <c r="O2801" s="62" t="str">
        <f>IF(E2801="PA",IF(K2801&lt;&gt;"",ISERROR(VLOOKUP(K2801,ABBR!A:D,1,FALSE)),ISERROR(VLOOKUP(C2801,ABBR!A:D,1,FALSE))),"")</f>
        <v/>
      </c>
      <c r="P2801" t="str">
        <f>VLOOKUP(A2801,Groups!A:L,5,FALSE)</f>
        <v>PMTG</v>
      </c>
      <c r="Q2801" s="62" t="str">
        <f>IF(G2801="PA",IF(M2801&lt;&gt;"",ISERROR(VLOOKUP(M2801,ABBR!C:F,1,FALSE)),ISERROR(VLOOKUP(E2801,ABBR!C:F,1,FALSE))),"")</f>
        <v/>
      </c>
    </row>
    <row r="2802" spans="1:17" s="62" customFormat="1" hidden="1" x14ac:dyDescent="0.25">
      <c r="A2802" s="16" t="s">
        <v>337</v>
      </c>
      <c r="B2802" s="17" t="s">
        <v>594</v>
      </c>
      <c r="C2802" s="16" t="s">
        <v>4619</v>
      </c>
      <c r="D2802" s="17"/>
      <c r="E2802" s="17" t="s">
        <v>767</v>
      </c>
      <c r="F2802" s="18" t="s">
        <v>4620</v>
      </c>
      <c r="G2802" s="49" t="s">
        <v>631</v>
      </c>
      <c r="H2802" s="17">
        <v>4</v>
      </c>
      <c r="I2802" s="30"/>
      <c r="J2802"/>
      <c r="K2802"/>
      <c r="L2802"/>
      <c r="M2802"/>
      <c r="N2802"/>
      <c r="O2802" s="62" t="str">
        <f>IF(E2802="PA",IF(K2802&lt;&gt;"",ISERROR(VLOOKUP(K2802,ABBR!A:D,1,FALSE)),ISERROR(VLOOKUP(C2802,ABBR!A:D,1,FALSE))),"")</f>
        <v/>
      </c>
      <c r="P2802" t="str">
        <f>VLOOKUP(A2802,Groups!A:L,5,FALSE)</f>
        <v>PMTG</v>
      </c>
      <c r="Q2802" s="62" t="str">
        <f>IF(G2802="PA",IF(M2802&lt;&gt;"",ISERROR(VLOOKUP(M2802,ABBR!C:F,1,FALSE)),ISERROR(VLOOKUP(E2802,ABBR!C:F,1,FALSE))),"")</f>
        <v/>
      </c>
    </row>
    <row r="2803" spans="1:17" s="62" customFormat="1" hidden="1" x14ac:dyDescent="0.25">
      <c r="A2803" s="16" t="s">
        <v>337</v>
      </c>
      <c r="B2803" s="17" t="s">
        <v>594</v>
      </c>
      <c r="C2803" s="16" t="s">
        <v>4715</v>
      </c>
      <c r="D2803" s="17"/>
      <c r="E2803" s="17" t="s">
        <v>767</v>
      </c>
      <c r="F2803" s="18" t="s">
        <v>4716</v>
      </c>
      <c r="G2803" s="49" t="s">
        <v>631</v>
      </c>
      <c r="H2803" s="17">
        <v>5</v>
      </c>
      <c r="I2803" s="30"/>
      <c r="J2803"/>
      <c r="K2803"/>
      <c r="L2803"/>
      <c r="M2803"/>
      <c r="N2803"/>
      <c r="O2803" s="62" t="str">
        <f>IF(E2803="PA",IF(K2803&lt;&gt;"",ISERROR(VLOOKUP(K2803,ABBR!A:D,1,FALSE)),ISERROR(VLOOKUP(C2803,ABBR!A:D,1,FALSE))),"")</f>
        <v/>
      </c>
      <c r="P2803" t="str">
        <f>VLOOKUP(A2803,Groups!A:L,5,FALSE)</f>
        <v>PMTG</v>
      </c>
      <c r="Q2803" s="62" t="str">
        <f>IF(G2803="PA",IF(M2803&lt;&gt;"",ISERROR(VLOOKUP(M2803,ABBR!C:F,1,FALSE)),ISERROR(VLOOKUP(E2803,ABBR!C:F,1,FALSE))),"")</f>
        <v/>
      </c>
    </row>
    <row r="2804" spans="1:17" s="62" customFormat="1" hidden="1" x14ac:dyDescent="0.25">
      <c r="A2804" s="16" t="s">
        <v>337</v>
      </c>
      <c r="B2804" s="17"/>
      <c r="C2804" s="16" t="s">
        <v>4717</v>
      </c>
      <c r="D2804" s="17" t="s">
        <v>1710</v>
      </c>
      <c r="E2804" s="17" t="s">
        <v>767</v>
      </c>
      <c r="F2804" s="18" t="s">
        <v>4718</v>
      </c>
      <c r="G2804" s="49" t="s">
        <v>4719</v>
      </c>
      <c r="H2804" s="17">
        <v>6</v>
      </c>
      <c r="I2804" s="30"/>
      <c r="J2804"/>
      <c r="K2804"/>
      <c r="L2804"/>
      <c r="M2804"/>
      <c r="N2804"/>
      <c r="O2804" s="62" t="str">
        <f>IF(E2804="PA",IF(K2804&lt;&gt;"",ISERROR(VLOOKUP(K2804,ABBR!A:D,1,FALSE)),ISERROR(VLOOKUP(C2804,ABBR!A:D,1,FALSE))),"")</f>
        <v/>
      </c>
      <c r="P2804" t="str">
        <f>VLOOKUP(A2804,Groups!A:L,5,FALSE)</f>
        <v>PMTG</v>
      </c>
      <c r="Q2804" s="62" t="str">
        <f>IF(G2804="PA",IF(M2804&lt;&gt;"",ISERROR(VLOOKUP(M2804,ABBR!C:F,1,FALSE)),ISERROR(VLOOKUP(E2804,ABBR!C:F,1,FALSE))),"")</f>
        <v/>
      </c>
    </row>
    <row r="2805" spans="1:17" s="62" customFormat="1" hidden="1" x14ac:dyDescent="0.25">
      <c r="A2805" s="16" t="s">
        <v>337</v>
      </c>
      <c r="B2805" s="17"/>
      <c r="C2805" s="16" t="s">
        <v>4720</v>
      </c>
      <c r="D2805" s="17" t="s">
        <v>766</v>
      </c>
      <c r="E2805" s="17" t="s">
        <v>601</v>
      </c>
      <c r="F2805" s="18" t="s">
        <v>4721</v>
      </c>
      <c r="G2805" s="49" t="s">
        <v>4722</v>
      </c>
      <c r="H2805" s="17">
        <v>7</v>
      </c>
      <c r="I2805" s="30"/>
      <c r="J2805"/>
      <c r="K2805"/>
      <c r="L2805"/>
      <c r="M2805"/>
      <c r="N2805"/>
      <c r="O2805" s="62" t="str">
        <f>IF(E2805="PA",IF(K2805&lt;&gt;"",ISERROR(VLOOKUP(K2805,ABBR!A:D,1,FALSE)),ISERROR(VLOOKUP(C2805,ABBR!A:D,1,FALSE))),"")</f>
        <v/>
      </c>
      <c r="P2805" t="str">
        <f>VLOOKUP(A2805,Groups!A:L,5,FALSE)</f>
        <v>PMTG</v>
      </c>
      <c r="Q2805" s="62" t="str">
        <f>IF(G2805="PA",IF(M2805&lt;&gt;"",ISERROR(VLOOKUP(M2805,ABBR!C:F,1,FALSE)),ISERROR(VLOOKUP(E2805,ABBR!C:F,1,FALSE))),"")</f>
        <v/>
      </c>
    </row>
    <row r="2806" spans="1:17" s="62" customFormat="1" hidden="1" x14ac:dyDescent="0.25">
      <c r="A2806" s="16" t="s">
        <v>337</v>
      </c>
      <c r="B2806" s="17"/>
      <c r="C2806" s="16" t="s">
        <v>4723</v>
      </c>
      <c r="D2806" s="17" t="s">
        <v>1345</v>
      </c>
      <c r="E2806" s="17" t="s">
        <v>767</v>
      </c>
      <c r="F2806" s="18" t="s">
        <v>4724</v>
      </c>
      <c r="G2806" s="49" t="s">
        <v>4725</v>
      </c>
      <c r="H2806" s="17">
        <v>8</v>
      </c>
      <c r="I2806" s="30"/>
      <c r="J2806"/>
      <c r="K2806"/>
      <c r="L2806"/>
      <c r="M2806"/>
      <c r="N2806"/>
      <c r="O2806" s="62" t="str">
        <f>IF(E2806="PA",IF(K2806&lt;&gt;"",ISERROR(VLOOKUP(K2806,ABBR!A:D,1,FALSE)),ISERROR(VLOOKUP(C2806,ABBR!A:D,1,FALSE))),"")</f>
        <v/>
      </c>
      <c r="P2806" t="str">
        <f>VLOOKUP(A2806,Groups!A:L,5,FALSE)</f>
        <v>PMTG</v>
      </c>
      <c r="Q2806" s="62" t="str">
        <f>IF(G2806="PA",IF(M2806&lt;&gt;"",ISERROR(VLOOKUP(M2806,ABBR!C:F,1,FALSE)),ISERROR(VLOOKUP(E2806,ABBR!C:F,1,FALSE))),"")</f>
        <v/>
      </c>
    </row>
    <row r="2807" spans="1:17" s="62" customFormat="1" hidden="1" x14ac:dyDescent="0.25">
      <c r="A2807" s="16" t="s">
        <v>337</v>
      </c>
      <c r="B2807" s="17"/>
      <c r="C2807" s="16" t="s">
        <v>4726</v>
      </c>
      <c r="D2807" s="17" t="s">
        <v>766</v>
      </c>
      <c r="E2807" s="17" t="s">
        <v>1321</v>
      </c>
      <c r="F2807" s="18" t="s">
        <v>4727</v>
      </c>
      <c r="G2807" s="49" t="s">
        <v>4728</v>
      </c>
      <c r="H2807" s="17">
        <v>9</v>
      </c>
      <c r="I2807" s="30"/>
      <c r="J2807"/>
      <c r="K2807"/>
      <c r="L2807"/>
      <c r="M2807"/>
      <c r="N2807"/>
      <c r="O2807" s="62" t="str">
        <f>IF(E2807="PA",IF(K2807&lt;&gt;"",ISERROR(VLOOKUP(K2807,ABBR!A:D,1,FALSE)),ISERROR(VLOOKUP(C2807,ABBR!A:D,1,FALSE))),"")</f>
        <v/>
      </c>
      <c r="P2807" t="str">
        <f>VLOOKUP(A2807,Groups!A:L,5,FALSE)</f>
        <v>PMTG</v>
      </c>
      <c r="Q2807" s="62" t="str">
        <f>IF(G2807="PA",IF(M2807&lt;&gt;"",ISERROR(VLOOKUP(M2807,ABBR!C:F,1,FALSE)),ISERROR(VLOOKUP(E2807,ABBR!C:F,1,FALSE))),"")</f>
        <v/>
      </c>
    </row>
    <row r="2808" spans="1:17" s="62" customFormat="1" hidden="1" x14ac:dyDescent="0.25">
      <c r="A2808" s="16" t="s">
        <v>337</v>
      </c>
      <c r="B2808" s="17"/>
      <c r="C2808" s="16" t="s">
        <v>4729</v>
      </c>
      <c r="D2808" s="17" t="s">
        <v>1345</v>
      </c>
      <c r="E2808" s="17" t="s">
        <v>767</v>
      </c>
      <c r="F2808" s="18" t="s">
        <v>4730</v>
      </c>
      <c r="G2808" s="49" t="s">
        <v>4731</v>
      </c>
      <c r="H2808" s="17">
        <v>10</v>
      </c>
      <c r="I2808" s="30"/>
      <c r="J2808"/>
      <c r="K2808"/>
      <c r="L2808"/>
      <c r="M2808"/>
      <c r="N2808"/>
      <c r="O2808" s="62" t="str">
        <f>IF(E2808="PA",IF(K2808&lt;&gt;"",ISERROR(VLOOKUP(K2808,ABBR!A:D,1,FALSE)),ISERROR(VLOOKUP(C2808,ABBR!A:D,1,FALSE))),"")</f>
        <v/>
      </c>
      <c r="P2808" t="str">
        <f>VLOOKUP(A2808,Groups!A:L,5,FALSE)</f>
        <v>PMTG</v>
      </c>
      <c r="Q2808" s="62" t="str">
        <f>IF(G2808="PA",IF(M2808&lt;&gt;"",ISERROR(VLOOKUP(M2808,ABBR!C:F,1,FALSE)),ISERROR(VLOOKUP(E2808,ABBR!C:F,1,FALSE))),"")</f>
        <v/>
      </c>
    </row>
    <row r="2809" spans="1:17" s="62" customFormat="1" ht="25" hidden="1" x14ac:dyDescent="0.25">
      <c r="A2809" s="16" t="s">
        <v>337</v>
      </c>
      <c r="B2809" s="17"/>
      <c r="C2809" s="16" t="s">
        <v>4732</v>
      </c>
      <c r="D2809" s="17" t="s">
        <v>1710</v>
      </c>
      <c r="E2809" s="17" t="s">
        <v>1321</v>
      </c>
      <c r="F2809" s="18" t="s">
        <v>4733</v>
      </c>
      <c r="G2809" s="49" t="s">
        <v>4734</v>
      </c>
      <c r="H2809" s="17">
        <v>11</v>
      </c>
      <c r="I2809" s="30"/>
      <c r="J2809"/>
      <c r="K2809"/>
      <c r="L2809"/>
      <c r="M2809"/>
      <c r="N2809"/>
      <c r="O2809" s="62" t="str">
        <f>IF(E2809="PA",IF(K2809&lt;&gt;"",ISERROR(VLOOKUP(K2809,ABBR!A:D,1,FALSE)),ISERROR(VLOOKUP(C2809,ABBR!A:D,1,FALSE))),"")</f>
        <v/>
      </c>
      <c r="P2809" t="str">
        <f>VLOOKUP(A2809,Groups!A:L,5,FALSE)</f>
        <v>PMTG</v>
      </c>
      <c r="Q2809" s="62" t="str">
        <f>IF(G2809="PA",IF(M2809&lt;&gt;"",ISERROR(VLOOKUP(M2809,ABBR!C:F,1,FALSE)),ISERROR(VLOOKUP(E2809,ABBR!C:F,1,FALSE))),"")</f>
        <v/>
      </c>
    </row>
    <row r="2810" spans="1:17" s="62" customFormat="1" hidden="1" x14ac:dyDescent="0.25">
      <c r="A2810" s="16" t="s">
        <v>337</v>
      </c>
      <c r="B2810" s="17"/>
      <c r="C2810" s="16" t="s">
        <v>4735</v>
      </c>
      <c r="D2810" s="17"/>
      <c r="E2810" s="17" t="s">
        <v>1321</v>
      </c>
      <c r="F2810" s="18" t="s">
        <v>4736</v>
      </c>
      <c r="G2810" s="49" t="s">
        <v>4737</v>
      </c>
      <c r="H2810" s="17">
        <v>12</v>
      </c>
      <c r="I2810" s="30"/>
      <c r="J2810"/>
      <c r="K2810"/>
      <c r="L2810"/>
      <c r="M2810"/>
      <c r="N2810"/>
      <c r="O2810" s="62" t="str">
        <f>IF(E2810="PA",IF(K2810&lt;&gt;"",ISERROR(VLOOKUP(K2810,ABBR!A:D,1,FALSE)),ISERROR(VLOOKUP(C2810,ABBR!A:D,1,FALSE))),"")</f>
        <v/>
      </c>
      <c r="P2810" t="str">
        <f>VLOOKUP(A2810,Groups!A:L,5,FALSE)</f>
        <v>PMTG</v>
      </c>
      <c r="Q2810" s="62" t="str">
        <f>IF(G2810="PA",IF(M2810&lt;&gt;"",ISERROR(VLOOKUP(M2810,ABBR!C:F,1,FALSE)),ISERROR(VLOOKUP(E2810,ABBR!C:F,1,FALSE))),"")</f>
        <v/>
      </c>
    </row>
    <row r="2811" spans="1:17" s="62" customFormat="1" hidden="1" x14ac:dyDescent="0.25">
      <c r="A2811" s="16" t="s">
        <v>337</v>
      </c>
      <c r="B2811" s="17"/>
      <c r="C2811" s="16" t="s">
        <v>4738</v>
      </c>
      <c r="D2811" s="17"/>
      <c r="E2811" s="17" t="s">
        <v>608</v>
      </c>
      <c r="F2811" s="18" t="s">
        <v>642</v>
      </c>
      <c r="G2811" s="49" t="s">
        <v>16</v>
      </c>
      <c r="H2811" s="17">
        <v>13</v>
      </c>
      <c r="I2811" s="30"/>
      <c r="J2811"/>
      <c r="K2811"/>
      <c r="L2811"/>
      <c r="M2811" s="101"/>
      <c r="N2811"/>
      <c r="O2811" s="62" t="str">
        <f>IF(E2811="PA",IF(K2811&lt;&gt;"",ISERROR(VLOOKUP(K2811,ABBR!A:D,1,FALSE)),ISERROR(VLOOKUP(C2811,ABBR!A:D,1,FALSE))),"")</f>
        <v/>
      </c>
      <c r="P2811" t="str">
        <f>VLOOKUP(A2811,Groups!A:L,5,FALSE)</f>
        <v>PMTG</v>
      </c>
      <c r="Q2811" s="62" t="str">
        <f>IF(G2811="PA",IF(M2811&lt;&gt;"",ISERROR(VLOOKUP(M2811,ABBR!C:F,1,FALSE)),ISERROR(VLOOKUP(E2811,ABBR!C:F,1,FALSE))),"")</f>
        <v/>
      </c>
    </row>
    <row r="2812" spans="1:17" s="62" customFormat="1" hidden="1" x14ac:dyDescent="0.25">
      <c r="A2812" s="16" t="s">
        <v>337</v>
      </c>
      <c r="B2812" s="17"/>
      <c r="C2812" s="16" t="s">
        <v>643</v>
      </c>
      <c r="D2812" s="17"/>
      <c r="E2812" s="17" t="s">
        <v>608</v>
      </c>
      <c r="F2812" s="18" t="s">
        <v>954</v>
      </c>
      <c r="G2812" s="49" t="s">
        <v>3238</v>
      </c>
      <c r="H2812" s="17">
        <v>14</v>
      </c>
      <c r="I2812" s="30"/>
      <c r="J2812"/>
      <c r="K2812"/>
      <c r="L2812"/>
      <c r="M2812"/>
      <c r="N2812"/>
      <c r="O2812" s="62" t="str">
        <f>IF(E2812="PA",IF(K2812&lt;&gt;"",ISERROR(VLOOKUP(K2812,ABBR!A:D,1,FALSE)),ISERROR(VLOOKUP(C2812,ABBR!A:D,1,FALSE))),"")</f>
        <v/>
      </c>
      <c r="P2812" t="str">
        <f>VLOOKUP(A2812,Groups!A:L,5,FALSE)</f>
        <v>PMTG</v>
      </c>
      <c r="Q2812" s="62" t="str">
        <f>IF(G2812="PA",IF(M2812&lt;&gt;"",ISERROR(VLOOKUP(M2812,ABBR!C:F,1,FALSE)),ISERROR(VLOOKUP(E2812,ABBR!C:F,1,FALSE))),"")</f>
        <v/>
      </c>
    </row>
    <row r="2813" spans="1:17" s="62" customFormat="1" hidden="1" x14ac:dyDescent="0.25">
      <c r="A2813" s="16" t="s">
        <v>337</v>
      </c>
      <c r="B2813" s="17"/>
      <c r="C2813" s="16" t="s">
        <v>4739</v>
      </c>
      <c r="D2813" s="17"/>
      <c r="E2813" s="17" t="s">
        <v>608</v>
      </c>
      <c r="F2813" s="18" t="s">
        <v>4712</v>
      </c>
      <c r="G2813" s="49" t="s">
        <v>4740</v>
      </c>
      <c r="H2813" s="17">
        <v>15</v>
      </c>
      <c r="I2813" s="30" t="s">
        <v>955</v>
      </c>
      <c r="J2813" s="80">
        <v>4.0999999999999996</v>
      </c>
      <c r="K2813"/>
      <c r="L2813"/>
      <c r="M2813"/>
      <c r="N2813"/>
      <c r="O2813" s="62" t="str">
        <f>IF(E2813="PA",IF(K2813&lt;&gt;"",ISERROR(VLOOKUP(K2813,ABBR!A:D,1,FALSE)),ISERROR(VLOOKUP(C2813,ABBR!A:D,1,FALSE))),"")</f>
        <v/>
      </c>
      <c r="P2813" t="str">
        <f>VLOOKUP(A2813,Groups!A:L,5,FALSE)</f>
        <v>PMTG</v>
      </c>
      <c r="Q2813" s="62" t="str">
        <f>IF(G2813="PA",IF(M2813&lt;&gt;"",ISERROR(VLOOKUP(M2813,ABBR!C:F,1,FALSE)),ISERROR(VLOOKUP(E2813,ABBR!C:F,1,FALSE))),"")</f>
        <v/>
      </c>
    </row>
    <row r="2814" spans="1:17" s="62" customFormat="1" ht="25" hidden="1" x14ac:dyDescent="0.25">
      <c r="A2814" s="16" t="s">
        <v>340</v>
      </c>
      <c r="B2814" s="17" t="s">
        <v>594</v>
      </c>
      <c r="C2814" s="16" t="s">
        <v>4741</v>
      </c>
      <c r="D2814" s="17" t="s">
        <v>1421</v>
      </c>
      <c r="E2814" s="17" t="s">
        <v>925</v>
      </c>
      <c r="F2814" s="18" t="s">
        <v>4742</v>
      </c>
      <c r="G2814" s="49" t="s">
        <v>4743</v>
      </c>
      <c r="H2814" s="17">
        <v>1</v>
      </c>
      <c r="I2814" s="30"/>
      <c r="J2814"/>
      <c r="K2814"/>
      <c r="L2814"/>
      <c r="M2814"/>
      <c r="N2814"/>
      <c r="O2814" s="62" t="str">
        <f>IF(E2814="PA",IF(K2814&lt;&gt;"",ISERROR(VLOOKUP(K2814,ABBR!A:D,1,FALSE)),ISERROR(VLOOKUP(C2814,ABBR!A:D,1,FALSE))),"")</f>
        <v/>
      </c>
      <c r="P2814" t="str">
        <f>VLOOKUP(A2814,Groups!A:L,5,FALSE)</f>
        <v>-</v>
      </c>
      <c r="Q2814" s="62" t="str">
        <f>IF(G2814="PA",IF(M2814&lt;&gt;"",ISERROR(VLOOKUP(M2814,ABBR!C:F,1,FALSE)),ISERROR(VLOOKUP(E2814,ABBR!C:F,1,FALSE))),"")</f>
        <v/>
      </c>
    </row>
    <row r="2815" spans="1:17" s="62" customFormat="1" hidden="1" x14ac:dyDescent="0.25">
      <c r="A2815" s="16" t="s">
        <v>340</v>
      </c>
      <c r="B2815" s="17"/>
      <c r="C2815" s="16" t="s">
        <v>4744</v>
      </c>
      <c r="D2815" s="17"/>
      <c r="E2815" s="17" t="s">
        <v>608</v>
      </c>
      <c r="F2815" s="18" t="s">
        <v>4745</v>
      </c>
      <c r="G2815" s="49" t="s">
        <v>4746</v>
      </c>
      <c r="H2815" s="17">
        <v>2</v>
      </c>
      <c r="I2815" s="30"/>
      <c r="J2815"/>
      <c r="K2815"/>
      <c r="L2815"/>
      <c r="M2815"/>
      <c r="N2815"/>
      <c r="O2815" s="62" t="str">
        <f>IF(E2815="PA",IF(K2815&lt;&gt;"",ISERROR(VLOOKUP(K2815,ABBR!A:D,1,FALSE)),ISERROR(VLOOKUP(C2815,ABBR!A:D,1,FALSE))),"")</f>
        <v/>
      </c>
      <c r="P2815" t="str">
        <f>VLOOKUP(A2815,Groups!A:L,5,FALSE)</f>
        <v>-</v>
      </c>
      <c r="Q2815" s="62" t="str">
        <f>IF(G2815="PA",IF(M2815&lt;&gt;"",ISERROR(VLOOKUP(M2815,ABBR!C:F,1,FALSE)),ISERROR(VLOOKUP(E2815,ABBR!C:F,1,FALSE))),"")</f>
        <v/>
      </c>
    </row>
    <row r="2816" spans="1:17" s="62" customFormat="1" ht="25" hidden="1" x14ac:dyDescent="0.25">
      <c r="A2816" s="16" t="s">
        <v>340</v>
      </c>
      <c r="B2816" s="17"/>
      <c r="C2816" s="16" t="s">
        <v>4747</v>
      </c>
      <c r="D2816" s="17"/>
      <c r="E2816" s="17" t="s">
        <v>608</v>
      </c>
      <c r="F2816" s="18" t="s">
        <v>4748</v>
      </c>
      <c r="G2816" s="49" t="s">
        <v>4749</v>
      </c>
      <c r="H2816" s="17">
        <v>3</v>
      </c>
      <c r="I2816" s="30"/>
      <c r="J2816"/>
      <c r="K2816"/>
      <c r="L2816"/>
      <c r="M2816"/>
      <c r="N2816"/>
      <c r="O2816" s="62" t="str">
        <f>IF(E2816="PA",IF(K2816&lt;&gt;"",ISERROR(VLOOKUP(K2816,ABBR!A:D,1,FALSE)),ISERROR(VLOOKUP(C2816,ABBR!A:D,1,FALSE))),"")</f>
        <v/>
      </c>
      <c r="P2816" t="str">
        <f>VLOOKUP(A2816,Groups!A:L,5,FALSE)</f>
        <v>-</v>
      </c>
      <c r="Q2816" s="62" t="str">
        <f>IF(G2816="PA",IF(M2816&lt;&gt;"",ISERROR(VLOOKUP(M2816,ABBR!C:F,1,FALSE)),ISERROR(VLOOKUP(E2816,ABBR!C:F,1,FALSE))),"")</f>
        <v/>
      </c>
    </row>
    <row r="2817" spans="1:17" s="62" customFormat="1" hidden="1" x14ac:dyDescent="0.25">
      <c r="A2817" s="16" t="s">
        <v>340</v>
      </c>
      <c r="B2817" s="17"/>
      <c r="C2817" s="16" t="s">
        <v>4750</v>
      </c>
      <c r="D2817" s="17" t="s">
        <v>1639</v>
      </c>
      <c r="E2817" s="17" t="s">
        <v>1417</v>
      </c>
      <c r="F2817" s="18" t="s">
        <v>4751</v>
      </c>
      <c r="G2817" s="49" t="s">
        <v>4752</v>
      </c>
      <c r="H2817" s="17">
        <v>4</v>
      </c>
      <c r="I2817" s="30"/>
      <c r="J2817"/>
      <c r="K2817"/>
      <c r="L2817"/>
      <c r="M2817"/>
      <c r="N2817"/>
      <c r="O2817" s="62" t="str">
        <f>IF(E2817="PA",IF(K2817&lt;&gt;"",ISERROR(VLOOKUP(K2817,ABBR!A:D,1,FALSE)),ISERROR(VLOOKUP(C2817,ABBR!A:D,1,FALSE))),"")</f>
        <v/>
      </c>
      <c r="P2817" t="str">
        <f>VLOOKUP(A2817,Groups!A:L,5,FALSE)</f>
        <v>-</v>
      </c>
      <c r="Q2817" s="62" t="str">
        <f>IF(G2817="PA",IF(M2817&lt;&gt;"",ISERROR(VLOOKUP(M2817,ABBR!C:F,1,FALSE)),ISERROR(VLOOKUP(E2817,ABBR!C:F,1,FALSE))),"")</f>
        <v/>
      </c>
    </row>
    <row r="2818" spans="1:17" s="62" customFormat="1" ht="25" hidden="1" x14ac:dyDescent="0.25">
      <c r="A2818" s="16" t="s">
        <v>340</v>
      </c>
      <c r="B2818" s="17"/>
      <c r="C2818" s="16" t="s">
        <v>4753</v>
      </c>
      <c r="D2818" s="17" t="s">
        <v>1421</v>
      </c>
      <c r="E2818" s="17" t="s">
        <v>925</v>
      </c>
      <c r="F2818" s="18" t="s">
        <v>4754</v>
      </c>
      <c r="G2818" s="49" t="s">
        <v>4755</v>
      </c>
      <c r="H2818" s="17">
        <v>5</v>
      </c>
      <c r="I2818" s="30"/>
      <c r="J2818"/>
      <c r="K2818"/>
      <c r="L2818"/>
      <c r="M2818"/>
      <c r="N2818"/>
      <c r="O2818" s="62" t="str">
        <f>IF(E2818="PA",IF(K2818&lt;&gt;"",ISERROR(VLOOKUP(K2818,ABBR!A:D,1,FALSE)),ISERROR(VLOOKUP(C2818,ABBR!A:D,1,FALSE))),"")</f>
        <v/>
      </c>
      <c r="P2818" t="str">
        <f>VLOOKUP(A2818,Groups!A:L,5,FALSE)</f>
        <v>-</v>
      </c>
      <c r="Q2818" s="62" t="str">
        <f>IF(G2818="PA",IF(M2818&lt;&gt;"",ISERROR(VLOOKUP(M2818,ABBR!C:F,1,FALSE)),ISERROR(VLOOKUP(E2818,ABBR!C:F,1,FALSE))),"")</f>
        <v/>
      </c>
    </row>
    <row r="2819" spans="1:17" s="62" customFormat="1" hidden="1" x14ac:dyDescent="0.25">
      <c r="A2819" s="16" t="s">
        <v>340</v>
      </c>
      <c r="B2819" s="17"/>
      <c r="C2819" s="16" t="s">
        <v>643</v>
      </c>
      <c r="D2819" s="17"/>
      <c r="E2819" s="17" t="s">
        <v>608</v>
      </c>
      <c r="F2819" s="18" t="s">
        <v>4756</v>
      </c>
      <c r="G2819" s="49" t="s">
        <v>4479</v>
      </c>
      <c r="H2819" s="17">
        <v>6</v>
      </c>
      <c r="I2819" s="30"/>
      <c r="J2819"/>
      <c r="K2819"/>
      <c r="L2819"/>
      <c r="M2819"/>
      <c r="N2819"/>
      <c r="O2819" s="62" t="str">
        <f>IF(E2819="PA",IF(K2819&lt;&gt;"",ISERROR(VLOOKUP(K2819,ABBR!A:D,1,FALSE)),ISERROR(VLOOKUP(C2819,ABBR!A:D,1,FALSE))),"")</f>
        <v/>
      </c>
      <c r="P2819" t="str">
        <f>VLOOKUP(A2819,Groups!A:L,5,FALSE)</f>
        <v>-</v>
      </c>
      <c r="Q2819" s="62" t="str">
        <f>IF(G2819="PA",IF(M2819&lt;&gt;"",ISERROR(VLOOKUP(M2819,ABBR!C:F,1,FALSE)),ISERROR(VLOOKUP(E2819,ABBR!C:F,1,FALSE))),"")</f>
        <v/>
      </c>
    </row>
    <row r="2820" spans="1:17" s="62" customFormat="1" hidden="1" x14ac:dyDescent="0.25">
      <c r="A2820" s="16" t="s">
        <v>18</v>
      </c>
      <c r="B2820" s="17" t="s">
        <v>960</v>
      </c>
      <c r="C2820" s="16" t="s">
        <v>4757</v>
      </c>
      <c r="D2820" s="17"/>
      <c r="E2820" s="17" t="s">
        <v>596</v>
      </c>
      <c r="F2820" s="18" t="s">
        <v>4758</v>
      </c>
      <c r="G2820" s="49">
        <v>121415</v>
      </c>
      <c r="H2820" s="17">
        <v>1</v>
      </c>
      <c r="I2820" s="30"/>
      <c r="J2820"/>
      <c r="K2820"/>
      <c r="L2820"/>
      <c r="M2820"/>
      <c r="N2820"/>
      <c r="O2820" s="62" t="str">
        <f>IF(E2820="PA",IF(K2820&lt;&gt;"",ISERROR(VLOOKUP(K2820,ABBR!A:D,1,FALSE)),ISERROR(VLOOKUP(C2820,ABBR!A:D,1,FALSE))),"")</f>
        <v/>
      </c>
      <c r="P2820" t="str">
        <f>VLOOKUP(A2820,Groups!A:L,5,FALSE)</f>
        <v>-</v>
      </c>
      <c r="Q2820" s="62" t="str">
        <f>IF(G2820="PA",IF(M2820&lt;&gt;"",ISERROR(VLOOKUP(M2820,ABBR!C:F,1,FALSE)),ISERROR(VLOOKUP(E2820,ABBR!C:F,1,FALSE))),"")</f>
        <v/>
      </c>
    </row>
    <row r="2821" spans="1:17" s="62" customFormat="1" ht="25" hidden="1" x14ac:dyDescent="0.25">
      <c r="A2821" s="16" t="s">
        <v>18</v>
      </c>
      <c r="B2821" s="17"/>
      <c r="C2821" s="16" t="s">
        <v>4759</v>
      </c>
      <c r="D2821" s="17"/>
      <c r="E2821" s="17" t="s">
        <v>608</v>
      </c>
      <c r="F2821" s="18" t="s">
        <v>4760</v>
      </c>
      <c r="G2821" s="49" t="s">
        <v>4761</v>
      </c>
      <c r="H2821" s="17">
        <v>2</v>
      </c>
      <c r="I2821" s="30"/>
      <c r="J2821"/>
      <c r="K2821"/>
      <c r="L2821"/>
      <c r="M2821"/>
      <c r="N2821"/>
      <c r="O2821" s="62" t="str">
        <f>IF(E2821="PA",IF(K2821&lt;&gt;"",ISERROR(VLOOKUP(K2821,ABBR!A:D,1,FALSE)),ISERROR(VLOOKUP(C2821,ABBR!A:D,1,FALSE))),"")</f>
        <v/>
      </c>
      <c r="P2821" t="str">
        <f>VLOOKUP(A2821,Groups!A:L,5,FALSE)</f>
        <v>-</v>
      </c>
      <c r="Q2821" s="62" t="str">
        <f>IF(G2821="PA",IF(M2821&lt;&gt;"",ISERROR(VLOOKUP(M2821,ABBR!C:F,1,FALSE)),ISERROR(VLOOKUP(E2821,ABBR!C:F,1,FALSE))),"")</f>
        <v/>
      </c>
    </row>
    <row r="2822" spans="1:17" s="62" customFormat="1" hidden="1" x14ac:dyDescent="0.25">
      <c r="A2822" s="16" t="s">
        <v>18</v>
      </c>
      <c r="B2822" s="17"/>
      <c r="C2822" s="16" t="s">
        <v>4762</v>
      </c>
      <c r="D2822" s="17"/>
      <c r="E2822" s="17" t="s">
        <v>608</v>
      </c>
      <c r="F2822" s="18" t="s">
        <v>4763</v>
      </c>
      <c r="G2822" s="49" t="s">
        <v>4764</v>
      </c>
      <c r="H2822" s="17">
        <v>3</v>
      </c>
      <c r="I2822" s="30"/>
      <c r="J2822"/>
      <c r="K2822"/>
      <c r="L2822"/>
      <c r="M2822"/>
      <c r="N2822"/>
      <c r="O2822" s="62" t="str">
        <f>IF(E2822="PA",IF(K2822&lt;&gt;"",ISERROR(VLOOKUP(K2822,ABBR!A:D,1,FALSE)),ISERROR(VLOOKUP(C2822,ABBR!A:D,1,FALSE))),"")</f>
        <v/>
      </c>
      <c r="P2822" t="str">
        <f>VLOOKUP(A2822,Groups!A:L,5,FALSE)</f>
        <v>-</v>
      </c>
      <c r="Q2822" s="62" t="str">
        <f>IF(G2822="PA",IF(M2822&lt;&gt;"",ISERROR(VLOOKUP(M2822,ABBR!C:F,1,FALSE)),ISERROR(VLOOKUP(E2822,ABBR!C:F,1,FALSE))),"")</f>
        <v/>
      </c>
    </row>
    <row r="2823" spans="1:17" s="62" customFormat="1" hidden="1" x14ac:dyDescent="0.25">
      <c r="A2823" s="16" t="s">
        <v>18</v>
      </c>
      <c r="B2823" s="17"/>
      <c r="C2823" s="16" t="s">
        <v>4765</v>
      </c>
      <c r="D2823" s="17"/>
      <c r="E2823" s="17" t="s">
        <v>608</v>
      </c>
      <c r="F2823" s="18" t="s">
        <v>4766</v>
      </c>
      <c r="G2823" s="49" t="s">
        <v>4767</v>
      </c>
      <c r="H2823" s="17">
        <v>4</v>
      </c>
      <c r="I2823" s="30"/>
      <c r="J2823"/>
      <c r="K2823"/>
      <c r="L2823"/>
      <c r="M2823"/>
      <c r="N2823"/>
      <c r="O2823" s="62" t="str">
        <f>IF(E2823="PA",IF(K2823&lt;&gt;"",ISERROR(VLOOKUP(K2823,ABBR!A:D,1,FALSE)),ISERROR(VLOOKUP(C2823,ABBR!A:D,1,FALSE))),"")</f>
        <v/>
      </c>
      <c r="P2823" t="str">
        <f>VLOOKUP(A2823,Groups!A:L,5,FALSE)</f>
        <v>-</v>
      </c>
      <c r="Q2823" s="62" t="str">
        <f>IF(G2823="PA",IF(M2823&lt;&gt;"",ISERROR(VLOOKUP(M2823,ABBR!C:F,1,FALSE)),ISERROR(VLOOKUP(E2823,ABBR!C:F,1,FALSE))),"")</f>
        <v/>
      </c>
    </row>
    <row r="2824" spans="1:17" s="62" customFormat="1" hidden="1" x14ac:dyDescent="0.25">
      <c r="A2824" s="16" t="s">
        <v>18</v>
      </c>
      <c r="B2824" s="17"/>
      <c r="C2824" s="16" t="s">
        <v>4768</v>
      </c>
      <c r="D2824" s="17"/>
      <c r="E2824" s="17" t="s">
        <v>608</v>
      </c>
      <c r="F2824" s="18" t="s">
        <v>4769</v>
      </c>
      <c r="G2824" s="49" t="s">
        <v>3043</v>
      </c>
      <c r="H2824" s="17">
        <v>5</v>
      </c>
      <c r="I2824" s="30"/>
      <c r="J2824"/>
      <c r="K2824"/>
      <c r="L2824"/>
      <c r="M2824"/>
      <c r="N2824"/>
      <c r="O2824" s="62" t="str">
        <f>IF(E2824="PA",IF(K2824&lt;&gt;"",ISERROR(VLOOKUP(K2824,ABBR!A:D,1,FALSE)),ISERROR(VLOOKUP(C2824,ABBR!A:D,1,FALSE))),"")</f>
        <v/>
      </c>
      <c r="P2824" t="str">
        <f>VLOOKUP(A2824,Groups!A:L,5,FALSE)</f>
        <v>-</v>
      </c>
      <c r="Q2824" s="62" t="str">
        <f>IF(G2824="PA",IF(M2824&lt;&gt;"",ISERROR(VLOOKUP(M2824,ABBR!C:F,1,FALSE)),ISERROR(VLOOKUP(E2824,ABBR!C:F,1,FALSE))),"")</f>
        <v/>
      </c>
    </row>
    <row r="2825" spans="1:17" s="62" customFormat="1" hidden="1" x14ac:dyDescent="0.25">
      <c r="A2825" s="16" t="s">
        <v>18</v>
      </c>
      <c r="B2825" s="17"/>
      <c r="C2825" s="16" t="s">
        <v>4770</v>
      </c>
      <c r="D2825" s="17"/>
      <c r="E2825" s="17" t="s">
        <v>608</v>
      </c>
      <c r="F2825" s="18" t="s">
        <v>4771</v>
      </c>
      <c r="G2825" s="49" t="s">
        <v>3535</v>
      </c>
      <c r="H2825" s="17">
        <v>6</v>
      </c>
      <c r="I2825" s="30"/>
      <c r="J2825"/>
      <c r="K2825"/>
      <c r="L2825"/>
      <c r="M2825"/>
      <c r="N2825"/>
      <c r="O2825" s="62" t="str">
        <f>IF(E2825="PA",IF(K2825&lt;&gt;"",ISERROR(VLOOKUP(K2825,ABBR!A:D,1,FALSE)),ISERROR(VLOOKUP(C2825,ABBR!A:D,1,FALSE))),"")</f>
        <v/>
      </c>
      <c r="P2825" t="str">
        <f>VLOOKUP(A2825,Groups!A:L,5,FALSE)</f>
        <v>-</v>
      </c>
      <c r="Q2825" s="62" t="str">
        <f>IF(G2825="PA",IF(M2825&lt;&gt;"",ISERROR(VLOOKUP(M2825,ABBR!C:F,1,FALSE)),ISERROR(VLOOKUP(E2825,ABBR!C:F,1,FALSE))),"")</f>
        <v/>
      </c>
    </row>
    <row r="2826" spans="1:17" s="62" customFormat="1" hidden="1" x14ac:dyDescent="0.25">
      <c r="A2826" s="16" t="s">
        <v>18</v>
      </c>
      <c r="B2826" s="17"/>
      <c r="C2826" s="16" t="s">
        <v>4772</v>
      </c>
      <c r="D2826" s="17"/>
      <c r="E2826" s="17" t="s">
        <v>608</v>
      </c>
      <c r="F2826" s="18" t="s">
        <v>4773</v>
      </c>
      <c r="G2826" s="49"/>
      <c r="H2826" s="17">
        <v>7</v>
      </c>
      <c r="I2826" s="30"/>
      <c r="J2826"/>
      <c r="K2826"/>
      <c r="L2826"/>
      <c r="M2826" s="101" t="s">
        <v>1044</v>
      </c>
      <c r="N2826"/>
      <c r="O2826" s="62" t="str">
        <f>IF(E2826="PA",IF(K2826&lt;&gt;"",ISERROR(VLOOKUP(K2826,ABBR!A:D,1,FALSE)),ISERROR(VLOOKUP(C2826,ABBR!A:D,1,FALSE))),"")</f>
        <v/>
      </c>
      <c r="P2826" t="str">
        <f>VLOOKUP(A2826,Groups!A:L,5,FALSE)</f>
        <v>-</v>
      </c>
      <c r="Q2826" s="62" t="str">
        <f>IF(G2826="PA",IF(M2826&lt;&gt;"",ISERROR(VLOOKUP(M2826,ABBR!C:F,1,FALSE)),ISERROR(VLOOKUP(E2826,ABBR!C:F,1,FALSE))),"")</f>
        <v/>
      </c>
    </row>
    <row r="2827" spans="1:17" s="62" customFormat="1" ht="25" hidden="1" x14ac:dyDescent="0.25">
      <c r="A2827" s="16" t="s">
        <v>18</v>
      </c>
      <c r="B2827" s="17"/>
      <c r="C2827" s="16" t="s">
        <v>643</v>
      </c>
      <c r="D2827" s="17"/>
      <c r="E2827" s="17" t="s">
        <v>608</v>
      </c>
      <c r="F2827" s="18" t="s">
        <v>4774</v>
      </c>
      <c r="G2827" s="49" t="s">
        <v>975</v>
      </c>
      <c r="H2827" s="17">
        <v>8</v>
      </c>
      <c r="I2827" s="30"/>
      <c r="J2827"/>
      <c r="K2827"/>
      <c r="L2827"/>
      <c r="M2827"/>
      <c r="N2827"/>
      <c r="O2827" s="62" t="str">
        <f>IF(E2827="PA",IF(K2827&lt;&gt;"",ISERROR(VLOOKUP(K2827,ABBR!A:D,1,FALSE)),ISERROR(VLOOKUP(C2827,ABBR!A:D,1,FALSE))),"")</f>
        <v/>
      </c>
      <c r="P2827" t="str">
        <f>VLOOKUP(A2827,Groups!A:L,5,FALSE)</f>
        <v>-</v>
      </c>
      <c r="Q2827" s="62" t="str">
        <f>IF(G2827="PA",IF(M2827&lt;&gt;"",ISERROR(VLOOKUP(M2827,ABBR!C:F,1,FALSE)),ISERROR(VLOOKUP(E2827,ABBR!C:F,1,FALSE))),"")</f>
        <v/>
      </c>
    </row>
    <row r="2828" spans="1:17" s="62" customFormat="1" hidden="1" x14ac:dyDescent="0.25">
      <c r="A2828" s="16" t="s">
        <v>343</v>
      </c>
      <c r="B2828" s="17" t="s">
        <v>594</v>
      </c>
      <c r="C2828" s="16" t="s">
        <v>595</v>
      </c>
      <c r="D2828" s="17"/>
      <c r="E2828" s="17" t="s">
        <v>596</v>
      </c>
      <c r="F2828" s="18" t="s">
        <v>597</v>
      </c>
      <c r="G2828" s="49" t="s">
        <v>598</v>
      </c>
      <c r="H2828" s="17">
        <v>1</v>
      </c>
      <c r="I2828" s="30"/>
      <c r="J2828"/>
      <c r="K2828"/>
      <c r="L2828"/>
      <c r="M2828"/>
      <c r="N2828"/>
      <c r="O2828" s="62" t="str">
        <f>IF(E2828="PA",IF(K2828&lt;&gt;"",ISERROR(VLOOKUP(K2828,ABBR!A:D,1,FALSE)),ISERROR(VLOOKUP(C2828,ABBR!A:D,1,FALSE))),"")</f>
        <v/>
      </c>
      <c r="P2828" t="str">
        <f>VLOOKUP(A2828,Groups!A:L,5,FALSE)</f>
        <v>LOCA</v>
      </c>
      <c r="Q2828" s="62" t="str">
        <f>IF(G2828="PA",IF(M2828&lt;&gt;"",ISERROR(VLOOKUP(M2828,ABBR!C:F,1,FALSE)),ISERROR(VLOOKUP(E2828,ABBR!C:F,1,FALSE))),"")</f>
        <v/>
      </c>
    </row>
    <row r="2829" spans="1:17" s="62" customFormat="1" ht="25" hidden="1" x14ac:dyDescent="0.25">
      <c r="A2829" s="16" t="s">
        <v>343</v>
      </c>
      <c r="B2829" s="17" t="s">
        <v>594</v>
      </c>
      <c r="C2829" s="16" t="s">
        <v>4775</v>
      </c>
      <c r="D2829" s="17" t="s">
        <v>1421</v>
      </c>
      <c r="E2829" s="17" t="s">
        <v>925</v>
      </c>
      <c r="F2829" s="18" t="s">
        <v>4776</v>
      </c>
      <c r="G2829" s="49" t="s">
        <v>4777</v>
      </c>
      <c r="H2829" s="17">
        <v>2</v>
      </c>
      <c r="I2829" s="30"/>
      <c r="J2829"/>
      <c r="K2829"/>
      <c r="L2829"/>
      <c r="M2829"/>
      <c r="N2829"/>
      <c r="O2829" s="62" t="str">
        <f>IF(E2829="PA",IF(K2829&lt;&gt;"",ISERROR(VLOOKUP(K2829,ABBR!A:D,1,FALSE)),ISERROR(VLOOKUP(C2829,ABBR!A:D,1,FALSE))),"")</f>
        <v/>
      </c>
      <c r="P2829" t="str">
        <f>VLOOKUP(A2829,Groups!A:L,5,FALSE)</f>
        <v>LOCA</v>
      </c>
      <c r="Q2829" s="62" t="str">
        <f>IF(G2829="PA",IF(M2829&lt;&gt;"",ISERROR(VLOOKUP(M2829,ABBR!C:F,1,FALSE)),ISERROR(VLOOKUP(E2829,ABBR!C:F,1,FALSE))),"")</f>
        <v/>
      </c>
    </row>
    <row r="2830" spans="1:17" s="62" customFormat="1" hidden="1" x14ac:dyDescent="0.25">
      <c r="A2830" s="16" t="s">
        <v>343</v>
      </c>
      <c r="B2830" s="17"/>
      <c r="C2830" s="16" t="s">
        <v>4778</v>
      </c>
      <c r="D2830" s="17" t="s">
        <v>600</v>
      </c>
      <c r="E2830" s="17" t="s">
        <v>601</v>
      </c>
      <c r="F2830" s="18" t="s">
        <v>4779</v>
      </c>
      <c r="G2830" s="49" t="s">
        <v>4780</v>
      </c>
      <c r="H2830" s="17">
        <v>3</v>
      </c>
      <c r="I2830" s="30"/>
      <c r="J2830"/>
      <c r="K2830"/>
      <c r="L2830"/>
      <c r="M2830"/>
      <c r="N2830"/>
      <c r="O2830" s="62" t="str">
        <f>IF(E2830="PA",IF(K2830&lt;&gt;"",ISERROR(VLOOKUP(K2830,ABBR!A:D,1,FALSE)),ISERROR(VLOOKUP(C2830,ABBR!A:D,1,FALSE))),"")</f>
        <v/>
      </c>
      <c r="P2830" t="str">
        <f>VLOOKUP(A2830,Groups!A:L,5,FALSE)</f>
        <v>LOCA</v>
      </c>
      <c r="Q2830" s="62" t="str">
        <f>IF(G2830="PA",IF(M2830&lt;&gt;"",ISERROR(VLOOKUP(M2830,ABBR!C:F,1,FALSE)),ISERROR(VLOOKUP(E2830,ABBR!C:F,1,FALSE))),"")</f>
        <v/>
      </c>
    </row>
    <row r="2831" spans="1:17" s="62" customFormat="1" hidden="1" x14ac:dyDescent="0.25">
      <c r="A2831" s="16" t="s">
        <v>343</v>
      </c>
      <c r="B2831" s="17"/>
      <c r="C2831" s="16" t="s">
        <v>4781</v>
      </c>
      <c r="D2831" s="17" t="s">
        <v>600</v>
      </c>
      <c r="E2831" s="17" t="s">
        <v>601</v>
      </c>
      <c r="F2831" s="18" t="s">
        <v>4782</v>
      </c>
      <c r="G2831" s="49" t="s">
        <v>4783</v>
      </c>
      <c r="H2831" s="17">
        <v>4</v>
      </c>
      <c r="I2831" s="30"/>
      <c r="J2831"/>
      <c r="K2831"/>
      <c r="L2831"/>
      <c r="M2831"/>
      <c r="N2831"/>
      <c r="O2831" s="62" t="str">
        <f>IF(E2831="PA",IF(K2831&lt;&gt;"",ISERROR(VLOOKUP(K2831,ABBR!A:D,1,FALSE)),ISERROR(VLOOKUP(C2831,ABBR!A:D,1,FALSE))),"")</f>
        <v/>
      </c>
      <c r="P2831" t="str">
        <f>VLOOKUP(A2831,Groups!A:L,5,FALSE)</f>
        <v>LOCA</v>
      </c>
      <c r="Q2831" s="62" t="str">
        <f>IF(G2831="PA",IF(M2831&lt;&gt;"",ISERROR(VLOOKUP(M2831,ABBR!C:F,1,FALSE)),ISERROR(VLOOKUP(E2831,ABBR!C:F,1,FALSE))),"")</f>
        <v/>
      </c>
    </row>
    <row r="2832" spans="1:17" s="62" customFormat="1" hidden="1" x14ac:dyDescent="0.25">
      <c r="A2832" s="16" t="s">
        <v>343</v>
      </c>
      <c r="B2832" s="17"/>
      <c r="C2832" s="16" t="s">
        <v>4784</v>
      </c>
      <c r="D2832" s="17" t="s">
        <v>600</v>
      </c>
      <c r="E2832" s="17" t="s">
        <v>1391</v>
      </c>
      <c r="F2832" s="16" t="s">
        <v>3386</v>
      </c>
      <c r="G2832" s="8" t="s">
        <v>4785</v>
      </c>
      <c r="H2832" s="17">
        <v>5</v>
      </c>
      <c r="I2832" s="30"/>
      <c r="J2832"/>
      <c r="K2832"/>
      <c r="L2832"/>
      <c r="M2832"/>
      <c r="N2832"/>
      <c r="O2832" s="62" t="str">
        <f>IF(E2832="PA",IF(K2832&lt;&gt;"",ISERROR(VLOOKUP(K2832,ABBR!A:D,1,FALSE)),ISERROR(VLOOKUP(C2832,ABBR!A:D,1,FALSE))),"")</f>
        <v/>
      </c>
      <c r="P2832" t="str">
        <f>VLOOKUP(A2832,Groups!A:L,5,FALSE)</f>
        <v>LOCA</v>
      </c>
      <c r="Q2832" s="62" t="str">
        <f>IF(G2832="PA",IF(M2832&lt;&gt;"",ISERROR(VLOOKUP(M2832,ABBR!C:F,1,FALSE)),ISERROR(VLOOKUP(E2832,ABBR!C:F,1,FALSE))),"")</f>
        <v/>
      </c>
    </row>
    <row r="2833" spans="1:17" s="62" customFormat="1" ht="25" hidden="1" x14ac:dyDescent="0.25">
      <c r="A2833" s="16" t="s">
        <v>343</v>
      </c>
      <c r="B2833" s="17"/>
      <c r="C2833" s="16" t="s">
        <v>4786</v>
      </c>
      <c r="D2833" s="17"/>
      <c r="E2833" s="17" t="s">
        <v>608</v>
      </c>
      <c r="F2833" s="18" t="s">
        <v>642</v>
      </c>
      <c r="G2833" s="49" t="s">
        <v>4787</v>
      </c>
      <c r="H2833" s="17">
        <v>6</v>
      </c>
      <c r="I2833" s="30"/>
      <c r="J2833"/>
      <c r="K2833"/>
      <c r="L2833"/>
      <c r="M2833"/>
      <c r="N2833"/>
      <c r="O2833" s="62" t="str">
        <f>IF(E2833="PA",IF(K2833&lt;&gt;"",ISERROR(VLOOKUP(K2833,ABBR!A:D,1,FALSE)),ISERROR(VLOOKUP(C2833,ABBR!A:D,1,FALSE))),"")</f>
        <v/>
      </c>
      <c r="P2833" t="str">
        <f>VLOOKUP(A2833,Groups!A:L,5,FALSE)</f>
        <v>LOCA</v>
      </c>
      <c r="Q2833" s="62" t="str">
        <f>IF(G2833="PA",IF(M2833&lt;&gt;"",ISERROR(VLOOKUP(M2833,ABBR!C:F,1,FALSE)),ISERROR(VLOOKUP(E2833,ABBR!C:F,1,FALSE))),"")</f>
        <v/>
      </c>
    </row>
    <row r="2834" spans="1:17" s="62" customFormat="1" hidden="1" x14ac:dyDescent="0.25">
      <c r="A2834" s="16" t="s">
        <v>343</v>
      </c>
      <c r="B2834" s="17"/>
      <c r="C2834" s="16" t="s">
        <v>643</v>
      </c>
      <c r="D2834" s="17"/>
      <c r="E2834" s="17" t="s">
        <v>608</v>
      </c>
      <c r="F2834" s="18" t="s">
        <v>1267</v>
      </c>
      <c r="G2834" s="49" t="s">
        <v>3045</v>
      </c>
      <c r="H2834" s="17">
        <v>7</v>
      </c>
      <c r="I2834" s="30"/>
      <c r="J2834"/>
      <c r="K2834"/>
      <c r="L2834"/>
      <c r="M2834"/>
      <c r="N2834"/>
      <c r="O2834" s="62" t="str">
        <f>IF(E2834="PA",IF(K2834&lt;&gt;"",ISERROR(VLOOKUP(K2834,ABBR!A:D,1,FALSE)),ISERROR(VLOOKUP(C2834,ABBR!A:D,1,FALSE))),"")</f>
        <v/>
      </c>
      <c r="P2834" t="str">
        <f>VLOOKUP(A2834,Groups!A:L,5,FALSE)</f>
        <v>LOCA</v>
      </c>
      <c r="Q2834" s="62" t="str">
        <f>IF(G2834="PA",IF(M2834&lt;&gt;"",ISERROR(VLOOKUP(M2834,ABBR!C:F,1,FALSE)),ISERROR(VLOOKUP(E2834,ABBR!C:F,1,FALSE))),"")</f>
        <v/>
      </c>
    </row>
    <row r="2835" spans="1:17" s="62" customFormat="1" hidden="1" x14ac:dyDescent="0.25">
      <c r="A2835" s="16" t="s">
        <v>346</v>
      </c>
      <c r="B2835" s="17" t="s">
        <v>594</v>
      </c>
      <c r="C2835" s="16" t="s">
        <v>595</v>
      </c>
      <c r="D2835" s="17"/>
      <c r="E2835" s="17" t="s">
        <v>596</v>
      </c>
      <c r="F2835" s="18" t="s">
        <v>597</v>
      </c>
      <c r="G2835" s="49" t="s">
        <v>598</v>
      </c>
      <c r="H2835" s="17">
        <v>1</v>
      </c>
      <c r="I2835" s="30"/>
      <c r="J2835"/>
      <c r="K2835"/>
      <c r="L2835"/>
      <c r="M2835"/>
      <c r="N2835"/>
      <c r="O2835" s="62" t="str">
        <f>IF(E2835="PA",IF(K2835&lt;&gt;"",ISERROR(VLOOKUP(K2835,ABBR!A:D,1,FALSE)),ISERROR(VLOOKUP(C2835,ABBR!A:D,1,FALSE))),"")</f>
        <v/>
      </c>
      <c r="P2835" t="str">
        <f>VLOOKUP(A2835,Groups!A:L,5,FALSE)</f>
        <v>SAMP</v>
      </c>
      <c r="Q2835" s="62" t="str">
        <f>IF(G2835="PA",IF(M2835&lt;&gt;"",ISERROR(VLOOKUP(M2835,ABBR!C:F,1,FALSE)),ISERROR(VLOOKUP(E2835,ABBR!C:F,1,FALSE))),"")</f>
        <v/>
      </c>
    </row>
    <row r="2836" spans="1:17" s="62" customFormat="1" hidden="1" x14ac:dyDescent="0.25">
      <c r="A2836" s="16" t="s">
        <v>346</v>
      </c>
      <c r="B2836" s="17" t="s">
        <v>594</v>
      </c>
      <c r="C2836" s="16" t="s">
        <v>851</v>
      </c>
      <c r="D2836" s="17" t="s">
        <v>600</v>
      </c>
      <c r="E2836" s="17" t="s">
        <v>601</v>
      </c>
      <c r="F2836" s="18" t="s">
        <v>852</v>
      </c>
      <c r="G2836" s="49" t="s">
        <v>853</v>
      </c>
      <c r="H2836" s="17">
        <f t="shared" ref="H2836:H2867" si="19">H2835+1</f>
        <v>2</v>
      </c>
      <c r="I2836" s="30"/>
      <c r="J2836"/>
      <c r="K2836"/>
      <c r="L2836"/>
      <c r="M2836"/>
      <c r="N2836"/>
      <c r="O2836" s="62" t="str">
        <f>IF(E2836="PA",IF(K2836&lt;&gt;"",ISERROR(VLOOKUP(K2836,ABBR!A:D,1,FALSE)),ISERROR(VLOOKUP(C2836,ABBR!A:D,1,FALSE))),"")</f>
        <v/>
      </c>
      <c r="P2836" t="str">
        <f>VLOOKUP(A2836,Groups!A:L,5,FALSE)</f>
        <v>SAMP</v>
      </c>
      <c r="Q2836" s="62" t="str">
        <f>IF(G2836="PA",IF(M2836&lt;&gt;"",ISERROR(VLOOKUP(M2836,ABBR!C:F,1,FALSE)),ISERROR(VLOOKUP(E2836,ABBR!C:F,1,FALSE))),"")</f>
        <v/>
      </c>
    </row>
    <row r="2837" spans="1:17" s="62" customFormat="1" hidden="1" x14ac:dyDescent="0.25">
      <c r="A2837" s="16" t="s">
        <v>346</v>
      </c>
      <c r="B2837" s="17" t="s">
        <v>594</v>
      </c>
      <c r="C2837" s="16" t="s">
        <v>854</v>
      </c>
      <c r="D2837" s="17"/>
      <c r="E2837" s="17" t="s">
        <v>608</v>
      </c>
      <c r="F2837" s="18" t="s">
        <v>855</v>
      </c>
      <c r="G2837" s="49" t="s">
        <v>941</v>
      </c>
      <c r="H2837" s="17">
        <f t="shared" si="19"/>
        <v>3</v>
      </c>
      <c r="I2837" s="30"/>
      <c r="J2837"/>
      <c r="K2837"/>
      <c r="L2837"/>
      <c r="M2837"/>
      <c r="N2837"/>
      <c r="O2837" s="62" t="str">
        <f>IF(E2837="PA",IF(K2837&lt;&gt;"",ISERROR(VLOOKUP(K2837,ABBR!A:D,1,FALSE)),ISERROR(VLOOKUP(C2837,ABBR!A:D,1,FALSE))),"")</f>
        <v/>
      </c>
      <c r="P2837" t="str">
        <f>VLOOKUP(A2837,Groups!A:L,5,FALSE)</f>
        <v>SAMP</v>
      </c>
      <c r="Q2837" s="62" t="str">
        <f>IF(G2837="PA",IF(M2837&lt;&gt;"",ISERROR(VLOOKUP(M2837,ABBR!C:F,1,FALSE)),ISERROR(VLOOKUP(E2837,ABBR!C:F,1,FALSE))),"")</f>
        <v/>
      </c>
    </row>
    <row r="2838" spans="1:17" s="62" customFormat="1" hidden="1" x14ac:dyDescent="0.25">
      <c r="A2838" s="16" t="s">
        <v>346</v>
      </c>
      <c r="B2838" s="17" t="s">
        <v>594</v>
      </c>
      <c r="C2838" s="16" t="s">
        <v>857</v>
      </c>
      <c r="D2838" s="17"/>
      <c r="E2838" s="17" t="s">
        <v>618</v>
      </c>
      <c r="F2838" s="18" t="s">
        <v>858</v>
      </c>
      <c r="G2838" s="49" t="s">
        <v>3547</v>
      </c>
      <c r="H2838" s="17">
        <f t="shared" si="19"/>
        <v>4</v>
      </c>
      <c r="I2838" s="30"/>
      <c r="J2838"/>
      <c r="K2838"/>
      <c r="L2838"/>
      <c r="M2838"/>
      <c r="N2838"/>
      <c r="O2838" s="62" t="b">
        <f>IF(E2838="PA",IF(K2838&lt;&gt;"",ISERROR(VLOOKUP(K2838,ABBR!A:D,1,FALSE)),ISERROR(VLOOKUP(C2838,ABBR!A:D,1,FALSE))),"")</f>
        <v>0</v>
      </c>
      <c r="P2838" t="str">
        <f>VLOOKUP(A2838,Groups!A:L,5,FALSE)</f>
        <v>SAMP</v>
      </c>
      <c r="Q2838" s="62" t="str">
        <f>IF(G2838="PA",IF(M2838&lt;&gt;"",ISERROR(VLOOKUP(M2838,ABBR!C:F,1,FALSE)),ISERROR(VLOOKUP(E2838,ABBR!C:F,1,FALSE))),"")</f>
        <v/>
      </c>
    </row>
    <row r="2839" spans="1:17" s="62" customFormat="1" hidden="1" x14ac:dyDescent="0.25">
      <c r="A2839" s="16" t="s">
        <v>346</v>
      </c>
      <c r="B2839" s="17" t="s">
        <v>594</v>
      </c>
      <c r="C2839" s="16" t="s">
        <v>860</v>
      </c>
      <c r="D2839" s="17"/>
      <c r="E2839" s="17" t="s">
        <v>596</v>
      </c>
      <c r="F2839" s="18" t="s">
        <v>942</v>
      </c>
      <c r="G2839" s="49" t="s">
        <v>862</v>
      </c>
      <c r="H2839" s="17">
        <f t="shared" si="19"/>
        <v>5</v>
      </c>
      <c r="I2839" s="30"/>
      <c r="J2839"/>
      <c r="K2839"/>
      <c r="L2839"/>
      <c r="M2839"/>
      <c r="N2839"/>
      <c r="O2839" s="62" t="str">
        <f>IF(E2839="PA",IF(K2839&lt;&gt;"",ISERROR(VLOOKUP(K2839,ABBR!A:D,1,FALSE)),ISERROR(VLOOKUP(C2839,ABBR!A:D,1,FALSE))),"")</f>
        <v/>
      </c>
      <c r="P2839" t="str">
        <f>VLOOKUP(A2839,Groups!A:L,5,FALSE)</f>
        <v>SAMP</v>
      </c>
      <c r="Q2839" s="62" t="str">
        <f>IF(G2839="PA",IF(M2839&lt;&gt;"",ISERROR(VLOOKUP(M2839,ABBR!C:F,1,FALSE)),ISERROR(VLOOKUP(E2839,ABBR!C:F,1,FALSE))),"")</f>
        <v/>
      </c>
    </row>
    <row r="2840" spans="1:17" s="62" customFormat="1" hidden="1" x14ac:dyDescent="0.25">
      <c r="A2840" s="16" t="s">
        <v>346</v>
      </c>
      <c r="B2840" s="17" t="s">
        <v>594</v>
      </c>
      <c r="C2840" s="16" t="s">
        <v>863</v>
      </c>
      <c r="D2840" s="17"/>
      <c r="E2840" s="17" t="s">
        <v>608</v>
      </c>
      <c r="F2840" s="18" t="s">
        <v>864</v>
      </c>
      <c r="G2840" s="49" t="s">
        <v>865</v>
      </c>
      <c r="H2840" s="17">
        <f t="shared" si="19"/>
        <v>6</v>
      </c>
      <c r="I2840" s="30"/>
      <c r="J2840"/>
      <c r="K2840"/>
      <c r="L2840"/>
      <c r="M2840"/>
      <c r="N2840"/>
      <c r="O2840" s="62" t="str">
        <f>IF(E2840="PA",IF(K2840&lt;&gt;"",ISERROR(VLOOKUP(K2840,ABBR!A:D,1,FALSE)),ISERROR(VLOOKUP(C2840,ABBR!A:D,1,FALSE))),"")</f>
        <v/>
      </c>
      <c r="P2840" t="str">
        <f>VLOOKUP(A2840,Groups!A:L,5,FALSE)</f>
        <v>SAMP</v>
      </c>
      <c r="Q2840" s="62" t="str">
        <f>IF(G2840="PA",IF(M2840&lt;&gt;"",ISERROR(VLOOKUP(M2840,ABBR!C:F,1,FALSE)),ISERROR(VLOOKUP(E2840,ABBR!C:F,1,FALSE))),"")</f>
        <v/>
      </c>
    </row>
    <row r="2841" spans="1:17" s="62" customFormat="1" hidden="1" x14ac:dyDescent="0.25">
      <c r="A2841" s="16" t="s">
        <v>346</v>
      </c>
      <c r="B2841" s="17" t="s">
        <v>594</v>
      </c>
      <c r="C2841" s="16" t="s">
        <v>866</v>
      </c>
      <c r="D2841" s="17" t="s">
        <v>600</v>
      </c>
      <c r="E2841" s="17" t="s">
        <v>601</v>
      </c>
      <c r="F2841" s="18" t="s">
        <v>867</v>
      </c>
      <c r="G2841" s="49" t="s">
        <v>853</v>
      </c>
      <c r="H2841" s="17">
        <f t="shared" si="19"/>
        <v>7</v>
      </c>
      <c r="I2841" s="30"/>
      <c r="J2841"/>
      <c r="K2841"/>
      <c r="L2841"/>
      <c r="M2841"/>
      <c r="N2841"/>
      <c r="O2841" s="62" t="str">
        <f>IF(E2841="PA",IF(K2841&lt;&gt;"",ISERROR(VLOOKUP(K2841,ABBR!A:D,1,FALSE)),ISERROR(VLOOKUP(C2841,ABBR!A:D,1,FALSE))),"")</f>
        <v/>
      </c>
      <c r="P2841" t="str">
        <f>VLOOKUP(A2841,Groups!A:L,5,FALSE)</f>
        <v>SAMP</v>
      </c>
      <c r="Q2841" s="62" t="str">
        <f>IF(G2841="PA",IF(M2841&lt;&gt;"",ISERROR(VLOOKUP(M2841,ABBR!C:F,1,FALSE)),ISERROR(VLOOKUP(E2841,ABBR!C:F,1,FALSE))),"")</f>
        <v/>
      </c>
    </row>
    <row r="2842" spans="1:17" s="62" customFormat="1" hidden="1" x14ac:dyDescent="0.25">
      <c r="A2842" s="16" t="s">
        <v>346</v>
      </c>
      <c r="B2842" s="17" t="s">
        <v>594</v>
      </c>
      <c r="C2842" s="16" t="s">
        <v>4788</v>
      </c>
      <c r="D2842" s="17"/>
      <c r="E2842" s="17" t="s">
        <v>608</v>
      </c>
      <c r="F2842" s="18" t="s">
        <v>1323</v>
      </c>
      <c r="G2842" s="49" t="s">
        <v>1229</v>
      </c>
      <c r="H2842" s="17">
        <f t="shared" si="19"/>
        <v>8</v>
      </c>
      <c r="I2842" s="30"/>
      <c r="J2842"/>
      <c r="K2842"/>
      <c r="L2842"/>
      <c r="M2842"/>
      <c r="N2842"/>
      <c r="O2842" s="62" t="str">
        <f>IF(E2842="PA",IF(K2842&lt;&gt;"",ISERROR(VLOOKUP(K2842,ABBR!A:D,1,FALSE)),ISERROR(VLOOKUP(C2842,ABBR!A:D,1,FALSE))),"")</f>
        <v/>
      </c>
      <c r="P2842" t="str">
        <f>VLOOKUP(A2842,Groups!A:L,5,FALSE)</f>
        <v>SAMP</v>
      </c>
      <c r="Q2842" s="62" t="str">
        <f>IF(G2842="PA",IF(M2842&lt;&gt;"",ISERROR(VLOOKUP(M2842,ABBR!C:F,1,FALSE)),ISERROR(VLOOKUP(E2842,ABBR!C:F,1,FALSE))),"")</f>
        <v/>
      </c>
    </row>
    <row r="2843" spans="1:17" s="62" customFormat="1" hidden="1" x14ac:dyDescent="0.25">
      <c r="A2843" s="16" t="s">
        <v>346</v>
      </c>
      <c r="B2843" s="17"/>
      <c r="C2843" s="16" t="s">
        <v>868</v>
      </c>
      <c r="D2843" s="17"/>
      <c r="E2843" s="17" t="s">
        <v>608</v>
      </c>
      <c r="F2843" s="18" t="s">
        <v>869</v>
      </c>
      <c r="G2843" s="51" t="s">
        <v>1269</v>
      </c>
      <c r="H2843" s="17">
        <f t="shared" si="19"/>
        <v>9</v>
      </c>
      <c r="I2843" s="30"/>
      <c r="J2843"/>
      <c r="K2843"/>
      <c r="L2843"/>
      <c r="M2843"/>
      <c r="N2843"/>
      <c r="O2843" s="62" t="str">
        <f>IF(E2843="PA",IF(K2843&lt;&gt;"",ISERROR(VLOOKUP(K2843,ABBR!A:D,1,FALSE)),ISERROR(VLOOKUP(C2843,ABBR!A:D,1,FALSE))),"")</f>
        <v/>
      </c>
      <c r="P2843" t="str">
        <f>VLOOKUP(A2843,Groups!A:L,5,FALSE)</f>
        <v>SAMP</v>
      </c>
      <c r="Q2843" s="62" t="str">
        <f>IF(G2843="PA",IF(M2843&lt;&gt;"",ISERROR(VLOOKUP(M2843,ABBR!C:F,1,FALSE)),ISERROR(VLOOKUP(E2843,ABBR!C:F,1,FALSE))),"")</f>
        <v/>
      </c>
    </row>
    <row r="2844" spans="1:17" s="62" customFormat="1" ht="12.75" hidden="1" customHeight="1" x14ac:dyDescent="0.25">
      <c r="A2844" s="16" t="s">
        <v>346</v>
      </c>
      <c r="B2844" s="17"/>
      <c r="C2844" s="16" t="s">
        <v>871</v>
      </c>
      <c r="D2844" s="17"/>
      <c r="E2844" s="17" t="s">
        <v>608</v>
      </c>
      <c r="F2844" s="18" t="s">
        <v>872</v>
      </c>
      <c r="G2844" s="49" t="s">
        <v>873</v>
      </c>
      <c r="H2844" s="17">
        <f t="shared" si="19"/>
        <v>10</v>
      </c>
      <c r="I2844" s="30"/>
      <c r="J2844"/>
      <c r="K2844"/>
      <c r="L2844"/>
      <c r="M2844"/>
      <c r="N2844"/>
      <c r="O2844" s="62" t="str">
        <f>IF(E2844="PA",IF(K2844&lt;&gt;"",ISERROR(VLOOKUP(K2844,ABBR!A:D,1,FALSE)),ISERROR(VLOOKUP(C2844,ABBR!A:D,1,FALSE))),"")</f>
        <v/>
      </c>
      <c r="P2844" t="str">
        <f>VLOOKUP(A2844,Groups!A:L,5,FALSE)</f>
        <v>SAMP</v>
      </c>
      <c r="Q2844" s="62" t="str">
        <f>IF(G2844="PA",IF(M2844&lt;&gt;"",ISERROR(VLOOKUP(M2844,ABBR!C:F,1,FALSE)),ISERROR(VLOOKUP(E2844,ABBR!C:F,1,FALSE))),"")</f>
        <v/>
      </c>
    </row>
    <row r="2845" spans="1:17" s="62" customFormat="1" hidden="1" x14ac:dyDescent="0.25">
      <c r="A2845" s="16" t="s">
        <v>346</v>
      </c>
      <c r="B2845" s="17"/>
      <c r="C2845" s="16" t="s">
        <v>4789</v>
      </c>
      <c r="D2845" s="17"/>
      <c r="E2845" s="17" t="s">
        <v>618</v>
      </c>
      <c r="F2845" s="18" t="s">
        <v>1272</v>
      </c>
      <c r="G2845" s="49" t="s">
        <v>2553</v>
      </c>
      <c r="H2845" s="17">
        <f t="shared" si="19"/>
        <v>11</v>
      </c>
      <c r="I2845" s="30"/>
      <c r="J2845"/>
      <c r="K2845"/>
      <c r="L2845"/>
      <c r="M2845"/>
      <c r="N2845"/>
      <c r="O2845" s="62" t="b">
        <f>IF(E2845="PA",IF(K2845&lt;&gt;"",ISERROR(VLOOKUP(K2845,ABBR!A:D,1,FALSE)),ISERROR(VLOOKUP(C2845,ABBR!A:D,1,FALSE))),"")</f>
        <v>0</v>
      </c>
      <c r="P2845" t="str">
        <f>VLOOKUP(A2845,Groups!A:L,5,FALSE)</f>
        <v>SAMP</v>
      </c>
      <c r="Q2845" s="62" t="str">
        <f>IF(G2845="PA",IF(M2845&lt;&gt;"",ISERROR(VLOOKUP(M2845,ABBR!C:F,1,FALSE)),ISERROR(VLOOKUP(E2845,ABBR!C:F,1,FALSE))),"")</f>
        <v/>
      </c>
    </row>
    <row r="2846" spans="1:17" s="62" customFormat="1" ht="25.5" hidden="1" customHeight="1" x14ac:dyDescent="0.25">
      <c r="A2846" s="16" t="s">
        <v>346</v>
      </c>
      <c r="B2846" s="17"/>
      <c r="C2846" s="16" t="s">
        <v>4790</v>
      </c>
      <c r="D2846" s="17" t="s">
        <v>722</v>
      </c>
      <c r="E2846" s="17" t="s">
        <v>767</v>
      </c>
      <c r="F2846" s="18" t="s">
        <v>4791</v>
      </c>
      <c r="G2846" s="49" t="s">
        <v>1114</v>
      </c>
      <c r="H2846" s="17">
        <f t="shared" si="19"/>
        <v>12</v>
      </c>
      <c r="I2846" s="30"/>
      <c r="J2846"/>
      <c r="K2846"/>
      <c r="L2846"/>
      <c r="M2846"/>
      <c r="N2846"/>
      <c r="O2846" s="62" t="str">
        <f>IF(E2846="PA",IF(K2846&lt;&gt;"",ISERROR(VLOOKUP(K2846,ABBR!A:D,1,FALSE)),ISERROR(VLOOKUP(C2846,ABBR!A:D,1,FALSE))),"")</f>
        <v/>
      </c>
      <c r="P2846" t="str">
        <f>VLOOKUP(A2846,Groups!A:L,5,FALSE)</f>
        <v>SAMP</v>
      </c>
      <c r="Q2846" s="62" t="str">
        <f>IF(G2846="PA",IF(M2846&lt;&gt;"",ISERROR(VLOOKUP(M2846,ABBR!C:F,1,FALSE)),ISERROR(VLOOKUP(E2846,ABBR!C:F,1,FALSE))),"")</f>
        <v/>
      </c>
    </row>
    <row r="2847" spans="1:17" s="62" customFormat="1" hidden="1" x14ac:dyDescent="0.25">
      <c r="A2847" s="16" t="s">
        <v>346</v>
      </c>
      <c r="B2847" s="17"/>
      <c r="C2847" s="16" t="s">
        <v>4792</v>
      </c>
      <c r="D2847" s="17" t="s">
        <v>766</v>
      </c>
      <c r="E2847" s="17" t="s">
        <v>767</v>
      </c>
      <c r="F2847" s="18" t="s">
        <v>4793</v>
      </c>
      <c r="G2847" s="49" t="s">
        <v>4794</v>
      </c>
      <c r="H2847" s="17">
        <f t="shared" si="19"/>
        <v>13</v>
      </c>
      <c r="I2847" s="30"/>
      <c r="J2847"/>
      <c r="K2847"/>
      <c r="L2847"/>
      <c r="M2847"/>
      <c r="N2847"/>
      <c r="O2847" s="62" t="str">
        <f>IF(E2847="PA",IF(K2847&lt;&gt;"",ISERROR(VLOOKUP(K2847,ABBR!A:D,1,FALSE)),ISERROR(VLOOKUP(C2847,ABBR!A:D,1,FALSE))),"")</f>
        <v/>
      </c>
      <c r="P2847" t="str">
        <f>VLOOKUP(A2847,Groups!A:L,5,FALSE)</f>
        <v>SAMP</v>
      </c>
      <c r="Q2847" s="62" t="str">
        <f>IF(G2847="PA",IF(M2847&lt;&gt;"",ISERROR(VLOOKUP(M2847,ABBR!C:F,1,FALSE)),ISERROR(VLOOKUP(E2847,ABBR!C:F,1,FALSE))),"")</f>
        <v/>
      </c>
    </row>
    <row r="2848" spans="1:17" s="62" customFormat="1" ht="25.5" hidden="1" customHeight="1" x14ac:dyDescent="0.25">
      <c r="A2848" s="16" t="s">
        <v>346</v>
      </c>
      <c r="B2848" s="17"/>
      <c r="C2848" s="16" t="s">
        <v>4795</v>
      </c>
      <c r="D2848" s="17" t="s">
        <v>722</v>
      </c>
      <c r="E2848" s="17" t="s">
        <v>601</v>
      </c>
      <c r="F2848" s="18" t="s">
        <v>1725</v>
      </c>
      <c r="G2848" s="49" t="s">
        <v>4796</v>
      </c>
      <c r="H2848" s="17">
        <f t="shared" si="19"/>
        <v>14</v>
      </c>
      <c r="I2848" s="30"/>
      <c r="J2848"/>
      <c r="K2848"/>
      <c r="L2848"/>
      <c r="M2848"/>
      <c r="N2848"/>
      <c r="O2848" s="62" t="str">
        <f>IF(E2848="PA",IF(K2848&lt;&gt;"",ISERROR(VLOOKUP(K2848,ABBR!A:D,1,FALSE)),ISERROR(VLOOKUP(C2848,ABBR!A:D,1,FALSE))),"")</f>
        <v/>
      </c>
      <c r="P2848" t="str">
        <f>VLOOKUP(A2848,Groups!A:L,5,FALSE)</f>
        <v>SAMP</v>
      </c>
      <c r="Q2848" s="62" t="str">
        <f>IF(G2848="PA",IF(M2848&lt;&gt;"",ISERROR(VLOOKUP(M2848,ABBR!C:F,1,FALSE)),ISERROR(VLOOKUP(E2848,ABBR!C:F,1,FALSE))),"")</f>
        <v/>
      </c>
    </row>
    <row r="2849" spans="1:17" s="62" customFormat="1" hidden="1" x14ac:dyDescent="0.25">
      <c r="A2849" s="16" t="s">
        <v>346</v>
      </c>
      <c r="B2849" s="17"/>
      <c r="C2849" s="16" t="s">
        <v>4797</v>
      </c>
      <c r="D2849" s="17" t="s">
        <v>722</v>
      </c>
      <c r="E2849" s="17" t="s">
        <v>601</v>
      </c>
      <c r="F2849" s="18" t="s">
        <v>4357</v>
      </c>
      <c r="G2849" s="49" t="s">
        <v>4798</v>
      </c>
      <c r="H2849" s="17">
        <f t="shared" si="19"/>
        <v>15</v>
      </c>
      <c r="I2849" s="30"/>
      <c r="J2849"/>
      <c r="K2849"/>
      <c r="L2849"/>
      <c r="M2849"/>
      <c r="N2849"/>
      <c r="O2849" s="62" t="str">
        <f>IF(E2849="PA",IF(K2849&lt;&gt;"",ISERROR(VLOOKUP(K2849,ABBR!A:D,1,FALSE)),ISERROR(VLOOKUP(C2849,ABBR!A:D,1,FALSE))),"")</f>
        <v/>
      </c>
      <c r="P2849" t="str">
        <f>VLOOKUP(A2849,Groups!A:L,5,FALSE)</f>
        <v>SAMP</v>
      </c>
      <c r="Q2849" s="62" t="str">
        <f>IF(G2849="PA",IF(M2849&lt;&gt;"",ISERROR(VLOOKUP(M2849,ABBR!C:F,1,FALSE)),ISERROR(VLOOKUP(E2849,ABBR!C:F,1,FALSE))),"")</f>
        <v/>
      </c>
    </row>
    <row r="2850" spans="1:17" s="62" customFormat="1" ht="25.5" hidden="1" customHeight="1" x14ac:dyDescent="0.25">
      <c r="A2850" s="16" t="s">
        <v>346</v>
      </c>
      <c r="B2850" s="17"/>
      <c r="C2850" s="16" t="s">
        <v>4799</v>
      </c>
      <c r="D2850" s="17" t="s">
        <v>766</v>
      </c>
      <c r="E2850" s="17" t="s">
        <v>608</v>
      </c>
      <c r="F2850" s="18" t="s">
        <v>4199</v>
      </c>
      <c r="G2850" s="49" t="s">
        <v>897</v>
      </c>
      <c r="H2850" s="17">
        <f t="shared" si="19"/>
        <v>16</v>
      </c>
      <c r="I2850" s="30"/>
      <c r="J2850"/>
      <c r="K2850"/>
      <c r="L2850"/>
      <c r="M2850"/>
      <c r="N2850"/>
      <c r="O2850" s="62" t="str">
        <f>IF(E2850="PA",IF(K2850&lt;&gt;"",ISERROR(VLOOKUP(K2850,ABBR!A:D,1,FALSE)),ISERROR(VLOOKUP(C2850,ABBR!A:D,1,FALSE))),"")</f>
        <v/>
      </c>
      <c r="P2850" t="str">
        <f>VLOOKUP(A2850,Groups!A:L,5,FALSE)</f>
        <v>SAMP</v>
      </c>
      <c r="Q2850" s="62" t="str">
        <f>IF(G2850="PA",IF(M2850&lt;&gt;"",ISERROR(VLOOKUP(M2850,ABBR!C:F,1,FALSE)),ISERROR(VLOOKUP(E2850,ABBR!C:F,1,FALSE))),"")</f>
        <v/>
      </c>
    </row>
    <row r="2851" spans="1:17" s="62" customFormat="1" hidden="1" x14ac:dyDescent="0.25">
      <c r="A2851" s="16" t="s">
        <v>346</v>
      </c>
      <c r="B2851" s="17"/>
      <c r="C2851" s="16" t="s">
        <v>4800</v>
      </c>
      <c r="D2851" s="17" t="s">
        <v>1077</v>
      </c>
      <c r="E2851" s="17" t="s">
        <v>601</v>
      </c>
      <c r="F2851" s="18" t="s">
        <v>4801</v>
      </c>
      <c r="G2851" s="49" t="s">
        <v>4802</v>
      </c>
      <c r="H2851" s="17">
        <f t="shared" si="19"/>
        <v>17</v>
      </c>
      <c r="I2851" s="30"/>
      <c r="J2851"/>
      <c r="K2851"/>
      <c r="L2851"/>
      <c r="M2851"/>
      <c r="N2851"/>
      <c r="O2851" s="62" t="str">
        <f>IF(E2851="PA",IF(K2851&lt;&gt;"",ISERROR(VLOOKUP(K2851,ABBR!A:D,1,FALSE)),ISERROR(VLOOKUP(C2851,ABBR!A:D,1,FALSE))),"")</f>
        <v/>
      </c>
      <c r="P2851" t="str">
        <f>VLOOKUP(A2851,Groups!A:L,5,FALSE)</f>
        <v>SAMP</v>
      </c>
      <c r="Q2851" s="62" t="str">
        <f>IF(G2851="PA",IF(M2851&lt;&gt;"",ISERROR(VLOOKUP(M2851,ABBR!C:F,1,FALSE)),ISERROR(VLOOKUP(E2851,ABBR!C:F,1,FALSE))),"")</f>
        <v/>
      </c>
    </row>
    <row r="2852" spans="1:17" s="62" customFormat="1" ht="12.75" hidden="1" customHeight="1" x14ac:dyDescent="0.25">
      <c r="A2852" s="16" t="s">
        <v>346</v>
      </c>
      <c r="B2852" s="17"/>
      <c r="C2852" s="16" t="s">
        <v>4803</v>
      </c>
      <c r="D2852" s="17" t="s">
        <v>1077</v>
      </c>
      <c r="E2852" s="17" t="s">
        <v>601</v>
      </c>
      <c r="F2852" s="18" t="s">
        <v>4279</v>
      </c>
      <c r="G2852" s="49" t="s">
        <v>4804</v>
      </c>
      <c r="H2852" s="17">
        <f t="shared" si="19"/>
        <v>18</v>
      </c>
      <c r="I2852" s="30"/>
      <c r="J2852"/>
      <c r="K2852"/>
      <c r="L2852"/>
      <c r="M2852"/>
      <c r="N2852"/>
      <c r="O2852" s="62" t="str">
        <f>IF(E2852="PA",IF(K2852&lt;&gt;"",ISERROR(VLOOKUP(K2852,ABBR!A:D,1,FALSE)),ISERROR(VLOOKUP(C2852,ABBR!A:D,1,FALSE))),"")</f>
        <v/>
      </c>
      <c r="P2852" t="str">
        <f>VLOOKUP(A2852,Groups!A:L,5,FALSE)</f>
        <v>SAMP</v>
      </c>
      <c r="Q2852" s="62" t="str">
        <f>IF(G2852="PA",IF(M2852&lt;&gt;"",ISERROR(VLOOKUP(M2852,ABBR!C:F,1,FALSE)),ISERROR(VLOOKUP(E2852,ABBR!C:F,1,FALSE))),"")</f>
        <v/>
      </c>
    </row>
    <row r="2853" spans="1:17" s="62" customFormat="1" ht="25" hidden="1" x14ac:dyDescent="0.25">
      <c r="A2853" s="16" t="s">
        <v>346</v>
      </c>
      <c r="B2853" s="17"/>
      <c r="C2853" s="16" t="s">
        <v>4805</v>
      </c>
      <c r="D2853" s="17" t="s">
        <v>722</v>
      </c>
      <c r="E2853" s="17" t="s">
        <v>601</v>
      </c>
      <c r="F2853" s="18" t="s">
        <v>4806</v>
      </c>
      <c r="G2853" s="49" t="s">
        <v>4807</v>
      </c>
      <c r="H2853" s="17">
        <f t="shared" si="19"/>
        <v>19</v>
      </c>
      <c r="I2853" s="30"/>
      <c r="J2853"/>
      <c r="K2853"/>
      <c r="L2853"/>
      <c r="M2853"/>
      <c r="N2853"/>
      <c r="O2853" s="62" t="str">
        <f>IF(E2853="PA",IF(K2853&lt;&gt;"",ISERROR(VLOOKUP(K2853,ABBR!A:D,1,FALSE)),ISERROR(VLOOKUP(C2853,ABBR!A:D,1,FALSE))),"")</f>
        <v/>
      </c>
      <c r="P2853" t="str">
        <f>VLOOKUP(A2853,Groups!A:L,5,FALSE)</f>
        <v>SAMP</v>
      </c>
      <c r="Q2853" s="62" t="str">
        <f>IF(G2853="PA",IF(M2853&lt;&gt;"",ISERROR(VLOOKUP(M2853,ABBR!C:F,1,FALSE)),ISERROR(VLOOKUP(E2853,ABBR!C:F,1,FALSE))),"")</f>
        <v/>
      </c>
    </row>
    <row r="2854" spans="1:17" s="62" customFormat="1" ht="63.75" hidden="1" customHeight="1" x14ac:dyDescent="0.25">
      <c r="A2854" s="16" t="s">
        <v>346</v>
      </c>
      <c r="B2854" s="17"/>
      <c r="C2854" s="16" t="s">
        <v>4808</v>
      </c>
      <c r="D2854" s="17"/>
      <c r="E2854" s="17" t="s">
        <v>608</v>
      </c>
      <c r="F2854" s="18" t="s">
        <v>4809</v>
      </c>
      <c r="G2854" s="49" t="s">
        <v>4810</v>
      </c>
      <c r="H2854" s="17">
        <f t="shared" si="19"/>
        <v>20</v>
      </c>
      <c r="I2854" s="30"/>
      <c r="J2854"/>
      <c r="K2854"/>
      <c r="L2854"/>
      <c r="M2854"/>
      <c r="N2854"/>
      <c r="O2854" s="62" t="str">
        <f>IF(E2854="PA",IF(K2854&lt;&gt;"",ISERROR(VLOOKUP(K2854,ABBR!A:D,1,FALSE)),ISERROR(VLOOKUP(C2854,ABBR!A:D,1,FALSE))),"")</f>
        <v/>
      </c>
      <c r="P2854" t="str">
        <f>VLOOKUP(A2854,Groups!A:L,5,FALSE)</f>
        <v>SAMP</v>
      </c>
      <c r="Q2854" s="62" t="str">
        <f>IF(G2854="PA",IF(M2854&lt;&gt;"",ISERROR(VLOOKUP(M2854,ABBR!C:F,1,FALSE)),ISERROR(VLOOKUP(E2854,ABBR!C:F,1,FALSE))),"")</f>
        <v/>
      </c>
    </row>
    <row r="2855" spans="1:17" s="62" customFormat="1" hidden="1" x14ac:dyDescent="0.25">
      <c r="A2855" s="16" t="s">
        <v>346</v>
      </c>
      <c r="B2855" s="17"/>
      <c r="C2855" s="16" t="s">
        <v>4811</v>
      </c>
      <c r="D2855" s="17"/>
      <c r="E2855" s="17" t="s">
        <v>1321</v>
      </c>
      <c r="F2855" s="18" t="s">
        <v>4812</v>
      </c>
      <c r="G2855" s="49" t="s">
        <v>4813</v>
      </c>
      <c r="H2855" s="17">
        <f t="shared" si="19"/>
        <v>21</v>
      </c>
      <c r="I2855" s="30"/>
      <c r="J2855"/>
      <c r="K2855"/>
      <c r="L2855"/>
      <c r="M2855"/>
      <c r="N2855"/>
      <c r="O2855" s="62" t="str">
        <f>IF(E2855="PA",IF(K2855&lt;&gt;"",ISERROR(VLOOKUP(K2855,ABBR!A:D,1,FALSE)),ISERROR(VLOOKUP(C2855,ABBR!A:D,1,FALSE))),"")</f>
        <v/>
      </c>
      <c r="P2855" t="str">
        <f>VLOOKUP(A2855,Groups!A:L,5,FALSE)</f>
        <v>SAMP</v>
      </c>
      <c r="Q2855" s="62" t="str">
        <f>IF(G2855="PA",IF(M2855&lt;&gt;"",ISERROR(VLOOKUP(M2855,ABBR!C:F,1,FALSE)),ISERROR(VLOOKUP(E2855,ABBR!C:F,1,FALSE))),"")</f>
        <v/>
      </c>
    </row>
    <row r="2856" spans="1:17" s="62" customFormat="1" ht="25.5" hidden="1" customHeight="1" x14ac:dyDescent="0.25">
      <c r="A2856" s="16" t="s">
        <v>346</v>
      </c>
      <c r="B2856" s="17"/>
      <c r="C2856" s="16" t="s">
        <v>4814</v>
      </c>
      <c r="D2856" s="17" t="s">
        <v>1706</v>
      </c>
      <c r="E2856" s="17" t="s">
        <v>2117</v>
      </c>
      <c r="F2856" s="18" t="s">
        <v>4815</v>
      </c>
      <c r="G2856" s="49" t="s">
        <v>4816</v>
      </c>
      <c r="H2856" s="17">
        <f t="shared" si="19"/>
        <v>22</v>
      </c>
      <c r="I2856" s="30"/>
      <c r="J2856"/>
      <c r="K2856"/>
      <c r="L2856"/>
      <c r="M2856"/>
      <c r="N2856"/>
      <c r="O2856" s="62" t="str">
        <f>IF(E2856="PA",IF(K2856&lt;&gt;"",ISERROR(VLOOKUP(K2856,ABBR!A:D,1,FALSE)),ISERROR(VLOOKUP(C2856,ABBR!A:D,1,FALSE))),"")</f>
        <v/>
      </c>
      <c r="P2856" t="str">
        <f>VLOOKUP(A2856,Groups!A:L,5,FALSE)</f>
        <v>SAMP</v>
      </c>
      <c r="Q2856" s="62" t="str">
        <f>IF(G2856="PA",IF(M2856&lt;&gt;"",ISERROR(VLOOKUP(M2856,ABBR!C:F,1,FALSE)),ISERROR(VLOOKUP(E2856,ABBR!C:F,1,FALSE))),"")</f>
        <v/>
      </c>
    </row>
    <row r="2857" spans="1:17" s="62" customFormat="1" ht="25" hidden="1" x14ac:dyDescent="0.25">
      <c r="A2857" s="16" t="s">
        <v>346</v>
      </c>
      <c r="B2857" s="17"/>
      <c r="C2857" s="16" t="s">
        <v>4817</v>
      </c>
      <c r="D2857" s="17" t="s">
        <v>1345</v>
      </c>
      <c r="E2857" s="17" t="s">
        <v>767</v>
      </c>
      <c r="F2857" s="18" t="s">
        <v>4818</v>
      </c>
      <c r="G2857" s="49" t="s">
        <v>4819</v>
      </c>
      <c r="H2857" s="17">
        <f t="shared" si="19"/>
        <v>23</v>
      </c>
      <c r="I2857" s="30"/>
      <c r="J2857"/>
      <c r="K2857"/>
      <c r="L2857"/>
      <c r="M2857"/>
      <c r="N2857"/>
      <c r="O2857" s="62" t="str">
        <f>IF(E2857="PA",IF(K2857&lt;&gt;"",ISERROR(VLOOKUP(K2857,ABBR!A:D,1,FALSE)),ISERROR(VLOOKUP(C2857,ABBR!A:D,1,FALSE))),"")</f>
        <v/>
      </c>
      <c r="P2857" t="str">
        <f>VLOOKUP(A2857,Groups!A:L,5,FALSE)</f>
        <v>SAMP</v>
      </c>
      <c r="Q2857" s="62" t="str">
        <f>IF(G2857="PA",IF(M2857&lt;&gt;"",ISERROR(VLOOKUP(M2857,ABBR!C:F,1,FALSE)),ISERROR(VLOOKUP(E2857,ABBR!C:F,1,FALSE))),"")</f>
        <v/>
      </c>
    </row>
    <row r="2858" spans="1:17" s="62" customFormat="1" ht="12.75" hidden="1" customHeight="1" x14ac:dyDescent="0.25">
      <c r="A2858" s="16" t="s">
        <v>346</v>
      </c>
      <c r="B2858" s="17"/>
      <c r="C2858" s="16" t="s">
        <v>4820</v>
      </c>
      <c r="D2858" s="17"/>
      <c r="E2858" s="17" t="s">
        <v>767</v>
      </c>
      <c r="F2858" s="18" t="s">
        <v>4821</v>
      </c>
      <c r="G2858" s="49" t="s">
        <v>631</v>
      </c>
      <c r="H2858" s="17">
        <f t="shared" si="19"/>
        <v>24</v>
      </c>
      <c r="I2858" s="30"/>
      <c r="J2858"/>
      <c r="K2858"/>
      <c r="L2858"/>
      <c r="M2858"/>
      <c r="N2858"/>
      <c r="O2858" s="62" t="str">
        <f>IF(E2858="PA",IF(K2858&lt;&gt;"",ISERROR(VLOOKUP(K2858,ABBR!A:D,1,FALSE)),ISERROR(VLOOKUP(C2858,ABBR!A:D,1,FALSE))),"")</f>
        <v/>
      </c>
      <c r="P2858" t="str">
        <f>VLOOKUP(A2858,Groups!A:L,5,FALSE)</f>
        <v>SAMP</v>
      </c>
      <c r="Q2858" s="62" t="str">
        <f>IF(G2858="PA",IF(M2858&lt;&gt;"",ISERROR(VLOOKUP(M2858,ABBR!C:F,1,FALSE)),ISERROR(VLOOKUP(E2858,ABBR!C:F,1,FALSE))),"")</f>
        <v/>
      </c>
    </row>
    <row r="2859" spans="1:17" s="62" customFormat="1" hidden="1" x14ac:dyDescent="0.25">
      <c r="A2859" s="16" t="s">
        <v>346</v>
      </c>
      <c r="B2859" s="17"/>
      <c r="C2859" s="16" t="s">
        <v>4822</v>
      </c>
      <c r="D2859" s="17" t="s">
        <v>766</v>
      </c>
      <c r="E2859" s="17" t="s">
        <v>882</v>
      </c>
      <c r="F2859" s="18" t="s">
        <v>1536</v>
      </c>
      <c r="G2859" s="49" t="s">
        <v>4823</v>
      </c>
      <c r="H2859" s="17">
        <f t="shared" si="19"/>
        <v>25</v>
      </c>
      <c r="I2859" s="30"/>
      <c r="J2859"/>
      <c r="K2859"/>
      <c r="L2859"/>
      <c r="M2859"/>
      <c r="N2859"/>
      <c r="O2859" s="62" t="str">
        <f>IF(E2859="PA",IF(K2859&lt;&gt;"",ISERROR(VLOOKUP(K2859,ABBR!A:D,1,FALSE)),ISERROR(VLOOKUP(C2859,ABBR!A:D,1,FALSE))),"")</f>
        <v/>
      </c>
      <c r="P2859" t="str">
        <f>VLOOKUP(A2859,Groups!A:L,5,FALSE)</f>
        <v>SAMP</v>
      </c>
      <c r="Q2859" s="62" t="str">
        <f>IF(G2859="PA",IF(M2859&lt;&gt;"",ISERROR(VLOOKUP(M2859,ABBR!C:F,1,FALSE)),ISERROR(VLOOKUP(E2859,ABBR!C:F,1,FALSE))),"")</f>
        <v/>
      </c>
    </row>
    <row r="2860" spans="1:17" s="62" customFormat="1" ht="25" hidden="1" x14ac:dyDescent="0.25">
      <c r="A2860" s="16" t="s">
        <v>346</v>
      </c>
      <c r="B2860" s="17"/>
      <c r="C2860" s="16" t="s">
        <v>4824</v>
      </c>
      <c r="D2860" s="17"/>
      <c r="E2860" s="17" t="s">
        <v>608</v>
      </c>
      <c r="F2860" s="18" t="s">
        <v>4825</v>
      </c>
      <c r="G2860" s="49" t="s">
        <v>4826</v>
      </c>
      <c r="H2860" s="17">
        <f t="shared" si="19"/>
        <v>26</v>
      </c>
      <c r="I2860" s="30"/>
      <c r="J2860"/>
      <c r="K2860"/>
      <c r="L2860"/>
      <c r="M2860"/>
      <c r="N2860"/>
      <c r="O2860" s="62" t="str">
        <f>IF(E2860="PA",IF(K2860&lt;&gt;"",ISERROR(VLOOKUP(K2860,ABBR!A:D,1,FALSE)),ISERROR(VLOOKUP(C2860,ABBR!A:D,1,FALSE))),"")</f>
        <v/>
      </c>
      <c r="P2860" t="str">
        <f>VLOOKUP(A2860,Groups!A:L,5,FALSE)</f>
        <v>SAMP</v>
      </c>
      <c r="Q2860" s="62" t="str">
        <f>IF(G2860="PA",IF(M2860&lt;&gt;"",ISERROR(VLOOKUP(M2860,ABBR!C:F,1,FALSE)),ISERROR(VLOOKUP(E2860,ABBR!C:F,1,FALSE))),"")</f>
        <v/>
      </c>
    </row>
    <row r="2861" spans="1:17" s="62" customFormat="1" ht="25" hidden="1" x14ac:dyDescent="0.25">
      <c r="A2861" s="16" t="s">
        <v>346</v>
      </c>
      <c r="B2861" s="17"/>
      <c r="C2861" s="16" t="s">
        <v>4827</v>
      </c>
      <c r="D2861" s="17"/>
      <c r="E2861" s="17" t="s">
        <v>608</v>
      </c>
      <c r="F2861" s="18" t="s">
        <v>4828</v>
      </c>
      <c r="G2861" s="49" t="s">
        <v>4829</v>
      </c>
      <c r="H2861" s="17">
        <f t="shared" si="19"/>
        <v>27</v>
      </c>
      <c r="I2861" s="30"/>
      <c r="J2861"/>
      <c r="K2861"/>
      <c r="L2861"/>
      <c r="M2861"/>
      <c r="N2861"/>
      <c r="O2861" s="62" t="str">
        <f>IF(E2861="PA",IF(K2861&lt;&gt;"",ISERROR(VLOOKUP(K2861,ABBR!A:D,1,FALSE)),ISERROR(VLOOKUP(C2861,ABBR!A:D,1,FALSE))),"")</f>
        <v/>
      </c>
      <c r="P2861" t="str">
        <f>VLOOKUP(A2861,Groups!A:L,5,FALSE)</f>
        <v>SAMP</v>
      </c>
      <c r="Q2861" s="62" t="str">
        <f>IF(G2861="PA",IF(M2861&lt;&gt;"",ISERROR(VLOOKUP(M2861,ABBR!C:F,1,FALSE)),ISERROR(VLOOKUP(E2861,ABBR!C:F,1,FALSE))),"")</f>
        <v/>
      </c>
    </row>
    <row r="2862" spans="1:17" s="62" customFormat="1" hidden="1" x14ac:dyDescent="0.25">
      <c r="A2862" s="16" t="s">
        <v>346</v>
      </c>
      <c r="B2862" s="17"/>
      <c r="C2862" s="16" t="s">
        <v>4830</v>
      </c>
      <c r="D2862" s="17" t="s">
        <v>1077</v>
      </c>
      <c r="E2862" s="17" t="s">
        <v>1391</v>
      </c>
      <c r="F2862" s="18" t="s">
        <v>1462</v>
      </c>
      <c r="G2862" s="49" t="s">
        <v>1463</v>
      </c>
      <c r="H2862" s="17">
        <f t="shared" si="19"/>
        <v>28</v>
      </c>
      <c r="I2862" s="30"/>
      <c r="J2862"/>
      <c r="K2862"/>
      <c r="L2862"/>
      <c r="M2862"/>
      <c r="N2862"/>
      <c r="O2862" s="62" t="str">
        <f>IF(E2862="PA",IF(K2862&lt;&gt;"",ISERROR(VLOOKUP(K2862,ABBR!A:D,1,FALSE)),ISERROR(VLOOKUP(C2862,ABBR!A:D,1,FALSE))),"")</f>
        <v/>
      </c>
      <c r="P2862" t="str">
        <f>VLOOKUP(A2862,Groups!A:L,5,FALSE)</f>
        <v>SAMP</v>
      </c>
      <c r="Q2862" s="62" t="str">
        <f>IF(G2862="PA",IF(M2862&lt;&gt;"",ISERROR(VLOOKUP(M2862,ABBR!C:F,1,FALSE)),ISERROR(VLOOKUP(E2862,ABBR!C:F,1,FALSE))),"")</f>
        <v/>
      </c>
    </row>
    <row r="2863" spans="1:17" s="62" customFormat="1" hidden="1" x14ac:dyDescent="0.25">
      <c r="A2863" s="16" t="s">
        <v>346</v>
      </c>
      <c r="B2863" s="17"/>
      <c r="C2863" s="16" t="s">
        <v>4831</v>
      </c>
      <c r="D2863" s="17"/>
      <c r="E2863" s="17" t="s">
        <v>618</v>
      </c>
      <c r="F2863" s="18" t="s">
        <v>4832</v>
      </c>
      <c r="G2863" s="49" t="s">
        <v>4833</v>
      </c>
      <c r="H2863" s="17">
        <f t="shared" si="19"/>
        <v>29</v>
      </c>
      <c r="I2863" s="30"/>
      <c r="J2863"/>
      <c r="K2863"/>
      <c r="L2863"/>
      <c r="M2863"/>
      <c r="N2863"/>
      <c r="O2863" s="62" t="b">
        <f>IF(E2863="PA",IF(K2863&lt;&gt;"",ISERROR(VLOOKUP(K2863,ABBR!A:D,1,FALSE)),ISERROR(VLOOKUP(C2863,ABBR!A:D,1,FALSE))),"")</f>
        <v>0</v>
      </c>
      <c r="P2863" t="str">
        <f>VLOOKUP(A2863,Groups!A:L,5,FALSE)</f>
        <v>SAMP</v>
      </c>
      <c r="Q2863" s="62" t="str">
        <f>IF(G2863="PA",IF(M2863&lt;&gt;"",ISERROR(VLOOKUP(M2863,ABBR!C:F,1,FALSE)),ISERROR(VLOOKUP(E2863,ABBR!C:F,1,FALSE))),"")</f>
        <v/>
      </c>
    </row>
    <row r="2864" spans="1:17" s="62" customFormat="1" hidden="1" x14ac:dyDescent="0.25">
      <c r="A2864" s="16" t="s">
        <v>346</v>
      </c>
      <c r="B2864" s="17"/>
      <c r="C2864" s="16" t="s">
        <v>4834</v>
      </c>
      <c r="D2864" s="17"/>
      <c r="E2864" s="17" t="s">
        <v>618</v>
      </c>
      <c r="F2864" s="18" t="s">
        <v>4835</v>
      </c>
      <c r="G2864" s="49" t="s">
        <v>4836</v>
      </c>
      <c r="H2864" s="17">
        <f t="shared" si="19"/>
        <v>30</v>
      </c>
      <c r="I2864" s="30"/>
      <c r="J2864"/>
      <c r="K2864"/>
      <c r="L2864"/>
      <c r="M2864"/>
      <c r="N2864"/>
      <c r="O2864" s="62" t="b">
        <f>IF(E2864="PA",IF(K2864&lt;&gt;"",ISERROR(VLOOKUP(K2864,ABBR!A:D,1,FALSE)),ISERROR(VLOOKUP(C2864,ABBR!A:D,1,FALSE))),"")</f>
        <v>0</v>
      </c>
      <c r="P2864" t="str">
        <f>VLOOKUP(A2864,Groups!A:L,5,FALSE)</f>
        <v>SAMP</v>
      </c>
      <c r="Q2864" s="62" t="str">
        <f>IF(G2864="PA",IF(M2864&lt;&gt;"",ISERROR(VLOOKUP(M2864,ABBR!C:F,1,FALSE)),ISERROR(VLOOKUP(E2864,ABBR!C:F,1,FALSE))),"")</f>
        <v/>
      </c>
    </row>
    <row r="2865" spans="1:17" s="62" customFormat="1" hidden="1" x14ac:dyDescent="0.25">
      <c r="A2865" s="16" t="s">
        <v>346</v>
      </c>
      <c r="B2865" s="17"/>
      <c r="C2865" s="16" t="s">
        <v>4837</v>
      </c>
      <c r="D2865" s="17"/>
      <c r="E2865" s="17" t="s">
        <v>608</v>
      </c>
      <c r="F2865" s="18" t="s">
        <v>2858</v>
      </c>
      <c r="G2865" s="49" t="s">
        <v>16</v>
      </c>
      <c r="H2865" s="17">
        <f t="shared" si="19"/>
        <v>31</v>
      </c>
      <c r="I2865" s="30"/>
      <c r="J2865"/>
      <c r="K2865"/>
      <c r="L2865"/>
      <c r="M2865" s="101"/>
      <c r="N2865"/>
      <c r="O2865" s="62" t="str">
        <f>IF(E2865="PA",IF(K2865&lt;&gt;"",ISERROR(VLOOKUP(K2865,ABBR!A:D,1,FALSE)),ISERROR(VLOOKUP(C2865,ABBR!A:D,1,FALSE))),"")</f>
        <v/>
      </c>
      <c r="P2865" t="str">
        <f>VLOOKUP(A2865,Groups!A:L,5,FALSE)</f>
        <v>SAMP</v>
      </c>
      <c r="Q2865" s="62" t="str">
        <f>IF(G2865="PA",IF(M2865&lt;&gt;"",ISERROR(VLOOKUP(M2865,ABBR!C:F,1,FALSE)),ISERROR(VLOOKUP(E2865,ABBR!C:F,1,FALSE))),"")</f>
        <v/>
      </c>
    </row>
    <row r="2866" spans="1:17" s="62" customFormat="1" hidden="1" x14ac:dyDescent="0.25">
      <c r="A2866" s="16" t="s">
        <v>346</v>
      </c>
      <c r="B2866" s="17"/>
      <c r="C2866" s="16" t="s">
        <v>4838</v>
      </c>
      <c r="D2866" s="17"/>
      <c r="E2866" s="17" t="s">
        <v>608</v>
      </c>
      <c r="F2866" s="18" t="s">
        <v>918</v>
      </c>
      <c r="G2866" s="49" t="s">
        <v>4839</v>
      </c>
      <c r="H2866" s="17">
        <f t="shared" si="19"/>
        <v>32</v>
      </c>
      <c r="I2866" s="30"/>
      <c r="J2866"/>
      <c r="K2866"/>
      <c r="L2866"/>
      <c r="M2866"/>
      <c r="N2866"/>
      <c r="O2866" s="62" t="str">
        <f>IF(E2866="PA",IF(K2866&lt;&gt;"",ISERROR(VLOOKUP(K2866,ABBR!A:D,1,FALSE)),ISERROR(VLOOKUP(C2866,ABBR!A:D,1,FALSE))),"")</f>
        <v/>
      </c>
      <c r="P2866" t="str">
        <f>VLOOKUP(A2866,Groups!A:L,5,FALSE)</f>
        <v>SAMP</v>
      </c>
      <c r="Q2866" s="62" t="str">
        <f>IF(G2866="PA",IF(M2866&lt;&gt;"",ISERROR(VLOOKUP(M2866,ABBR!C:F,1,FALSE)),ISERROR(VLOOKUP(E2866,ABBR!C:F,1,FALSE))),"")</f>
        <v/>
      </c>
    </row>
    <row r="2867" spans="1:17" s="62" customFormat="1" hidden="1" x14ac:dyDescent="0.25">
      <c r="A2867" s="16" t="s">
        <v>346</v>
      </c>
      <c r="B2867" s="17"/>
      <c r="C2867" s="16" t="s">
        <v>4840</v>
      </c>
      <c r="D2867" s="17"/>
      <c r="E2867" s="17" t="s">
        <v>608</v>
      </c>
      <c r="F2867" s="18" t="s">
        <v>950</v>
      </c>
      <c r="G2867" s="27" t="s">
        <v>951</v>
      </c>
      <c r="H2867" s="17">
        <f t="shared" si="19"/>
        <v>33</v>
      </c>
      <c r="I2867" s="30"/>
      <c r="J2867"/>
      <c r="K2867"/>
      <c r="L2867"/>
      <c r="M2867"/>
      <c r="N2867"/>
      <c r="O2867" s="62" t="str">
        <f>IF(E2867="PA",IF(K2867&lt;&gt;"",ISERROR(VLOOKUP(K2867,ABBR!A:D,1,FALSE)),ISERROR(VLOOKUP(C2867,ABBR!A:D,1,FALSE))),"")</f>
        <v/>
      </c>
      <c r="P2867" t="str">
        <f>VLOOKUP(A2867,Groups!A:L,5,FALSE)</f>
        <v>SAMP</v>
      </c>
      <c r="Q2867" s="62" t="str">
        <f>IF(G2867="PA",IF(M2867&lt;&gt;"",ISERROR(VLOOKUP(M2867,ABBR!C:F,1,FALSE)),ISERROR(VLOOKUP(E2867,ABBR!C:F,1,FALSE))),"")</f>
        <v/>
      </c>
    </row>
    <row r="2868" spans="1:17" s="62" customFormat="1" ht="25" hidden="1" x14ac:dyDescent="0.25">
      <c r="A2868" s="16" t="s">
        <v>346</v>
      </c>
      <c r="B2868" s="17"/>
      <c r="C2868" s="16" t="s">
        <v>4841</v>
      </c>
      <c r="D2868" s="17"/>
      <c r="E2868" s="17" t="s">
        <v>608</v>
      </c>
      <c r="F2868" s="18" t="s">
        <v>934</v>
      </c>
      <c r="G2868" s="49" t="s">
        <v>953</v>
      </c>
      <c r="H2868" s="17">
        <f t="shared" ref="H2868:H2887" si="20">H2867+1</f>
        <v>34</v>
      </c>
      <c r="I2868" s="30"/>
      <c r="J2868"/>
      <c r="K2868"/>
      <c r="L2868"/>
      <c r="M2868"/>
      <c r="N2868"/>
      <c r="O2868" s="62" t="str">
        <f>IF(E2868="PA",IF(K2868&lt;&gt;"",ISERROR(VLOOKUP(K2868,ABBR!A:D,1,FALSE)),ISERROR(VLOOKUP(C2868,ABBR!A:D,1,FALSE))),"")</f>
        <v/>
      </c>
      <c r="P2868" t="str">
        <f>VLOOKUP(A2868,Groups!A:L,5,FALSE)</f>
        <v>SAMP</v>
      </c>
      <c r="Q2868" s="62" t="str">
        <f>IF(G2868="PA",IF(M2868&lt;&gt;"",ISERROR(VLOOKUP(M2868,ABBR!C:F,1,FALSE)),ISERROR(VLOOKUP(E2868,ABBR!C:F,1,FALSE))),"")</f>
        <v/>
      </c>
    </row>
    <row r="2869" spans="1:17" s="62" customFormat="1" hidden="1" x14ac:dyDescent="0.25">
      <c r="A2869" s="16" t="s">
        <v>346</v>
      </c>
      <c r="B2869" s="17"/>
      <c r="C2869" s="16" t="s">
        <v>936</v>
      </c>
      <c r="D2869" s="17"/>
      <c r="E2869" s="22" t="s">
        <v>608</v>
      </c>
      <c r="F2869" s="18" t="s">
        <v>937</v>
      </c>
      <c r="G2869" s="49" t="s">
        <v>938</v>
      </c>
      <c r="H2869" s="17">
        <f t="shared" si="20"/>
        <v>35</v>
      </c>
      <c r="I2869" s="30"/>
      <c r="J2869"/>
      <c r="K2869"/>
      <c r="L2869"/>
      <c r="M2869"/>
      <c r="N2869"/>
      <c r="O2869" s="62" t="str">
        <f>IF(E2869="PA",IF(K2869&lt;&gt;"",ISERROR(VLOOKUP(K2869,ABBR!A:D,1,FALSE)),ISERROR(VLOOKUP(C2869,ABBR!A:D,1,FALSE))),"")</f>
        <v/>
      </c>
      <c r="P2869" t="str">
        <f>VLOOKUP(A2869,Groups!A:L,5,FALSE)</f>
        <v>SAMP</v>
      </c>
      <c r="Q2869" s="62" t="str">
        <f>IF(G2869="PA",IF(M2869&lt;&gt;"",ISERROR(VLOOKUP(M2869,ABBR!C:F,1,FALSE)),ISERROR(VLOOKUP(E2869,ABBR!C:F,1,FALSE))),"")</f>
        <v/>
      </c>
    </row>
    <row r="2870" spans="1:17" s="62" customFormat="1" hidden="1" x14ac:dyDescent="0.25">
      <c r="A2870" s="16" t="s">
        <v>346</v>
      </c>
      <c r="B2870" s="17"/>
      <c r="C2870" s="16" t="s">
        <v>643</v>
      </c>
      <c r="D2870" s="17"/>
      <c r="E2870" s="17" t="s">
        <v>608</v>
      </c>
      <c r="F2870" s="18" t="s">
        <v>954</v>
      </c>
      <c r="G2870" s="49" t="s">
        <v>4479</v>
      </c>
      <c r="H2870" s="17">
        <f t="shared" si="20"/>
        <v>36</v>
      </c>
      <c r="I2870" s="30"/>
      <c r="J2870"/>
      <c r="K2870"/>
      <c r="L2870"/>
      <c r="M2870"/>
      <c r="N2870"/>
      <c r="O2870" s="62" t="str">
        <f>IF(E2870="PA",IF(K2870&lt;&gt;"",ISERROR(VLOOKUP(K2870,ABBR!A:D,1,FALSE)),ISERROR(VLOOKUP(C2870,ABBR!A:D,1,FALSE))),"")</f>
        <v/>
      </c>
      <c r="P2870" t="str">
        <f>VLOOKUP(A2870,Groups!A:L,5,FALSE)</f>
        <v>SAMP</v>
      </c>
      <c r="Q2870" s="62" t="str">
        <f>IF(G2870="PA",IF(M2870&lt;&gt;"",ISERROR(VLOOKUP(M2870,ABBR!C:F,1,FALSE)),ISERROR(VLOOKUP(E2870,ABBR!C:F,1,FALSE))),"")</f>
        <v/>
      </c>
    </row>
    <row r="2871" spans="1:17" s="62" customFormat="1" hidden="1" x14ac:dyDescent="0.25">
      <c r="A2871" s="16" t="s">
        <v>346</v>
      </c>
      <c r="B2871" s="17"/>
      <c r="C2871" s="16" t="s">
        <v>877</v>
      </c>
      <c r="D2871" s="17" t="s">
        <v>600</v>
      </c>
      <c r="E2871" s="17" t="s">
        <v>601</v>
      </c>
      <c r="F2871" s="18" t="s">
        <v>878</v>
      </c>
      <c r="G2871" s="49" t="s">
        <v>879</v>
      </c>
      <c r="H2871" s="17">
        <f t="shared" si="20"/>
        <v>37</v>
      </c>
      <c r="I2871" s="30" t="s">
        <v>955</v>
      </c>
      <c r="J2871" s="80">
        <v>4.0999999999999996</v>
      </c>
      <c r="K2871"/>
      <c r="L2871"/>
      <c r="M2871"/>
      <c r="N2871"/>
      <c r="O2871" s="62" t="str">
        <f>IF(E2871="PA",IF(K2871&lt;&gt;"",ISERROR(VLOOKUP(K2871,ABBR!A:D,1,FALSE)),ISERROR(VLOOKUP(C2871,ABBR!A:D,1,FALSE))),"")</f>
        <v/>
      </c>
      <c r="P2871" t="str">
        <f>VLOOKUP(A2871,Groups!A:L,5,FALSE)</f>
        <v>SAMP</v>
      </c>
      <c r="Q2871" s="62" t="str">
        <f>IF(G2871="PA",IF(M2871&lt;&gt;"",ISERROR(VLOOKUP(M2871,ABBR!C:F,1,FALSE)),ISERROR(VLOOKUP(E2871,ABBR!C:F,1,FALSE))),"")</f>
        <v/>
      </c>
    </row>
    <row r="2872" spans="1:17" s="62" customFormat="1" hidden="1" x14ac:dyDescent="0.25">
      <c r="A2872" s="16" t="s">
        <v>346</v>
      </c>
      <c r="B2872" s="17"/>
      <c r="C2872" s="16" t="s">
        <v>4842</v>
      </c>
      <c r="D2872" s="17"/>
      <c r="E2872" s="17" t="s">
        <v>608</v>
      </c>
      <c r="F2872" s="18" t="s">
        <v>1554</v>
      </c>
      <c r="G2872" s="94" t="s">
        <v>922</v>
      </c>
      <c r="H2872" s="17">
        <f t="shared" si="20"/>
        <v>38</v>
      </c>
      <c r="I2872" s="30" t="s">
        <v>955</v>
      </c>
      <c r="J2872" s="80">
        <v>4.0999999999999996</v>
      </c>
      <c r="K2872"/>
      <c r="L2872"/>
      <c r="M2872" s="101"/>
      <c r="N2872"/>
      <c r="O2872" s="62" t="str">
        <f>IF(E2872="PA",IF(K2872&lt;&gt;"",ISERROR(VLOOKUP(K2872,ABBR!A:D,1,FALSE)),ISERROR(VLOOKUP(C2872,ABBR!A:D,1,FALSE))),"")</f>
        <v/>
      </c>
      <c r="P2872" t="str">
        <f>VLOOKUP(A2872,Groups!A:L,5,FALSE)</f>
        <v>SAMP</v>
      </c>
      <c r="Q2872" s="62" t="str">
        <f>IF(G2872="PA",IF(M2872&lt;&gt;"",ISERROR(VLOOKUP(M2872,ABBR!C:F,1,FALSE)),ISERROR(VLOOKUP(E2872,ABBR!C:F,1,FALSE))),"")</f>
        <v/>
      </c>
    </row>
    <row r="2873" spans="1:17" s="62" customFormat="1" hidden="1" x14ac:dyDescent="0.25">
      <c r="A2873" s="16" t="s">
        <v>346</v>
      </c>
      <c r="B2873" s="17"/>
      <c r="C2873" s="16" t="s">
        <v>4843</v>
      </c>
      <c r="D2873" s="17"/>
      <c r="E2873" s="17" t="s">
        <v>608</v>
      </c>
      <c r="F2873" s="18" t="s">
        <v>4844</v>
      </c>
      <c r="G2873" s="49" t="s">
        <v>1558</v>
      </c>
      <c r="H2873" s="17">
        <f t="shared" si="20"/>
        <v>39</v>
      </c>
      <c r="I2873" s="30" t="s">
        <v>955</v>
      </c>
      <c r="J2873" s="80">
        <v>4.0999999999999996</v>
      </c>
      <c r="K2873"/>
      <c r="L2873"/>
      <c r="M2873"/>
      <c r="N2873"/>
      <c r="O2873" s="62" t="str">
        <f>IF(E2873="PA",IF(K2873&lt;&gt;"",ISERROR(VLOOKUP(K2873,ABBR!A:D,1,FALSE)),ISERROR(VLOOKUP(C2873,ABBR!A:D,1,FALSE))),"")</f>
        <v/>
      </c>
      <c r="P2873" t="str">
        <f>VLOOKUP(A2873,Groups!A:L,5,FALSE)</f>
        <v>SAMP</v>
      </c>
      <c r="Q2873" s="62" t="str">
        <f>IF(G2873="PA",IF(M2873&lt;&gt;"",ISERROR(VLOOKUP(M2873,ABBR!C:F,1,FALSE)),ISERROR(VLOOKUP(E2873,ABBR!C:F,1,FALSE))),"")</f>
        <v/>
      </c>
    </row>
    <row r="2874" spans="1:17" s="62" customFormat="1" hidden="1" x14ac:dyDescent="0.25">
      <c r="A2874" s="16" t="s">
        <v>346</v>
      </c>
      <c r="B2874" s="17"/>
      <c r="C2874" s="16" t="s">
        <v>4845</v>
      </c>
      <c r="D2874" s="17" t="s">
        <v>766</v>
      </c>
      <c r="E2874" s="17" t="s">
        <v>608</v>
      </c>
      <c r="F2874" s="18" t="s">
        <v>4846</v>
      </c>
      <c r="G2874" s="49" t="s">
        <v>4847</v>
      </c>
      <c r="H2874" s="17">
        <f t="shared" si="20"/>
        <v>40</v>
      </c>
      <c r="I2874" s="30" t="s">
        <v>955</v>
      </c>
      <c r="J2874" s="80">
        <v>4.0999999999999996</v>
      </c>
      <c r="K2874"/>
      <c r="L2874"/>
      <c r="M2874"/>
      <c r="N2874"/>
      <c r="O2874" s="62" t="str">
        <f>IF(E2874="PA",IF(K2874&lt;&gt;"",ISERROR(VLOOKUP(K2874,ABBR!A:D,1,FALSE)),ISERROR(VLOOKUP(C2874,ABBR!A:D,1,FALSE))),"")</f>
        <v/>
      </c>
      <c r="P2874" t="str">
        <f>VLOOKUP(A2874,Groups!A:L,5,FALSE)</f>
        <v>SAMP</v>
      </c>
      <c r="Q2874" s="62" t="str">
        <f>IF(G2874="PA",IF(M2874&lt;&gt;"",ISERROR(VLOOKUP(M2874,ABBR!C:F,1,FALSE)),ISERROR(VLOOKUP(E2874,ABBR!C:F,1,FALSE))),"")</f>
        <v/>
      </c>
    </row>
    <row r="2875" spans="1:17" s="62" customFormat="1" hidden="1" x14ac:dyDescent="0.25">
      <c r="A2875" s="16" t="s">
        <v>346</v>
      </c>
      <c r="B2875" s="17"/>
      <c r="C2875" s="16" t="s">
        <v>4848</v>
      </c>
      <c r="D2875" s="17" t="s">
        <v>766</v>
      </c>
      <c r="E2875" s="17" t="s">
        <v>882</v>
      </c>
      <c r="F2875" s="18" t="s">
        <v>4849</v>
      </c>
      <c r="G2875" s="49" t="s">
        <v>4823</v>
      </c>
      <c r="H2875" s="17">
        <f t="shared" si="20"/>
        <v>41</v>
      </c>
      <c r="I2875" s="30" t="s">
        <v>955</v>
      </c>
      <c r="J2875" s="80">
        <v>4.0999999999999996</v>
      </c>
      <c r="K2875"/>
      <c r="L2875"/>
      <c r="M2875"/>
      <c r="N2875"/>
      <c r="O2875" s="62" t="str">
        <f>IF(E2875="PA",IF(K2875&lt;&gt;"",ISERROR(VLOOKUP(K2875,ABBR!A:D,1,FALSE)),ISERROR(VLOOKUP(C2875,ABBR!A:D,1,FALSE))),"")</f>
        <v/>
      </c>
      <c r="P2875" t="str">
        <f>VLOOKUP(A2875,Groups!A:L,5,FALSE)</f>
        <v>SAMP</v>
      </c>
      <c r="Q2875" s="62" t="str">
        <f>IF(G2875="PA",IF(M2875&lt;&gt;"",ISERROR(VLOOKUP(M2875,ABBR!C:F,1,FALSE)),ISERROR(VLOOKUP(E2875,ABBR!C:F,1,FALSE))),"")</f>
        <v/>
      </c>
    </row>
    <row r="2876" spans="1:17" s="62" customFormat="1" ht="25" hidden="1" x14ac:dyDescent="0.25">
      <c r="A2876" s="16" t="s">
        <v>346</v>
      </c>
      <c r="B2876" s="17"/>
      <c r="C2876" s="16" t="s">
        <v>4850</v>
      </c>
      <c r="D2876" s="17" t="s">
        <v>1590</v>
      </c>
      <c r="E2876" s="17" t="s">
        <v>723</v>
      </c>
      <c r="F2876" s="18" t="s">
        <v>4851</v>
      </c>
      <c r="G2876" s="49" t="s">
        <v>4847</v>
      </c>
      <c r="H2876" s="17">
        <f t="shared" si="20"/>
        <v>42</v>
      </c>
      <c r="I2876" s="30" t="s">
        <v>955</v>
      </c>
      <c r="J2876" s="80">
        <v>4.0999999999999996</v>
      </c>
      <c r="K2876"/>
      <c r="L2876"/>
      <c r="M2876"/>
      <c r="N2876"/>
      <c r="O2876" s="62" t="str">
        <f>IF(E2876="PA",IF(K2876&lt;&gt;"",ISERROR(VLOOKUP(K2876,ABBR!A:D,1,FALSE)),ISERROR(VLOOKUP(C2876,ABBR!A:D,1,FALSE))),"")</f>
        <v/>
      </c>
      <c r="P2876" t="str">
        <f>VLOOKUP(A2876,Groups!A:L,5,FALSE)</f>
        <v>SAMP</v>
      </c>
      <c r="Q2876" s="62" t="str">
        <f>IF(G2876="PA",IF(M2876&lt;&gt;"",ISERROR(VLOOKUP(M2876,ABBR!C:F,1,FALSE)),ISERROR(VLOOKUP(E2876,ABBR!C:F,1,FALSE))),"")</f>
        <v/>
      </c>
    </row>
    <row r="2877" spans="1:17" s="62" customFormat="1" ht="37.5" hidden="1" x14ac:dyDescent="0.25">
      <c r="A2877" s="16" t="s">
        <v>346</v>
      </c>
      <c r="B2877" s="17"/>
      <c r="C2877" s="16" t="s">
        <v>4852</v>
      </c>
      <c r="D2877" s="17"/>
      <c r="E2877" s="17" t="s">
        <v>608</v>
      </c>
      <c r="F2877" s="18" t="s">
        <v>4853</v>
      </c>
      <c r="G2877" s="49" t="s">
        <v>4854</v>
      </c>
      <c r="H2877" s="17">
        <f t="shared" si="20"/>
        <v>43</v>
      </c>
      <c r="I2877" s="30" t="s">
        <v>4855</v>
      </c>
      <c r="J2877" s="80" t="s">
        <v>4856</v>
      </c>
      <c r="K2877"/>
      <c r="L2877"/>
      <c r="M2877"/>
      <c r="N2877"/>
      <c r="O2877" s="62" t="str">
        <f>IF(E2877="PA",IF(K2877&lt;&gt;"",ISERROR(VLOOKUP(K2877,ABBR!A:D,1,FALSE)),ISERROR(VLOOKUP(C2877,ABBR!A:D,1,FALSE))),"")</f>
        <v/>
      </c>
      <c r="P2877" t="str">
        <f>VLOOKUP(A2877,Groups!A:L,5,FALSE)</f>
        <v>SAMP</v>
      </c>
      <c r="Q2877" s="62" t="str">
        <f>IF(G2877="PA",IF(M2877&lt;&gt;"",ISERROR(VLOOKUP(M2877,ABBR!C:F,1,FALSE)),ISERROR(VLOOKUP(E2877,ABBR!C:F,1,FALSE))),"")</f>
        <v/>
      </c>
    </row>
    <row r="2878" spans="1:17" s="62" customFormat="1" hidden="1" x14ac:dyDescent="0.25">
      <c r="A2878" s="16" t="s">
        <v>346</v>
      </c>
      <c r="B2878" s="17"/>
      <c r="C2878" s="16" t="s">
        <v>4857</v>
      </c>
      <c r="D2878" s="17" t="s">
        <v>1345</v>
      </c>
      <c r="E2878" s="17" t="s">
        <v>767</v>
      </c>
      <c r="F2878" s="18" t="s">
        <v>4858</v>
      </c>
      <c r="G2878" s="49" t="s">
        <v>2067</v>
      </c>
      <c r="H2878" s="17">
        <f t="shared" si="20"/>
        <v>44</v>
      </c>
      <c r="I2878" s="30" t="s">
        <v>955</v>
      </c>
      <c r="J2878" s="80">
        <v>4.0999999999999996</v>
      </c>
      <c r="K2878"/>
      <c r="L2878"/>
      <c r="M2878"/>
      <c r="N2878"/>
      <c r="O2878" s="62" t="str">
        <f>IF(E2878="PA",IF(K2878&lt;&gt;"",ISERROR(VLOOKUP(K2878,ABBR!A:D,1,FALSE)),ISERROR(VLOOKUP(C2878,ABBR!A:D,1,FALSE))),"")</f>
        <v/>
      </c>
      <c r="P2878" t="str">
        <f>VLOOKUP(A2878,Groups!A:L,5,FALSE)</f>
        <v>SAMP</v>
      </c>
      <c r="Q2878" s="62" t="str">
        <f>IF(G2878="PA",IF(M2878&lt;&gt;"",ISERROR(VLOOKUP(M2878,ABBR!C:F,1,FALSE)),ISERROR(VLOOKUP(E2878,ABBR!C:F,1,FALSE))),"")</f>
        <v/>
      </c>
    </row>
    <row r="2879" spans="1:17" s="62" customFormat="1" hidden="1" x14ac:dyDescent="0.25">
      <c r="A2879" s="16" t="s">
        <v>346</v>
      </c>
      <c r="B2879" s="17"/>
      <c r="C2879" s="16" t="s">
        <v>4859</v>
      </c>
      <c r="D2879" s="17"/>
      <c r="E2879" s="17" t="s">
        <v>601</v>
      </c>
      <c r="F2879" s="18" t="s">
        <v>4860</v>
      </c>
      <c r="G2879" s="49" t="s">
        <v>4861</v>
      </c>
      <c r="H2879" s="17">
        <f t="shared" si="20"/>
        <v>45</v>
      </c>
      <c r="I2879" s="30" t="s">
        <v>955</v>
      </c>
      <c r="J2879" s="80">
        <v>4.0999999999999996</v>
      </c>
      <c r="K2879"/>
      <c r="L2879"/>
      <c r="M2879"/>
      <c r="N2879"/>
      <c r="O2879" s="62" t="str">
        <f>IF(E2879="PA",IF(K2879&lt;&gt;"",ISERROR(VLOOKUP(K2879,ABBR!A:D,1,FALSE)),ISERROR(VLOOKUP(C2879,ABBR!A:D,1,FALSE))),"")</f>
        <v/>
      </c>
      <c r="P2879" t="str">
        <f>VLOOKUP(A2879,Groups!A:L,5,FALSE)</f>
        <v>SAMP</v>
      </c>
      <c r="Q2879" s="62" t="str">
        <f>IF(G2879="PA",IF(M2879&lt;&gt;"",ISERROR(VLOOKUP(M2879,ABBR!C:F,1,FALSE)),ISERROR(VLOOKUP(E2879,ABBR!C:F,1,FALSE))),"")</f>
        <v/>
      </c>
    </row>
    <row r="2880" spans="1:17" s="62" customFormat="1" ht="25" hidden="1" x14ac:dyDescent="0.25">
      <c r="A2880" s="16" t="s">
        <v>346</v>
      </c>
      <c r="B2880" s="17"/>
      <c r="C2880" s="16" t="s">
        <v>4862</v>
      </c>
      <c r="D2880" s="17"/>
      <c r="E2880" s="17" t="s">
        <v>608</v>
      </c>
      <c r="F2880" s="18" t="s">
        <v>4863</v>
      </c>
      <c r="G2880" s="49"/>
      <c r="H2880" s="17">
        <f t="shared" si="20"/>
        <v>46</v>
      </c>
      <c r="I2880" s="30" t="s">
        <v>955</v>
      </c>
      <c r="J2880" s="80">
        <v>4.0999999999999996</v>
      </c>
      <c r="K2880"/>
      <c r="L2880"/>
      <c r="M2880" s="101" t="s">
        <v>1044</v>
      </c>
      <c r="N2880"/>
      <c r="O2880" s="62" t="str">
        <f>IF(E2880="PA",IF(K2880&lt;&gt;"",ISERROR(VLOOKUP(K2880,ABBR!A:D,1,FALSE)),ISERROR(VLOOKUP(C2880,ABBR!A:D,1,FALSE))),"")</f>
        <v/>
      </c>
      <c r="P2880" t="str">
        <f>VLOOKUP(A2880,Groups!A:L,5,FALSE)</f>
        <v>SAMP</v>
      </c>
      <c r="Q2880" s="62" t="str">
        <f>IF(G2880="PA",IF(M2880&lt;&gt;"",ISERROR(VLOOKUP(M2880,ABBR!C:F,1,FALSE)),ISERROR(VLOOKUP(E2880,ABBR!C:F,1,FALSE))),"")</f>
        <v/>
      </c>
    </row>
    <row r="2881" spans="1:17" s="62" customFormat="1" hidden="1" x14ac:dyDescent="0.25">
      <c r="A2881" s="16" t="s">
        <v>346</v>
      </c>
      <c r="B2881" s="17"/>
      <c r="C2881" s="16" t="s">
        <v>4864</v>
      </c>
      <c r="D2881" s="17" t="s">
        <v>766</v>
      </c>
      <c r="E2881" s="17" t="s">
        <v>723</v>
      </c>
      <c r="F2881" s="18" t="s">
        <v>4865</v>
      </c>
      <c r="G2881" s="49" t="s">
        <v>4151</v>
      </c>
      <c r="H2881" s="17">
        <f t="shared" si="20"/>
        <v>47</v>
      </c>
      <c r="I2881" s="30"/>
      <c r="J2881" s="62" t="s">
        <v>473</v>
      </c>
      <c r="O2881" s="62" t="str">
        <f>IF(E2881="PA",IF(K2881&lt;&gt;"",ISERROR(VLOOKUP(K2881,ABBR!A:D,1,FALSE)),ISERROR(VLOOKUP(C2881,ABBR!A:D,1,FALSE))),"")</f>
        <v/>
      </c>
      <c r="P2881" t="str">
        <f>VLOOKUP(A2881,Groups!A:L,5,FALSE)</f>
        <v>SAMP</v>
      </c>
      <c r="Q2881" s="62" t="str">
        <f>IF(G2881="PA",IF(M2881&lt;&gt;"",ISERROR(VLOOKUP(M2881,ABBR!C:F,1,FALSE)),ISERROR(VLOOKUP(E2881,ABBR!C:F,1,FALSE))),"")</f>
        <v/>
      </c>
    </row>
    <row r="2882" spans="1:17" s="62" customFormat="1" hidden="1" x14ac:dyDescent="0.25">
      <c r="A2882" s="16" t="s">
        <v>346</v>
      </c>
      <c r="B2882" s="17"/>
      <c r="C2882" s="16" t="s">
        <v>4866</v>
      </c>
      <c r="D2882" s="17" t="s">
        <v>766</v>
      </c>
      <c r="E2882" s="17" t="s">
        <v>723</v>
      </c>
      <c r="F2882" s="18" t="s">
        <v>4150</v>
      </c>
      <c r="G2882" s="49" t="s">
        <v>4151</v>
      </c>
      <c r="H2882" s="17">
        <f t="shared" si="20"/>
        <v>48</v>
      </c>
      <c r="I2882" s="30"/>
      <c r="J2882" s="62" t="s">
        <v>473</v>
      </c>
      <c r="O2882" s="62" t="str">
        <f>IF(E2882="PA",IF(K2882&lt;&gt;"",ISERROR(VLOOKUP(K2882,ABBR!A:D,1,FALSE)),ISERROR(VLOOKUP(C2882,ABBR!A:D,1,FALSE))),"")</f>
        <v/>
      </c>
      <c r="P2882" t="str">
        <f>VLOOKUP(A2882,Groups!A:L,5,FALSE)</f>
        <v>SAMP</v>
      </c>
      <c r="Q2882" s="62" t="str">
        <f>IF(G2882="PA",IF(M2882&lt;&gt;"",ISERROR(VLOOKUP(M2882,ABBR!C:F,1,FALSE)),ISERROR(VLOOKUP(E2882,ABBR!C:F,1,FALSE))),"")</f>
        <v/>
      </c>
    </row>
    <row r="2883" spans="1:17" s="62" customFormat="1" hidden="1" x14ac:dyDescent="0.25">
      <c r="A2883" s="16" t="s">
        <v>346</v>
      </c>
      <c r="B2883" s="17"/>
      <c r="C2883" s="16" t="s">
        <v>4867</v>
      </c>
      <c r="D2883" s="17"/>
      <c r="E2883" s="17" t="s">
        <v>608</v>
      </c>
      <c r="F2883" s="18" t="s">
        <v>4868</v>
      </c>
      <c r="G2883" s="49" t="s">
        <v>4869</v>
      </c>
      <c r="H2883" s="17">
        <f t="shared" si="20"/>
        <v>49</v>
      </c>
      <c r="I2883" s="30"/>
      <c r="J2883" s="62" t="s">
        <v>473</v>
      </c>
      <c r="O2883" s="62" t="str">
        <f>IF(E2883="PA",IF(K2883&lt;&gt;"",ISERROR(VLOOKUP(K2883,ABBR!A:D,1,FALSE)),ISERROR(VLOOKUP(C2883,ABBR!A:D,1,FALSE))),"")</f>
        <v/>
      </c>
      <c r="P2883" t="str">
        <f>VLOOKUP(A2883,Groups!A:L,5,FALSE)</f>
        <v>SAMP</v>
      </c>
      <c r="Q2883" s="62" t="str">
        <f>IF(G2883="PA",IF(M2883&lt;&gt;"",ISERROR(VLOOKUP(M2883,ABBR!C:F,1,FALSE)),ISERROR(VLOOKUP(E2883,ABBR!C:F,1,FALSE))),"")</f>
        <v/>
      </c>
    </row>
    <row r="2884" spans="1:17" s="62" customFormat="1" hidden="1" x14ac:dyDescent="0.25">
      <c r="A2884" s="16" t="s">
        <v>346</v>
      </c>
      <c r="B2884" s="17"/>
      <c r="C2884" s="16" t="s">
        <v>4870</v>
      </c>
      <c r="D2884" s="17" t="s">
        <v>908</v>
      </c>
      <c r="E2884" s="17" t="s">
        <v>601</v>
      </c>
      <c r="F2884" s="18" t="s">
        <v>4871</v>
      </c>
      <c r="G2884" s="49" t="s">
        <v>1319</v>
      </c>
      <c r="H2884" s="17">
        <f t="shared" si="20"/>
        <v>50</v>
      </c>
      <c r="I2884" s="30"/>
      <c r="J2884" s="62" t="s">
        <v>473</v>
      </c>
      <c r="O2884" s="62" t="str">
        <f>IF(E2884="PA",IF(K2884&lt;&gt;"",ISERROR(VLOOKUP(K2884,ABBR!A:D,1,FALSE)),ISERROR(VLOOKUP(C2884,ABBR!A:D,1,FALSE))),"")</f>
        <v/>
      </c>
      <c r="P2884" t="str">
        <f>VLOOKUP(A2884,Groups!A:L,5,FALSE)</f>
        <v>SAMP</v>
      </c>
      <c r="Q2884" s="62" t="str">
        <f>IF(G2884="PA",IF(M2884&lt;&gt;"",ISERROR(VLOOKUP(M2884,ABBR!C:F,1,FALSE)),ISERROR(VLOOKUP(E2884,ABBR!C:F,1,FALSE))),"")</f>
        <v/>
      </c>
    </row>
    <row r="2885" spans="1:17" s="62" customFormat="1" hidden="1" x14ac:dyDescent="0.25">
      <c r="A2885" s="16" t="s">
        <v>346</v>
      </c>
      <c r="B2885" s="17"/>
      <c r="C2885" s="16" t="s">
        <v>4872</v>
      </c>
      <c r="D2885" s="17" t="s">
        <v>924</v>
      </c>
      <c r="E2885" s="17" t="s">
        <v>925</v>
      </c>
      <c r="F2885" s="18" t="s">
        <v>926</v>
      </c>
      <c r="G2885" s="49" t="s">
        <v>927</v>
      </c>
      <c r="H2885" s="17">
        <f t="shared" si="20"/>
        <v>51</v>
      </c>
      <c r="I2885" s="30"/>
      <c r="J2885" s="62" t="s">
        <v>473</v>
      </c>
      <c r="O2885" s="62" t="str">
        <f>IF(E2885="PA",IF(K2885&lt;&gt;"",ISERROR(VLOOKUP(K2885,ABBR!A:D,1,FALSE)),ISERROR(VLOOKUP(C2885,ABBR!A:D,1,FALSE))),"")</f>
        <v/>
      </c>
      <c r="P2885" t="str">
        <f>VLOOKUP(A2885,Groups!A:L,5,FALSE)</f>
        <v>SAMP</v>
      </c>
      <c r="Q2885" s="62" t="str">
        <f>IF(G2885="PA",IF(M2885&lt;&gt;"",ISERROR(VLOOKUP(M2885,ABBR!C:F,1,FALSE)),ISERROR(VLOOKUP(E2885,ABBR!C:F,1,FALSE))),"")</f>
        <v/>
      </c>
    </row>
    <row r="2886" spans="1:17" hidden="1" x14ac:dyDescent="0.25">
      <c r="A2886" s="16" t="s">
        <v>346</v>
      </c>
      <c r="B2886" s="17"/>
      <c r="C2886" s="16" t="s">
        <v>4873</v>
      </c>
      <c r="D2886" s="17"/>
      <c r="E2886" s="17" t="s">
        <v>608</v>
      </c>
      <c r="F2886" s="18" t="s">
        <v>875</v>
      </c>
      <c r="G2886" s="49" t="s">
        <v>876</v>
      </c>
      <c r="H2886" s="17">
        <f t="shared" si="20"/>
        <v>52</v>
      </c>
      <c r="J2886" s="7" t="s">
        <v>473</v>
      </c>
      <c r="K2886" s="62"/>
      <c r="L2886" s="62"/>
      <c r="M2886" s="62"/>
      <c r="N2886" s="62"/>
      <c r="O2886" s="62" t="str">
        <f>IF(E2886="PA",IF(K2886&lt;&gt;"",ISERROR(VLOOKUP(K2886,ABBR!A:D,1,FALSE)),ISERROR(VLOOKUP(C2886,ABBR!A:D,1,FALSE))),"")</f>
        <v/>
      </c>
      <c r="P2886" t="str">
        <f>VLOOKUP(A2886,Groups!A:L,5,FALSE)</f>
        <v>SAMP</v>
      </c>
      <c r="Q2886" s="62" t="str">
        <f>IF(G2886="PA",IF(M2886&lt;&gt;"",ISERROR(VLOOKUP(M2886,ABBR!C:F,1,FALSE)),ISERROR(VLOOKUP(E2886,ABBR!C:F,1,FALSE))),"")</f>
        <v/>
      </c>
    </row>
    <row r="2887" spans="1:17" hidden="1" x14ac:dyDescent="0.25">
      <c r="A2887" s="16" t="s">
        <v>346</v>
      </c>
      <c r="B2887" s="17"/>
      <c r="C2887" s="16" t="s">
        <v>4874</v>
      </c>
      <c r="D2887" s="17"/>
      <c r="E2887" s="17" t="s">
        <v>608</v>
      </c>
      <c r="F2887" s="18" t="s">
        <v>929</v>
      </c>
      <c r="G2887" s="49" t="s">
        <v>876</v>
      </c>
      <c r="H2887" s="17">
        <f t="shared" si="20"/>
        <v>53</v>
      </c>
      <c r="J2887" s="7" t="s">
        <v>473</v>
      </c>
      <c r="K2887" s="62"/>
      <c r="L2887" s="62"/>
      <c r="M2887" s="62"/>
      <c r="N2887" s="62"/>
      <c r="O2887" s="62" t="str">
        <f>IF(E2887="PA",IF(K2887&lt;&gt;"",ISERROR(VLOOKUP(K2887,ABBR!A:D,1,FALSE)),ISERROR(VLOOKUP(C2887,ABBR!A:D,1,FALSE))),"")</f>
        <v/>
      </c>
      <c r="P2887" t="str">
        <f>VLOOKUP(A2887,Groups!A:L,5,FALSE)</f>
        <v>SAMP</v>
      </c>
      <c r="Q2887" s="62" t="str">
        <f>IF(G2887="PA",IF(M2887&lt;&gt;"",ISERROR(VLOOKUP(M2887,ABBR!C:F,1,FALSE)),ISERROR(VLOOKUP(E2887,ABBR!C:F,1,FALSE))),"")</f>
        <v/>
      </c>
    </row>
    <row r="2888" spans="1:17" s="62" customFormat="1" hidden="1" x14ac:dyDescent="0.25">
      <c r="A2888" s="16" t="s">
        <v>348</v>
      </c>
      <c r="B2888" s="17" t="s">
        <v>594</v>
      </c>
      <c r="C2888" s="16" t="s">
        <v>595</v>
      </c>
      <c r="D2888" s="17"/>
      <c r="E2888" s="17" t="s">
        <v>596</v>
      </c>
      <c r="F2888" s="18" t="s">
        <v>597</v>
      </c>
      <c r="G2888" s="49" t="s">
        <v>598</v>
      </c>
      <c r="H2888" s="17">
        <v>1</v>
      </c>
      <c r="I2888" s="30"/>
      <c r="J2888"/>
      <c r="K2888"/>
      <c r="L2888"/>
      <c r="M2888"/>
      <c r="N2888"/>
      <c r="O2888" s="62" t="str">
        <f>IF(E2888="PA",IF(K2888&lt;&gt;"",ISERROR(VLOOKUP(K2888,ABBR!A:D,1,FALSE)),ISERROR(VLOOKUP(C2888,ABBR!A:D,1,FALSE))),"")</f>
        <v/>
      </c>
      <c r="P2888" t="str">
        <f>VLOOKUP(A2888,Groups!A:L,5,FALSE)</f>
        <v>LOCA</v>
      </c>
      <c r="Q2888" s="62" t="str">
        <f>IF(G2888="PA",IF(M2888&lt;&gt;"",ISERROR(VLOOKUP(M2888,ABBR!C:F,1,FALSE)),ISERROR(VLOOKUP(E2888,ABBR!C:F,1,FALSE))),"")</f>
        <v/>
      </c>
    </row>
    <row r="2889" spans="1:17" s="62" customFormat="1" hidden="1" x14ac:dyDescent="0.25">
      <c r="A2889" s="16" t="s">
        <v>348</v>
      </c>
      <c r="B2889" s="17" t="s">
        <v>594</v>
      </c>
      <c r="C2889" s="16" t="s">
        <v>4875</v>
      </c>
      <c r="D2889" s="17"/>
      <c r="E2889" s="17" t="s">
        <v>608</v>
      </c>
      <c r="F2889" s="18" t="s">
        <v>1323</v>
      </c>
      <c r="G2889" s="49" t="s">
        <v>4876</v>
      </c>
      <c r="H2889" s="17">
        <v>2</v>
      </c>
      <c r="I2889" s="30"/>
      <c r="J2889"/>
      <c r="K2889"/>
      <c r="L2889"/>
      <c r="M2889"/>
      <c r="N2889"/>
      <c r="O2889" s="62" t="str">
        <f>IF(E2889="PA",IF(K2889&lt;&gt;"",ISERROR(VLOOKUP(K2889,ABBR!A:D,1,FALSE)),ISERROR(VLOOKUP(C2889,ABBR!A:D,1,FALSE))),"")</f>
        <v/>
      </c>
      <c r="P2889" t="str">
        <f>VLOOKUP(A2889,Groups!A:L,5,FALSE)</f>
        <v>LOCA</v>
      </c>
      <c r="Q2889" s="62" t="str">
        <f>IF(G2889="PA",IF(M2889&lt;&gt;"",ISERROR(VLOOKUP(M2889,ABBR!C:F,1,FALSE)),ISERROR(VLOOKUP(E2889,ABBR!C:F,1,FALSE))),"")</f>
        <v/>
      </c>
    </row>
    <row r="2890" spans="1:17" s="62" customFormat="1" hidden="1" x14ac:dyDescent="0.25">
      <c r="A2890" s="16" t="s">
        <v>348</v>
      </c>
      <c r="B2890" s="17"/>
      <c r="C2890" s="16" t="s">
        <v>4877</v>
      </c>
      <c r="D2890" s="17"/>
      <c r="E2890" s="17" t="s">
        <v>608</v>
      </c>
      <c r="F2890" s="18" t="s">
        <v>4878</v>
      </c>
      <c r="G2890" s="49" t="s">
        <v>4879</v>
      </c>
      <c r="H2890" s="17">
        <v>3</v>
      </c>
      <c r="I2890" s="30"/>
      <c r="J2890"/>
      <c r="K2890"/>
      <c r="L2890"/>
      <c r="M2890"/>
      <c r="N2890"/>
      <c r="O2890" s="62" t="str">
        <f>IF(E2890="PA",IF(K2890&lt;&gt;"",ISERROR(VLOOKUP(K2890,ABBR!A:D,1,FALSE)),ISERROR(VLOOKUP(C2890,ABBR!A:D,1,FALSE))),"")</f>
        <v/>
      </c>
      <c r="P2890" t="str">
        <f>VLOOKUP(A2890,Groups!A:L,5,FALSE)</f>
        <v>LOCA</v>
      </c>
      <c r="Q2890" s="62" t="str">
        <f>IF(G2890="PA",IF(M2890&lt;&gt;"",ISERROR(VLOOKUP(M2890,ABBR!C:F,1,FALSE)),ISERROR(VLOOKUP(E2890,ABBR!C:F,1,FALSE))),"")</f>
        <v/>
      </c>
    </row>
    <row r="2891" spans="1:17" s="62" customFormat="1" hidden="1" x14ac:dyDescent="0.25">
      <c r="A2891" s="16" t="s">
        <v>348</v>
      </c>
      <c r="B2891" s="17"/>
      <c r="C2891" s="16" t="s">
        <v>4880</v>
      </c>
      <c r="D2891" s="17"/>
      <c r="E2891" s="17" t="s">
        <v>608</v>
      </c>
      <c r="F2891" s="18" t="s">
        <v>4881</v>
      </c>
      <c r="G2891" s="49" t="s">
        <v>4882</v>
      </c>
      <c r="H2891" s="17">
        <v>4</v>
      </c>
      <c r="I2891" s="30"/>
      <c r="J2891"/>
      <c r="K2891"/>
      <c r="L2891"/>
      <c r="M2891"/>
      <c r="N2891"/>
      <c r="O2891" s="62" t="str">
        <f>IF(E2891="PA",IF(K2891&lt;&gt;"",ISERROR(VLOOKUP(K2891,ABBR!A:D,1,FALSE)),ISERROR(VLOOKUP(C2891,ABBR!A:D,1,FALSE))),"")</f>
        <v/>
      </c>
      <c r="P2891" t="str">
        <f>VLOOKUP(A2891,Groups!A:L,5,FALSE)</f>
        <v>LOCA</v>
      </c>
      <c r="Q2891" s="62" t="str">
        <f>IF(G2891="PA",IF(M2891&lt;&gt;"",ISERROR(VLOOKUP(M2891,ABBR!C:F,1,FALSE)),ISERROR(VLOOKUP(E2891,ABBR!C:F,1,FALSE))),"")</f>
        <v/>
      </c>
    </row>
    <row r="2892" spans="1:17" s="62" customFormat="1" ht="25" hidden="1" x14ac:dyDescent="0.25">
      <c r="A2892" s="16" t="s">
        <v>348</v>
      </c>
      <c r="B2892" s="17"/>
      <c r="C2892" s="16" t="s">
        <v>4883</v>
      </c>
      <c r="D2892" s="17"/>
      <c r="E2892" s="17" t="s">
        <v>608</v>
      </c>
      <c r="F2892" s="18" t="s">
        <v>934</v>
      </c>
      <c r="G2892" s="49" t="s">
        <v>953</v>
      </c>
      <c r="H2892" s="17">
        <v>5</v>
      </c>
      <c r="I2892" s="30"/>
      <c r="J2892"/>
      <c r="K2892"/>
      <c r="L2892"/>
      <c r="M2892"/>
      <c r="N2892"/>
      <c r="O2892" s="62" t="str">
        <f>IF(E2892="PA",IF(K2892&lt;&gt;"",ISERROR(VLOOKUP(K2892,ABBR!A:D,1,FALSE)),ISERROR(VLOOKUP(C2892,ABBR!A:D,1,FALSE))),"")</f>
        <v/>
      </c>
      <c r="P2892" t="str">
        <f>VLOOKUP(A2892,Groups!A:L,5,FALSE)</f>
        <v>LOCA</v>
      </c>
      <c r="Q2892" s="62" t="str">
        <f>IF(G2892="PA",IF(M2892&lt;&gt;"",ISERROR(VLOOKUP(M2892,ABBR!C:F,1,FALSE)),ISERROR(VLOOKUP(E2892,ABBR!C:F,1,FALSE))),"")</f>
        <v/>
      </c>
    </row>
    <row r="2893" spans="1:17" s="62" customFormat="1" hidden="1" x14ac:dyDescent="0.25">
      <c r="A2893" s="16" t="s">
        <v>348</v>
      </c>
      <c r="B2893" s="17"/>
      <c r="C2893" s="16" t="s">
        <v>936</v>
      </c>
      <c r="D2893" s="17"/>
      <c r="E2893" s="22" t="s">
        <v>608</v>
      </c>
      <c r="F2893" s="18" t="s">
        <v>937</v>
      </c>
      <c r="G2893" s="49" t="s">
        <v>938</v>
      </c>
      <c r="H2893" s="17">
        <v>6</v>
      </c>
      <c r="I2893" s="30"/>
      <c r="J2893"/>
      <c r="K2893"/>
      <c r="L2893"/>
      <c r="M2893"/>
      <c r="N2893"/>
      <c r="O2893" s="62" t="str">
        <f>IF(E2893="PA",IF(K2893&lt;&gt;"",ISERROR(VLOOKUP(K2893,ABBR!A:D,1,FALSE)),ISERROR(VLOOKUP(C2893,ABBR!A:D,1,FALSE))),"")</f>
        <v/>
      </c>
      <c r="P2893" t="str">
        <f>VLOOKUP(A2893,Groups!A:L,5,FALSE)</f>
        <v>LOCA</v>
      </c>
      <c r="Q2893" s="62" t="str">
        <f>IF(G2893="PA",IF(M2893&lt;&gt;"",ISERROR(VLOOKUP(M2893,ABBR!C:F,1,FALSE)),ISERROR(VLOOKUP(E2893,ABBR!C:F,1,FALSE))),"")</f>
        <v/>
      </c>
    </row>
    <row r="2894" spans="1:17" s="62" customFormat="1" ht="25" hidden="1" x14ac:dyDescent="0.25">
      <c r="A2894" s="16" t="s">
        <v>348</v>
      </c>
      <c r="B2894" s="17"/>
      <c r="C2894" s="16" t="s">
        <v>4884</v>
      </c>
      <c r="D2894" s="17"/>
      <c r="E2894" s="17" t="s">
        <v>608</v>
      </c>
      <c r="F2894" s="18" t="s">
        <v>1938</v>
      </c>
      <c r="G2894" s="49" t="s">
        <v>2415</v>
      </c>
      <c r="H2894" s="17">
        <v>7</v>
      </c>
      <c r="I2894" s="30"/>
      <c r="J2894"/>
      <c r="K2894"/>
      <c r="L2894"/>
      <c r="M2894"/>
      <c r="N2894"/>
      <c r="O2894" s="62" t="str">
        <f>IF(E2894="PA",IF(K2894&lt;&gt;"",ISERROR(VLOOKUP(K2894,ABBR!A:D,1,FALSE)),ISERROR(VLOOKUP(C2894,ABBR!A:D,1,FALSE))),"")</f>
        <v/>
      </c>
      <c r="P2894" t="str">
        <f>VLOOKUP(A2894,Groups!A:L,5,FALSE)</f>
        <v>LOCA</v>
      </c>
      <c r="Q2894" s="62" t="str">
        <f>IF(G2894="PA",IF(M2894&lt;&gt;"",ISERROR(VLOOKUP(M2894,ABBR!C:F,1,FALSE)),ISERROR(VLOOKUP(E2894,ABBR!C:F,1,FALSE))),"")</f>
        <v/>
      </c>
    </row>
    <row r="2895" spans="1:17" s="62" customFormat="1" hidden="1" x14ac:dyDescent="0.25">
      <c r="A2895" s="16" t="s">
        <v>348</v>
      </c>
      <c r="B2895" s="17"/>
      <c r="C2895" s="16" t="s">
        <v>4885</v>
      </c>
      <c r="D2895" s="17"/>
      <c r="E2895" s="17" t="s">
        <v>608</v>
      </c>
      <c r="F2895" s="18" t="s">
        <v>2858</v>
      </c>
      <c r="G2895" s="49" t="s">
        <v>4886</v>
      </c>
      <c r="H2895" s="17">
        <v>8</v>
      </c>
      <c r="I2895" s="30"/>
      <c r="J2895"/>
      <c r="K2895"/>
      <c r="L2895"/>
      <c r="M2895"/>
      <c r="N2895"/>
      <c r="O2895" s="62" t="str">
        <f>IF(E2895="PA",IF(K2895&lt;&gt;"",ISERROR(VLOOKUP(K2895,ABBR!A:D,1,FALSE)),ISERROR(VLOOKUP(C2895,ABBR!A:D,1,FALSE))),"")</f>
        <v/>
      </c>
      <c r="P2895" t="str">
        <f>VLOOKUP(A2895,Groups!A:L,5,FALSE)</f>
        <v>LOCA</v>
      </c>
      <c r="Q2895" s="62" t="str">
        <f>IF(G2895="PA",IF(M2895&lt;&gt;"",ISERROR(VLOOKUP(M2895,ABBR!C:F,1,FALSE)),ISERROR(VLOOKUP(E2895,ABBR!C:F,1,FALSE))),"")</f>
        <v/>
      </c>
    </row>
    <row r="2896" spans="1:17" s="62" customFormat="1" hidden="1" x14ac:dyDescent="0.25">
      <c r="A2896" s="16" t="s">
        <v>348</v>
      </c>
      <c r="B2896" s="17"/>
      <c r="C2896" s="16" t="s">
        <v>643</v>
      </c>
      <c r="D2896" s="17"/>
      <c r="E2896" s="17" t="s">
        <v>608</v>
      </c>
      <c r="F2896" s="18" t="s">
        <v>1294</v>
      </c>
      <c r="G2896" s="49" t="s">
        <v>3238</v>
      </c>
      <c r="H2896" s="17">
        <v>9</v>
      </c>
      <c r="I2896" s="30"/>
      <c r="J2896"/>
      <c r="K2896"/>
      <c r="L2896"/>
      <c r="M2896"/>
      <c r="N2896"/>
      <c r="O2896" s="62" t="str">
        <f>IF(E2896="PA",IF(K2896&lt;&gt;"",ISERROR(VLOOKUP(K2896,ABBR!A:D,1,FALSE)),ISERROR(VLOOKUP(C2896,ABBR!A:D,1,FALSE))),"")</f>
        <v/>
      </c>
      <c r="P2896" t="str">
        <f>VLOOKUP(A2896,Groups!A:L,5,FALSE)</f>
        <v>LOCA</v>
      </c>
      <c r="Q2896" s="62" t="str">
        <f>IF(G2896="PA",IF(M2896&lt;&gt;"",ISERROR(VLOOKUP(M2896,ABBR!C:F,1,FALSE)),ISERROR(VLOOKUP(E2896,ABBR!C:F,1,FALSE))),"")</f>
        <v/>
      </c>
    </row>
    <row r="2897" spans="1:17" s="62" customFormat="1" hidden="1" x14ac:dyDescent="0.25">
      <c r="A2897" s="16" t="s">
        <v>348</v>
      </c>
      <c r="B2897" s="17"/>
      <c r="C2897" s="9" t="s">
        <v>4887</v>
      </c>
      <c r="D2897" s="46"/>
      <c r="E2897" s="46" t="s">
        <v>608</v>
      </c>
      <c r="F2897" s="93" t="s">
        <v>1952</v>
      </c>
      <c r="G2897" s="179" t="s">
        <v>876</v>
      </c>
      <c r="H2897" s="46">
        <v>10</v>
      </c>
      <c r="I2897" s="180"/>
      <c r="J2897" s="62" t="s">
        <v>473</v>
      </c>
      <c r="K2897"/>
      <c r="L2897"/>
      <c r="M2897"/>
      <c r="N2897"/>
      <c r="O2897" s="62" t="str">
        <f>IF(E2897="PA",IF(K2897&lt;&gt;"",ISERROR(VLOOKUP(K2897,ABBR!A:D,1,FALSE)),ISERROR(VLOOKUP(C2897,ABBR!A:D,1,FALSE))),"")</f>
        <v/>
      </c>
      <c r="P2897" t="str">
        <f>VLOOKUP(A2897,Groups!A:L,5,FALSE)</f>
        <v>LOCA</v>
      </c>
      <c r="Q2897" s="62" t="str">
        <f>IF(G2897="PA",IF(M2897&lt;&gt;"",ISERROR(VLOOKUP(M2897,ABBR!C:F,1,FALSE)),ISERROR(VLOOKUP(E2897,ABBR!C:F,1,FALSE))),"")</f>
        <v/>
      </c>
    </row>
    <row r="2898" spans="1:17" s="62" customFormat="1" hidden="1" x14ac:dyDescent="0.25">
      <c r="A2898" s="16" t="s">
        <v>350</v>
      </c>
      <c r="B2898" s="17" t="s">
        <v>594</v>
      </c>
      <c r="C2898" s="16" t="s">
        <v>595</v>
      </c>
      <c r="D2898" s="17"/>
      <c r="E2898" s="17" t="s">
        <v>596</v>
      </c>
      <c r="F2898" s="18" t="s">
        <v>597</v>
      </c>
      <c r="G2898" s="49" t="s">
        <v>598</v>
      </c>
      <c r="H2898" s="17">
        <v>1</v>
      </c>
      <c r="I2898" s="30"/>
      <c r="J2898"/>
      <c r="K2898"/>
      <c r="L2898"/>
      <c r="M2898"/>
      <c r="N2898"/>
      <c r="O2898" s="62" t="str">
        <f>IF(E2898="PA",IF(K2898&lt;&gt;"",ISERROR(VLOOKUP(K2898,ABBR!A:D,1,FALSE)),ISERROR(VLOOKUP(C2898,ABBR!A:D,1,FALSE))),"")</f>
        <v/>
      </c>
      <c r="P2898" t="str">
        <f>VLOOKUP(A2898,Groups!A:L,5,FALSE)</f>
        <v>PUMG</v>
      </c>
      <c r="Q2898" s="62" t="str">
        <f>IF(G2898="PA",IF(M2898&lt;&gt;"",ISERROR(VLOOKUP(M2898,ABBR!C:F,1,FALSE)),ISERROR(VLOOKUP(E2898,ABBR!C:F,1,FALSE))),"")</f>
        <v/>
      </c>
    </row>
    <row r="2899" spans="1:17" s="62" customFormat="1" hidden="1" x14ac:dyDescent="0.25">
      <c r="A2899" s="16" t="s">
        <v>350</v>
      </c>
      <c r="B2899" s="17" t="s">
        <v>594</v>
      </c>
      <c r="C2899" s="16" t="s">
        <v>4875</v>
      </c>
      <c r="D2899" s="17"/>
      <c r="E2899" s="17" t="s">
        <v>608</v>
      </c>
      <c r="F2899" s="18" t="s">
        <v>1323</v>
      </c>
      <c r="G2899" s="49" t="s">
        <v>4876</v>
      </c>
      <c r="H2899" s="17">
        <v>2</v>
      </c>
      <c r="I2899" s="30"/>
      <c r="J2899"/>
      <c r="K2899"/>
      <c r="L2899"/>
      <c r="M2899"/>
      <c r="N2899"/>
      <c r="O2899" s="62" t="str">
        <f>IF(E2899="PA",IF(K2899&lt;&gt;"",ISERROR(VLOOKUP(K2899,ABBR!A:D,1,FALSE)),ISERROR(VLOOKUP(C2899,ABBR!A:D,1,FALSE))),"")</f>
        <v/>
      </c>
      <c r="P2899" t="str">
        <f>VLOOKUP(A2899,Groups!A:L,5,FALSE)</f>
        <v>PUMG</v>
      </c>
      <c r="Q2899" s="62" t="str">
        <f>IF(G2899="PA",IF(M2899&lt;&gt;"",ISERROR(VLOOKUP(M2899,ABBR!C:F,1,FALSE)),ISERROR(VLOOKUP(E2899,ABBR!C:F,1,FALSE))),"")</f>
        <v/>
      </c>
    </row>
    <row r="2900" spans="1:17" s="62" customFormat="1" ht="25" hidden="1" x14ac:dyDescent="0.25">
      <c r="A2900" s="16" t="s">
        <v>350</v>
      </c>
      <c r="B2900" s="17" t="s">
        <v>594</v>
      </c>
      <c r="C2900" s="16" t="s">
        <v>4888</v>
      </c>
      <c r="D2900" s="17" t="s">
        <v>1421</v>
      </c>
      <c r="E2900" s="17" t="s">
        <v>925</v>
      </c>
      <c r="F2900" s="18" t="s">
        <v>4451</v>
      </c>
      <c r="G2900" s="49" t="s">
        <v>4889</v>
      </c>
      <c r="H2900" s="17">
        <v>3</v>
      </c>
      <c r="I2900" s="30"/>
      <c r="J2900"/>
      <c r="K2900"/>
      <c r="L2900"/>
      <c r="M2900"/>
      <c r="N2900"/>
      <c r="O2900" s="62" t="str">
        <f>IF(E2900="PA",IF(K2900&lt;&gt;"",ISERROR(VLOOKUP(K2900,ABBR!A:D,1,FALSE)),ISERROR(VLOOKUP(C2900,ABBR!A:D,1,FALSE))),"")</f>
        <v/>
      </c>
      <c r="P2900" t="str">
        <f>VLOOKUP(A2900,Groups!A:L,5,FALSE)</f>
        <v>PUMG</v>
      </c>
      <c r="Q2900" s="62" t="str">
        <f>IF(G2900="PA",IF(M2900&lt;&gt;"",ISERROR(VLOOKUP(M2900,ABBR!C:F,1,FALSE)),ISERROR(VLOOKUP(E2900,ABBR!C:F,1,FALSE))),"")</f>
        <v/>
      </c>
    </row>
    <row r="2901" spans="1:17" s="62" customFormat="1" hidden="1" x14ac:dyDescent="0.25">
      <c r="A2901" s="16" t="s">
        <v>350</v>
      </c>
      <c r="B2901" s="17"/>
      <c r="C2901" s="16" t="s">
        <v>4890</v>
      </c>
      <c r="D2901" s="17" t="s">
        <v>600</v>
      </c>
      <c r="E2901" s="17" t="s">
        <v>601</v>
      </c>
      <c r="F2901" s="18" t="s">
        <v>4891</v>
      </c>
      <c r="G2901" s="49" t="s">
        <v>2421</v>
      </c>
      <c r="H2901" s="17">
        <v>4</v>
      </c>
      <c r="I2901" s="30"/>
      <c r="J2901"/>
      <c r="K2901"/>
      <c r="L2901"/>
      <c r="M2901"/>
      <c r="N2901"/>
      <c r="O2901" s="62" t="str">
        <f>IF(E2901="PA",IF(K2901&lt;&gt;"",ISERROR(VLOOKUP(K2901,ABBR!A:D,1,FALSE)),ISERROR(VLOOKUP(C2901,ABBR!A:D,1,FALSE))),"")</f>
        <v/>
      </c>
      <c r="P2901" t="str">
        <f>VLOOKUP(A2901,Groups!A:L,5,FALSE)</f>
        <v>PUMG</v>
      </c>
      <c r="Q2901" s="62" t="str">
        <f>IF(G2901="PA",IF(M2901&lt;&gt;"",ISERROR(VLOOKUP(M2901,ABBR!C:F,1,FALSE)),ISERROR(VLOOKUP(E2901,ABBR!C:F,1,FALSE))),"")</f>
        <v/>
      </c>
    </row>
    <row r="2902" spans="1:17" s="62" customFormat="1" hidden="1" x14ac:dyDescent="0.25">
      <c r="A2902" s="16" t="s">
        <v>350</v>
      </c>
      <c r="B2902" s="17"/>
      <c r="C2902" s="16" t="s">
        <v>4892</v>
      </c>
      <c r="D2902" s="17" t="s">
        <v>2075</v>
      </c>
      <c r="E2902" s="17" t="s">
        <v>723</v>
      </c>
      <c r="F2902" s="18" t="s">
        <v>4893</v>
      </c>
      <c r="G2902" s="49" t="s">
        <v>4894</v>
      </c>
      <c r="H2902" s="17">
        <v>5</v>
      </c>
      <c r="I2902" s="30"/>
      <c r="J2902"/>
      <c r="K2902"/>
      <c r="L2902"/>
      <c r="M2902"/>
      <c r="N2902"/>
      <c r="O2902" s="62" t="str">
        <f>IF(E2902="PA",IF(K2902&lt;&gt;"",ISERROR(VLOOKUP(K2902,ABBR!A:D,1,FALSE)),ISERROR(VLOOKUP(C2902,ABBR!A:D,1,FALSE))),"")</f>
        <v/>
      </c>
      <c r="P2902" t="str">
        <f>VLOOKUP(A2902,Groups!A:L,5,FALSE)</f>
        <v>PUMG</v>
      </c>
      <c r="Q2902" s="62" t="str">
        <f>IF(G2902="PA",IF(M2902&lt;&gt;"",ISERROR(VLOOKUP(M2902,ABBR!C:F,1,FALSE)),ISERROR(VLOOKUP(E2902,ABBR!C:F,1,FALSE))),"")</f>
        <v/>
      </c>
    </row>
    <row r="2903" spans="1:17" s="62" customFormat="1" hidden="1" x14ac:dyDescent="0.25">
      <c r="A2903" s="16" t="s">
        <v>350</v>
      </c>
      <c r="B2903" s="17"/>
      <c r="C2903" s="16" t="s">
        <v>4895</v>
      </c>
      <c r="D2903" s="17"/>
      <c r="E2903" s="17" t="s">
        <v>608</v>
      </c>
      <c r="F2903" s="18" t="s">
        <v>642</v>
      </c>
      <c r="G2903" s="49" t="s">
        <v>16</v>
      </c>
      <c r="H2903" s="17">
        <v>6</v>
      </c>
      <c r="I2903" s="30"/>
      <c r="J2903"/>
      <c r="K2903"/>
      <c r="L2903"/>
      <c r="M2903" s="101"/>
      <c r="N2903"/>
      <c r="O2903" s="62" t="str">
        <f>IF(E2903="PA",IF(K2903&lt;&gt;"",ISERROR(VLOOKUP(K2903,ABBR!A:D,1,FALSE)),ISERROR(VLOOKUP(C2903,ABBR!A:D,1,FALSE))),"")</f>
        <v/>
      </c>
      <c r="P2903" t="str">
        <f>VLOOKUP(A2903,Groups!A:L,5,FALSE)</f>
        <v>PUMG</v>
      </c>
      <c r="Q2903" s="62" t="str">
        <f>IF(G2903="PA",IF(M2903&lt;&gt;"",ISERROR(VLOOKUP(M2903,ABBR!C:F,1,FALSE)),ISERROR(VLOOKUP(E2903,ABBR!C:F,1,FALSE))),"")</f>
        <v/>
      </c>
    </row>
    <row r="2904" spans="1:17" s="62" customFormat="1" hidden="1" x14ac:dyDescent="0.25">
      <c r="A2904" s="16" t="s">
        <v>350</v>
      </c>
      <c r="B2904" s="17"/>
      <c r="C2904" s="16" t="s">
        <v>643</v>
      </c>
      <c r="D2904" s="17"/>
      <c r="E2904" s="17" t="s">
        <v>608</v>
      </c>
      <c r="F2904" s="18" t="s">
        <v>954</v>
      </c>
      <c r="G2904" s="49" t="s">
        <v>4896</v>
      </c>
      <c r="H2904" s="17">
        <v>7</v>
      </c>
      <c r="I2904" s="30"/>
      <c r="J2904"/>
      <c r="K2904"/>
      <c r="L2904"/>
      <c r="M2904"/>
      <c r="N2904"/>
      <c r="O2904" s="62" t="str">
        <f>IF(E2904="PA",IF(K2904&lt;&gt;"",ISERROR(VLOOKUP(K2904,ABBR!A:D,1,FALSE)),ISERROR(VLOOKUP(C2904,ABBR!A:D,1,FALSE))),"")</f>
        <v/>
      </c>
      <c r="P2904" t="str">
        <f>VLOOKUP(A2904,Groups!A:L,5,FALSE)</f>
        <v>PUMG</v>
      </c>
      <c r="Q2904" s="62" t="str">
        <f>IF(G2904="PA",IF(M2904&lt;&gt;"",ISERROR(VLOOKUP(M2904,ABBR!C:F,1,FALSE)),ISERROR(VLOOKUP(E2904,ABBR!C:F,1,FALSE))),"")</f>
        <v/>
      </c>
    </row>
    <row r="2905" spans="1:17" s="62" customFormat="1" hidden="1" x14ac:dyDescent="0.25">
      <c r="A2905" s="16" t="s">
        <v>354</v>
      </c>
      <c r="B2905" s="17" t="s">
        <v>594</v>
      </c>
      <c r="C2905" s="16" t="s">
        <v>595</v>
      </c>
      <c r="D2905" s="17"/>
      <c r="E2905" s="17" t="s">
        <v>596</v>
      </c>
      <c r="F2905" s="18" t="s">
        <v>597</v>
      </c>
      <c r="G2905" s="49" t="s">
        <v>598</v>
      </c>
      <c r="H2905" s="17">
        <v>1</v>
      </c>
      <c r="I2905" s="30" t="s">
        <v>955</v>
      </c>
      <c r="J2905" s="80">
        <v>4.0999999999999996</v>
      </c>
      <c r="K2905"/>
      <c r="L2905"/>
      <c r="M2905"/>
      <c r="N2905" s="62" t="s">
        <v>4897</v>
      </c>
      <c r="O2905" s="62" t="str">
        <f>IF(E2905="PA",IF(K2905&lt;&gt;"",ISERROR(VLOOKUP(K2905,ABBR!A:D,1,FALSE)),ISERROR(VLOOKUP(C2905,ABBR!A:D,1,FALSE))),"")</f>
        <v/>
      </c>
      <c r="P2905" t="str">
        <f>VLOOKUP(A2905,Groups!A:L,5,FALSE)</f>
        <v>SAMP</v>
      </c>
      <c r="Q2905" s="62" t="str">
        <f>IF(G2905="PA",IF(M2905&lt;&gt;"",ISERROR(VLOOKUP(M2905,ABBR!C:F,1,FALSE)),ISERROR(VLOOKUP(E2905,ABBR!C:F,1,FALSE))),"")</f>
        <v/>
      </c>
    </row>
    <row r="2906" spans="1:17" s="62" customFormat="1" hidden="1" x14ac:dyDescent="0.25">
      <c r="A2906" s="16" t="s">
        <v>354</v>
      </c>
      <c r="B2906" s="17" t="s">
        <v>594</v>
      </c>
      <c r="C2906" s="16" t="s">
        <v>851</v>
      </c>
      <c r="D2906" s="17" t="s">
        <v>600</v>
      </c>
      <c r="E2906" s="17" t="s">
        <v>601</v>
      </c>
      <c r="F2906" s="18" t="s">
        <v>852</v>
      </c>
      <c r="G2906" s="49" t="s">
        <v>853</v>
      </c>
      <c r="H2906" s="17">
        <v>2</v>
      </c>
      <c r="I2906" s="30" t="s">
        <v>955</v>
      </c>
      <c r="J2906" s="80">
        <v>4.0999999999999996</v>
      </c>
      <c r="K2906"/>
      <c r="L2906"/>
      <c r="M2906"/>
      <c r="N2906"/>
      <c r="O2906" s="62" t="str">
        <f>IF(E2906="PA",IF(K2906&lt;&gt;"",ISERROR(VLOOKUP(K2906,ABBR!A:D,1,FALSE)),ISERROR(VLOOKUP(C2906,ABBR!A:D,1,FALSE))),"")</f>
        <v/>
      </c>
      <c r="P2906" t="str">
        <f>VLOOKUP(A2906,Groups!A:L,5,FALSE)</f>
        <v>SAMP</v>
      </c>
      <c r="Q2906" s="62" t="str">
        <f>IF(G2906="PA",IF(M2906&lt;&gt;"",ISERROR(VLOOKUP(M2906,ABBR!C:F,1,FALSE)),ISERROR(VLOOKUP(E2906,ABBR!C:F,1,FALSE))),"")</f>
        <v/>
      </c>
    </row>
    <row r="2907" spans="1:17" s="62" customFormat="1" hidden="1" x14ac:dyDescent="0.25">
      <c r="A2907" s="16" t="s">
        <v>354</v>
      </c>
      <c r="B2907" s="17" t="s">
        <v>594</v>
      </c>
      <c r="C2907" s="16" t="s">
        <v>854</v>
      </c>
      <c r="D2907" s="17"/>
      <c r="E2907" s="17" t="s">
        <v>608</v>
      </c>
      <c r="F2907" s="18" t="s">
        <v>855</v>
      </c>
      <c r="G2907" s="49" t="s">
        <v>941</v>
      </c>
      <c r="H2907" s="17">
        <v>3</v>
      </c>
      <c r="I2907" s="30" t="s">
        <v>955</v>
      </c>
      <c r="J2907" s="80">
        <v>4.0999999999999996</v>
      </c>
      <c r="K2907"/>
      <c r="L2907"/>
      <c r="M2907"/>
      <c r="N2907"/>
      <c r="O2907" s="62" t="str">
        <f>IF(E2907="PA",IF(K2907&lt;&gt;"",ISERROR(VLOOKUP(K2907,ABBR!A:D,1,FALSE)),ISERROR(VLOOKUP(C2907,ABBR!A:D,1,FALSE))),"")</f>
        <v/>
      </c>
      <c r="P2907" t="str">
        <f>VLOOKUP(A2907,Groups!A:L,5,FALSE)</f>
        <v>SAMP</v>
      </c>
      <c r="Q2907" s="62" t="str">
        <f>IF(G2907="PA",IF(M2907&lt;&gt;"",ISERROR(VLOOKUP(M2907,ABBR!C:F,1,FALSE)),ISERROR(VLOOKUP(E2907,ABBR!C:F,1,FALSE))),"")</f>
        <v/>
      </c>
    </row>
    <row r="2908" spans="1:17" s="62" customFormat="1" hidden="1" x14ac:dyDescent="0.25">
      <c r="A2908" s="16" t="s">
        <v>354</v>
      </c>
      <c r="B2908" s="17" t="s">
        <v>594</v>
      </c>
      <c r="C2908" s="16" t="s">
        <v>857</v>
      </c>
      <c r="D2908" s="17"/>
      <c r="E2908" s="17" t="s">
        <v>618</v>
      </c>
      <c r="F2908" s="18" t="s">
        <v>858</v>
      </c>
      <c r="G2908" s="49" t="s">
        <v>4898</v>
      </c>
      <c r="H2908" s="17">
        <v>4</v>
      </c>
      <c r="I2908" s="30" t="s">
        <v>955</v>
      </c>
      <c r="J2908" s="80">
        <v>4.0999999999999996</v>
      </c>
      <c r="K2908"/>
      <c r="L2908"/>
      <c r="M2908"/>
      <c r="N2908"/>
      <c r="O2908" s="62" t="b">
        <f>IF(E2908="PA",IF(K2908&lt;&gt;"",ISERROR(VLOOKUP(K2908,ABBR!A:D,1,FALSE)),ISERROR(VLOOKUP(C2908,ABBR!A:D,1,FALSE))),"")</f>
        <v>0</v>
      </c>
      <c r="P2908" t="str">
        <f>VLOOKUP(A2908,Groups!A:L,5,FALSE)</f>
        <v>SAMP</v>
      </c>
      <c r="Q2908" s="62" t="str">
        <f>IF(G2908="PA",IF(M2908&lt;&gt;"",ISERROR(VLOOKUP(M2908,ABBR!C:F,1,FALSE)),ISERROR(VLOOKUP(E2908,ABBR!C:F,1,FALSE))),"")</f>
        <v/>
      </c>
    </row>
    <row r="2909" spans="1:17" s="62" customFormat="1" hidden="1" x14ac:dyDescent="0.25">
      <c r="A2909" s="16" t="s">
        <v>354</v>
      </c>
      <c r="B2909" s="17" t="s">
        <v>594</v>
      </c>
      <c r="C2909" s="16" t="s">
        <v>860</v>
      </c>
      <c r="D2909" s="17"/>
      <c r="E2909" s="17" t="s">
        <v>596</v>
      </c>
      <c r="F2909" s="18" t="s">
        <v>942</v>
      </c>
      <c r="G2909" s="49" t="s">
        <v>862</v>
      </c>
      <c r="H2909" s="17">
        <v>5</v>
      </c>
      <c r="I2909" s="30" t="s">
        <v>955</v>
      </c>
      <c r="J2909" s="80">
        <v>4.0999999999999996</v>
      </c>
      <c r="K2909"/>
      <c r="L2909"/>
      <c r="M2909"/>
      <c r="N2909"/>
      <c r="O2909" s="62" t="str">
        <f>IF(E2909="PA",IF(K2909&lt;&gt;"",ISERROR(VLOOKUP(K2909,ABBR!A:D,1,FALSE)),ISERROR(VLOOKUP(C2909,ABBR!A:D,1,FALSE))),"")</f>
        <v/>
      </c>
      <c r="P2909" t="str">
        <f>VLOOKUP(A2909,Groups!A:L,5,FALSE)</f>
        <v>SAMP</v>
      </c>
      <c r="Q2909" s="62" t="str">
        <f>IF(G2909="PA",IF(M2909&lt;&gt;"",ISERROR(VLOOKUP(M2909,ABBR!C:F,1,FALSE)),ISERROR(VLOOKUP(E2909,ABBR!C:F,1,FALSE))),"")</f>
        <v/>
      </c>
    </row>
    <row r="2910" spans="1:17" s="62" customFormat="1" hidden="1" x14ac:dyDescent="0.25">
      <c r="A2910" s="16" t="s">
        <v>354</v>
      </c>
      <c r="B2910" s="17" t="s">
        <v>594</v>
      </c>
      <c r="C2910" s="16" t="s">
        <v>863</v>
      </c>
      <c r="D2910" s="17"/>
      <c r="E2910" s="17" t="s">
        <v>608</v>
      </c>
      <c r="F2910" s="18" t="s">
        <v>864</v>
      </c>
      <c r="G2910" s="49" t="s">
        <v>865</v>
      </c>
      <c r="H2910" s="17">
        <v>6</v>
      </c>
      <c r="I2910" s="30" t="s">
        <v>955</v>
      </c>
      <c r="J2910" s="80">
        <v>4.0999999999999996</v>
      </c>
      <c r="K2910"/>
      <c r="L2910"/>
      <c r="M2910"/>
      <c r="N2910"/>
      <c r="O2910" s="62" t="str">
        <f>IF(E2910="PA",IF(K2910&lt;&gt;"",ISERROR(VLOOKUP(K2910,ABBR!A:D,1,FALSE)),ISERROR(VLOOKUP(C2910,ABBR!A:D,1,FALSE))),"")</f>
        <v/>
      </c>
      <c r="P2910" t="str">
        <f>VLOOKUP(A2910,Groups!A:L,5,FALSE)</f>
        <v>SAMP</v>
      </c>
      <c r="Q2910" s="62" t="str">
        <f>IF(G2910="PA",IF(M2910&lt;&gt;"",ISERROR(VLOOKUP(M2910,ABBR!C:F,1,FALSE)),ISERROR(VLOOKUP(E2910,ABBR!C:F,1,FALSE))),"")</f>
        <v/>
      </c>
    </row>
    <row r="2911" spans="1:17" s="62" customFormat="1" hidden="1" x14ac:dyDescent="0.25">
      <c r="A2911" s="16" t="s">
        <v>354</v>
      </c>
      <c r="B2911" s="17" t="s">
        <v>594</v>
      </c>
      <c r="C2911" s="16" t="s">
        <v>866</v>
      </c>
      <c r="D2911" s="17" t="s">
        <v>600</v>
      </c>
      <c r="E2911" s="17" t="s">
        <v>601</v>
      </c>
      <c r="F2911" s="18" t="s">
        <v>867</v>
      </c>
      <c r="G2911" s="49" t="s">
        <v>853</v>
      </c>
      <c r="H2911" s="17">
        <v>7</v>
      </c>
      <c r="I2911" s="30" t="s">
        <v>955</v>
      </c>
      <c r="J2911" s="80">
        <v>4.0999999999999996</v>
      </c>
      <c r="K2911"/>
      <c r="L2911"/>
      <c r="M2911"/>
      <c r="N2911"/>
      <c r="O2911" s="62" t="str">
        <f>IF(E2911="PA",IF(K2911&lt;&gt;"",ISERROR(VLOOKUP(K2911,ABBR!A:D,1,FALSE)),ISERROR(VLOOKUP(C2911,ABBR!A:D,1,FALSE))),"")</f>
        <v/>
      </c>
      <c r="P2911" t="str">
        <f>VLOOKUP(A2911,Groups!A:L,5,FALSE)</f>
        <v>SAMP</v>
      </c>
      <c r="Q2911" s="62" t="str">
        <f>IF(G2911="PA",IF(M2911&lt;&gt;"",ISERROR(VLOOKUP(M2911,ABBR!C:F,1,FALSE)),ISERROR(VLOOKUP(E2911,ABBR!C:F,1,FALSE))),"")</f>
        <v/>
      </c>
    </row>
    <row r="2912" spans="1:17" s="62" customFormat="1" ht="25" hidden="1" x14ac:dyDescent="0.25">
      <c r="A2912" s="16" t="s">
        <v>354</v>
      </c>
      <c r="B2912" s="17"/>
      <c r="C2912" s="16" t="s">
        <v>868</v>
      </c>
      <c r="D2912" s="17"/>
      <c r="E2912" s="17" t="s">
        <v>608</v>
      </c>
      <c r="F2912" s="18" t="s">
        <v>869</v>
      </c>
      <c r="G2912" s="49" t="s">
        <v>4899</v>
      </c>
      <c r="H2912" s="17">
        <v>8</v>
      </c>
      <c r="I2912" s="30" t="s">
        <v>955</v>
      </c>
      <c r="J2912" s="80">
        <v>4.0999999999999996</v>
      </c>
      <c r="K2912"/>
      <c r="L2912"/>
      <c r="M2912"/>
      <c r="N2912"/>
      <c r="O2912" s="62" t="str">
        <f>IF(E2912="PA",IF(K2912&lt;&gt;"",ISERROR(VLOOKUP(K2912,ABBR!A:D,1,FALSE)),ISERROR(VLOOKUP(C2912,ABBR!A:D,1,FALSE))),"")</f>
        <v/>
      </c>
      <c r="P2912" t="str">
        <f>VLOOKUP(A2912,Groups!A:L,5,FALSE)</f>
        <v>SAMP</v>
      </c>
      <c r="Q2912" s="62" t="str">
        <f>IF(G2912="PA",IF(M2912&lt;&gt;"",ISERROR(VLOOKUP(M2912,ABBR!C:F,1,FALSE)),ISERROR(VLOOKUP(E2912,ABBR!C:F,1,FALSE))),"")</f>
        <v/>
      </c>
    </row>
    <row r="2913" spans="1:17" s="62" customFormat="1" ht="25" hidden="1" x14ac:dyDescent="0.25">
      <c r="A2913" s="16" t="s">
        <v>354</v>
      </c>
      <c r="B2913" s="17"/>
      <c r="C2913" s="16" t="s">
        <v>871</v>
      </c>
      <c r="D2913" s="17"/>
      <c r="E2913" s="17" t="s">
        <v>608</v>
      </c>
      <c r="F2913" s="18" t="s">
        <v>872</v>
      </c>
      <c r="G2913" s="49" t="s">
        <v>873</v>
      </c>
      <c r="H2913" s="17">
        <v>9</v>
      </c>
      <c r="I2913" s="30" t="s">
        <v>955</v>
      </c>
      <c r="J2913" s="80">
        <v>4.0999999999999996</v>
      </c>
      <c r="K2913"/>
      <c r="L2913"/>
      <c r="M2913"/>
      <c r="N2913"/>
      <c r="O2913" s="62" t="str">
        <f>IF(E2913="PA",IF(K2913&lt;&gt;"",ISERROR(VLOOKUP(K2913,ABBR!A:D,1,FALSE)),ISERROR(VLOOKUP(C2913,ABBR!A:D,1,FALSE))),"")</f>
        <v/>
      </c>
      <c r="P2913" t="str">
        <f>VLOOKUP(A2913,Groups!A:L,5,FALSE)</f>
        <v>SAMP</v>
      </c>
      <c r="Q2913" s="62" t="str">
        <f>IF(G2913="PA",IF(M2913&lt;&gt;"",ISERROR(VLOOKUP(M2913,ABBR!C:F,1,FALSE)),ISERROR(VLOOKUP(E2913,ABBR!C:F,1,FALSE))),"")</f>
        <v/>
      </c>
    </row>
    <row r="2914" spans="1:17" s="62" customFormat="1" hidden="1" x14ac:dyDescent="0.25">
      <c r="A2914" s="16" t="s">
        <v>354</v>
      </c>
      <c r="B2914" s="17"/>
      <c r="C2914" s="16" t="s">
        <v>877</v>
      </c>
      <c r="D2914" s="17" t="s">
        <v>600</v>
      </c>
      <c r="E2914" s="17" t="s">
        <v>601</v>
      </c>
      <c r="F2914" s="18" t="s">
        <v>878</v>
      </c>
      <c r="G2914" s="49" t="s">
        <v>879</v>
      </c>
      <c r="H2914" s="17">
        <v>10</v>
      </c>
      <c r="I2914" s="30" t="s">
        <v>955</v>
      </c>
      <c r="J2914" s="80">
        <v>4.0999999999999996</v>
      </c>
      <c r="K2914"/>
      <c r="L2914"/>
      <c r="M2914"/>
      <c r="N2914"/>
      <c r="O2914" s="62" t="str">
        <f>IF(E2914="PA",IF(K2914&lt;&gt;"",ISERROR(VLOOKUP(K2914,ABBR!A:D,1,FALSE)),ISERROR(VLOOKUP(C2914,ABBR!A:D,1,FALSE))),"")</f>
        <v/>
      </c>
      <c r="P2914" t="str">
        <f>VLOOKUP(A2914,Groups!A:L,5,FALSE)</f>
        <v>SAMP</v>
      </c>
      <c r="Q2914" s="62" t="str">
        <f>IF(G2914="PA",IF(M2914&lt;&gt;"",ISERROR(VLOOKUP(M2914,ABBR!C:F,1,FALSE)),ISERROR(VLOOKUP(E2914,ABBR!C:F,1,FALSE))),"")</f>
        <v/>
      </c>
    </row>
    <row r="2915" spans="1:17" s="62" customFormat="1" hidden="1" x14ac:dyDescent="0.25">
      <c r="A2915" s="16" t="s">
        <v>354</v>
      </c>
      <c r="B2915" s="17"/>
      <c r="C2915" s="16" t="s">
        <v>4900</v>
      </c>
      <c r="D2915" s="17"/>
      <c r="E2915" s="17" t="s">
        <v>608</v>
      </c>
      <c r="F2915" s="18" t="s">
        <v>921</v>
      </c>
      <c r="G2915" s="94" t="s">
        <v>922</v>
      </c>
      <c r="H2915" s="17">
        <v>11</v>
      </c>
      <c r="I2915" s="30" t="s">
        <v>955</v>
      </c>
      <c r="J2915" s="80">
        <v>4.0999999999999996</v>
      </c>
      <c r="K2915"/>
      <c r="L2915"/>
      <c r="M2915" s="101"/>
      <c r="N2915"/>
      <c r="O2915" s="62" t="str">
        <f>IF(E2915="PA",IF(K2915&lt;&gt;"",ISERROR(VLOOKUP(K2915,ABBR!A:D,1,FALSE)),ISERROR(VLOOKUP(C2915,ABBR!A:D,1,FALSE))),"")</f>
        <v/>
      </c>
      <c r="P2915" t="str">
        <f>VLOOKUP(A2915,Groups!A:L,5,FALSE)</f>
        <v>SAMP</v>
      </c>
      <c r="Q2915" s="62" t="str">
        <f>IF(G2915="PA",IF(M2915&lt;&gt;"",ISERROR(VLOOKUP(M2915,ABBR!C:F,1,FALSE)),ISERROR(VLOOKUP(E2915,ABBR!C:F,1,FALSE))),"")</f>
        <v/>
      </c>
    </row>
    <row r="2916" spans="1:17" s="62" customFormat="1" hidden="1" x14ac:dyDescent="0.25">
      <c r="A2916" s="16" t="s">
        <v>354</v>
      </c>
      <c r="B2916" s="17"/>
      <c r="C2916" s="16" t="s">
        <v>4901</v>
      </c>
      <c r="D2916" s="17" t="s">
        <v>924</v>
      </c>
      <c r="E2916" s="17" t="s">
        <v>925</v>
      </c>
      <c r="F2916" s="18" t="s">
        <v>4338</v>
      </c>
      <c r="G2916" s="49" t="s">
        <v>4902</v>
      </c>
      <c r="H2916" s="17">
        <v>12</v>
      </c>
      <c r="I2916" s="30" t="s">
        <v>955</v>
      </c>
      <c r="J2916" s="80">
        <v>4.0999999999999996</v>
      </c>
      <c r="K2916"/>
      <c r="L2916"/>
      <c r="M2916"/>
      <c r="N2916"/>
      <c r="O2916" s="62" t="str">
        <f>IF(E2916="PA",IF(K2916&lt;&gt;"",ISERROR(VLOOKUP(K2916,ABBR!A:D,1,FALSE)),ISERROR(VLOOKUP(C2916,ABBR!A:D,1,FALSE))),"")</f>
        <v/>
      </c>
      <c r="P2916" t="str">
        <f>VLOOKUP(A2916,Groups!A:L,5,FALSE)</f>
        <v>SAMP</v>
      </c>
      <c r="Q2916" s="62" t="str">
        <f>IF(G2916="PA",IF(M2916&lt;&gt;"",ISERROR(VLOOKUP(M2916,ABBR!C:F,1,FALSE)),ISERROR(VLOOKUP(E2916,ABBR!C:F,1,FALSE))),"")</f>
        <v/>
      </c>
    </row>
    <row r="2917" spans="1:17" s="62" customFormat="1" ht="25" hidden="1" x14ac:dyDescent="0.25">
      <c r="A2917" s="16" t="s">
        <v>354</v>
      </c>
      <c r="B2917" s="17"/>
      <c r="C2917" s="16" t="s">
        <v>4903</v>
      </c>
      <c r="D2917" s="17"/>
      <c r="E2917" s="17" t="s">
        <v>608</v>
      </c>
      <c r="F2917" s="18" t="s">
        <v>4904</v>
      </c>
      <c r="G2917" s="49" t="s">
        <v>4905</v>
      </c>
      <c r="H2917" s="17">
        <v>13</v>
      </c>
      <c r="I2917" s="30" t="s">
        <v>955</v>
      </c>
      <c r="J2917" s="80">
        <v>4.0999999999999996</v>
      </c>
      <c r="K2917"/>
      <c r="L2917"/>
      <c r="M2917"/>
      <c r="N2917"/>
      <c r="O2917" s="62" t="str">
        <f>IF(E2917="PA",IF(K2917&lt;&gt;"",ISERROR(VLOOKUP(K2917,ABBR!A:D,1,FALSE)),ISERROR(VLOOKUP(C2917,ABBR!A:D,1,FALSE))),"")</f>
        <v/>
      </c>
      <c r="P2917" t="str">
        <f>VLOOKUP(A2917,Groups!A:L,5,FALSE)</f>
        <v>SAMP</v>
      </c>
      <c r="Q2917" s="62" t="str">
        <f>IF(G2917="PA",IF(M2917&lt;&gt;"",ISERROR(VLOOKUP(M2917,ABBR!C:F,1,FALSE)),ISERROR(VLOOKUP(E2917,ABBR!C:F,1,FALSE))),"")</f>
        <v/>
      </c>
    </row>
    <row r="2918" spans="1:17" s="62" customFormat="1" hidden="1" x14ac:dyDescent="0.25">
      <c r="A2918" s="16" t="s">
        <v>354</v>
      </c>
      <c r="B2918" s="17"/>
      <c r="C2918" s="16" t="s">
        <v>4906</v>
      </c>
      <c r="D2918" s="17"/>
      <c r="E2918" s="17" t="s">
        <v>601</v>
      </c>
      <c r="F2918" s="18" t="s">
        <v>4907</v>
      </c>
      <c r="G2918" s="49" t="s">
        <v>4908</v>
      </c>
      <c r="H2918" s="17">
        <v>14</v>
      </c>
      <c r="I2918" s="30" t="s">
        <v>955</v>
      </c>
      <c r="J2918" s="80">
        <v>4.0999999999999996</v>
      </c>
      <c r="K2918"/>
      <c r="L2918"/>
      <c r="M2918"/>
      <c r="N2918"/>
      <c r="O2918" s="62" t="str">
        <f>IF(E2918="PA",IF(K2918&lt;&gt;"",ISERROR(VLOOKUP(K2918,ABBR!A:D,1,FALSE)),ISERROR(VLOOKUP(C2918,ABBR!A:D,1,FALSE))),"")</f>
        <v/>
      </c>
      <c r="P2918" t="str">
        <f>VLOOKUP(A2918,Groups!A:L,5,FALSE)</f>
        <v>SAMP</v>
      </c>
      <c r="Q2918" s="62" t="str">
        <f>IF(G2918="PA",IF(M2918&lt;&gt;"",ISERROR(VLOOKUP(M2918,ABBR!C:F,1,FALSE)),ISERROR(VLOOKUP(E2918,ABBR!C:F,1,FALSE))),"")</f>
        <v/>
      </c>
    </row>
    <row r="2919" spans="1:17" s="62" customFormat="1" ht="25" hidden="1" x14ac:dyDescent="0.25">
      <c r="A2919" s="16" t="s">
        <v>354</v>
      </c>
      <c r="B2919" s="17"/>
      <c r="C2919" s="16" t="s">
        <v>4909</v>
      </c>
      <c r="D2919" s="17"/>
      <c r="E2919" s="17" t="s">
        <v>608</v>
      </c>
      <c r="F2919" s="18" t="s">
        <v>4910</v>
      </c>
      <c r="G2919" s="49" t="s">
        <v>4911</v>
      </c>
      <c r="H2919" s="17">
        <v>15</v>
      </c>
      <c r="I2919" s="30" t="s">
        <v>955</v>
      </c>
      <c r="J2919" s="80">
        <v>4.0999999999999996</v>
      </c>
      <c r="K2919"/>
      <c r="L2919"/>
      <c r="M2919"/>
      <c r="N2919"/>
      <c r="O2919" s="62" t="str">
        <f>IF(E2919="PA",IF(K2919&lt;&gt;"",ISERROR(VLOOKUP(K2919,ABBR!A:D,1,FALSE)),ISERROR(VLOOKUP(C2919,ABBR!A:D,1,FALSE))),"")</f>
        <v/>
      </c>
      <c r="P2919" t="str">
        <f>VLOOKUP(A2919,Groups!A:L,5,FALSE)</f>
        <v>SAMP</v>
      </c>
      <c r="Q2919" s="62" t="str">
        <f>IF(G2919="PA",IF(M2919&lt;&gt;"",ISERROR(VLOOKUP(M2919,ABBR!C:F,1,FALSE)),ISERROR(VLOOKUP(E2919,ABBR!C:F,1,FALSE))),"")</f>
        <v/>
      </c>
    </row>
    <row r="2920" spans="1:17" s="62" customFormat="1" ht="25" hidden="1" x14ac:dyDescent="0.25">
      <c r="A2920" s="16" t="s">
        <v>354</v>
      </c>
      <c r="B2920" s="17"/>
      <c r="C2920" s="16" t="s">
        <v>4912</v>
      </c>
      <c r="D2920" s="17"/>
      <c r="E2920" s="17" t="s">
        <v>608</v>
      </c>
      <c r="F2920" s="18" t="s">
        <v>4913</v>
      </c>
      <c r="G2920" s="49" t="s">
        <v>4914</v>
      </c>
      <c r="H2920" s="17">
        <v>16</v>
      </c>
      <c r="I2920" s="30" t="s">
        <v>955</v>
      </c>
      <c r="J2920" s="97">
        <v>4.0999999999999996</v>
      </c>
      <c r="K2920"/>
      <c r="L2920"/>
      <c r="M2920"/>
      <c r="N2920"/>
      <c r="O2920" s="62" t="str">
        <f>IF(E2920="PA",IF(K2920&lt;&gt;"",ISERROR(VLOOKUP(K2920,ABBR!A:D,1,FALSE)),ISERROR(VLOOKUP(C2920,ABBR!A:D,1,FALSE))),"")</f>
        <v/>
      </c>
      <c r="P2920" t="str">
        <f>VLOOKUP(A2920,Groups!A:L,5,FALSE)</f>
        <v>SAMP</v>
      </c>
      <c r="Q2920" s="62" t="str">
        <f>IF(G2920="PA",IF(M2920&lt;&gt;"",ISERROR(VLOOKUP(M2920,ABBR!C:F,1,FALSE)),ISERROR(VLOOKUP(E2920,ABBR!C:F,1,FALSE))),"")</f>
        <v/>
      </c>
    </row>
    <row r="2921" spans="1:17" s="62" customFormat="1" ht="25" hidden="1" x14ac:dyDescent="0.25">
      <c r="A2921" s="16" t="s">
        <v>354</v>
      </c>
      <c r="B2921" s="17"/>
      <c r="C2921" s="16" t="s">
        <v>4915</v>
      </c>
      <c r="D2921" s="17"/>
      <c r="E2921" s="17" t="s">
        <v>608</v>
      </c>
      <c r="F2921" s="18" t="s">
        <v>4916</v>
      </c>
      <c r="G2921" s="49" t="s">
        <v>4917</v>
      </c>
      <c r="H2921" s="17">
        <v>17</v>
      </c>
      <c r="I2921" s="30" t="s">
        <v>955</v>
      </c>
      <c r="J2921" s="80">
        <v>4.0999999999999996</v>
      </c>
      <c r="K2921"/>
      <c r="L2921"/>
      <c r="M2921"/>
      <c r="N2921"/>
      <c r="O2921" s="62" t="str">
        <f>IF(E2921="PA",IF(K2921&lt;&gt;"",ISERROR(VLOOKUP(K2921,ABBR!A:D,1,FALSE)),ISERROR(VLOOKUP(C2921,ABBR!A:D,1,FALSE))),"")</f>
        <v/>
      </c>
      <c r="P2921" t="str">
        <f>VLOOKUP(A2921,Groups!A:L,5,FALSE)</f>
        <v>SAMP</v>
      </c>
      <c r="Q2921" s="62" t="str">
        <f>IF(G2921="PA",IF(M2921&lt;&gt;"",ISERROR(VLOOKUP(M2921,ABBR!C:F,1,FALSE)),ISERROR(VLOOKUP(E2921,ABBR!C:F,1,FALSE))),"")</f>
        <v/>
      </c>
    </row>
    <row r="2922" spans="1:17" s="62" customFormat="1" hidden="1" x14ac:dyDescent="0.25">
      <c r="A2922" s="16" t="s">
        <v>354</v>
      </c>
      <c r="B2922" s="17"/>
      <c r="C2922" s="16" t="s">
        <v>4918</v>
      </c>
      <c r="D2922" s="17"/>
      <c r="E2922" s="17" t="s">
        <v>723</v>
      </c>
      <c r="F2922" s="18" t="s">
        <v>4919</v>
      </c>
      <c r="G2922" s="49" t="s">
        <v>1489</v>
      </c>
      <c r="H2922" s="17">
        <v>18</v>
      </c>
      <c r="I2922" s="30" t="s">
        <v>955</v>
      </c>
      <c r="J2922" s="80">
        <v>4.0999999999999996</v>
      </c>
      <c r="K2922"/>
      <c r="L2922"/>
      <c r="M2922"/>
      <c r="N2922"/>
      <c r="O2922" s="62" t="str">
        <f>IF(E2922="PA",IF(K2922&lt;&gt;"",ISERROR(VLOOKUP(K2922,ABBR!A:D,1,FALSE)),ISERROR(VLOOKUP(C2922,ABBR!A:D,1,FALSE))),"")</f>
        <v/>
      </c>
      <c r="P2922" t="str">
        <f>VLOOKUP(A2922,Groups!A:L,5,FALSE)</f>
        <v>SAMP</v>
      </c>
      <c r="Q2922" s="62" t="str">
        <f>IF(G2922="PA",IF(M2922&lt;&gt;"",ISERROR(VLOOKUP(M2922,ABBR!C:F,1,FALSE)),ISERROR(VLOOKUP(E2922,ABBR!C:F,1,FALSE))),"")</f>
        <v/>
      </c>
    </row>
    <row r="2923" spans="1:17" s="62" customFormat="1" hidden="1" x14ac:dyDescent="0.25">
      <c r="A2923" s="16" t="s">
        <v>354</v>
      </c>
      <c r="B2923" s="17"/>
      <c r="C2923" s="16" t="s">
        <v>4920</v>
      </c>
      <c r="D2923" s="17"/>
      <c r="E2923" s="17" t="s">
        <v>601</v>
      </c>
      <c r="F2923" s="18" t="s">
        <v>4921</v>
      </c>
      <c r="G2923" s="49" t="s">
        <v>4922</v>
      </c>
      <c r="H2923" s="17">
        <v>19</v>
      </c>
      <c r="I2923" s="30" t="s">
        <v>955</v>
      </c>
      <c r="J2923" s="80">
        <v>4.0999999999999996</v>
      </c>
      <c r="K2923"/>
      <c r="L2923"/>
      <c r="M2923"/>
      <c r="N2923"/>
      <c r="O2923" s="62" t="str">
        <f>IF(E2923="PA",IF(K2923&lt;&gt;"",ISERROR(VLOOKUP(K2923,ABBR!A:D,1,FALSE)),ISERROR(VLOOKUP(C2923,ABBR!A:D,1,FALSE))),"")</f>
        <v/>
      </c>
      <c r="P2923" t="str">
        <f>VLOOKUP(A2923,Groups!A:L,5,FALSE)</f>
        <v>SAMP</v>
      </c>
      <c r="Q2923" s="62" t="str">
        <f>IF(G2923="PA",IF(M2923&lt;&gt;"",ISERROR(VLOOKUP(M2923,ABBR!C:F,1,FALSE)),ISERROR(VLOOKUP(E2923,ABBR!C:F,1,FALSE))),"")</f>
        <v/>
      </c>
    </row>
    <row r="2924" spans="1:17" s="62" customFormat="1" hidden="1" x14ac:dyDescent="0.25">
      <c r="A2924" s="16" t="s">
        <v>354</v>
      </c>
      <c r="B2924" s="17"/>
      <c r="C2924" s="16" t="s">
        <v>4923</v>
      </c>
      <c r="D2924" s="17"/>
      <c r="E2924" s="17" t="s">
        <v>608</v>
      </c>
      <c r="F2924" s="18" t="s">
        <v>4924</v>
      </c>
      <c r="G2924" s="49" t="s">
        <v>891</v>
      </c>
      <c r="H2924" s="17">
        <v>20</v>
      </c>
      <c r="I2924" s="30" t="s">
        <v>955</v>
      </c>
      <c r="J2924" s="80">
        <v>4.0999999999999996</v>
      </c>
      <c r="K2924"/>
      <c r="L2924"/>
      <c r="M2924"/>
      <c r="N2924"/>
      <c r="O2924" s="62" t="str">
        <f>IF(E2924="PA",IF(K2924&lt;&gt;"",ISERROR(VLOOKUP(K2924,ABBR!A:D,1,FALSE)),ISERROR(VLOOKUP(C2924,ABBR!A:D,1,FALSE))),"")</f>
        <v/>
      </c>
      <c r="P2924" t="str">
        <f>VLOOKUP(A2924,Groups!A:L,5,FALSE)</f>
        <v>SAMP</v>
      </c>
      <c r="Q2924" s="62" t="str">
        <f>IF(G2924="PA",IF(M2924&lt;&gt;"",ISERROR(VLOOKUP(M2924,ABBR!C:F,1,FALSE)),ISERROR(VLOOKUP(E2924,ABBR!C:F,1,FALSE))),"")</f>
        <v/>
      </c>
    </row>
    <row r="2925" spans="1:17" s="62" customFormat="1" ht="62.5" hidden="1" x14ac:dyDescent="0.25">
      <c r="A2925" s="16" t="s">
        <v>354</v>
      </c>
      <c r="B2925" s="17"/>
      <c r="C2925" s="16" t="s">
        <v>4925</v>
      </c>
      <c r="D2925" s="17"/>
      <c r="E2925" s="17" t="s">
        <v>608</v>
      </c>
      <c r="F2925" s="18" t="s">
        <v>642</v>
      </c>
      <c r="G2925" s="49" t="s">
        <v>4926</v>
      </c>
      <c r="H2925" s="17">
        <v>21</v>
      </c>
      <c r="I2925" s="30" t="s">
        <v>955</v>
      </c>
      <c r="J2925" s="80">
        <v>4.0999999999999996</v>
      </c>
      <c r="K2925"/>
      <c r="L2925"/>
      <c r="M2925"/>
      <c r="N2925"/>
      <c r="O2925" s="62" t="str">
        <f>IF(E2925="PA",IF(K2925&lt;&gt;"",ISERROR(VLOOKUP(K2925,ABBR!A:D,1,FALSE)),ISERROR(VLOOKUP(C2925,ABBR!A:D,1,FALSE))),"")</f>
        <v/>
      </c>
      <c r="P2925" t="str">
        <f>VLOOKUP(A2925,Groups!A:L,5,FALSE)</f>
        <v>SAMP</v>
      </c>
      <c r="Q2925" s="62" t="str">
        <f>IF(G2925="PA",IF(M2925&lt;&gt;"",ISERROR(VLOOKUP(M2925,ABBR!C:F,1,FALSE)),ISERROR(VLOOKUP(E2925,ABBR!C:F,1,FALSE))),"")</f>
        <v/>
      </c>
    </row>
    <row r="2926" spans="1:17" s="62" customFormat="1" ht="75" hidden="1" x14ac:dyDescent="0.25">
      <c r="A2926" s="16" t="s">
        <v>354</v>
      </c>
      <c r="B2926" s="17"/>
      <c r="C2926" s="16" t="s">
        <v>4927</v>
      </c>
      <c r="D2926" s="17"/>
      <c r="E2926" s="17" t="s">
        <v>608</v>
      </c>
      <c r="F2926" s="18" t="s">
        <v>918</v>
      </c>
      <c r="G2926" s="49" t="s">
        <v>4928</v>
      </c>
      <c r="H2926" s="17">
        <v>22</v>
      </c>
      <c r="I2926" s="30" t="s">
        <v>955</v>
      </c>
      <c r="J2926" s="80">
        <v>4.0999999999999996</v>
      </c>
      <c r="K2926"/>
      <c r="L2926"/>
      <c r="M2926"/>
      <c r="N2926"/>
      <c r="O2926" s="62" t="str">
        <f>IF(E2926="PA",IF(K2926&lt;&gt;"",ISERROR(VLOOKUP(K2926,ABBR!A:D,1,FALSE)),ISERROR(VLOOKUP(C2926,ABBR!A:D,1,FALSE))),"")</f>
        <v/>
      </c>
      <c r="P2926" t="str">
        <f>VLOOKUP(A2926,Groups!A:L,5,FALSE)</f>
        <v>SAMP</v>
      </c>
      <c r="Q2926" s="62" t="str">
        <f>IF(G2926="PA",IF(M2926&lt;&gt;"",ISERROR(VLOOKUP(M2926,ABBR!C:F,1,FALSE)),ISERROR(VLOOKUP(E2926,ABBR!C:F,1,FALSE))),"")</f>
        <v/>
      </c>
    </row>
    <row r="2927" spans="1:17" s="62" customFormat="1" ht="25" hidden="1" x14ac:dyDescent="0.25">
      <c r="A2927" s="16" t="s">
        <v>354</v>
      </c>
      <c r="B2927" s="17"/>
      <c r="C2927" s="16" t="s">
        <v>4929</v>
      </c>
      <c r="D2927" s="17"/>
      <c r="E2927" s="17" t="s">
        <v>608</v>
      </c>
      <c r="F2927" s="18" t="s">
        <v>950</v>
      </c>
      <c r="G2927" s="49" t="s">
        <v>951</v>
      </c>
      <c r="H2927" s="17">
        <v>23</v>
      </c>
      <c r="I2927" s="30" t="s">
        <v>955</v>
      </c>
      <c r="J2927" s="80">
        <v>4.0999999999999996</v>
      </c>
      <c r="K2927"/>
      <c r="L2927"/>
      <c r="M2927"/>
      <c r="N2927"/>
      <c r="O2927" s="62" t="str">
        <f>IF(E2927="PA",IF(K2927&lt;&gt;"",ISERROR(VLOOKUP(K2927,ABBR!A:D,1,FALSE)),ISERROR(VLOOKUP(C2927,ABBR!A:D,1,FALSE))),"")</f>
        <v/>
      </c>
      <c r="P2927" t="str">
        <f>VLOOKUP(A2927,Groups!A:L,5,FALSE)</f>
        <v>SAMP</v>
      </c>
      <c r="Q2927" s="62" t="str">
        <f>IF(G2927="PA",IF(M2927&lt;&gt;"",ISERROR(VLOOKUP(M2927,ABBR!C:F,1,FALSE)),ISERROR(VLOOKUP(E2927,ABBR!C:F,1,FALSE))),"")</f>
        <v/>
      </c>
    </row>
    <row r="2928" spans="1:17" s="62" customFormat="1" ht="25" hidden="1" x14ac:dyDescent="0.25">
      <c r="A2928" s="16" t="s">
        <v>354</v>
      </c>
      <c r="B2928" s="17"/>
      <c r="C2928" s="16" t="s">
        <v>4930</v>
      </c>
      <c r="D2928" s="17"/>
      <c r="E2928" s="17" t="s">
        <v>608</v>
      </c>
      <c r="F2928" s="18" t="s">
        <v>934</v>
      </c>
      <c r="G2928" s="49" t="s">
        <v>953</v>
      </c>
      <c r="H2928" s="17">
        <v>24</v>
      </c>
      <c r="I2928" s="30" t="s">
        <v>955</v>
      </c>
      <c r="J2928" s="80">
        <v>4.0999999999999996</v>
      </c>
      <c r="K2928"/>
      <c r="L2928"/>
      <c r="M2928"/>
      <c r="N2928"/>
      <c r="O2928" s="62" t="str">
        <f>IF(E2928="PA",IF(K2928&lt;&gt;"",ISERROR(VLOOKUP(K2928,ABBR!A:D,1,FALSE)),ISERROR(VLOOKUP(C2928,ABBR!A:D,1,FALSE))),"")</f>
        <v/>
      </c>
      <c r="P2928" t="str">
        <f>VLOOKUP(A2928,Groups!A:L,5,FALSE)</f>
        <v>SAMP</v>
      </c>
      <c r="Q2928" s="62" t="str">
        <f>IF(G2928="PA",IF(M2928&lt;&gt;"",ISERROR(VLOOKUP(M2928,ABBR!C:F,1,FALSE)),ISERROR(VLOOKUP(E2928,ABBR!C:F,1,FALSE))),"")</f>
        <v/>
      </c>
    </row>
    <row r="2929" spans="1:17" s="62" customFormat="1" hidden="1" x14ac:dyDescent="0.25">
      <c r="A2929" s="16" t="s">
        <v>354</v>
      </c>
      <c r="B2929" s="17"/>
      <c r="C2929" s="16" t="s">
        <v>936</v>
      </c>
      <c r="D2929" s="17"/>
      <c r="E2929" s="17" t="s">
        <v>608</v>
      </c>
      <c r="F2929" s="18" t="s">
        <v>937</v>
      </c>
      <c r="G2929" s="49" t="s">
        <v>938</v>
      </c>
      <c r="H2929" s="17">
        <v>25</v>
      </c>
      <c r="I2929" s="30" t="s">
        <v>955</v>
      </c>
      <c r="J2929" s="80">
        <v>4.0999999999999996</v>
      </c>
      <c r="K2929"/>
      <c r="L2929"/>
      <c r="M2929"/>
      <c r="N2929"/>
      <c r="O2929" s="62" t="str">
        <f>IF(E2929="PA",IF(K2929&lt;&gt;"",ISERROR(VLOOKUP(K2929,ABBR!A:D,1,FALSE)),ISERROR(VLOOKUP(C2929,ABBR!A:D,1,FALSE))),"")</f>
        <v/>
      </c>
      <c r="P2929" t="str">
        <f>VLOOKUP(A2929,Groups!A:L,5,FALSE)</f>
        <v>SAMP</v>
      </c>
      <c r="Q2929" s="62" t="str">
        <f>IF(G2929="PA",IF(M2929&lt;&gt;"",ISERROR(VLOOKUP(M2929,ABBR!C:F,1,FALSE)),ISERROR(VLOOKUP(E2929,ABBR!C:F,1,FALSE))),"")</f>
        <v/>
      </c>
    </row>
    <row r="2930" spans="1:17" s="62" customFormat="1" hidden="1" x14ac:dyDescent="0.25">
      <c r="A2930" s="16" t="s">
        <v>354</v>
      </c>
      <c r="B2930" s="17"/>
      <c r="C2930" s="16" t="s">
        <v>643</v>
      </c>
      <c r="D2930" s="17"/>
      <c r="E2930" s="17" t="s">
        <v>608</v>
      </c>
      <c r="F2930" s="18" t="s">
        <v>954</v>
      </c>
      <c r="G2930" s="49" t="s">
        <v>940</v>
      </c>
      <c r="H2930" s="17">
        <v>26</v>
      </c>
      <c r="I2930" s="30" t="s">
        <v>955</v>
      </c>
      <c r="J2930" s="80">
        <v>4.0999999999999996</v>
      </c>
      <c r="K2930"/>
      <c r="L2930"/>
      <c r="M2930"/>
      <c r="N2930"/>
      <c r="O2930" s="62" t="str">
        <f>IF(E2930="PA",IF(K2930&lt;&gt;"",ISERROR(VLOOKUP(K2930,ABBR!A:D,1,FALSE)),ISERROR(VLOOKUP(C2930,ABBR!A:D,1,FALSE))),"")</f>
        <v/>
      </c>
      <c r="P2930" t="str">
        <f>VLOOKUP(A2930,Groups!A:L,5,FALSE)</f>
        <v>SAMP</v>
      </c>
      <c r="Q2930" s="62" t="str">
        <f>IF(G2930="PA",IF(M2930&lt;&gt;"",ISERROR(VLOOKUP(M2930,ABBR!C:F,1,FALSE)),ISERROR(VLOOKUP(E2930,ABBR!C:F,1,FALSE))),"")</f>
        <v/>
      </c>
    </row>
    <row r="2931" spans="1:17" s="62" customFormat="1" hidden="1" x14ac:dyDescent="0.25">
      <c r="A2931" s="16" t="s">
        <v>354</v>
      </c>
      <c r="B2931" s="17"/>
      <c r="C2931" s="16" t="s">
        <v>4931</v>
      </c>
      <c r="D2931" s="17"/>
      <c r="E2931" s="17" t="s">
        <v>608</v>
      </c>
      <c r="F2931" s="18" t="s">
        <v>875</v>
      </c>
      <c r="G2931" s="49" t="s">
        <v>876</v>
      </c>
      <c r="H2931" s="17">
        <v>27</v>
      </c>
      <c r="I2931" s="30"/>
      <c r="J2931" s="80" t="s">
        <v>473</v>
      </c>
      <c r="K2931"/>
      <c r="L2931"/>
      <c r="M2931"/>
      <c r="N2931"/>
      <c r="O2931" s="62" t="str">
        <f>IF(E2931="PA",IF(K2931&lt;&gt;"",ISERROR(VLOOKUP(K2931,ABBR!A:D,1,FALSE)),ISERROR(VLOOKUP(C2931,ABBR!A:D,1,FALSE))),"")</f>
        <v/>
      </c>
      <c r="P2931" t="str">
        <f>VLOOKUP(A2931,Groups!A:L,5,FALSE)</f>
        <v>SAMP</v>
      </c>
      <c r="Q2931" s="62" t="str">
        <f>IF(G2931="PA",IF(M2931&lt;&gt;"",ISERROR(VLOOKUP(M2931,ABBR!C:F,1,FALSE)),ISERROR(VLOOKUP(E2931,ABBR!C:F,1,FALSE))),"")</f>
        <v/>
      </c>
    </row>
    <row r="2932" spans="1:17" s="62" customFormat="1" hidden="1" x14ac:dyDescent="0.25">
      <c r="A2932" s="16" t="s">
        <v>354</v>
      </c>
      <c r="B2932" s="17"/>
      <c r="C2932" s="16" t="s">
        <v>4932</v>
      </c>
      <c r="D2932" s="17"/>
      <c r="E2932" s="17" t="s">
        <v>608</v>
      </c>
      <c r="F2932" s="18" t="s">
        <v>929</v>
      </c>
      <c r="G2932" s="49" t="s">
        <v>876</v>
      </c>
      <c r="H2932" s="17">
        <v>28</v>
      </c>
      <c r="I2932" s="30"/>
      <c r="J2932" s="80" t="s">
        <v>473</v>
      </c>
      <c r="K2932"/>
      <c r="L2932"/>
      <c r="M2932"/>
      <c r="N2932"/>
      <c r="O2932" s="62" t="str">
        <f>IF(E2932="PA",IF(K2932&lt;&gt;"",ISERROR(VLOOKUP(K2932,ABBR!A:D,1,FALSE)),ISERROR(VLOOKUP(C2932,ABBR!A:D,1,FALSE))),"")</f>
        <v/>
      </c>
      <c r="P2932" t="str">
        <f>VLOOKUP(A2932,Groups!A:L,5,FALSE)</f>
        <v>SAMP</v>
      </c>
      <c r="Q2932" s="62" t="str">
        <f>IF(G2932="PA",IF(M2932&lt;&gt;"",ISERROR(VLOOKUP(M2932,ABBR!C:F,1,FALSE)),ISERROR(VLOOKUP(E2932,ABBR!C:F,1,FALSE))),"")</f>
        <v/>
      </c>
    </row>
    <row r="2933" spans="1:17" s="62" customFormat="1" hidden="1" x14ac:dyDescent="0.25">
      <c r="A2933" s="16" t="s">
        <v>354</v>
      </c>
      <c r="B2933" s="17"/>
      <c r="C2933" s="16" t="s">
        <v>4933</v>
      </c>
      <c r="D2933" s="17"/>
      <c r="E2933" s="17" t="s">
        <v>767</v>
      </c>
      <c r="F2933" s="18" t="s">
        <v>4934</v>
      </c>
      <c r="G2933" s="49" t="s">
        <v>876</v>
      </c>
      <c r="H2933" s="17">
        <v>29</v>
      </c>
      <c r="I2933" s="30"/>
      <c r="J2933" s="80" t="s">
        <v>473</v>
      </c>
      <c r="K2933"/>
      <c r="L2933"/>
      <c r="M2933"/>
      <c r="N2933"/>
      <c r="O2933" s="62" t="str">
        <f>IF(E2933="PA",IF(K2933&lt;&gt;"",ISERROR(VLOOKUP(K2933,ABBR!A:D,1,FALSE)),ISERROR(VLOOKUP(C2933,ABBR!A:D,1,FALSE))),"")</f>
        <v/>
      </c>
      <c r="P2933" t="str">
        <f>VLOOKUP(A2933,Groups!A:L,5,FALSE)</f>
        <v>SAMP</v>
      </c>
      <c r="Q2933" s="62" t="str">
        <f>IF(G2933="PA",IF(M2933&lt;&gt;"",ISERROR(VLOOKUP(M2933,ABBR!C:F,1,FALSE)),ISERROR(VLOOKUP(E2933,ABBR!C:F,1,FALSE))),"")</f>
        <v/>
      </c>
    </row>
    <row r="2934" spans="1:17" s="62" customFormat="1" hidden="1" x14ac:dyDescent="0.25">
      <c r="A2934" s="16" t="s">
        <v>356</v>
      </c>
      <c r="B2934" s="17" t="s">
        <v>594</v>
      </c>
      <c r="C2934" s="16" t="s">
        <v>595</v>
      </c>
      <c r="D2934" s="17"/>
      <c r="E2934" s="17" t="s">
        <v>596</v>
      </c>
      <c r="F2934" s="18" t="s">
        <v>597</v>
      </c>
      <c r="G2934" s="49" t="s">
        <v>598</v>
      </c>
      <c r="H2934" s="17">
        <v>1</v>
      </c>
      <c r="I2934" s="30" t="s">
        <v>955</v>
      </c>
      <c r="J2934" s="80">
        <v>4.0999999999999996</v>
      </c>
      <c r="K2934"/>
      <c r="L2934"/>
      <c r="M2934"/>
      <c r="N2934"/>
      <c r="O2934" s="62" t="str">
        <f>IF(E2934="PA",IF(K2934&lt;&gt;"",ISERROR(VLOOKUP(K2934,ABBR!A:D,1,FALSE)),ISERROR(VLOOKUP(C2934,ABBR!A:D,1,FALSE))),"")</f>
        <v/>
      </c>
      <c r="P2934" t="str">
        <f>VLOOKUP(A2934,Groups!A:L,5,FALSE)</f>
        <v>RCAG</v>
      </c>
      <c r="Q2934" s="62" t="str">
        <f>IF(G2934="PA",IF(M2934&lt;&gt;"",ISERROR(VLOOKUP(M2934,ABBR!C:F,1,FALSE)),ISERROR(VLOOKUP(E2934,ABBR!C:F,1,FALSE))),"")</f>
        <v/>
      </c>
    </row>
    <row r="2935" spans="1:17" s="62" customFormat="1" hidden="1" x14ac:dyDescent="0.25">
      <c r="A2935" s="16" t="s">
        <v>356</v>
      </c>
      <c r="B2935" s="17" t="s">
        <v>594</v>
      </c>
      <c r="C2935" s="16" t="s">
        <v>851</v>
      </c>
      <c r="D2935" s="17" t="s">
        <v>600</v>
      </c>
      <c r="E2935" s="17" t="s">
        <v>601</v>
      </c>
      <c r="F2935" s="18" t="s">
        <v>852</v>
      </c>
      <c r="G2935" s="49" t="s">
        <v>853</v>
      </c>
      <c r="H2935" s="17">
        <v>2</v>
      </c>
      <c r="I2935" s="30" t="s">
        <v>955</v>
      </c>
      <c r="J2935" s="80">
        <v>4.0999999999999996</v>
      </c>
      <c r="K2935"/>
      <c r="L2935"/>
      <c r="M2935"/>
      <c r="N2935"/>
      <c r="O2935" s="62" t="str">
        <f>IF(E2935="PA",IF(K2935&lt;&gt;"",ISERROR(VLOOKUP(K2935,ABBR!A:D,1,FALSE)),ISERROR(VLOOKUP(C2935,ABBR!A:D,1,FALSE))),"")</f>
        <v/>
      </c>
      <c r="P2935" t="str">
        <f>VLOOKUP(A2935,Groups!A:L,5,FALSE)</f>
        <v>RCAG</v>
      </c>
      <c r="Q2935" s="62" t="str">
        <f>IF(G2935="PA",IF(M2935&lt;&gt;"",ISERROR(VLOOKUP(M2935,ABBR!C:F,1,FALSE)),ISERROR(VLOOKUP(E2935,ABBR!C:F,1,FALSE))),"")</f>
        <v/>
      </c>
    </row>
    <row r="2936" spans="1:17" s="62" customFormat="1" hidden="1" x14ac:dyDescent="0.25">
      <c r="A2936" s="16" t="s">
        <v>356</v>
      </c>
      <c r="B2936" s="17" t="s">
        <v>594</v>
      </c>
      <c r="C2936" s="16" t="s">
        <v>854</v>
      </c>
      <c r="D2936" s="17"/>
      <c r="E2936" s="17" t="s">
        <v>608</v>
      </c>
      <c r="F2936" s="18" t="s">
        <v>855</v>
      </c>
      <c r="G2936" s="49" t="s">
        <v>941</v>
      </c>
      <c r="H2936" s="17">
        <v>3</v>
      </c>
      <c r="I2936" s="30" t="s">
        <v>955</v>
      </c>
      <c r="J2936" s="80">
        <v>4.0999999999999996</v>
      </c>
      <c r="K2936"/>
      <c r="L2936"/>
      <c r="M2936"/>
      <c r="N2936"/>
      <c r="O2936" s="62" t="str">
        <f>IF(E2936="PA",IF(K2936&lt;&gt;"",ISERROR(VLOOKUP(K2936,ABBR!A:D,1,FALSE)),ISERROR(VLOOKUP(C2936,ABBR!A:D,1,FALSE))),"")</f>
        <v/>
      </c>
      <c r="P2936" t="str">
        <f>VLOOKUP(A2936,Groups!A:L,5,FALSE)</f>
        <v>RCAG</v>
      </c>
      <c r="Q2936" s="62" t="str">
        <f>IF(G2936="PA",IF(M2936&lt;&gt;"",ISERROR(VLOOKUP(M2936,ABBR!C:F,1,FALSE)),ISERROR(VLOOKUP(E2936,ABBR!C:F,1,FALSE))),"")</f>
        <v/>
      </c>
    </row>
    <row r="2937" spans="1:17" s="62" customFormat="1" hidden="1" x14ac:dyDescent="0.25">
      <c r="A2937" s="16" t="s">
        <v>356</v>
      </c>
      <c r="B2937" s="17" t="s">
        <v>594</v>
      </c>
      <c r="C2937" s="16" t="s">
        <v>857</v>
      </c>
      <c r="D2937" s="17"/>
      <c r="E2937" s="17" t="s">
        <v>618</v>
      </c>
      <c r="F2937" s="18" t="s">
        <v>858</v>
      </c>
      <c r="G2937" s="49" t="s">
        <v>4898</v>
      </c>
      <c r="H2937" s="17">
        <v>4</v>
      </c>
      <c r="I2937" s="30" t="s">
        <v>955</v>
      </c>
      <c r="J2937" s="80">
        <v>4.0999999999999996</v>
      </c>
      <c r="K2937"/>
      <c r="L2937"/>
      <c r="M2937"/>
      <c r="N2937"/>
      <c r="O2937" s="62" t="b">
        <f>IF(E2937="PA",IF(K2937&lt;&gt;"",ISERROR(VLOOKUP(K2937,ABBR!A:D,1,FALSE)),ISERROR(VLOOKUP(C2937,ABBR!A:D,1,FALSE))),"")</f>
        <v>0</v>
      </c>
      <c r="P2937" t="str">
        <f>VLOOKUP(A2937,Groups!A:L,5,FALSE)</f>
        <v>RCAG</v>
      </c>
      <c r="Q2937" s="62" t="str">
        <f>IF(G2937="PA",IF(M2937&lt;&gt;"",ISERROR(VLOOKUP(M2937,ABBR!C:F,1,FALSE)),ISERROR(VLOOKUP(E2937,ABBR!C:F,1,FALSE))),"")</f>
        <v/>
      </c>
    </row>
    <row r="2938" spans="1:17" s="62" customFormat="1" hidden="1" x14ac:dyDescent="0.25">
      <c r="A2938" s="16" t="s">
        <v>356</v>
      </c>
      <c r="B2938" s="17" t="s">
        <v>594</v>
      </c>
      <c r="C2938" s="16" t="s">
        <v>860</v>
      </c>
      <c r="D2938" s="17"/>
      <c r="E2938" s="17" t="s">
        <v>596</v>
      </c>
      <c r="F2938" s="18" t="s">
        <v>942</v>
      </c>
      <c r="G2938" s="49" t="s">
        <v>862</v>
      </c>
      <c r="H2938" s="17">
        <v>5</v>
      </c>
      <c r="I2938" s="30" t="s">
        <v>955</v>
      </c>
      <c r="J2938" s="80">
        <v>4.0999999999999996</v>
      </c>
      <c r="K2938"/>
      <c r="L2938"/>
      <c r="M2938"/>
      <c r="N2938"/>
      <c r="O2938" s="62" t="str">
        <f>IF(E2938="PA",IF(K2938&lt;&gt;"",ISERROR(VLOOKUP(K2938,ABBR!A:D,1,FALSE)),ISERROR(VLOOKUP(C2938,ABBR!A:D,1,FALSE))),"")</f>
        <v/>
      </c>
      <c r="P2938" t="str">
        <f>VLOOKUP(A2938,Groups!A:L,5,FALSE)</f>
        <v>RCAG</v>
      </c>
      <c r="Q2938" s="62" t="str">
        <f>IF(G2938="PA",IF(M2938&lt;&gt;"",ISERROR(VLOOKUP(M2938,ABBR!C:F,1,FALSE)),ISERROR(VLOOKUP(E2938,ABBR!C:F,1,FALSE))),"")</f>
        <v/>
      </c>
    </row>
    <row r="2939" spans="1:17" s="62" customFormat="1" hidden="1" x14ac:dyDescent="0.25">
      <c r="A2939" s="16" t="s">
        <v>356</v>
      </c>
      <c r="B2939" s="17" t="s">
        <v>594</v>
      </c>
      <c r="C2939" s="16" t="s">
        <v>863</v>
      </c>
      <c r="D2939" s="17"/>
      <c r="E2939" s="17" t="s">
        <v>608</v>
      </c>
      <c r="F2939" s="18" t="s">
        <v>864</v>
      </c>
      <c r="G2939" s="49" t="s">
        <v>865</v>
      </c>
      <c r="H2939" s="17">
        <v>6</v>
      </c>
      <c r="I2939" s="30" t="s">
        <v>955</v>
      </c>
      <c r="J2939" s="80">
        <v>4.0999999999999996</v>
      </c>
      <c r="K2939"/>
      <c r="L2939"/>
      <c r="M2939"/>
      <c r="N2939"/>
      <c r="O2939" s="62" t="str">
        <f>IF(E2939="PA",IF(K2939&lt;&gt;"",ISERROR(VLOOKUP(K2939,ABBR!A:D,1,FALSE)),ISERROR(VLOOKUP(C2939,ABBR!A:D,1,FALSE))),"")</f>
        <v/>
      </c>
      <c r="P2939" t="str">
        <f>VLOOKUP(A2939,Groups!A:L,5,FALSE)</f>
        <v>RCAG</v>
      </c>
      <c r="Q2939" s="62" t="str">
        <f>IF(G2939="PA",IF(M2939&lt;&gt;"",ISERROR(VLOOKUP(M2939,ABBR!C:F,1,FALSE)),ISERROR(VLOOKUP(E2939,ABBR!C:F,1,FALSE))),"")</f>
        <v/>
      </c>
    </row>
    <row r="2940" spans="1:17" s="62" customFormat="1" hidden="1" x14ac:dyDescent="0.25">
      <c r="A2940" s="16" t="s">
        <v>356</v>
      </c>
      <c r="B2940" s="17" t="s">
        <v>594</v>
      </c>
      <c r="C2940" s="16" t="s">
        <v>866</v>
      </c>
      <c r="D2940" s="17" t="s">
        <v>600</v>
      </c>
      <c r="E2940" s="17" t="s">
        <v>601</v>
      </c>
      <c r="F2940" s="18" t="s">
        <v>867</v>
      </c>
      <c r="G2940" s="49" t="s">
        <v>853</v>
      </c>
      <c r="H2940" s="17">
        <v>7</v>
      </c>
      <c r="I2940" s="30" t="s">
        <v>955</v>
      </c>
      <c r="J2940" s="80">
        <v>4.0999999999999996</v>
      </c>
      <c r="K2940"/>
      <c r="L2940"/>
      <c r="M2940"/>
      <c r="N2940"/>
      <c r="O2940" s="62" t="str">
        <f>IF(E2940="PA",IF(K2940&lt;&gt;"",ISERROR(VLOOKUP(K2940,ABBR!A:D,1,FALSE)),ISERROR(VLOOKUP(C2940,ABBR!A:D,1,FALSE))),"")</f>
        <v/>
      </c>
      <c r="P2940" t="str">
        <f>VLOOKUP(A2940,Groups!A:L,5,FALSE)</f>
        <v>RCAG</v>
      </c>
      <c r="Q2940" s="62" t="str">
        <f>IF(G2940="PA",IF(M2940&lt;&gt;"",ISERROR(VLOOKUP(M2940,ABBR!C:F,1,FALSE)),ISERROR(VLOOKUP(E2940,ABBR!C:F,1,FALSE))),"")</f>
        <v/>
      </c>
    </row>
    <row r="2941" spans="1:17" s="62" customFormat="1" hidden="1" x14ac:dyDescent="0.25">
      <c r="A2941" s="16" t="s">
        <v>356</v>
      </c>
      <c r="B2941" s="17" t="s">
        <v>594</v>
      </c>
      <c r="C2941" s="16" t="s">
        <v>4935</v>
      </c>
      <c r="D2941" s="17"/>
      <c r="E2941" s="17" t="s">
        <v>608</v>
      </c>
      <c r="F2941" s="18" t="s">
        <v>4936</v>
      </c>
      <c r="G2941" s="49" t="s">
        <v>631</v>
      </c>
      <c r="H2941" s="17">
        <v>8</v>
      </c>
      <c r="I2941" s="30" t="s">
        <v>955</v>
      </c>
      <c r="J2941" s="80">
        <v>4.0999999999999996</v>
      </c>
      <c r="K2941"/>
      <c r="L2941"/>
      <c r="M2941"/>
      <c r="N2941"/>
      <c r="O2941" s="62" t="str">
        <f>IF(E2941="PA",IF(K2941&lt;&gt;"",ISERROR(VLOOKUP(K2941,ABBR!A:D,1,FALSE)),ISERROR(VLOOKUP(C2941,ABBR!A:D,1,FALSE))),"")</f>
        <v/>
      </c>
      <c r="P2941" t="str">
        <f>VLOOKUP(A2941,Groups!A:L,5,FALSE)</f>
        <v>RCAG</v>
      </c>
      <c r="Q2941" s="62" t="str">
        <f>IF(G2941="PA",IF(M2941&lt;&gt;"",ISERROR(VLOOKUP(M2941,ABBR!C:F,1,FALSE)),ISERROR(VLOOKUP(E2941,ABBR!C:F,1,FALSE))),"")</f>
        <v/>
      </c>
    </row>
    <row r="2942" spans="1:17" s="62" customFormat="1" hidden="1" x14ac:dyDescent="0.25">
      <c r="A2942" s="16" t="s">
        <v>356</v>
      </c>
      <c r="B2942" s="17"/>
      <c r="C2942" s="16" t="s">
        <v>4937</v>
      </c>
      <c r="D2942" s="17"/>
      <c r="E2942" s="17" t="s">
        <v>608</v>
      </c>
      <c r="F2942" s="18" t="s">
        <v>4938</v>
      </c>
      <c r="G2942" s="49" t="s">
        <v>4939</v>
      </c>
      <c r="H2942" s="17">
        <v>9</v>
      </c>
      <c r="I2942" s="30" t="s">
        <v>955</v>
      </c>
      <c r="J2942" s="80">
        <v>4.0999999999999996</v>
      </c>
      <c r="K2942"/>
      <c r="L2942"/>
      <c r="M2942"/>
      <c r="N2942"/>
      <c r="O2942" s="62" t="str">
        <f>IF(E2942="PA",IF(K2942&lt;&gt;"",ISERROR(VLOOKUP(K2942,ABBR!A:D,1,FALSE)),ISERROR(VLOOKUP(C2942,ABBR!A:D,1,FALSE))),"")</f>
        <v/>
      </c>
      <c r="P2942" t="str">
        <f>VLOOKUP(A2942,Groups!A:L,5,FALSE)</f>
        <v>RCAG</v>
      </c>
      <c r="Q2942" s="62" t="str">
        <f>IF(G2942="PA",IF(M2942&lt;&gt;"",ISERROR(VLOOKUP(M2942,ABBR!C:F,1,FALSE)),ISERROR(VLOOKUP(E2942,ABBR!C:F,1,FALSE))),"")</f>
        <v/>
      </c>
    </row>
    <row r="2943" spans="1:17" s="62" customFormat="1" ht="25" hidden="1" x14ac:dyDescent="0.25">
      <c r="A2943" s="16" t="s">
        <v>356</v>
      </c>
      <c r="B2943" s="17"/>
      <c r="C2943" s="16" t="s">
        <v>4940</v>
      </c>
      <c r="D2943" s="17"/>
      <c r="E2943" s="17" t="s">
        <v>608</v>
      </c>
      <c r="F2943" s="18" t="s">
        <v>4941</v>
      </c>
      <c r="G2943" s="49" t="s">
        <v>4942</v>
      </c>
      <c r="H2943" s="17">
        <v>10</v>
      </c>
      <c r="I2943" s="30" t="s">
        <v>955</v>
      </c>
      <c r="J2943" s="80">
        <v>4.0999999999999996</v>
      </c>
      <c r="K2943"/>
      <c r="L2943"/>
      <c r="M2943"/>
      <c r="N2943"/>
      <c r="O2943" s="62" t="str">
        <f>IF(E2943="PA",IF(K2943&lt;&gt;"",ISERROR(VLOOKUP(K2943,ABBR!A:D,1,FALSE)),ISERROR(VLOOKUP(C2943,ABBR!A:D,1,FALSE))),"")</f>
        <v/>
      </c>
      <c r="P2943" t="str">
        <f>VLOOKUP(A2943,Groups!A:L,5,FALSE)</f>
        <v>RCAG</v>
      </c>
      <c r="Q2943" s="62" t="str">
        <f>IF(G2943="PA",IF(M2943&lt;&gt;"",ISERROR(VLOOKUP(M2943,ABBR!C:F,1,FALSE)),ISERROR(VLOOKUP(E2943,ABBR!C:F,1,FALSE))),"")</f>
        <v/>
      </c>
    </row>
    <row r="2944" spans="1:17" s="62" customFormat="1" hidden="1" x14ac:dyDescent="0.25">
      <c r="A2944" s="16" t="s">
        <v>356</v>
      </c>
      <c r="B2944" s="17"/>
      <c r="C2944" s="16" t="s">
        <v>4943</v>
      </c>
      <c r="D2944" s="17"/>
      <c r="E2944" s="17" t="s">
        <v>767</v>
      </c>
      <c r="F2944" s="18" t="s">
        <v>4934</v>
      </c>
      <c r="G2944" s="49" t="s">
        <v>2265</v>
      </c>
      <c r="H2944" s="17">
        <v>11</v>
      </c>
      <c r="I2944" s="30" t="s">
        <v>955</v>
      </c>
      <c r="J2944" s="80">
        <v>4.0999999999999996</v>
      </c>
      <c r="K2944"/>
      <c r="L2944"/>
      <c r="M2944"/>
      <c r="N2944"/>
      <c r="O2944" s="62" t="str">
        <f>IF(E2944="PA",IF(K2944&lt;&gt;"",ISERROR(VLOOKUP(K2944,ABBR!A:D,1,FALSE)),ISERROR(VLOOKUP(C2944,ABBR!A:D,1,FALSE))),"")</f>
        <v/>
      </c>
      <c r="P2944" t="str">
        <f>VLOOKUP(A2944,Groups!A:L,5,FALSE)</f>
        <v>RCAG</v>
      </c>
      <c r="Q2944" s="62" t="str">
        <f>IF(G2944="PA",IF(M2944&lt;&gt;"",ISERROR(VLOOKUP(M2944,ABBR!C:F,1,FALSE)),ISERROR(VLOOKUP(E2944,ABBR!C:F,1,FALSE))),"")</f>
        <v/>
      </c>
    </row>
    <row r="2945" spans="1:17" s="62" customFormat="1" hidden="1" x14ac:dyDescent="0.25">
      <c r="A2945" s="16" t="s">
        <v>356</v>
      </c>
      <c r="B2945" s="17"/>
      <c r="C2945" s="16" t="s">
        <v>4944</v>
      </c>
      <c r="D2945" s="17"/>
      <c r="E2945" s="17" t="s">
        <v>608</v>
      </c>
      <c r="F2945" s="18" t="s">
        <v>4945</v>
      </c>
      <c r="G2945" s="49" t="s">
        <v>4946</v>
      </c>
      <c r="H2945" s="17">
        <v>12</v>
      </c>
      <c r="I2945" s="30" t="s">
        <v>955</v>
      </c>
      <c r="J2945" s="80">
        <v>4.0999999999999996</v>
      </c>
      <c r="K2945"/>
      <c r="L2945"/>
      <c r="M2945"/>
      <c r="N2945"/>
      <c r="O2945" s="62" t="str">
        <f>IF(E2945="PA",IF(K2945&lt;&gt;"",ISERROR(VLOOKUP(K2945,ABBR!A:D,1,FALSE)),ISERROR(VLOOKUP(C2945,ABBR!A:D,1,FALSE))),"")</f>
        <v/>
      </c>
      <c r="P2945" t="str">
        <f>VLOOKUP(A2945,Groups!A:L,5,FALSE)</f>
        <v>RCAG</v>
      </c>
      <c r="Q2945" s="62" t="str">
        <f>IF(G2945="PA",IF(M2945&lt;&gt;"",ISERROR(VLOOKUP(M2945,ABBR!C:F,1,FALSE)),ISERROR(VLOOKUP(E2945,ABBR!C:F,1,FALSE))),"")</f>
        <v/>
      </c>
    </row>
    <row r="2946" spans="1:17" s="62" customFormat="1" hidden="1" x14ac:dyDescent="0.25">
      <c r="A2946" s="16" t="s">
        <v>356</v>
      </c>
      <c r="B2946" s="17"/>
      <c r="C2946" s="16" t="s">
        <v>4947</v>
      </c>
      <c r="D2946" s="17"/>
      <c r="E2946" s="17" t="s">
        <v>723</v>
      </c>
      <c r="F2946" s="18" t="s">
        <v>4948</v>
      </c>
      <c r="G2946" s="49" t="s">
        <v>4949</v>
      </c>
      <c r="H2946" s="17">
        <v>13</v>
      </c>
      <c r="I2946" s="30" t="s">
        <v>955</v>
      </c>
      <c r="J2946" s="80">
        <v>4.0999999999999996</v>
      </c>
      <c r="K2946"/>
      <c r="L2946"/>
      <c r="M2946"/>
      <c r="N2946"/>
      <c r="O2946" s="62" t="str">
        <f>IF(E2946="PA",IF(K2946&lt;&gt;"",ISERROR(VLOOKUP(K2946,ABBR!A:D,1,FALSE)),ISERROR(VLOOKUP(C2946,ABBR!A:D,1,FALSE))),"")</f>
        <v/>
      </c>
      <c r="P2946" t="str">
        <f>VLOOKUP(A2946,Groups!A:L,5,FALSE)</f>
        <v>RCAG</v>
      </c>
      <c r="Q2946" s="62" t="str">
        <f>IF(G2946="PA",IF(M2946&lt;&gt;"",ISERROR(VLOOKUP(M2946,ABBR!C:F,1,FALSE)),ISERROR(VLOOKUP(E2946,ABBR!C:F,1,FALSE))),"")</f>
        <v/>
      </c>
    </row>
    <row r="2947" spans="1:17" s="62" customFormat="1" ht="25" hidden="1" x14ac:dyDescent="0.25">
      <c r="A2947" s="16" t="s">
        <v>356</v>
      </c>
      <c r="B2947" s="17"/>
      <c r="C2947" s="16" t="s">
        <v>4950</v>
      </c>
      <c r="D2947" s="17"/>
      <c r="E2947" s="17" t="s">
        <v>723</v>
      </c>
      <c r="F2947" s="18" t="s">
        <v>4951</v>
      </c>
      <c r="G2947" s="49" t="s">
        <v>4952</v>
      </c>
      <c r="H2947" s="17">
        <v>14</v>
      </c>
      <c r="I2947" s="30" t="s">
        <v>955</v>
      </c>
      <c r="J2947" s="80">
        <v>4.0999999999999996</v>
      </c>
      <c r="K2947"/>
      <c r="L2947"/>
      <c r="M2947"/>
      <c r="N2947"/>
      <c r="O2947" s="62" t="str">
        <f>IF(E2947="PA",IF(K2947&lt;&gt;"",ISERROR(VLOOKUP(K2947,ABBR!A:D,1,FALSE)),ISERROR(VLOOKUP(C2947,ABBR!A:D,1,FALSE))),"")</f>
        <v/>
      </c>
      <c r="P2947" t="str">
        <f>VLOOKUP(A2947,Groups!A:L,5,FALSE)</f>
        <v>RCAG</v>
      </c>
      <c r="Q2947" s="62" t="str">
        <f>IF(G2947="PA",IF(M2947&lt;&gt;"",ISERROR(VLOOKUP(M2947,ABBR!C:F,1,FALSE)),ISERROR(VLOOKUP(E2947,ABBR!C:F,1,FALSE))),"")</f>
        <v/>
      </c>
    </row>
    <row r="2948" spans="1:17" s="62" customFormat="1" hidden="1" x14ac:dyDescent="0.25">
      <c r="A2948" s="16" t="s">
        <v>356</v>
      </c>
      <c r="B2948" s="17"/>
      <c r="C2948" s="16" t="s">
        <v>4953</v>
      </c>
      <c r="D2948" s="17"/>
      <c r="E2948" s="17" t="s">
        <v>608</v>
      </c>
      <c r="F2948" s="18" t="s">
        <v>642</v>
      </c>
      <c r="G2948" s="49" t="s">
        <v>16</v>
      </c>
      <c r="H2948" s="17">
        <v>15</v>
      </c>
      <c r="I2948" s="30" t="s">
        <v>955</v>
      </c>
      <c r="J2948" s="80">
        <v>4.0999999999999996</v>
      </c>
      <c r="K2948"/>
      <c r="L2948"/>
      <c r="M2948" s="101"/>
      <c r="N2948"/>
      <c r="O2948" s="62" t="str">
        <f>IF(E2948="PA",IF(K2948&lt;&gt;"",ISERROR(VLOOKUP(K2948,ABBR!A:D,1,FALSE)),ISERROR(VLOOKUP(C2948,ABBR!A:D,1,FALSE))),"")</f>
        <v/>
      </c>
      <c r="P2948" t="str">
        <f>VLOOKUP(A2948,Groups!A:L,5,FALSE)</f>
        <v>RCAG</v>
      </c>
      <c r="Q2948" s="62" t="str">
        <f>IF(G2948="PA",IF(M2948&lt;&gt;"",ISERROR(VLOOKUP(M2948,ABBR!C:F,1,FALSE)),ISERROR(VLOOKUP(E2948,ABBR!C:F,1,FALSE))),"")</f>
        <v/>
      </c>
    </row>
    <row r="2949" spans="1:17" s="62" customFormat="1" hidden="1" x14ac:dyDescent="0.25">
      <c r="A2949" s="16" t="s">
        <v>356</v>
      </c>
      <c r="B2949" s="17"/>
      <c r="C2949" s="16" t="s">
        <v>643</v>
      </c>
      <c r="D2949" s="17"/>
      <c r="E2949" s="17" t="s">
        <v>608</v>
      </c>
      <c r="F2949" s="18" t="s">
        <v>954</v>
      </c>
      <c r="G2949" s="49" t="s">
        <v>4954</v>
      </c>
      <c r="H2949" s="17">
        <v>16</v>
      </c>
      <c r="I2949" s="30" t="s">
        <v>955</v>
      </c>
      <c r="J2949" s="80">
        <v>4.0999999999999996</v>
      </c>
      <c r="K2949"/>
      <c r="L2949"/>
      <c r="M2949"/>
      <c r="N2949"/>
      <c r="O2949" s="62" t="str">
        <f>IF(E2949="PA",IF(K2949&lt;&gt;"",ISERROR(VLOOKUP(K2949,ABBR!A:D,1,FALSE)),ISERROR(VLOOKUP(C2949,ABBR!A:D,1,FALSE))),"")</f>
        <v/>
      </c>
      <c r="P2949" t="str">
        <f>VLOOKUP(A2949,Groups!A:L,5,FALSE)</f>
        <v>RCAG</v>
      </c>
      <c r="Q2949" s="62" t="str">
        <f>IF(G2949="PA",IF(M2949&lt;&gt;"",ISERROR(VLOOKUP(M2949,ABBR!C:F,1,FALSE)),ISERROR(VLOOKUP(E2949,ABBR!C:F,1,FALSE))),"")</f>
        <v/>
      </c>
    </row>
    <row r="2950" spans="1:17" s="62" customFormat="1" hidden="1" x14ac:dyDescent="0.25">
      <c r="A2950" s="16" t="s">
        <v>359</v>
      </c>
      <c r="B2950" s="17" t="s">
        <v>594</v>
      </c>
      <c r="C2950" s="16" t="s">
        <v>595</v>
      </c>
      <c r="D2950" s="17"/>
      <c r="E2950" s="17" t="s">
        <v>596</v>
      </c>
      <c r="F2950" s="18" t="s">
        <v>597</v>
      </c>
      <c r="G2950" s="49" t="s">
        <v>598</v>
      </c>
      <c r="H2950" s="17">
        <v>1</v>
      </c>
      <c r="I2950" s="30"/>
      <c r="J2950"/>
      <c r="K2950"/>
      <c r="L2950"/>
      <c r="M2950"/>
      <c r="N2950"/>
      <c r="O2950" s="62" t="str">
        <f>IF(E2950="PA",IF(K2950&lt;&gt;"",ISERROR(VLOOKUP(K2950,ABBR!A:D,1,FALSE)),ISERROR(VLOOKUP(C2950,ABBR!A:D,1,FALSE))),"")</f>
        <v/>
      </c>
      <c r="P2950" t="str">
        <f>VLOOKUP(A2950,Groups!A:L,5,FALSE)</f>
        <v>SAMP</v>
      </c>
      <c r="Q2950" s="62" t="str">
        <f>IF(G2950="PA",IF(M2950&lt;&gt;"",ISERROR(VLOOKUP(M2950,ABBR!C:F,1,FALSE)),ISERROR(VLOOKUP(E2950,ABBR!C:F,1,FALSE))),"")</f>
        <v/>
      </c>
    </row>
    <row r="2951" spans="1:17" s="62" customFormat="1" hidden="1" x14ac:dyDescent="0.25">
      <c r="A2951" s="16" t="s">
        <v>359</v>
      </c>
      <c r="B2951" s="17" t="s">
        <v>594</v>
      </c>
      <c r="C2951" s="16" t="s">
        <v>851</v>
      </c>
      <c r="D2951" s="17" t="s">
        <v>600</v>
      </c>
      <c r="E2951" s="17" t="s">
        <v>601</v>
      </c>
      <c r="F2951" s="18" t="s">
        <v>852</v>
      </c>
      <c r="G2951" s="49" t="s">
        <v>853</v>
      </c>
      <c r="H2951" s="17">
        <v>2</v>
      </c>
      <c r="I2951" s="30"/>
      <c r="J2951"/>
      <c r="K2951"/>
      <c r="L2951"/>
      <c r="M2951"/>
      <c r="N2951"/>
      <c r="O2951" s="62" t="str">
        <f>IF(E2951="PA",IF(K2951&lt;&gt;"",ISERROR(VLOOKUP(K2951,ABBR!A:D,1,FALSE)),ISERROR(VLOOKUP(C2951,ABBR!A:D,1,FALSE))),"")</f>
        <v/>
      </c>
      <c r="P2951" t="str">
        <f>VLOOKUP(A2951,Groups!A:L,5,FALSE)</f>
        <v>SAMP</v>
      </c>
      <c r="Q2951" s="62" t="str">
        <f>IF(G2951="PA",IF(M2951&lt;&gt;"",ISERROR(VLOOKUP(M2951,ABBR!C:F,1,FALSE)),ISERROR(VLOOKUP(E2951,ABBR!C:F,1,FALSE))),"")</f>
        <v/>
      </c>
    </row>
    <row r="2952" spans="1:17" s="62" customFormat="1" hidden="1" x14ac:dyDescent="0.25">
      <c r="A2952" s="16" t="s">
        <v>359</v>
      </c>
      <c r="B2952" s="17" t="s">
        <v>594</v>
      </c>
      <c r="C2952" s="16" t="s">
        <v>854</v>
      </c>
      <c r="D2952" s="17"/>
      <c r="E2952" s="17" t="s">
        <v>608</v>
      </c>
      <c r="F2952" s="18" t="s">
        <v>855</v>
      </c>
      <c r="G2952" s="49" t="s">
        <v>941</v>
      </c>
      <c r="H2952" s="17">
        <v>3</v>
      </c>
      <c r="I2952" s="30"/>
      <c r="J2952"/>
      <c r="K2952"/>
      <c r="L2952"/>
      <c r="M2952"/>
      <c r="N2952"/>
      <c r="O2952" s="62" t="str">
        <f>IF(E2952="PA",IF(K2952&lt;&gt;"",ISERROR(VLOOKUP(K2952,ABBR!A:D,1,FALSE)),ISERROR(VLOOKUP(C2952,ABBR!A:D,1,FALSE))),"")</f>
        <v/>
      </c>
      <c r="P2952" t="str">
        <f>VLOOKUP(A2952,Groups!A:L,5,FALSE)</f>
        <v>SAMP</v>
      </c>
      <c r="Q2952" s="62" t="str">
        <f>IF(G2952="PA",IF(M2952&lt;&gt;"",ISERROR(VLOOKUP(M2952,ABBR!C:F,1,FALSE)),ISERROR(VLOOKUP(E2952,ABBR!C:F,1,FALSE))),"")</f>
        <v/>
      </c>
    </row>
    <row r="2953" spans="1:17" s="62" customFormat="1" hidden="1" x14ac:dyDescent="0.25">
      <c r="A2953" s="16" t="s">
        <v>359</v>
      </c>
      <c r="B2953" s="17" t="s">
        <v>594</v>
      </c>
      <c r="C2953" s="16" t="s">
        <v>857</v>
      </c>
      <c r="D2953" s="17"/>
      <c r="E2953" s="17" t="s">
        <v>618</v>
      </c>
      <c r="F2953" s="18" t="s">
        <v>858</v>
      </c>
      <c r="G2953" s="49" t="s">
        <v>3547</v>
      </c>
      <c r="H2953" s="17">
        <v>4</v>
      </c>
      <c r="I2953" s="30"/>
      <c r="J2953"/>
      <c r="K2953"/>
      <c r="L2953"/>
      <c r="M2953"/>
      <c r="N2953"/>
      <c r="O2953" s="62" t="b">
        <f>IF(E2953="PA",IF(K2953&lt;&gt;"",ISERROR(VLOOKUP(K2953,ABBR!A:D,1,FALSE)),ISERROR(VLOOKUP(C2953,ABBR!A:D,1,FALSE))),"")</f>
        <v>0</v>
      </c>
      <c r="P2953" t="str">
        <f>VLOOKUP(A2953,Groups!A:L,5,FALSE)</f>
        <v>SAMP</v>
      </c>
      <c r="Q2953" s="62" t="str">
        <f>IF(G2953="PA",IF(M2953&lt;&gt;"",ISERROR(VLOOKUP(M2953,ABBR!C:F,1,FALSE)),ISERROR(VLOOKUP(E2953,ABBR!C:F,1,FALSE))),"")</f>
        <v/>
      </c>
    </row>
    <row r="2954" spans="1:17" s="62" customFormat="1" hidden="1" x14ac:dyDescent="0.25">
      <c r="A2954" s="16" t="s">
        <v>359</v>
      </c>
      <c r="B2954" s="17" t="s">
        <v>594</v>
      </c>
      <c r="C2954" s="16" t="s">
        <v>860</v>
      </c>
      <c r="D2954" s="17"/>
      <c r="E2954" s="17" t="s">
        <v>596</v>
      </c>
      <c r="F2954" s="18" t="s">
        <v>942</v>
      </c>
      <c r="G2954" s="49" t="s">
        <v>862</v>
      </c>
      <c r="H2954" s="17">
        <v>5</v>
      </c>
      <c r="I2954" s="30"/>
      <c r="J2954"/>
      <c r="K2954"/>
      <c r="L2954"/>
      <c r="M2954"/>
      <c r="N2954"/>
      <c r="O2954" s="62" t="str">
        <f>IF(E2954="PA",IF(K2954&lt;&gt;"",ISERROR(VLOOKUP(K2954,ABBR!A:D,1,FALSE)),ISERROR(VLOOKUP(C2954,ABBR!A:D,1,FALSE))),"")</f>
        <v/>
      </c>
      <c r="P2954" t="str">
        <f>VLOOKUP(A2954,Groups!A:L,5,FALSE)</f>
        <v>SAMP</v>
      </c>
      <c r="Q2954" s="62" t="str">
        <f>IF(G2954="PA",IF(M2954&lt;&gt;"",ISERROR(VLOOKUP(M2954,ABBR!C:F,1,FALSE)),ISERROR(VLOOKUP(E2954,ABBR!C:F,1,FALSE))),"")</f>
        <v/>
      </c>
    </row>
    <row r="2955" spans="1:17" s="62" customFormat="1" hidden="1" x14ac:dyDescent="0.25">
      <c r="A2955" s="16" t="s">
        <v>359</v>
      </c>
      <c r="B2955" s="17" t="s">
        <v>594</v>
      </c>
      <c r="C2955" s="16" t="s">
        <v>863</v>
      </c>
      <c r="D2955" s="17"/>
      <c r="E2955" s="17" t="s">
        <v>608</v>
      </c>
      <c r="F2955" s="18" t="s">
        <v>864</v>
      </c>
      <c r="G2955" s="49" t="s">
        <v>865</v>
      </c>
      <c r="H2955" s="17">
        <v>6</v>
      </c>
      <c r="I2955" s="30"/>
      <c r="J2955"/>
      <c r="K2955"/>
      <c r="L2955"/>
      <c r="M2955"/>
      <c r="N2955"/>
      <c r="O2955" s="62" t="str">
        <f>IF(E2955="PA",IF(K2955&lt;&gt;"",ISERROR(VLOOKUP(K2955,ABBR!A:D,1,FALSE)),ISERROR(VLOOKUP(C2955,ABBR!A:D,1,FALSE))),"")</f>
        <v/>
      </c>
      <c r="P2955" t="str">
        <f>VLOOKUP(A2955,Groups!A:L,5,FALSE)</f>
        <v>SAMP</v>
      </c>
      <c r="Q2955" s="62" t="str">
        <f>IF(G2955="PA",IF(M2955&lt;&gt;"",ISERROR(VLOOKUP(M2955,ABBR!C:F,1,FALSE)),ISERROR(VLOOKUP(E2955,ABBR!C:F,1,FALSE))),"")</f>
        <v/>
      </c>
    </row>
    <row r="2956" spans="1:17" s="62" customFormat="1" hidden="1" x14ac:dyDescent="0.25">
      <c r="A2956" s="16" t="s">
        <v>359</v>
      </c>
      <c r="B2956" s="17" t="s">
        <v>594</v>
      </c>
      <c r="C2956" s="16" t="s">
        <v>866</v>
      </c>
      <c r="D2956" s="17" t="s">
        <v>600</v>
      </c>
      <c r="E2956" s="17" t="s">
        <v>601</v>
      </c>
      <c r="F2956" s="18" t="s">
        <v>867</v>
      </c>
      <c r="G2956" s="49" t="s">
        <v>853</v>
      </c>
      <c r="H2956" s="17">
        <v>7</v>
      </c>
      <c r="I2956" s="30"/>
      <c r="J2956"/>
      <c r="K2956"/>
      <c r="L2956"/>
      <c r="M2956"/>
      <c r="N2956"/>
      <c r="O2956" s="62" t="str">
        <f>IF(E2956="PA",IF(K2956&lt;&gt;"",ISERROR(VLOOKUP(K2956,ABBR!A:D,1,FALSE)),ISERROR(VLOOKUP(C2956,ABBR!A:D,1,FALSE))),"")</f>
        <v/>
      </c>
      <c r="P2956" t="str">
        <f>VLOOKUP(A2956,Groups!A:L,5,FALSE)</f>
        <v>SAMP</v>
      </c>
      <c r="Q2956" s="62" t="str">
        <f>IF(G2956="PA",IF(M2956&lt;&gt;"",ISERROR(VLOOKUP(M2956,ABBR!C:F,1,FALSE)),ISERROR(VLOOKUP(E2956,ABBR!C:F,1,FALSE))),"")</f>
        <v/>
      </c>
    </row>
    <row r="2957" spans="1:17" s="62" customFormat="1" hidden="1" x14ac:dyDescent="0.25">
      <c r="A2957" s="16" t="s">
        <v>359</v>
      </c>
      <c r="B2957" s="17" t="s">
        <v>594</v>
      </c>
      <c r="C2957" s="16" t="s">
        <v>4955</v>
      </c>
      <c r="D2957" s="17"/>
      <c r="E2957" s="17" t="s">
        <v>608</v>
      </c>
      <c r="F2957" s="18" t="s">
        <v>1323</v>
      </c>
      <c r="G2957" s="49" t="s">
        <v>1507</v>
      </c>
      <c r="H2957" s="17">
        <v>8</v>
      </c>
      <c r="I2957" s="30"/>
      <c r="J2957"/>
      <c r="K2957"/>
      <c r="L2957"/>
      <c r="M2957"/>
      <c r="N2957"/>
      <c r="O2957" s="62" t="str">
        <f>IF(E2957="PA",IF(K2957&lt;&gt;"",ISERROR(VLOOKUP(K2957,ABBR!A:D,1,FALSE)),ISERROR(VLOOKUP(C2957,ABBR!A:D,1,FALSE))),"")</f>
        <v/>
      </c>
      <c r="P2957" t="str">
        <f>VLOOKUP(A2957,Groups!A:L,5,FALSE)</f>
        <v>SAMP</v>
      </c>
      <c r="Q2957" s="62" t="str">
        <f>IF(G2957="PA",IF(M2957&lt;&gt;"",ISERROR(VLOOKUP(M2957,ABBR!C:F,1,FALSE)),ISERROR(VLOOKUP(E2957,ABBR!C:F,1,FALSE))),"")</f>
        <v/>
      </c>
    </row>
    <row r="2958" spans="1:17" s="62" customFormat="1" hidden="1" x14ac:dyDescent="0.25">
      <c r="A2958" s="16" t="s">
        <v>359</v>
      </c>
      <c r="B2958" s="17"/>
      <c r="C2958" s="16" t="s">
        <v>868</v>
      </c>
      <c r="D2958" s="17"/>
      <c r="E2958" s="17" t="s">
        <v>608</v>
      </c>
      <c r="F2958" s="18" t="s">
        <v>869</v>
      </c>
      <c r="G2958" s="51" t="s">
        <v>4956</v>
      </c>
      <c r="H2958" s="17">
        <v>9</v>
      </c>
      <c r="I2958" s="30"/>
      <c r="J2958"/>
      <c r="K2958"/>
      <c r="L2958"/>
      <c r="M2958"/>
      <c r="N2958"/>
      <c r="O2958" s="62" t="str">
        <f>IF(E2958="PA",IF(K2958&lt;&gt;"",ISERROR(VLOOKUP(K2958,ABBR!A:D,1,FALSE)),ISERROR(VLOOKUP(C2958,ABBR!A:D,1,FALSE))),"")</f>
        <v/>
      </c>
      <c r="P2958" t="str">
        <f>VLOOKUP(A2958,Groups!A:L,5,FALSE)</f>
        <v>SAMP</v>
      </c>
      <c r="Q2958" s="62" t="str">
        <f>IF(G2958="PA",IF(M2958&lt;&gt;"",ISERROR(VLOOKUP(M2958,ABBR!C:F,1,FALSE)),ISERROR(VLOOKUP(E2958,ABBR!C:F,1,FALSE))),"")</f>
        <v/>
      </c>
    </row>
    <row r="2959" spans="1:17" s="62" customFormat="1" ht="25" hidden="1" x14ac:dyDescent="0.25">
      <c r="A2959" s="16" t="s">
        <v>359</v>
      </c>
      <c r="B2959" s="17"/>
      <c r="C2959" s="16" t="s">
        <v>871</v>
      </c>
      <c r="D2959" s="17"/>
      <c r="E2959" s="17" t="s">
        <v>608</v>
      </c>
      <c r="F2959" s="18" t="s">
        <v>872</v>
      </c>
      <c r="G2959" s="49" t="s">
        <v>873</v>
      </c>
      <c r="H2959" s="17">
        <v>10</v>
      </c>
      <c r="I2959" s="30"/>
      <c r="J2959"/>
      <c r="K2959"/>
      <c r="L2959"/>
      <c r="M2959"/>
      <c r="N2959"/>
      <c r="O2959" s="62" t="str">
        <f>IF(E2959="PA",IF(K2959&lt;&gt;"",ISERROR(VLOOKUP(K2959,ABBR!A:D,1,FALSE)),ISERROR(VLOOKUP(C2959,ABBR!A:D,1,FALSE))),"")</f>
        <v/>
      </c>
      <c r="P2959" t="str">
        <f>VLOOKUP(A2959,Groups!A:L,5,FALSE)</f>
        <v>SAMP</v>
      </c>
      <c r="Q2959" s="62" t="str">
        <f>IF(G2959="PA",IF(M2959&lt;&gt;"",ISERROR(VLOOKUP(M2959,ABBR!C:F,1,FALSE)),ISERROR(VLOOKUP(E2959,ABBR!C:F,1,FALSE))),"")</f>
        <v/>
      </c>
    </row>
    <row r="2960" spans="1:17" s="62" customFormat="1" hidden="1" x14ac:dyDescent="0.25">
      <c r="A2960" s="16" t="s">
        <v>359</v>
      </c>
      <c r="B2960" s="17"/>
      <c r="C2960" s="16" t="s">
        <v>4957</v>
      </c>
      <c r="D2960" s="17" t="s">
        <v>766</v>
      </c>
      <c r="E2960" s="17" t="s">
        <v>608</v>
      </c>
      <c r="F2960" s="18" t="s">
        <v>4958</v>
      </c>
      <c r="G2960" s="49" t="s">
        <v>1489</v>
      </c>
      <c r="H2960" s="17">
        <v>11</v>
      </c>
      <c r="I2960" s="30"/>
      <c r="J2960"/>
      <c r="K2960"/>
      <c r="L2960"/>
      <c r="M2960"/>
      <c r="N2960"/>
      <c r="O2960" s="62" t="str">
        <f>IF(E2960="PA",IF(K2960&lt;&gt;"",ISERROR(VLOOKUP(K2960,ABBR!A:D,1,FALSE)),ISERROR(VLOOKUP(C2960,ABBR!A:D,1,FALSE))),"")</f>
        <v/>
      </c>
      <c r="P2960" t="str">
        <f>VLOOKUP(A2960,Groups!A:L,5,FALSE)</f>
        <v>SAMP</v>
      </c>
      <c r="Q2960" s="62" t="str">
        <f>IF(G2960="PA",IF(M2960&lt;&gt;"",ISERROR(VLOOKUP(M2960,ABBR!C:F,1,FALSE)),ISERROR(VLOOKUP(E2960,ABBR!C:F,1,FALSE))),"")</f>
        <v/>
      </c>
    </row>
    <row r="2961" spans="1:17" s="62" customFormat="1" hidden="1" x14ac:dyDescent="0.25">
      <c r="A2961" s="16" t="s">
        <v>359</v>
      </c>
      <c r="B2961" s="17"/>
      <c r="C2961" s="16" t="s">
        <v>4959</v>
      </c>
      <c r="D2961" s="17"/>
      <c r="E2961" s="17" t="s">
        <v>723</v>
      </c>
      <c r="F2961" s="18" t="s">
        <v>4960</v>
      </c>
      <c r="G2961" s="49" t="s">
        <v>4269</v>
      </c>
      <c r="H2961" s="17">
        <v>12</v>
      </c>
      <c r="I2961" s="30"/>
      <c r="J2961"/>
      <c r="K2961"/>
      <c r="L2961"/>
      <c r="M2961"/>
      <c r="N2961"/>
      <c r="O2961" s="62" t="str">
        <f>IF(E2961="PA",IF(K2961&lt;&gt;"",ISERROR(VLOOKUP(K2961,ABBR!A:D,1,FALSE)),ISERROR(VLOOKUP(C2961,ABBR!A:D,1,FALSE))),"")</f>
        <v/>
      </c>
      <c r="P2961" t="str">
        <f>VLOOKUP(A2961,Groups!A:L,5,FALSE)</f>
        <v>SAMP</v>
      </c>
      <c r="Q2961" s="62" t="str">
        <f>IF(G2961="PA",IF(M2961&lt;&gt;"",ISERROR(VLOOKUP(M2961,ABBR!C:F,1,FALSE)),ISERROR(VLOOKUP(E2961,ABBR!C:F,1,FALSE))),"")</f>
        <v/>
      </c>
    </row>
    <row r="2962" spans="1:17" s="62" customFormat="1" hidden="1" x14ac:dyDescent="0.25">
      <c r="A2962" s="16" t="s">
        <v>359</v>
      </c>
      <c r="B2962" s="17"/>
      <c r="C2962" s="16" t="s">
        <v>4961</v>
      </c>
      <c r="D2962" s="17" t="s">
        <v>766</v>
      </c>
      <c r="E2962" s="17" t="s">
        <v>767</v>
      </c>
      <c r="F2962" s="18" t="s">
        <v>4962</v>
      </c>
      <c r="G2962" s="49" t="s">
        <v>4963</v>
      </c>
      <c r="H2962" s="17">
        <v>13</v>
      </c>
      <c r="I2962" s="30"/>
      <c r="J2962"/>
      <c r="K2962"/>
      <c r="L2962"/>
      <c r="M2962"/>
      <c r="N2962"/>
      <c r="O2962" s="62" t="str">
        <f>IF(E2962="PA",IF(K2962&lt;&gt;"",ISERROR(VLOOKUP(K2962,ABBR!A:D,1,FALSE)),ISERROR(VLOOKUP(C2962,ABBR!A:D,1,FALSE))),"")</f>
        <v/>
      </c>
      <c r="P2962" t="str">
        <f>VLOOKUP(A2962,Groups!A:L,5,FALSE)</f>
        <v>SAMP</v>
      </c>
      <c r="Q2962" s="62" t="str">
        <f>IF(G2962="PA",IF(M2962&lt;&gt;"",ISERROR(VLOOKUP(M2962,ABBR!C:F,1,FALSE)),ISERROR(VLOOKUP(E2962,ABBR!C:F,1,FALSE))),"")</f>
        <v/>
      </c>
    </row>
    <row r="2963" spans="1:17" s="62" customFormat="1" hidden="1" x14ac:dyDescent="0.25">
      <c r="A2963" s="16" t="s">
        <v>359</v>
      </c>
      <c r="B2963" s="17"/>
      <c r="C2963" s="16" t="s">
        <v>4964</v>
      </c>
      <c r="D2963" s="17"/>
      <c r="E2963" s="17" t="s">
        <v>608</v>
      </c>
      <c r="F2963" s="18" t="s">
        <v>642</v>
      </c>
      <c r="G2963" s="49" t="s">
        <v>16</v>
      </c>
      <c r="H2963" s="17">
        <v>14</v>
      </c>
      <c r="I2963" s="30"/>
      <c r="J2963"/>
      <c r="K2963"/>
      <c r="L2963"/>
      <c r="M2963" s="101"/>
      <c r="N2963"/>
      <c r="O2963" s="62" t="str">
        <f>IF(E2963="PA",IF(K2963&lt;&gt;"",ISERROR(VLOOKUP(K2963,ABBR!A:D,1,FALSE)),ISERROR(VLOOKUP(C2963,ABBR!A:D,1,FALSE))),"")</f>
        <v/>
      </c>
      <c r="P2963" t="str">
        <f>VLOOKUP(A2963,Groups!A:L,5,FALSE)</f>
        <v>SAMP</v>
      </c>
      <c r="Q2963" s="62" t="str">
        <f>IF(G2963="PA",IF(M2963&lt;&gt;"",ISERROR(VLOOKUP(M2963,ABBR!C:F,1,FALSE)),ISERROR(VLOOKUP(E2963,ABBR!C:F,1,FALSE))),"")</f>
        <v/>
      </c>
    </row>
    <row r="2964" spans="1:17" s="62" customFormat="1" hidden="1" x14ac:dyDescent="0.25">
      <c r="A2964" s="16" t="s">
        <v>359</v>
      </c>
      <c r="B2964" s="17"/>
      <c r="C2964" s="16" t="s">
        <v>4965</v>
      </c>
      <c r="D2964" s="17"/>
      <c r="E2964" s="17" t="s">
        <v>608</v>
      </c>
      <c r="F2964" s="18" t="s">
        <v>918</v>
      </c>
      <c r="G2964" s="49" t="s">
        <v>4966</v>
      </c>
      <c r="H2964" s="17">
        <v>15</v>
      </c>
      <c r="I2964" s="30"/>
      <c r="J2964"/>
      <c r="K2964"/>
      <c r="L2964"/>
      <c r="M2964"/>
      <c r="N2964"/>
      <c r="O2964" s="62" t="str">
        <f>IF(E2964="PA",IF(K2964&lt;&gt;"",ISERROR(VLOOKUP(K2964,ABBR!A:D,1,FALSE)),ISERROR(VLOOKUP(C2964,ABBR!A:D,1,FALSE))),"")</f>
        <v/>
      </c>
      <c r="P2964" t="str">
        <f>VLOOKUP(A2964,Groups!A:L,5,FALSE)</f>
        <v>SAMP</v>
      </c>
      <c r="Q2964" s="62" t="str">
        <f>IF(G2964="PA",IF(M2964&lt;&gt;"",ISERROR(VLOOKUP(M2964,ABBR!C:F,1,FALSE)),ISERROR(VLOOKUP(E2964,ABBR!C:F,1,FALSE))),"")</f>
        <v/>
      </c>
    </row>
    <row r="2965" spans="1:17" s="62" customFormat="1" hidden="1" x14ac:dyDescent="0.25">
      <c r="A2965" s="16" t="s">
        <v>359</v>
      </c>
      <c r="B2965" s="17"/>
      <c r="C2965" s="16" t="s">
        <v>4967</v>
      </c>
      <c r="D2965" s="17"/>
      <c r="E2965" s="17" t="s">
        <v>608</v>
      </c>
      <c r="F2965" s="18" t="s">
        <v>950</v>
      </c>
      <c r="G2965" s="27" t="s">
        <v>951</v>
      </c>
      <c r="H2965" s="17">
        <v>16</v>
      </c>
      <c r="I2965" s="30"/>
      <c r="J2965"/>
      <c r="K2965"/>
      <c r="L2965"/>
      <c r="M2965"/>
      <c r="N2965"/>
      <c r="O2965" s="62" t="str">
        <f>IF(E2965="PA",IF(K2965&lt;&gt;"",ISERROR(VLOOKUP(K2965,ABBR!A:D,1,FALSE)),ISERROR(VLOOKUP(C2965,ABBR!A:D,1,FALSE))),"")</f>
        <v/>
      </c>
      <c r="P2965" t="str">
        <f>VLOOKUP(A2965,Groups!A:L,5,FALSE)</f>
        <v>SAMP</v>
      </c>
      <c r="Q2965" s="62" t="str">
        <f>IF(G2965="PA",IF(M2965&lt;&gt;"",ISERROR(VLOOKUP(M2965,ABBR!C:F,1,FALSE)),ISERROR(VLOOKUP(E2965,ABBR!C:F,1,FALSE))),"")</f>
        <v/>
      </c>
    </row>
    <row r="2966" spans="1:17" s="62" customFormat="1" ht="25" hidden="1" x14ac:dyDescent="0.25">
      <c r="A2966" s="16" t="s">
        <v>359</v>
      </c>
      <c r="B2966" s="17"/>
      <c r="C2966" s="16" t="s">
        <v>4968</v>
      </c>
      <c r="D2966" s="17"/>
      <c r="E2966" s="17" t="s">
        <v>608</v>
      </c>
      <c r="F2966" s="18" t="s">
        <v>934</v>
      </c>
      <c r="G2966" s="49" t="s">
        <v>953</v>
      </c>
      <c r="H2966" s="17">
        <v>17</v>
      </c>
      <c r="I2966" s="30"/>
      <c r="J2966"/>
      <c r="K2966"/>
      <c r="L2966"/>
      <c r="M2966"/>
      <c r="N2966"/>
      <c r="O2966" s="62" t="str">
        <f>IF(E2966="PA",IF(K2966&lt;&gt;"",ISERROR(VLOOKUP(K2966,ABBR!A:D,1,FALSE)),ISERROR(VLOOKUP(C2966,ABBR!A:D,1,FALSE))),"")</f>
        <v/>
      </c>
      <c r="P2966" t="str">
        <f>VLOOKUP(A2966,Groups!A:L,5,FALSE)</f>
        <v>SAMP</v>
      </c>
      <c r="Q2966" s="62" t="str">
        <f>IF(G2966="PA",IF(M2966&lt;&gt;"",ISERROR(VLOOKUP(M2966,ABBR!C:F,1,FALSE)),ISERROR(VLOOKUP(E2966,ABBR!C:F,1,FALSE))),"")</f>
        <v/>
      </c>
    </row>
    <row r="2967" spans="1:17" s="62" customFormat="1" hidden="1" x14ac:dyDescent="0.25">
      <c r="A2967" s="16" t="s">
        <v>359</v>
      </c>
      <c r="B2967" s="17"/>
      <c r="C2967" s="16" t="s">
        <v>936</v>
      </c>
      <c r="D2967" s="17"/>
      <c r="E2967" s="22" t="s">
        <v>608</v>
      </c>
      <c r="F2967" s="18" t="s">
        <v>937</v>
      </c>
      <c r="G2967" s="49" t="s">
        <v>938</v>
      </c>
      <c r="H2967" s="17">
        <v>18</v>
      </c>
      <c r="I2967" s="30"/>
      <c r="J2967"/>
      <c r="K2967"/>
      <c r="L2967"/>
      <c r="M2967"/>
      <c r="N2967"/>
      <c r="O2967" s="62" t="str">
        <f>IF(E2967="PA",IF(K2967&lt;&gt;"",ISERROR(VLOOKUP(K2967,ABBR!A:D,1,FALSE)),ISERROR(VLOOKUP(C2967,ABBR!A:D,1,FALSE))),"")</f>
        <v/>
      </c>
      <c r="P2967" t="str">
        <f>VLOOKUP(A2967,Groups!A:L,5,FALSE)</f>
        <v>SAMP</v>
      </c>
      <c r="Q2967" s="62" t="str">
        <f>IF(G2967="PA",IF(M2967&lt;&gt;"",ISERROR(VLOOKUP(M2967,ABBR!C:F,1,FALSE)),ISERROR(VLOOKUP(E2967,ABBR!C:F,1,FALSE))),"")</f>
        <v/>
      </c>
    </row>
    <row r="2968" spans="1:17" s="62" customFormat="1" hidden="1" x14ac:dyDescent="0.25">
      <c r="A2968" s="16" t="s">
        <v>359</v>
      </c>
      <c r="B2968" s="17"/>
      <c r="C2968" s="16" t="s">
        <v>643</v>
      </c>
      <c r="D2968" s="17"/>
      <c r="E2968" s="17" t="s">
        <v>608</v>
      </c>
      <c r="F2968" s="18" t="s">
        <v>954</v>
      </c>
      <c r="G2968" s="49" t="s">
        <v>940</v>
      </c>
      <c r="H2968" s="17">
        <v>19</v>
      </c>
      <c r="I2968" s="30"/>
      <c r="J2968"/>
      <c r="K2968"/>
      <c r="L2968"/>
      <c r="M2968"/>
      <c r="N2968"/>
      <c r="O2968" s="62" t="str">
        <f>IF(E2968="PA",IF(K2968&lt;&gt;"",ISERROR(VLOOKUP(K2968,ABBR!A:D,1,FALSE)),ISERROR(VLOOKUP(C2968,ABBR!A:D,1,FALSE))),"")</f>
        <v/>
      </c>
      <c r="P2968" t="str">
        <f>VLOOKUP(A2968,Groups!A:L,5,FALSE)</f>
        <v>SAMP</v>
      </c>
      <c r="Q2968" s="62" t="str">
        <f>IF(G2968="PA",IF(M2968&lt;&gt;"",ISERROR(VLOOKUP(M2968,ABBR!C:F,1,FALSE)),ISERROR(VLOOKUP(E2968,ABBR!C:F,1,FALSE))),"")</f>
        <v/>
      </c>
    </row>
    <row r="2969" spans="1:17" s="62" customFormat="1" hidden="1" x14ac:dyDescent="0.25">
      <c r="A2969" s="16" t="s">
        <v>359</v>
      </c>
      <c r="B2969" s="17"/>
      <c r="C2969" s="16" t="s">
        <v>877</v>
      </c>
      <c r="D2969" s="17" t="s">
        <v>600</v>
      </c>
      <c r="E2969" s="17" t="s">
        <v>601</v>
      </c>
      <c r="F2969" s="18" t="s">
        <v>878</v>
      </c>
      <c r="G2969" s="49" t="s">
        <v>879</v>
      </c>
      <c r="H2969" s="17">
        <v>20</v>
      </c>
      <c r="I2969" s="30" t="s">
        <v>955</v>
      </c>
      <c r="J2969" s="80">
        <v>4.0999999999999996</v>
      </c>
      <c r="K2969"/>
      <c r="L2969"/>
      <c r="M2969"/>
      <c r="N2969"/>
      <c r="O2969" s="62" t="str">
        <f>IF(E2969="PA",IF(K2969&lt;&gt;"",ISERROR(VLOOKUP(K2969,ABBR!A:D,1,FALSE)),ISERROR(VLOOKUP(C2969,ABBR!A:D,1,FALSE))),"")</f>
        <v/>
      </c>
      <c r="P2969" t="str">
        <f>VLOOKUP(A2969,Groups!A:L,5,FALSE)</f>
        <v>SAMP</v>
      </c>
      <c r="Q2969" s="62" t="str">
        <f>IF(G2969="PA",IF(M2969&lt;&gt;"",ISERROR(VLOOKUP(M2969,ABBR!C:F,1,FALSE)),ISERROR(VLOOKUP(E2969,ABBR!C:F,1,FALSE))),"")</f>
        <v/>
      </c>
    </row>
    <row r="2970" spans="1:17" s="62" customFormat="1" hidden="1" x14ac:dyDescent="0.25">
      <c r="A2970" s="16" t="s">
        <v>359</v>
      </c>
      <c r="B2970" s="17"/>
      <c r="C2970" s="16" t="s">
        <v>4969</v>
      </c>
      <c r="D2970" s="17"/>
      <c r="E2970" s="17" t="s">
        <v>608</v>
      </c>
      <c r="F2970" s="18" t="s">
        <v>921</v>
      </c>
      <c r="G2970" s="94" t="s">
        <v>922</v>
      </c>
      <c r="H2970" s="17">
        <v>21</v>
      </c>
      <c r="I2970" s="30" t="s">
        <v>955</v>
      </c>
      <c r="J2970" s="80">
        <v>4.0999999999999996</v>
      </c>
      <c r="K2970"/>
      <c r="L2970"/>
      <c r="M2970" s="101"/>
      <c r="N2970"/>
      <c r="O2970" s="62" t="str">
        <f>IF(E2970="PA",IF(K2970&lt;&gt;"",ISERROR(VLOOKUP(K2970,ABBR!A:D,1,FALSE)),ISERROR(VLOOKUP(C2970,ABBR!A:D,1,FALSE))),"")</f>
        <v/>
      </c>
      <c r="P2970" t="str">
        <f>VLOOKUP(A2970,Groups!A:L,5,FALSE)</f>
        <v>SAMP</v>
      </c>
      <c r="Q2970" s="62" t="str">
        <f>IF(G2970="PA",IF(M2970&lt;&gt;"",ISERROR(VLOOKUP(M2970,ABBR!C:F,1,FALSE)),ISERROR(VLOOKUP(E2970,ABBR!C:F,1,FALSE))),"")</f>
        <v/>
      </c>
    </row>
    <row r="2971" spans="1:17" hidden="1" x14ac:dyDescent="0.25">
      <c r="A2971" s="16" t="s">
        <v>359</v>
      </c>
      <c r="B2971" s="17"/>
      <c r="C2971" s="16" t="s">
        <v>4970</v>
      </c>
      <c r="D2971" s="17" t="s">
        <v>924</v>
      </c>
      <c r="E2971" s="17" t="s">
        <v>925</v>
      </c>
      <c r="F2971" s="18" t="s">
        <v>926</v>
      </c>
      <c r="G2971" s="49" t="s">
        <v>4902</v>
      </c>
      <c r="H2971" s="17">
        <v>22</v>
      </c>
      <c r="J2971" s="80" t="s">
        <v>473</v>
      </c>
      <c r="M2971" t="s">
        <v>4971</v>
      </c>
      <c r="O2971" s="62" t="str">
        <f>IF(E2971="PA",IF(K2971&lt;&gt;"",ISERROR(VLOOKUP(K2971,ABBR!A:D,1,FALSE)),ISERROR(VLOOKUP(C2971,ABBR!A:D,1,FALSE))),"")</f>
        <v/>
      </c>
      <c r="P2971" t="str">
        <f>VLOOKUP(A2971,Groups!A:L,5,FALSE)</f>
        <v>SAMP</v>
      </c>
      <c r="Q2971" s="62" t="str">
        <f>IF(G2971="PA",IF(M2971&lt;&gt;"",ISERROR(VLOOKUP(M2971,ABBR!C:F,1,FALSE)),ISERROR(VLOOKUP(E2971,ABBR!C:F,1,FALSE))),"")</f>
        <v/>
      </c>
    </row>
    <row r="2972" spans="1:17" s="62" customFormat="1" hidden="1" x14ac:dyDescent="0.25">
      <c r="A2972" s="16" t="s">
        <v>359</v>
      </c>
      <c r="B2972" s="17"/>
      <c r="C2972" s="16" t="s">
        <v>4972</v>
      </c>
      <c r="D2972" s="17"/>
      <c r="E2972" s="17" t="s">
        <v>608</v>
      </c>
      <c r="F2972" s="18" t="s">
        <v>875</v>
      </c>
      <c r="G2972" s="49" t="s">
        <v>876</v>
      </c>
      <c r="H2972" s="17">
        <v>23</v>
      </c>
      <c r="I2972" s="30"/>
      <c r="J2972" s="80" t="s">
        <v>473</v>
      </c>
      <c r="K2972"/>
      <c r="L2972"/>
      <c r="M2972"/>
      <c r="N2972"/>
      <c r="O2972" s="62" t="str">
        <f>IF(E2972="PA",IF(K2972&lt;&gt;"",ISERROR(VLOOKUP(K2972,ABBR!A:D,1,FALSE)),ISERROR(VLOOKUP(C2972,ABBR!A:D,1,FALSE))),"")</f>
        <v/>
      </c>
      <c r="P2972" t="str">
        <f>VLOOKUP(A2972,Groups!A:L,5,FALSE)</f>
        <v>SAMP</v>
      </c>
      <c r="Q2972" s="62" t="str">
        <f>IF(G2972="PA",IF(M2972&lt;&gt;"",ISERROR(VLOOKUP(M2972,ABBR!C:F,1,FALSE)),ISERROR(VLOOKUP(E2972,ABBR!C:F,1,FALSE))),"")</f>
        <v/>
      </c>
    </row>
    <row r="2973" spans="1:17" s="62" customFormat="1" hidden="1" x14ac:dyDescent="0.25">
      <c r="A2973" s="16" t="s">
        <v>359</v>
      </c>
      <c r="B2973" s="17"/>
      <c r="C2973" s="16" t="s">
        <v>4973</v>
      </c>
      <c r="D2973" s="17"/>
      <c r="E2973" s="17" t="s">
        <v>608</v>
      </c>
      <c r="F2973" s="18" t="s">
        <v>929</v>
      </c>
      <c r="G2973" s="49" t="s">
        <v>876</v>
      </c>
      <c r="H2973" s="17">
        <v>24</v>
      </c>
      <c r="I2973" s="30"/>
      <c r="J2973" s="80" t="s">
        <v>473</v>
      </c>
      <c r="K2973"/>
      <c r="L2973"/>
      <c r="M2973"/>
      <c r="N2973"/>
      <c r="O2973" s="62" t="str">
        <f>IF(E2973="PA",IF(K2973&lt;&gt;"",ISERROR(VLOOKUP(K2973,ABBR!A:D,1,FALSE)),ISERROR(VLOOKUP(C2973,ABBR!A:D,1,FALSE))),"")</f>
        <v/>
      </c>
      <c r="P2973" t="str">
        <f>VLOOKUP(A2973,Groups!A:L,5,FALSE)</f>
        <v>SAMP</v>
      </c>
      <c r="Q2973" s="62" t="str">
        <f>IF(G2973="PA",IF(M2973&lt;&gt;"",ISERROR(VLOOKUP(M2973,ABBR!C:F,1,FALSE)),ISERROR(VLOOKUP(E2973,ABBR!C:F,1,FALSE))),"")</f>
        <v/>
      </c>
    </row>
    <row r="2974" spans="1:17" s="62" customFormat="1" hidden="1" x14ac:dyDescent="0.25">
      <c r="A2974" s="16" t="s">
        <v>470</v>
      </c>
      <c r="B2974" s="17" t="s">
        <v>594</v>
      </c>
      <c r="C2974" s="16" t="s">
        <v>595</v>
      </c>
      <c r="D2974" s="17"/>
      <c r="E2974" s="17" t="s">
        <v>596</v>
      </c>
      <c r="F2974" s="18" t="s">
        <v>1953</v>
      </c>
      <c r="G2974" s="49" t="s">
        <v>598</v>
      </c>
      <c r="H2974" s="17">
        <v>1</v>
      </c>
      <c r="I2974" s="30"/>
      <c r="J2974" s="62" t="s">
        <v>473</v>
      </c>
      <c r="O2974" s="62" t="str">
        <f>IF(E2974="PA",IF(K2974&lt;&gt;"",ISERROR(VLOOKUP(K2974,ABBR!A:D,1,FALSE)),ISERROR(VLOOKUP(C2974,ABBR!A:D,1,FALSE))),"")</f>
        <v/>
      </c>
      <c r="P2974" t="str">
        <f>VLOOKUP(A2974,Groups!A:L,5,FALSE)</f>
        <v>LOCA</v>
      </c>
      <c r="Q2974" s="62" t="str">
        <f>IF(G2974="PA",IF(M2974&lt;&gt;"",ISERROR(VLOOKUP(M2974,ABBR!C:F,1,FALSE)),ISERROR(VLOOKUP(E2974,ABBR!C:F,1,FALSE))),"")</f>
        <v/>
      </c>
    </row>
    <row r="2975" spans="1:17" s="62" customFormat="1" hidden="1" x14ac:dyDescent="0.25">
      <c r="A2975" s="16" t="s">
        <v>470</v>
      </c>
      <c r="B2975" s="17" t="s">
        <v>594</v>
      </c>
      <c r="C2975" s="16" t="s">
        <v>4974</v>
      </c>
      <c r="D2975" s="17" t="s">
        <v>600</v>
      </c>
      <c r="E2975" s="17" t="s">
        <v>601</v>
      </c>
      <c r="F2975" s="18" t="s">
        <v>4975</v>
      </c>
      <c r="G2975" s="49" t="s">
        <v>1956</v>
      </c>
      <c r="H2975" s="17">
        <v>2</v>
      </c>
      <c r="I2975" s="30"/>
      <c r="J2975" s="62" t="s">
        <v>473</v>
      </c>
      <c r="O2975" s="62" t="str">
        <f>IF(E2975="PA",IF(K2975&lt;&gt;"",ISERROR(VLOOKUP(K2975,ABBR!A:D,1,FALSE)),ISERROR(VLOOKUP(C2975,ABBR!A:D,1,FALSE))),"")</f>
        <v/>
      </c>
      <c r="P2975" t="str">
        <f>VLOOKUP(A2975,Groups!A:L,5,FALSE)</f>
        <v>LOCA</v>
      </c>
      <c r="Q2975" s="62" t="str">
        <f>IF(G2975="PA",IF(M2975&lt;&gt;"",ISERROR(VLOOKUP(M2975,ABBR!C:F,1,FALSE)),ISERROR(VLOOKUP(E2975,ABBR!C:F,1,FALSE))),"")</f>
        <v/>
      </c>
    </row>
    <row r="2976" spans="1:17" s="62" customFormat="1" hidden="1" x14ac:dyDescent="0.25">
      <c r="A2976" s="16" t="s">
        <v>470</v>
      </c>
      <c r="B2976" s="17" t="s">
        <v>594</v>
      </c>
      <c r="C2976" s="16" t="s">
        <v>4976</v>
      </c>
      <c r="D2976" s="17" t="s">
        <v>600</v>
      </c>
      <c r="E2976" s="17" t="s">
        <v>601</v>
      </c>
      <c r="F2976" s="18" t="s">
        <v>1254</v>
      </c>
      <c r="G2976" s="49" t="s">
        <v>4977</v>
      </c>
      <c r="H2976" s="17">
        <v>3</v>
      </c>
      <c r="I2976" s="30"/>
      <c r="J2976" s="62" t="s">
        <v>473</v>
      </c>
      <c r="O2976" s="62" t="str">
        <f>IF(E2976="PA",IF(K2976&lt;&gt;"",ISERROR(VLOOKUP(K2976,ABBR!A:D,1,FALSE)),ISERROR(VLOOKUP(C2976,ABBR!A:D,1,FALSE))),"")</f>
        <v/>
      </c>
      <c r="P2976" t="str">
        <f>VLOOKUP(A2976,Groups!A:L,5,FALSE)</f>
        <v>LOCA</v>
      </c>
      <c r="Q2976" s="62" t="str">
        <f>IF(G2976="PA",IF(M2976&lt;&gt;"",ISERROR(VLOOKUP(M2976,ABBR!C:F,1,FALSE)),ISERROR(VLOOKUP(E2976,ABBR!C:F,1,FALSE))),"")</f>
        <v/>
      </c>
    </row>
    <row r="2977" spans="1:17" s="62" customFormat="1" hidden="1" x14ac:dyDescent="0.25">
      <c r="A2977" s="16" t="s">
        <v>470</v>
      </c>
      <c r="B2977" s="17"/>
      <c r="C2977" s="16" t="s">
        <v>4978</v>
      </c>
      <c r="D2977" s="17"/>
      <c r="E2977" s="17" t="s">
        <v>618</v>
      </c>
      <c r="F2977" s="18" t="s">
        <v>4979</v>
      </c>
      <c r="G2977" s="49" t="s">
        <v>4980</v>
      </c>
      <c r="H2977" s="17">
        <v>4</v>
      </c>
      <c r="I2977" s="30"/>
      <c r="J2977" s="62" t="s">
        <v>473</v>
      </c>
      <c r="K2977" s="62" t="s">
        <v>4981</v>
      </c>
      <c r="O2977" s="62" t="b">
        <f>IF(E2977="PA",IF(K2977&lt;&gt;"",ISERROR(VLOOKUP(K2977,ABBR!A:D,1,FALSE)),ISERROR(VLOOKUP(C2977,ABBR!A:D,1,FALSE))),"")</f>
        <v>0</v>
      </c>
      <c r="P2977" t="str">
        <f>VLOOKUP(A2977,Groups!A:L,5,FALSE)</f>
        <v>LOCA</v>
      </c>
      <c r="Q2977" s="62" t="str">
        <f>IF(G2977="PA",IF(M2977&lt;&gt;"",ISERROR(VLOOKUP(M2977,ABBR!C:F,1,FALSE)),ISERROR(VLOOKUP(E2977,ABBR!C:F,1,FALSE))),"")</f>
        <v/>
      </c>
    </row>
    <row r="2978" spans="1:17" s="62" customFormat="1" hidden="1" x14ac:dyDescent="0.25">
      <c r="A2978" s="16" t="s">
        <v>470</v>
      </c>
      <c r="B2978" s="17"/>
      <c r="C2978" s="16" t="s">
        <v>4982</v>
      </c>
      <c r="D2978" s="17"/>
      <c r="E2978" s="17" t="s">
        <v>618</v>
      </c>
      <c r="F2978" s="18" t="s">
        <v>4983</v>
      </c>
      <c r="G2978" s="49" t="s">
        <v>22</v>
      </c>
      <c r="H2978" s="17">
        <v>5</v>
      </c>
      <c r="I2978" s="30"/>
      <c r="J2978" s="62" t="s">
        <v>473</v>
      </c>
      <c r="K2978" s="62" t="s">
        <v>2895</v>
      </c>
      <c r="O2978" s="62" t="b">
        <f>IF(E2978="PA",IF(K2978&lt;&gt;"",ISERROR(VLOOKUP(K2978,ABBR!A:D,1,FALSE)),ISERROR(VLOOKUP(C2978,ABBR!A:D,1,FALSE))),"")</f>
        <v>0</v>
      </c>
      <c r="P2978" t="str">
        <f>VLOOKUP(A2978,Groups!A:L,5,FALSE)</f>
        <v>LOCA</v>
      </c>
      <c r="Q2978" s="62" t="str">
        <f>IF(G2978="PA",IF(M2978&lt;&gt;"",ISERROR(VLOOKUP(M2978,ABBR!C:F,1,FALSE)),ISERROR(VLOOKUP(E2978,ABBR!C:F,1,FALSE))),"")</f>
        <v/>
      </c>
    </row>
    <row r="2979" spans="1:17" s="62" customFormat="1" hidden="1" x14ac:dyDescent="0.25">
      <c r="A2979" s="16" t="s">
        <v>470</v>
      </c>
      <c r="B2979" s="17"/>
      <c r="C2979" s="16" t="s">
        <v>4984</v>
      </c>
      <c r="D2979" s="17"/>
      <c r="E2979" s="17" t="s">
        <v>618</v>
      </c>
      <c r="F2979" s="18" t="s">
        <v>4985</v>
      </c>
      <c r="G2979" s="49" t="s">
        <v>4986</v>
      </c>
      <c r="H2979" s="17">
        <v>6</v>
      </c>
      <c r="I2979" s="30"/>
      <c r="J2979" s="62" t="s">
        <v>473</v>
      </c>
      <c r="K2979" s="62" t="s">
        <v>4981</v>
      </c>
      <c r="O2979" s="62" t="b">
        <f>IF(E2979="PA",IF(K2979&lt;&gt;"",ISERROR(VLOOKUP(K2979,ABBR!A:D,1,FALSE)),ISERROR(VLOOKUP(C2979,ABBR!A:D,1,FALSE))),"")</f>
        <v>0</v>
      </c>
      <c r="P2979" t="str">
        <f>VLOOKUP(A2979,Groups!A:L,5,FALSE)</f>
        <v>LOCA</v>
      </c>
      <c r="Q2979" s="62" t="str">
        <f>IF(G2979="PA",IF(M2979&lt;&gt;"",ISERROR(VLOOKUP(M2979,ABBR!C:F,1,FALSE)),ISERROR(VLOOKUP(E2979,ABBR!C:F,1,FALSE))),"")</f>
        <v/>
      </c>
    </row>
    <row r="2980" spans="1:17" s="62" customFormat="1" hidden="1" x14ac:dyDescent="0.25">
      <c r="A2980" s="16" t="s">
        <v>475</v>
      </c>
      <c r="B2980" s="17" t="s">
        <v>594</v>
      </c>
      <c r="C2980" s="16" t="s">
        <v>595</v>
      </c>
      <c r="D2980" s="17"/>
      <c r="E2980" s="17" t="s">
        <v>596</v>
      </c>
      <c r="F2980" s="18" t="s">
        <v>1953</v>
      </c>
      <c r="G2980" s="49" t="s">
        <v>598</v>
      </c>
      <c r="H2980" s="17">
        <v>1</v>
      </c>
      <c r="I2980" s="30"/>
      <c r="J2980" s="62" t="s">
        <v>473</v>
      </c>
      <c r="O2980" s="62" t="str">
        <f>IF(E2980="PA",IF(K2980&lt;&gt;"",ISERROR(VLOOKUP(K2980,ABBR!A:D,1,FALSE)),ISERROR(VLOOKUP(C2980,ABBR!A:D,1,FALSE))),"")</f>
        <v/>
      </c>
      <c r="P2980" t="str">
        <f>VLOOKUP(A2980,Groups!A:L,5,FALSE)</f>
        <v>LOCA</v>
      </c>
      <c r="Q2980" s="62" t="str">
        <f>IF(G2980="PA",IF(M2980&lt;&gt;"",ISERROR(VLOOKUP(M2980,ABBR!C:F,1,FALSE)),ISERROR(VLOOKUP(E2980,ABBR!C:F,1,FALSE))),"")</f>
        <v/>
      </c>
    </row>
    <row r="2981" spans="1:17" s="62" customFormat="1" hidden="1" x14ac:dyDescent="0.25">
      <c r="A2981" s="16" t="s">
        <v>475</v>
      </c>
      <c r="B2981" s="17" t="s">
        <v>594</v>
      </c>
      <c r="C2981" s="16" t="s">
        <v>4987</v>
      </c>
      <c r="D2981" s="17" t="s">
        <v>600</v>
      </c>
      <c r="E2981" s="17" t="s">
        <v>601</v>
      </c>
      <c r="F2981" s="18" t="s">
        <v>4975</v>
      </c>
      <c r="G2981" s="49" t="s">
        <v>1956</v>
      </c>
      <c r="H2981" s="17">
        <v>2</v>
      </c>
      <c r="I2981" s="30"/>
      <c r="J2981" s="62" t="s">
        <v>473</v>
      </c>
      <c r="O2981" s="62" t="str">
        <f>IF(E2981="PA",IF(K2981&lt;&gt;"",ISERROR(VLOOKUP(K2981,ABBR!A:D,1,FALSE)),ISERROR(VLOOKUP(C2981,ABBR!A:D,1,FALSE))),"")</f>
        <v/>
      </c>
      <c r="P2981" t="str">
        <f>VLOOKUP(A2981,Groups!A:L,5,FALSE)</f>
        <v>LOCA</v>
      </c>
      <c r="Q2981" s="62" t="str">
        <f>IF(G2981="PA",IF(M2981&lt;&gt;"",ISERROR(VLOOKUP(M2981,ABBR!C:F,1,FALSE)),ISERROR(VLOOKUP(E2981,ABBR!C:F,1,FALSE))),"")</f>
        <v/>
      </c>
    </row>
    <row r="2982" spans="1:17" s="62" customFormat="1" hidden="1" x14ac:dyDescent="0.25">
      <c r="A2982" s="16" t="s">
        <v>475</v>
      </c>
      <c r="B2982" s="17"/>
      <c r="C2982" s="16" t="s">
        <v>4988</v>
      </c>
      <c r="D2982" s="17" t="s">
        <v>600</v>
      </c>
      <c r="E2982" s="17" t="s">
        <v>601</v>
      </c>
      <c r="F2982" s="18" t="s">
        <v>1254</v>
      </c>
      <c r="G2982" s="49" t="s">
        <v>4977</v>
      </c>
      <c r="H2982" s="17">
        <v>3</v>
      </c>
      <c r="I2982" s="30"/>
      <c r="J2982" s="62" t="s">
        <v>473</v>
      </c>
      <c r="O2982" s="62" t="str">
        <f>IF(E2982="PA",IF(K2982&lt;&gt;"",ISERROR(VLOOKUP(K2982,ABBR!A:D,1,FALSE)),ISERROR(VLOOKUP(C2982,ABBR!A:D,1,FALSE))),"")</f>
        <v/>
      </c>
      <c r="P2982" t="str">
        <f>VLOOKUP(A2982,Groups!A:L,5,FALSE)</f>
        <v>LOCA</v>
      </c>
      <c r="Q2982" s="62" t="str">
        <f>IF(G2982="PA",IF(M2982&lt;&gt;"",ISERROR(VLOOKUP(M2982,ABBR!C:F,1,FALSE)),ISERROR(VLOOKUP(E2982,ABBR!C:F,1,FALSE))),"")</f>
        <v/>
      </c>
    </row>
    <row r="2983" spans="1:17" s="62" customFormat="1" hidden="1" x14ac:dyDescent="0.25">
      <c r="A2983" s="16" t="s">
        <v>475</v>
      </c>
      <c r="B2983" s="17"/>
      <c r="C2983" s="16" t="s">
        <v>4989</v>
      </c>
      <c r="D2983" s="17"/>
      <c r="E2983" s="17" t="s">
        <v>618</v>
      </c>
      <c r="F2983" s="18" t="s">
        <v>4990</v>
      </c>
      <c r="G2983" s="49" t="s">
        <v>4991</v>
      </c>
      <c r="H2983" s="17">
        <v>4</v>
      </c>
      <c r="I2983" s="30"/>
      <c r="J2983" s="62" t="s">
        <v>473</v>
      </c>
      <c r="K2983" s="62" t="s">
        <v>4992</v>
      </c>
      <c r="O2983" s="62" t="b">
        <f>IF(E2983="PA",IF(K2983&lt;&gt;"",ISERROR(VLOOKUP(K2983,ABBR!A:D,1,FALSE)),ISERROR(VLOOKUP(C2983,ABBR!A:D,1,FALSE))),"")</f>
        <v>0</v>
      </c>
      <c r="P2983" t="str">
        <f>VLOOKUP(A2983,Groups!A:L,5,FALSE)</f>
        <v>LOCA</v>
      </c>
      <c r="Q2983" s="62" t="str">
        <f>IF(G2983="PA",IF(M2983&lt;&gt;"",ISERROR(VLOOKUP(M2983,ABBR!C:F,1,FALSE)),ISERROR(VLOOKUP(E2983,ABBR!C:F,1,FALSE))),"")</f>
        <v/>
      </c>
    </row>
    <row r="2984" spans="1:17" s="62" customFormat="1" hidden="1" x14ac:dyDescent="0.25">
      <c r="A2984" s="16" t="s">
        <v>475</v>
      </c>
      <c r="B2984" s="17"/>
      <c r="C2984" s="16" t="s">
        <v>4993</v>
      </c>
      <c r="D2984" s="17"/>
      <c r="E2984" s="17" t="s">
        <v>618</v>
      </c>
      <c r="F2984" s="18" t="s">
        <v>4983</v>
      </c>
      <c r="G2984" s="49" t="s">
        <v>22</v>
      </c>
      <c r="H2984" s="17">
        <v>5</v>
      </c>
      <c r="I2984" s="30"/>
      <c r="J2984" s="62" t="s">
        <v>473</v>
      </c>
      <c r="K2984" s="62" t="s">
        <v>2895</v>
      </c>
      <c r="O2984" s="62" t="b">
        <f>IF(E2984="PA",IF(K2984&lt;&gt;"",ISERROR(VLOOKUP(K2984,ABBR!A:D,1,FALSE)),ISERROR(VLOOKUP(C2984,ABBR!A:D,1,FALSE))),"")</f>
        <v>0</v>
      </c>
      <c r="P2984" t="str">
        <f>VLOOKUP(A2984,Groups!A:L,5,FALSE)</f>
        <v>LOCA</v>
      </c>
      <c r="Q2984" s="62" t="str">
        <f>IF(G2984="PA",IF(M2984&lt;&gt;"",ISERROR(VLOOKUP(M2984,ABBR!C:F,1,FALSE)),ISERROR(VLOOKUP(E2984,ABBR!C:F,1,FALSE))),"")</f>
        <v/>
      </c>
    </row>
    <row r="2985" spans="1:17" s="62" customFormat="1" hidden="1" x14ac:dyDescent="0.25">
      <c r="A2985" s="16" t="s">
        <v>475</v>
      </c>
      <c r="B2985" s="17"/>
      <c r="C2985" s="16" t="s">
        <v>4994</v>
      </c>
      <c r="D2985" s="17"/>
      <c r="E2985" s="17" t="s">
        <v>618</v>
      </c>
      <c r="F2985" s="18" t="s">
        <v>4995</v>
      </c>
      <c r="G2985" s="49" t="s">
        <v>4996</v>
      </c>
      <c r="H2985" s="17">
        <v>6</v>
      </c>
      <c r="I2985" s="30"/>
      <c r="J2985" s="62" t="s">
        <v>473</v>
      </c>
      <c r="K2985" s="62" t="s">
        <v>4992</v>
      </c>
      <c r="O2985" s="62" t="b">
        <f>IF(E2985="PA",IF(K2985&lt;&gt;"",ISERROR(VLOOKUP(K2985,ABBR!A:D,1,FALSE)),ISERROR(VLOOKUP(C2985,ABBR!A:D,1,FALSE))),"")</f>
        <v>0</v>
      </c>
      <c r="P2985" t="str">
        <f>VLOOKUP(A2985,Groups!A:L,5,FALSE)</f>
        <v>LOCA</v>
      </c>
      <c r="Q2985" s="62" t="str">
        <f>IF(G2985="PA",IF(M2985&lt;&gt;"",ISERROR(VLOOKUP(M2985,ABBR!C:F,1,FALSE)),ISERROR(VLOOKUP(E2985,ABBR!C:F,1,FALSE))),"")</f>
        <v/>
      </c>
    </row>
    <row r="2986" spans="1:17" s="62" customFormat="1" hidden="1" x14ac:dyDescent="0.25">
      <c r="A2986" s="16" t="s">
        <v>362</v>
      </c>
      <c r="B2986" s="17" t="s">
        <v>594</v>
      </c>
      <c r="C2986" s="16" t="s">
        <v>595</v>
      </c>
      <c r="D2986" s="17"/>
      <c r="E2986" s="17" t="s">
        <v>596</v>
      </c>
      <c r="F2986" s="18" t="s">
        <v>597</v>
      </c>
      <c r="G2986" s="49" t="s">
        <v>598</v>
      </c>
      <c r="H2986" s="17">
        <v>1</v>
      </c>
      <c r="I2986" s="30"/>
      <c r="J2986"/>
      <c r="K2986"/>
      <c r="L2986"/>
      <c r="M2986"/>
      <c r="N2986"/>
      <c r="O2986" s="62" t="str">
        <f>IF(E2986="PA",IF(K2986&lt;&gt;"",ISERROR(VLOOKUP(K2986,ABBR!A:D,1,FALSE)),ISERROR(VLOOKUP(C2986,ABBR!A:D,1,FALSE))),"")</f>
        <v/>
      </c>
      <c r="P2986" t="str">
        <f>VLOOKUP(A2986,Groups!A:L,5,FALSE)</f>
        <v>SAMP</v>
      </c>
      <c r="Q2986" s="62" t="str">
        <f>IF(G2986="PA",IF(M2986&lt;&gt;"",ISERROR(VLOOKUP(M2986,ABBR!C:F,1,FALSE)),ISERROR(VLOOKUP(E2986,ABBR!C:F,1,FALSE))),"")</f>
        <v/>
      </c>
    </row>
    <row r="2987" spans="1:17" s="62" customFormat="1" hidden="1" x14ac:dyDescent="0.25">
      <c r="A2987" s="16" t="s">
        <v>362</v>
      </c>
      <c r="B2987" s="17" t="s">
        <v>594</v>
      </c>
      <c r="C2987" s="16" t="s">
        <v>851</v>
      </c>
      <c r="D2987" s="17" t="s">
        <v>600</v>
      </c>
      <c r="E2987" s="17" t="s">
        <v>601</v>
      </c>
      <c r="F2987" s="18" t="s">
        <v>852</v>
      </c>
      <c r="G2987" s="49" t="s">
        <v>853</v>
      </c>
      <c r="H2987" s="17">
        <v>2</v>
      </c>
      <c r="I2987" s="30"/>
      <c r="J2987"/>
      <c r="K2987"/>
      <c r="L2987"/>
      <c r="M2987"/>
      <c r="N2987"/>
      <c r="O2987" s="62" t="str">
        <f>IF(E2987="PA",IF(K2987&lt;&gt;"",ISERROR(VLOOKUP(K2987,ABBR!A:D,1,FALSE)),ISERROR(VLOOKUP(C2987,ABBR!A:D,1,FALSE))),"")</f>
        <v/>
      </c>
      <c r="P2987" t="str">
        <f>VLOOKUP(A2987,Groups!A:L,5,FALSE)</f>
        <v>SAMP</v>
      </c>
      <c r="Q2987" s="62" t="str">
        <f>IF(G2987="PA",IF(M2987&lt;&gt;"",ISERROR(VLOOKUP(M2987,ABBR!C:F,1,FALSE)),ISERROR(VLOOKUP(E2987,ABBR!C:F,1,FALSE))),"")</f>
        <v/>
      </c>
    </row>
    <row r="2988" spans="1:17" s="62" customFormat="1" hidden="1" x14ac:dyDescent="0.25">
      <c r="A2988" s="16" t="s">
        <v>362</v>
      </c>
      <c r="B2988" s="17" t="s">
        <v>594</v>
      </c>
      <c r="C2988" s="16" t="s">
        <v>854</v>
      </c>
      <c r="D2988" s="17"/>
      <c r="E2988" s="17" t="s">
        <v>608</v>
      </c>
      <c r="F2988" s="18" t="s">
        <v>855</v>
      </c>
      <c r="G2988" s="49" t="s">
        <v>941</v>
      </c>
      <c r="H2988" s="17">
        <v>3</v>
      </c>
      <c r="I2988" s="30"/>
      <c r="J2988"/>
      <c r="K2988"/>
      <c r="L2988"/>
      <c r="M2988"/>
      <c r="N2988"/>
      <c r="O2988" s="62" t="str">
        <f>IF(E2988="PA",IF(K2988&lt;&gt;"",ISERROR(VLOOKUP(K2988,ABBR!A:D,1,FALSE)),ISERROR(VLOOKUP(C2988,ABBR!A:D,1,FALSE))),"")</f>
        <v/>
      </c>
      <c r="P2988" t="str">
        <f>VLOOKUP(A2988,Groups!A:L,5,FALSE)</f>
        <v>SAMP</v>
      </c>
      <c r="Q2988" s="62" t="str">
        <f>IF(G2988="PA",IF(M2988&lt;&gt;"",ISERROR(VLOOKUP(M2988,ABBR!C:F,1,FALSE)),ISERROR(VLOOKUP(E2988,ABBR!C:F,1,FALSE))),"")</f>
        <v/>
      </c>
    </row>
    <row r="2989" spans="1:17" s="62" customFormat="1" hidden="1" x14ac:dyDescent="0.25">
      <c r="A2989" s="16" t="s">
        <v>362</v>
      </c>
      <c r="B2989" s="17" t="s">
        <v>594</v>
      </c>
      <c r="C2989" s="16" t="s">
        <v>857</v>
      </c>
      <c r="D2989" s="17"/>
      <c r="E2989" s="17" t="s">
        <v>618</v>
      </c>
      <c r="F2989" s="18" t="s">
        <v>858</v>
      </c>
      <c r="G2989" s="49" t="s">
        <v>3547</v>
      </c>
      <c r="H2989" s="17">
        <v>4</v>
      </c>
      <c r="I2989" s="30"/>
      <c r="J2989"/>
      <c r="K2989"/>
      <c r="L2989"/>
      <c r="M2989"/>
      <c r="N2989"/>
      <c r="O2989" s="62" t="b">
        <f>IF(E2989="PA",IF(K2989&lt;&gt;"",ISERROR(VLOOKUP(K2989,ABBR!A:D,1,FALSE)),ISERROR(VLOOKUP(C2989,ABBR!A:D,1,FALSE))),"")</f>
        <v>0</v>
      </c>
      <c r="P2989" t="str">
        <f>VLOOKUP(A2989,Groups!A:L,5,FALSE)</f>
        <v>SAMP</v>
      </c>
      <c r="Q2989" s="62" t="str">
        <f>IF(G2989="PA",IF(M2989&lt;&gt;"",ISERROR(VLOOKUP(M2989,ABBR!C:F,1,FALSE)),ISERROR(VLOOKUP(E2989,ABBR!C:F,1,FALSE))),"")</f>
        <v/>
      </c>
    </row>
    <row r="2990" spans="1:17" s="62" customFormat="1" ht="14.5" hidden="1" customHeight="1" x14ac:dyDescent="0.25">
      <c r="A2990" s="16" t="s">
        <v>362</v>
      </c>
      <c r="B2990" s="17" t="s">
        <v>594</v>
      </c>
      <c r="C2990" s="16" t="s">
        <v>860</v>
      </c>
      <c r="D2990" s="17"/>
      <c r="E2990" s="17" t="s">
        <v>596</v>
      </c>
      <c r="F2990" s="18" t="s">
        <v>942</v>
      </c>
      <c r="G2990" s="49" t="s">
        <v>862</v>
      </c>
      <c r="H2990" s="17">
        <v>5</v>
      </c>
      <c r="I2990" s="30"/>
      <c r="J2990"/>
      <c r="K2990"/>
      <c r="L2990"/>
      <c r="M2990"/>
      <c r="N2990"/>
      <c r="O2990" s="62" t="str">
        <f>IF(E2990="PA",IF(K2990&lt;&gt;"",ISERROR(VLOOKUP(K2990,ABBR!A:D,1,FALSE)),ISERROR(VLOOKUP(C2990,ABBR!A:D,1,FALSE))),"")</f>
        <v/>
      </c>
      <c r="P2990" t="str">
        <f>VLOOKUP(A2990,Groups!A:L,5,FALSE)</f>
        <v>SAMP</v>
      </c>
      <c r="Q2990" s="62" t="str">
        <f>IF(G2990="PA",IF(M2990&lt;&gt;"",ISERROR(VLOOKUP(M2990,ABBR!C:F,1,FALSE)),ISERROR(VLOOKUP(E2990,ABBR!C:F,1,FALSE))),"")</f>
        <v/>
      </c>
    </row>
    <row r="2991" spans="1:17" s="62" customFormat="1" ht="14.5" hidden="1" customHeight="1" x14ac:dyDescent="0.25">
      <c r="A2991" s="16" t="s">
        <v>362</v>
      </c>
      <c r="B2991" s="17" t="s">
        <v>594</v>
      </c>
      <c r="C2991" s="16" t="s">
        <v>863</v>
      </c>
      <c r="D2991" s="17"/>
      <c r="E2991" s="17" t="s">
        <v>608</v>
      </c>
      <c r="F2991" s="18" t="s">
        <v>864</v>
      </c>
      <c r="G2991" s="49" t="s">
        <v>865</v>
      </c>
      <c r="H2991" s="17">
        <v>6</v>
      </c>
      <c r="I2991" s="30"/>
      <c r="J2991"/>
      <c r="K2991"/>
      <c r="L2991"/>
      <c r="M2991"/>
      <c r="N2991"/>
      <c r="O2991" s="62" t="str">
        <f>IF(E2991="PA",IF(K2991&lt;&gt;"",ISERROR(VLOOKUP(K2991,ABBR!A:D,1,FALSE)),ISERROR(VLOOKUP(C2991,ABBR!A:D,1,FALSE))),"")</f>
        <v/>
      </c>
      <c r="P2991" t="str">
        <f>VLOOKUP(A2991,Groups!A:L,5,FALSE)</f>
        <v>SAMP</v>
      </c>
      <c r="Q2991" s="62" t="str">
        <f>IF(G2991="PA",IF(M2991&lt;&gt;"",ISERROR(VLOOKUP(M2991,ABBR!C:F,1,FALSE)),ISERROR(VLOOKUP(E2991,ABBR!C:F,1,FALSE))),"")</f>
        <v/>
      </c>
    </row>
    <row r="2992" spans="1:17" s="62" customFormat="1" ht="14.5" hidden="1" customHeight="1" x14ac:dyDescent="0.25">
      <c r="A2992" s="16" t="s">
        <v>362</v>
      </c>
      <c r="B2992" s="17" t="s">
        <v>594</v>
      </c>
      <c r="C2992" s="16" t="s">
        <v>866</v>
      </c>
      <c r="D2992" s="17" t="s">
        <v>600</v>
      </c>
      <c r="E2992" s="17" t="s">
        <v>601</v>
      </c>
      <c r="F2992" s="18" t="s">
        <v>867</v>
      </c>
      <c r="G2992" s="49" t="s">
        <v>853</v>
      </c>
      <c r="H2992" s="17">
        <v>7</v>
      </c>
      <c r="I2992" s="30"/>
      <c r="J2992"/>
      <c r="K2992"/>
      <c r="L2992"/>
      <c r="M2992"/>
      <c r="N2992"/>
      <c r="O2992" s="62" t="str">
        <f>IF(E2992="PA",IF(K2992&lt;&gt;"",ISERROR(VLOOKUP(K2992,ABBR!A:D,1,FALSE)),ISERROR(VLOOKUP(C2992,ABBR!A:D,1,FALSE))),"")</f>
        <v/>
      </c>
      <c r="P2992" t="str">
        <f>VLOOKUP(A2992,Groups!A:L,5,FALSE)</f>
        <v>SAMP</v>
      </c>
      <c r="Q2992" s="62" t="str">
        <f>IF(G2992="PA",IF(M2992&lt;&gt;"",ISERROR(VLOOKUP(M2992,ABBR!C:F,1,FALSE)),ISERROR(VLOOKUP(E2992,ABBR!C:F,1,FALSE))),"")</f>
        <v/>
      </c>
    </row>
    <row r="2993" spans="1:17" s="62" customFormat="1" ht="14.5" hidden="1" customHeight="1" x14ac:dyDescent="0.25">
      <c r="A2993" s="16" t="s">
        <v>362</v>
      </c>
      <c r="B2993" s="17"/>
      <c r="C2993" s="16" t="s">
        <v>868</v>
      </c>
      <c r="D2993" s="17"/>
      <c r="E2993" s="17" t="s">
        <v>608</v>
      </c>
      <c r="F2993" s="18" t="s">
        <v>869</v>
      </c>
      <c r="G2993" s="51" t="s">
        <v>3265</v>
      </c>
      <c r="H2993" s="17">
        <v>8</v>
      </c>
      <c r="I2993" s="30"/>
      <c r="J2993"/>
      <c r="K2993"/>
      <c r="L2993"/>
      <c r="M2993"/>
      <c r="N2993"/>
      <c r="O2993" s="62" t="str">
        <f>IF(E2993="PA",IF(K2993&lt;&gt;"",ISERROR(VLOOKUP(K2993,ABBR!A:D,1,FALSE)),ISERROR(VLOOKUP(C2993,ABBR!A:D,1,FALSE))),"")</f>
        <v/>
      </c>
      <c r="P2993" t="str">
        <f>VLOOKUP(A2993,Groups!A:L,5,FALSE)</f>
        <v>SAMP</v>
      </c>
      <c r="Q2993" s="62" t="str">
        <f>IF(G2993="PA",IF(M2993&lt;&gt;"",ISERROR(VLOOKUP(M2993,ABBR!C:F,1,FALSE)),ISERROR(VLOOKUP(E2993,ABBR!C:F,1,FALSE))),"")</f>
        <v/>
      </c>
    </row>
    <row r="2994" spans="1:17" s="62" customFormat="1" ht="25" hidden="1" x14ac:dyDescent="0.25">
      <c r="A2994" s="16" t="s">
        <v>362</v>
      </c>
      <c r="B2994" s="17"/>
      <c r="C2994" s="16" t="s">
        <v>871</v>
      </c>
      <c r="D2994" s="17"/>
      <c r="E2994" s="17" t="s">
        <v>608</v>
      </c>
      <c r="F2994" s="18" t="s">
        <v>872</v>
      </c>
      <c r="G2994" s="49" t="s">
        <v>873</v>
      </c>
      <c r="H2994" s="17">
        <v>9</v>
      </c>
      <c r="I2994" s="30"/>
      <c r="J2994"/>
      <c r="K2994"/>
      <c r="L2994"/>
      <c r="M2994"/>
      <c r="N2994"/>
      <c r="O2994" s="62" t="str">
        <f>IF(E2994="PA",IF(K2994&lt;&gt;"",ISERROR(VLOOKUP(K2994,ABBR!A:D,1,FALSE)),ISERROR(VLOOKUP(C2994,ABBR!A:D,1,FALSE))),"")</f>
        <v/>
      </c>
      <c r="P2994" t="str">
        <f>VLOOKUP(A2994,Groups!A:L,5,FALSE)</f>
        <v>SAMP</v>
      </c>
      <c r="Q2994" s="62" t="str">
        <f>IF(G2994="PA",IF(M2994&lt;&gt;"",ISERROR(VLOOKUP(M2994,ABBR!C:F,1,FALSE)),ISERROR(VLOOKUP(E2994,ABBR!C:F,1,FALSE))),"")</f>
        <v/>
      </c>
    </row>
    <row r="2995" spans="1:17" s="62" customFormat="1" hidden="1" x14ac:dyDescent="0.25">
      <c r="A2995" s="16" t="s">
        <v>362</v>
      </c>
      <c r="B2995" s="17"/>
      <c r="C2995" s="16" t="s">
        <v>4997</v>
      </c>
      <c r="D2995" s="17" t="s">
        <v>766</v>
      </c>
      <c r="E2995" s="17" t="s">
        <v>608</v>
      </c>
      <c r="F2995" s="18" t="s">
        <v>3777</v>
      </c>
      <c r="G2995" s="49" t="s">
        <v>1489</v>
      </c>
      <c r="H2995" s="17">
        <v>10</v>
      </c>
      <c r="I2995" s="30"/>
      <c r="J2995"/>
      <c r="K2995"/>
      <c r="L2995"/>
      <c r="M2995"/>
      <c r="N2995"/>
      <c r="O2995" s="62" t="str">
        <f>IF(E2995="PA",IF(K2995&lt;&gt;"",ISERROR(VLOOKUP(K2995,ABBR!A:D,1,FALSE)),ISERROR(VLOOKUP(C2995,ABBR!A:D,1,FALSE))),"")</f>
        <v/>
      </c>
      <c r="P2995" t="str">
        <f>VLOOKUP(A2995,Groups!A:L,5,FALSE)</f>
        <v>SAMP</v>
      </c>
      <c r="Q2995" s="62" t="str">
        <f>IF(G2995="PA",IF(M2995&lt;&gt;"",ISERROR(VLOOKUP(M2995,ABBR!C:F,1,FALSE)),ISERROR(VLOOKUP(E2995,ABBR!C:F,1,FALSE))),"")</f>
        <v/>
      </c>
    </row>
    <row r="2996" spans="1:17" s="62" customFormat="1" hidden="1" x14ac:dyDescent="0.25">
      <c r="A2996" s="16" t="s">
        <v>362</v>
      </c>
      <c r="B2996" s="17"/>
      <c r="C2996" s="16" t="s">
        <v>4998</v>
      </c>
      <c r="D2996" s="17" t="s">
        <v>766</v>
      </c>
      <c r="E2996" s="17" t="s">
        <v>608</v>
      </c>
      <c r="F2996" s="18" t="s">
        <v>4999</v>
      </c>
      <c r="G2996" s="49" t="s">
        <v>3275</v>
      </c>
      <c r="H2996" s="17">
        <v>11</v>
      </c>
      <c r="I2996" s="30"/>
      <c r="J2996"/>
      <c r="K2996"/>
      <c r="L2996"/>
      <c r="M2996"/>
      <c r="N2996"/>
      <c r="O2996" s="62" t="str">
        <f>IF(E2996="PA",IF(K2996&lt;&gt;"",ISERROR(VLOOKUP(K2996,ABBR!A:D,1,FALSE)),ISERROR(VLOOKUP(C2996,ABBR!A:D,1,FALSE))),"")</f>
        <v/>
      </c>
      <c r="P2996" t="str">
        <f>VLOOKUP(A2996,Groups!A:L,5,FALSE)</f>
        <v>SAMP</v>
      </c>
      <c r="Q2996" s="62" t="str">
        <f>IF(G2996="PA",IF(M2996&lt;&gt;"",ISERROR(VLOOKUP(M2996,ABBR!C:F,1,FALSE)),ISERROR(VLOOKUP(E2996,ABBR!C:F,1,FALSE))),"")</f>
        <v/>
      </c>
    </row>
    <row r="2997" spans="1:17" s="62" customFormat="1" hidden="1" x14ac:dyDescent="0.25">
      <c r="A2997" s="16" t="s">
        <v>362</v>
      </c>
      <c r="B2997" s="17"/>
      <c r="C2997" s="16" t="s">
        <v>5000</v>
      </c>
      <c r="D2997" s="17" t="s">
        <v>2234</v>
      </c>
      <c r="E2997" s="17" t="s">
        <v>767</v>
      </c>
      <c r="F2997" s="18" t="s">
        <v>3669</v>
      </c>
      <c r="G2997" s="49" t="s">
        <v>5001</v>
      </c>
      <c r="H2997" s="17">
        <v>12</v>
      </c>
      <c r="I2997" s="30"/>
      <c r="J2997"/>
      <c r="K2997"/>
      <c r="L2997"/>
      <c r="M2997"/>
      <c r="N2997"/>
      <c r="O2997" s="62" t="str">
        <f>IF(E2997="PA",IF(K2997&lt;&gt;"",ISERROR(VLOOKUP(K2997,ABBR!A:D,1,FALSE)),ISERROR(VLOOKUP(C2997,ABBR!A:D,1,FALSE))),"")</f>
        <v/>
      </c>
      <c r="P2997" t="str">
        <f>VLOOKUP(A2997,Groups!A:L,5,FALSE)</f>
        <v>SAMP</v>
      </c>
      <c r="Q2997" s="62" t="str">
        <f>IF(G2997="PA",IF(M2997&lt;&gt;"",ISERROR(VLOOKUP(M2997,ABBR!C:F,1,FALSE)),ISERROR(VLOOKUP(E2997,ABBR!C:F,1,FALSE))),"")</f>
        <v/>
      </c>
    </row>
    <row r="2998" spans="1:17" s="62" customFormat="1" hidden="1" x14ac:dyDescent="0.25">
      <c r="A2998" s="16" t="s">
        <v>362</v>
      </c>
      <c r="B2998" s="17"/>
      <c r="C2998" s="16" t="s">
        <v>5002</v>
      </c>
      <c r="D2998" s="17" t="s">
        <v>2234</v>
      </c>
      <c r="E2998" s="17" t="s">
        <v>767</v>
      </c>
      <c r="F2998" s="18" t="s">
        <v>3158</v>
      </c>
      <c r="G2998" s="49" t="s">
        <v>5003</v>
      </c>
      <c r="H2998" s="17">
        <v>13</v>
      </c>
      <c r="I2998" s="30"/>
      <c r="J2998"/>
      <c r="K2998"/>
      <c r="L2998"/>
      <c r="M2998"/>
      <c r="N2998"/>
      <c r="O2998" s="62" t="str">
        <f>IF(E2998="PA",IF(K2998&lt;&gt;"",ISERROR(VLOOKUP(K2998,ABBR!A:D,1,FALSE)),ISERROR(VLOOKUP(C2998,ABBR!A:D,1,FALSE))),"")</f>
        <v/>
      </c>
      <c r="P2998" t="str">
        <f>VLOOKUP(A2998,Groups!A:L,5,FALSE)</f>
        <v>SAMP</v>
      </c>
      <c r="Q2998" s="62" t="str">
        <f>IF(G2998="PA",IF(M2998&lt;&gt;"",ISERROR(VLOOKUP(M2998,ABBR!C:F,1,FALSE)),ISERROR(VLOOKUP(E2998,ABBR!C:F,1,FALSE))),"")</f>
        <v/>
      </c>
    </row>
    <row r="2999" spans="1:17" s="62" customFormat="1" hidden="1" x14ac:dyDescent="0.25">
      <c r="A2999" s="16" t="s">
        <v>362</v>
      </c>
      <c r="B2999" s="17"/>
      <c r="C2999" s="16" t="s">
        <v>5004</v>
      </c>
      <c r="D2999" s="17" t="s">
        <v>766</v>
      </c>
      <c r="E2999" s="17" t="s">
        <v>723</v>
      </c>
      <c r="F2999" s="18" t="s">
        <v>5005</v>
      </c>
      <c r="G2999" s="49" t="s">
        <v>5006</v>
      </c>
      <c r="H2999" s="17">
        <v>14</v>
      </c>
      <c r="I2999" s="30"/>
      <c r="J2999"/>
      <c r="K2999"/>
      <c r="L2999"/>
      <c r="M2999"/>
      <c r="N2999"/>
      <c r="O2999" s="62" t="str">
        <f>IF(E2999="PA",IF(K2999&lt;&gt;"",ISERROR(VLOOKUP(K2999,ABBR!A:D,1,FALSE)),ISERROR(VLOOKUP(C2999,ABBR!A:D,1,FALSE))),"")</f>
        <v/>
      </c>
      <c r="P2999" t="str">
        <f>VLOOKUP(A2999,Groups!A:L,5,FALSE)</f>
        <v>SAMP</v>
      </c>
      <c r="Q2999" s="62" t="str">
        <f>IF(G2999="PA",IF(M2999&lt;&gt;"",ISERROR(VLOOKUP(M2999,ABBR!C:F,1,FALSE)),ISERROR(VLOOKUP(E2999,ABBR!C:F,1,FALSE))),"")</f>
        <v/>
      </c>
    </row>
    <row r="3000" spans="1:17" s="62" customFormat="1" hidden="1" x14ac:dyDescent="0.25">
      <c r="A3000" s="16" t="s">
        <v>362</v>
      </c>
      <c r="B3000" s="17"/>
      <c r="C3000" s="16" t="s">
        <v>5007</v>
      </c>
      <c r="D3000" s="17" t="s">
        <v>2234</v>
      </c>
      <c r="E3000" s="17" t="s">
        <v>767</v>
      </c>
      <c r="F3000" s="18" t="s">
        <v>5008</v>
      </c>
      <c r="G3000" s="49" t="s">
        <v>5009</v>
      </c>
      <c r="H3000" s="17">
        <v>15</v>
      </c>
      <c r="I3000" s="30"/>
      <c r="J3000"/>
      <c r="K3000"/>
      <c r="L3000"/>
      <c r="M3000"/>
      <c r="N3000"/>
      <c r="O3000" s="62" t="str">
        <f>IF(E3000="PA",IF(K3000&lt;&gt;"",ISERROR(VLOOKUP(K3000,ABBR!A:D,1,FALSE)),ISERROR(VLOOKUP(C3000,ABBR!A:D,1,FALSE))),"")</f>
        <v/>
      </c>
      <c r="P3000" t="str">
        <f>VLOOKUP(A3000,Groups!A:L,5,FALSE)</f>
        <v>SAMP</v>
      </c>
      <c r="Q3000" s="62" t="str">
        <f>IF(G3000="PA",IF(M3000&lt;&gt;"",ISERROR(VLOOKUP(M3000,ABBR!C:F,1,FALSE)),ISERROR(VLOOKUP(E3000,ABBR!C:F,1,FALSE))),"")</f>
        <v/>
      </c>
    </row>
    <row r="3001" spans="1:17" s="62" customFormat="1" hidden="1" x14ac:dyDescent="0.25">
      <c r="A3001" s="16" t="s">
        <v>362</v>
      </c>
      <c r="B3001" s="17"/>
      <c r="C3001" s="16" t="s">
        <v>5010</v>
      </c>
      <c r="D3001" s="17" t="s">
        <v>1590</v>
      </c>
      <c r="E3001" s="17" t="s">
        <v>767</v>
      </c>
      <c r="F3001" s="18" t="s">
        <v>3881</v>
      </c>
      <c r="G3001" s="49" t="s">
        <v>769</v>
      </c>
      <c r="H3001" s="17">
        <v>16</v>
      </c>
      <c r="I3001" s="30"/>
      <c r="J3001"/>
      <c r="K3001"/>
      <c r="L3001"/>
      <c r="M3001"/>
      <c r="N3001"/>
      <c r="O3001" s="62" t="str">
        <f>IF(E3001="PA",IF(K3001&lt;&gt;"",ISERROR(VLOOKUP(K3001,ABBR!A:D,1,FALSE)),ISERROR(VLOOKUP(C3001,ABBR!A:D,1,FALSE))),"")</f>
        <v/>
      </c>
      <c r="P3001" t="str">
        <f>VLOOKUP(A3001,Groups!A:L,5,FALSE)</f>
        <v>SAMP</v>
      </c>
      <c r="Q3001" s="62" t="str">
        <f>IF(G3001="PA",IF(M3001&lt;&gt;"",ISERROR(VLOOKUP(M3001,ABBR!C:F,1,FALSE)),ISERROR(VLOOKUP(E3001,ABBR!C:F,1,FALSE))),"")</f>
        <v/>
      </c>
    </row>
    <row r="3002" spans="1:17" s="62" customFormat="1" ht="25" hidden="1" x14ac:dyDescent="0.25">
      <c r="A3002" s="16" t="s">
        <v>362</v>
      </c>
      <c r="B3002" s="17"/>
      <c r="C3002" s="16" t="s">
        <v>5011</v>
      </c>
      <c r="D3002" s="17"/>
      <c r="E3002" s="17" t="s">
        <v>608</v>
      </c>
      <c r="F3002" s="18" t="s">
        <v>642</v>
      </c>
      <c r="G3002" s="49" t="s">
        <v>5012</v>
      </c>
      <c r="H3002" s="17">
        <v>17</v>
      </c>
      <c r="I3002" s="30"/>
      <c r="J3002"/>
      <c r="K3002"/>
      <c r="L3002"/>
      <c r="M3002"/>
      <c r="N3002"/>
      <c r="O3002" s="62" t="str">
        <f>IF(E3002="PA",IF(K3002&lt;&gt;"",ISERROR(VLOOKUP(K3002,ABBR!A:D,1,FALSE)),ISERROR(VLOOKUP(C3002,ABBR!A:D,1,FALSE))),"")</f>
        <v/>
      </c>
      <c r="P3002" t="str">
        <f>VLOOKUP(A3002,Groups!A:L,5,FALSE)</f>
        <v>SAMP</v>
      </c>
      <c r="Q3002" s="62" t="str">
        <f>IF(G3002="PA",IF(M3002&lt;&gt;"",ISERROR(VLOOKUP(M3002,ABBR!C:F,1,FALSE)),ISERROR(VLOOKUP(E3002,ABBR!C:F,1,FALSE))),"")</f>
        <v/>
      </c>
    </row>
    <row r="3003" spans="1:17" s="62" customFormat="1" ht="75" hidden="1" x14ac:dyDescent="0.25">
      <c r="A3003" s="16" t="s">
        <v>362</v>
      </c>
      <c r="B3003" s="17"/>
      <c r="C3003" s="16" t="s">
        <v>5013</v>
      </c>
      <c r="D3003" s="17"/>
      <c r="E3003" s="17" t="s">
        <v>608</v>
      </c>
      <c r="F3003" s="18" t="s">
        <v>918</v>
      </c>
      <c r="G3003" s="49" t="s">
        <v>5014</v>
      </c>
      <c r="H3003" s="17">
        <v>18</v>
      </c>
      <c r="I3003" s="30"/>
      <c r="J3003"/>
      <c r="K3003"/>
      <c r="L3003"/>
      <c r="M3003"/>
      <c r="N3003"/>
      <c r="O3003" s="62" t="str">
        <f>IF(E3003="PA",IF(K3003&lt;&gt;"",ISERROR(VLOOKUP(K3003,ABBR!A:D,1,FALSE)),ISERROR(VLOOKUP(C3003,ABBR!A:D,1,FALSE))),"")</f>
        <v/>
      </c>
      <c r="P3003" t="str">
        <f>VLOOKUP(A3003,Groups!A:L,5,FALSE)</f>
        <v>SAMP</v>
      </c>
      <c r="Q3003" s="62" t="str">
        <f>IF(G3003="PA",IF(M3003&lt;&gt;"",ISERROR(VLOOKUP(M3003,ABBR!C:F,1,FALSE)),ISERROR(VLOOKUP(E3003,ABBR!C:F,1,FALSE))),"")</f>
        <v/>
      </c>
    </row>
    <row r="3004" spans="1:17" s="62" customFormat="1" hidden="1" x14ac:dyDescent="0.25">
      <c r="A3004" s="16" t="s">
        <v>362</v>
      </c>
      <c r="B3004" s="17"/>
      <c r="C3004" s="16" t="s">
        <v>5015</v>
      </c>
      <c r="D3004" s="17"/>
      <c r="E3004" s="17" t="s">
        <v>608</v>
      </c>
      <c r="F3004" s="18" t="s">
        <v>950</v>
      </c>
      <c r="G3004" s="27" t="s">
        <v>951</v>
      </c>
      <c r="H3004" s="17">
        <v>19</v>
      </c>
      <c r="I3004" s="30"/>
      <c r="J3004"/>
      <c r="K3004"/>
      <c r="L3004"/>
      <c r="M3004"/>
      <c r="N3004"/>
      <c r="O3004" s="62" t="str">
        <f>IF(E3004="PA",IF(K3004&lt;&gt;"",ISERROR(VLOOKUP(K3004,ABBR!A:D,1,FALSE)),ISERROR(VLOOKUP(C3004,ABBR!A:D,1,FALSE))),"")</f>
        <v/>
      </c>
      <c r="P3004" t="str">
        <f>VLOOKUP(A3004,Groups!A:L,5,FALSE)</f>
        <v>SAMP</v>
      </c>
      <c r="Q3004" s="62" t="str">
        <f>IF(G3004="PA",IF(M3004&lt;&gt;"",ISERROR(VLOOKUP(M3004,ABBR!C:F,1,FALSE)),ISERROR(VLOOKUP(E3004,ABBR!C:F,1,FALSE))),"")</f>
        <v/>
      </c>
    </row>
    <row r="3005" spans="1:17" s="62" customFormat="1" ht="25" hidden="1" x14ac:dyDescent="0.25">
      <c r="A3005" s="16" t="s">
        <v>362</v>
      </c>
      <c r="B3005" s="17"/>
      <c r="C3005" s="16" t="s">
        <v>5016</v>
      </c>
      <c r="D3005" s="17"/>
      <c r="E3005" s="17" t="s">
        <v>608</v>
      </c>
      <c r="F3005" s="18" t="s">
        <v>934</v>
      </c>
      <c r="G3005" s="49" t="s">
        <v>953</v>
      </c>
      <c r="H3005" s="17">
        <v>20</v>
      </c>
      <c r="I3005" s="30"/>
      <c r="J3005"/>
      <c r="K3005"/>
      <c r="L3005"/>
      <c r="M3005"/>
      <c r="N3005"/>
      <c r="O3005" s="62" t="str">
        <f>IF(E3005="PA",IF(K3005&lt;&gt;"",ISERROR(VLOOKUP(K3005,ABBR!A:D,1,FALSE)),ISERROR(VLOOKUP(C3005,ABBR!A:D,1,FALSE))),"")</f>
        <v/>
      </c>
      <c r="P3005" t="str">
        <f>VLOOKUP(A3005,Groups!A:L,5,FALSE)</f>
        <v>SAMP</v>
      </c>
      <c r="Q3005" s="62" t="str">
        <f>IF(G3005="PA",IF(M3005&lt;&gt;"",ISERROR(VLOOKUP(M3005,ABBR!C:F,1,FALSE)),ISERROR(VLOOKUP(E3005,ABBR!C:F,1,FALSE))),"")</f>
        <v/>
      </c>
    </row>
    <row r="3006" spans="1:17" s="62" customFormat="1" hidden="1" x14ac:dyDescent="0.25">
      <c r="A3006" s="16" t="s">
        <v>362</v>
      </c>
      <c r="B3006" s="17"/>
      <c r="C3006" s="16" t="s">
        <v>936</v>
      </c>
      <c r="D3006" s="17"/>
      <c r="E3006" s="22" t="s">
        <v>608</v>
      </c>
      <c r="F3006" s="18" t="s">
        <v>937</v>
      </c>
      <c r="G3006" s="49" t="s">
        <v>938</v>
      </c>
      <c r="H3006" s="17">
        <v>21</v>
      </c>
      <c r="I3006" s="30"/>
      <c r="J3006"/>
      <c r="K3006"/>
      <c r="L3006"/>
      <c r="M3006"/>
      <c r="N3006"/>
      <c r="O3006" s="62" t="str">
        <f>IF(E3006="PA",IF(K3006&lt;&gt;"",ISERROR(VLOOKUP(K3006,ABBR!A:D,1,FALSE)),ISERROR(VLOOKUP(C3006,ABBR!A:D,1,FALSE))),"")</f>
        <v/>
      </c>
      <c r="P3006" t="str">
        <f>VLOOKUP(A3006,Groups!A:L,5,FALSE)</f>
        <v>SAMP</v>
      </c>
      <c r="Q3006" s="62" t="str">
        <f>IF(G3006="PA",IF(M3006&lt;&gt;"",ISERROR(VLOOKUP(M3006,ABBR!C:F,1,FALSE)),ISERROR(VLOOKUP(E3006,ABBR!C:F,1,FALSE))),"")</f>
        <v/>
      </c>
    </row>
    <row r="3007" spans="1:17" s="62" customFormat="1" hidden="1" x14ac:dyDescent="0.25">
      <c r="A3007" s="16" t="s">
        <v>362</v>
      </c>
      <c r="B3007" s="17"/>
      <c r="C3007" s="16" t="s">
        <v>643</v>
      </c>
      <c r="D3007" s="17"/>
      <c r="E3007" s="17" t="s">
        <v>608</v>
      </c>
      <c r="F3007" s="18" t="s">
        <v>954</v>
      </c>
      <c r="G3007" s="49" t="s">
        <v>940</v>
      </c>
      <c r="H3007" s="17">
        <v>22</v>
      </c>
      <c r="I3007" s="30"/>
      <c r="J3007"/>
      <c r="K3007"/>
      <c r="L3007"/>
      <c r="M3007"/>
      <c r="N3007"/>
      <c r="O3007" s="62" t="str">
        <f>IF(E3007="PA",IF(K3007&lt;&gt;"",ISERROR(VLOOKUP(K3007,ABBR!A:D,1,FALSE)),ISERROR(VLOOKUP(C3007,ABBR!A:D,1,FALSE))),"")</f>
        <v/>
      </c>
      <c r="P3007" t="str">
        <f>VLOOKUP(A3007,Groups!A:L,5,FALSE)</f>
        <v>SAMP</v>
      </c>
      <c r="Q3007" s="62" t="str">
        <f>IF(G3007="PA",IF(M3007&lt;&gt;"",ISERROR(VLOOKUP(M3007,ABBR!C:F,1,FALSE)),ISERROR(VLOOKUP(E3007,ABBR!C:F,1,FALSE))),"")</f>
        <v/>
      </c>
    </row>
    <row r="3008" spans="1:17" s="62" customFormat="1" hidden="1" x14ac:dyDescent="0.25">
      <c r="A3008" s="16" t="s">
        <v>362</v>
      </c>
      <c r="B3008" s="17"/>
      <c r="C3008" s="16" t="s">
        <v>5017</v>
      </c>
      <c r="D3008" s="17" t="s">
        <v>1077</v>
      </c>
      <c r="E3008" s="17" t="s">
        <v>601</v>
      </c>
      <c r="F3008" s="18" t="s">
        <v>5018</v>
      </c>
      <c r="G3008" s="49" t="s">
        <v>5019</v>
      </c>
      <c r="H3008" s="17">
        <v>23</v>
      </c>
      <c r="I3008" s="30"/>
      <c r="J3008"/>
      <c r="K3008"/>
      <c r="L3008"/>
      <c r="M3008"/>
      <c r="N3008"/>
      <c r="O3008" s="62" t="str">
        <f>IF(E3008="PA",IF(K3008&lt;&gt;"",ISERROR(VLOOKUP(K3008,ABBR!A:D,1,FALSE)),ISERROR(VLOOKUP(C3008,ABBR!A:D,1,FALSE))),"")</f>
        <v/>
      </c>
      <c r="P3008" t="str">
        <f>VLOOKUP(A3008,Groups!A:L,5,FALSE)</f>
        <v>SAMP</v>
      </c>
      <c r="Q3008" s="62" t="str">
        <f>IF(G3008="PA",IF(M3008&lt;&gt;"",ISERROR(VLOOKUP(M3008,ABBR!C:F,1,FALSE)),ISERROR(VLOOKUP(E3008,ABBR!C:F,1,FALSE))),"")</f>
        <v/>
      </c>
    </row>
    <row r="3009" spans="1:17" s="62" customFormat="1" hidden="1" x14ac:dyDescent="0.25">
      <c r="A3009" s="16" t="s">
        <v>362</v>
      </c>
      <c r="B3009" s="17"/>
      <c r="C3009" s="16" t="s">
        <v>877</v>
      </c>
      <c r="D3009" s="17" t="s">
        <v>600</v>
      </c>
      <c r="E3009" s="17" t="s">
        <v>601</v>
      </c>
      <c r="F3009" s="18" t="s">
        <v>878</v>
      </c>
      <c r="G3009" s="49" t="s">
        <v>879</v>
      </c>
      <c r="H3009" s="17">
        <v>24</v>
      </c>
      <c r="I3009" s="30" t="s">
        <v>955</v>
      </c>
      <c r="J3009" s="80">
        <v>4.0999999999999996</v>
      </c>
      <c r="K3009"/>
      <c r="L3009"/>
      <c r="M3009"/>
      <c r="N3009"/>
      <c r="O3009" s="62" t="str">
        <f>IF(E3009="PA",IF(K3009&lt;&gt;"",ISERROR(VLOOKUP(K3009,ABBR!A:D,1,FALSE)),ISERROR(VLOOKUP(C3009,ABBR!A:D,1,FALSE))),"")</f>
        <v/>
      </c>
      <c r="P3009" t="str">
        <f>VLOOKUP(A3009,Groups!A:L,5,FALSE)</f>
        <v>SAMP</v>
      </c>
      <c r="Q3009" s="62" t="str">
        <f>IF(G3009="PA",IF(M3009&lt;&gt;"",ISERROR(VLOOKUP(M3009,ABBR!C:F,1,FALSE)),ISERROR(VLOOKUP(E3009,ABBR!C:F,1,FALSE))),"")</f>
        <v/>
      </c>
    </row>
    <row r="3010" spans="1:17" s="62" customFormat="1" hidden="1" x14ac:dyDescent="0.25">
      <c r="A3010" s="16" t="s">
        <v>362</v>
      </c>
      <c r="B3010" s="17"/>
      <c r="C3010" s="16" t="s">
        <v>5020</v>
      </c>
      <c r="D3010" s="17"/>
      <c r="E3010" s="17" t="s">
        <v>608</v>
      </c>
      <c r="F3010" s="18" t="s">
        <v>921</v>
      </c>
      <c r="G3010" s="94" t="s">
        <v>922</v>
      </c>
      <c r="H3010" s="17">
        <v>25</v>
      </c>
      <c r="I3010" s="30" t="s">
        <v>955</v>
      </c>
      <c r="J3010" s="80">
        <v>4.0999999999999996</v>
      </c>
      <c r="K3010"/>
      <c r="L3010"/>
      <c r="M3010" s="101"/>
      <c r="N3010"/>
      <c r="O3010" s="62" t="str">
        <f>IF(E3010="PA",IF(K3010&lt;&gt;"",ISERROR(VLOOKUP(K3010,ABBR!A:D,1,FALSE)),ISERROR(VLOOKUP(C3010,ABBR!A:D,1,FALSE))),"")</f>
        <v/>
      </c>
      <c r="P3010" t="str">
        <f>VLOOKUP(A3010,Groups!A:L,5,FALSE)</f>
        <v>SAMP</v>
      </c>
      <c r="Q3010" s="62" t="str">
        <f>IF(G3010="PA",IF(M3010&lt;&gt;"",ISERROR(VLOOKUP(M3010,ABBR!C:F,1,FALSE)),ISERROR(VLOOKUP(E3010,ABBR!C:F,1,FALSE))),"")</f>
        <v/>
      </c>
    </row>
    <row r="3011" spans="1:17" s="62" customFormat="1" hidden="1" x14ac:dyDescent="0.25">
      <c r="A3011" s="16" t="s">
        <v>362</v>
      </c>
      <c r="B3011" s="17"/>
      <c r="C3011" s="16" t="s">
        <v>5021</v>
      </c>
      <c r="D3011" s="17" t="s">
        <v>924</v>
      </c>
      <c r="E3011" s="17" t="s">
        <v>925</v>
      </c>
      <c r="F3011" s="18" t="s">
        <v>926</v>
      </c>
      <c r="G3011" s="49" t="s">
        <v>927</v>
      </c>
      <c r="H3011" s="17">
        <v>26</v>
      </c>
      <c r="I3011" s="30"/>
      <c r="J3011" s="62" t="s">
        <v>473</v>
      </c>
      <c r="O3011" s="62" t="str">
        <f>IF(E3011="PA",IF(K3011&lt;&gt;"",ISERROR(VLOOKUP(K3011,ABBR!A:D,1,FALSE)),ISERROR(VLOOKUP(C3011,ABBR!A:D,1,FALSE))),"")</f>
        <v/>
      </c>
      <c r="P3011" t="str">
        <f>VLOOKUP(A3011,Groups!A:L,5,FALSE)</f>
        <v>SAMP</v>
      </c>
      <c r="Q3011" s="62" t="str">
        <f>IF(G3011="PA",IF(M3011&lt;&gt;"",ISERROR(VLOOKUP(M3011,ABBR!C:F,1,FALSE)),ISERROR(VLOOKUP(E3011,ABBR!C:F,1,FALSE))),"")</f>
        <v/>
      </c>
    </row>
    <row r="3012" spans="1:17" s="62" customFormat="1" hidden="1" x14ac:dyDescent="0.25">
      <c r="A3012" s="16" t="s">
        <v>362</v>
      </c>
      <c r="B3012" s="17"/>
      <c r="C3012" s="16" t="s">
        <v>5022</v>
      </c>
      <c r="D3012" s="17"/>
      <c r="E3012" s="17" t="s">
        <v>608</v>
      </c>
      <c r="F3012" s="18" t="s">
        <v>875</v>
      </c>
      <c r="G3012" s="49" t="s">
        <v>876</v>
      </c>
      <c r="H3012" s="17">
        <v>27</v>
      </c>
      <c r="I3012" s="30"/>
      <c r="J3012" s="62" t="s">
        <v>473</v>
      </c>
      <c r="O3012" s="62" t="str">
        <f>IF(E3012="PA",IF(K3012&lt;&gt;"",ISERROR(VLOOKUP(K3012,ABBR!A:D,1,FALSE)),ISERROR(VLOOKUP(C3012,ABBR!A:D,1,FALSE))),"")</f>
        <v/>
      </c>
      <c r="P3012" t="str">
        <f>VLOOKUP(A3012,Groups!A:L,5,FALSE)</f>
        <v>SAMP</v>
      </c>
      <c r="Q3012" s="62" t="str">
        <f>IF(G3012="PA",IF(M3012&lt;&gt;"",ISERROR(VLOOKUP(M3012,ABBR!C:F,1,FALSE)),ISERROR(VLOOKUP(E3012,ABBR!C:F,1,FALSE))),"")</f>
        <v/>
      </c>
    </row>
    <row r="3013" spans="1:17" s="62" customFormat="1" hidden="1" x14ac:dyDescent="0.25">
      <c r="A3013" s="16" t="s">
        <v>362</v>
      </c>
      <c r="B3013" s="17"/>
      <c r="C3013" s="16" t="s">
        <v>5023</v>
      </c>
      <c r="D3013" s="17"/>
      <c r="E3013" s="17" t="s">
        <v>608</v>
      </c>
      <c r="F3013" s="18" t="s">
        <v>929</v>
      </c>
      <c r="G3013" s="49" t="s">
        <v>876</v>
      </c>
      <c r="H3013" s="17">
        <v>28</v>
      </c>
      <c r="I3013" s="30"/>
      <c r="J3013" s="62" t="s">
        <v>473</v>
      </c>
      <c r="O3013" s="62" t="str">
        <f>IF(E3013="PA",IF(K3013&lt;&gt;"",ISERROR(VLOOKUP(K3013,ABBR!A:D,1,FALSE)),ISERROR(VLOOKUP(C3013,ABBR!A:D,1,FALSE))),"")</f>
        <v/>
      </c>
      <c r="P3013" t="str">
        <f>VLOOKUP(A3013,Groups!A:L,5,FALSE)</f>
        <v>SAMP</v>
      </c>
      <c r="Q3013" s="62" t="str">
        <f>IF(G3013="PA",IF(M3013&lt;&gt;"",ISERROR(VLOOKUP(M3013,ABBR!C:F,1,FALSE)),ISERROR(VLOOKUP(E3013,ABBR!C:F,1,FALSE))),"")</f>
        <v/>
      </c>
    </row>
    <row r="3014" spans="1:17" s="62" customFormat="1" hidden="1" x14ac:dyDescent="0.25">
      <c r="A3014" s="16" t="s">
        <v>545</v>
      </c>
      <c r="B3014" s="17" t="s">
        <v>594</v>
      </c>
      <c r="C3014" s="16" t="s">
        <v>595</v>
      </c>
      <c r="D3014" s="17"/>
      <c r="E3014" s="17" t="s">
        <v>596</v>
      </c>
      <c r="F3014" s="18" t="s">
        <v>597</v>
      </c>
      <c r="G3014" s="49" t="s">
        <v>598</v>
      </c>
      <c r="H3014" s="17">
        <v>1</v>
      </c>
      <c r="I3014" s="30"/>
      <c r="J3014" s="62" t="s">
        <v>532</v>
      </c>
      <c r="O3014" s="62" t="str">
        <f>IF(E3014="PA",IF(K3014&lt;&gt;"",ISERROR(VLOOKUP(K3014,ABBR!A:D,1,FALSE)),ISERROR(VLOOKUP(C3014,ABBR!A:D,1,FALSE))),"")</f>
        <v/>
      </c>
      <c r="P3014" t="str">
        <f>VLOOKUP(A3014,Groups!A:L,5,FALSE)</f>
        <v>SAMP</v>
      </c>
      <c r="Q3014" s="62" t="str">
        <f>IF(G3014="PA",IF(M3014&lt;&gt;"",ISERROR(VLOOKUP(M3014,ABBR!C:F,1,FALSE)),ISERROR(VLOOKUP(E3014,ABBR!C:F,1,FALSE))),"")</f>
        <v/>
      </c>
    </row>
    <row r="3015" spans="1:17" s="62" customFormat="1" hidden="1" x14ac:dyDescent="0.25">
      <c r="A3015" s="16" t="s">
        <v>545</v>
      </c>
      <c r="B3015" s="17" t="s">
        <v>594</v>
      </c>
      <c r="C3015" s="16" t="s">
        <v>851</v>
      </c>
      <c r="D3015" s="17" t="s">
        <v>600</v>
      </c>
      <c r="E3015" s="17" t="s">
        <v>601</v>
      </c>
      <c r="F3015" s="18" t="s">
        <v>852</v>
      </c>
      <c r="G3015" s="49" t="s">
        <v>853</v>
      </c>
      <c r="H3015" s="17">
        <f t="shared" ref="H3015:H3045" si="21">H3014+1</f>
        <v>2</v>
      </c>
      <c r="I3015" s="30"/>
      <c r="J3015" s="62" t="s">
        <v>532</v>
      </c>
      <c r="O3015" s="62" t="str">
        <f>IF(E3015="PA",IF(K3015&lt;&gt;"",ISERROR(VLOOKUP(K3015,ABBR!A:D,1,FALSE)),ISERROR(VLOOKUP(C3015,ABBR!A:D,1,FALSE))),"")</f>
        <v/>
      </c>
      <c r="P3015" t="str">
        <f>VLOOKUP(A3015,Groups!A:L,5,FALSE)</f>
        <v>SAMP</v>
      </c>
      <c r="Q3015" s="62" t="str">
        <f>IF(G3015="PA",IF(M3015&lt;&gt;"",ISERROR(VLOOKUP(M3015,ABBR!C:F,1,FALSE)),ISERROR(VLOOKUP(E3015,ABBR!C:F,1,FALSE))),"")</f>
        <v/>
      </c>
    </row>
    <row r="3016" spans="1:17" s="62" customFormat="1" hidden="1" x14ac:dyDescent="0.25">
      <c r="A3016" s="16" t="s">
        <v>545</v>
      </c>
      <c r="B3016" s="17" t="s">
        <v>594</v>
      </c>
      <c r="C3016" s="16" t="s">
        <v>854</v>
      </c>
      <c r="D3016" s="17"/>
      <c r="E3016" s="17" t="s">
        <v>608</v>
      </c>
      <c r="F3016" s="18" t="s">
        <v>855</v>
      </c>
      <c r="G3016" s="49" t="s">
        <v>856</v>
      </c>
      <c r="H3016" s="17">
        <f t="shared" si="21"/>
        <v>3</v>
      </c>
      <c r="I3016" s="30"/>
      <c r="J3016" s="62" t="s">
        <v>532</v>
      </c>
      <c r="O3016" s="62" t="str">
        <f>IF(E3016="PA",IF(K3016&lt;&gt;"",ISERROR(VLOOKUP(K3016,ABBR!A:D,1,FALSE)),ISERROR(VLOOKUP(C3016,ABBR!A:D,1,FALSE))),"")</f>
        <v/>
      </c>
      <c r="P3016" t="str">
        <f>VLOOKUP(A3016,Groups!A:L,5,FALSE)</f>
        <v>SAMP</v>
      </c>
      <c r="Q3016" s="62" t="str">
        <f>IF(G3016="PA",IF(M3016&lt;&gt;"",ISERROR(VLOOKUP(M3016,ABBR!C:F,1,FALSE)),ISERROR(VLOOKUP(E3016,ABBR!C:F,1,FALSE))),"")</f>
        <v/>
      </c>
    </row>
    <row r="3017" spans="1:17" s="62" customFormat="1" hidden="1" x14ac:dyDescent="0.25">
      <c r="A3017" s="16" t="s">
        <v>545</v>
      </c>
      <c r="B3017" s="17" t="s">
        <v>594</v>
      </c>
      <c r="C3017" s="16" t="s">
        <v>857</v>
      </c>
      <c r="D3017" s="17"/>
      <c r="E3017" s="17" t="s">
        <v>618</v>
      </c>
      <c r="F3017" s="18" t="s">
        <v>858</v>
      </c>
      <c r="G3017" s="49" t="s">
        <v>859</v>
      </c>
      <c r="H3017" s="17">
        <f t="shared" si="21"/>
        <v>4</v>
      </c>
      <c r="I3017" s="30"/>
      <c r="J3017" s="62" t="s">
        <v>532</v>
      </c>
      <c r="O3017" s="62" t="b">
        <f>IF(E3017="PA",IF(K3017&lt;&gt;"",ISERROR(VLOOKUP(K3017,ABBR!A:D,1,FALSE)),ISERROR(VLOOKUP(C3017,ABBR!A:D,1,FALSE))),"")</f>
        <v>0</v>
      </c>
      <c r="P3017" t="str">
        <f>VLOOKUP(A3017,Groups!A:L,5,FALSE)</f>
        <v>SAMP</v>
      </c>
      <c r="Q3017" s="62" t="str">
        <f>IF(G3017="PA",IF(M3017&lt;&gt;"",ISERROR(VLOOKUP(M3017,ABBR!C:F,1,FALSE)),ISERROR(VLOOKUP(E3017,ABBR!C:F,1,FALSE))),"")</f>
        <v/>
      </c>
    </row>
    <row r="3018" spans="1:17" s="62" customFormat="1" hidden="1" x14ac:dyDescent="0.25">
      <c r="A3018" s="16" t="s">
        <v>545</v>
      </c>
      <c r="B3018" s="17" t="s">
        <v>594</v>
      </c>
      <c r="C3018" s="16" t="s">
        <v>860</v>
      </c>
      <c r="D3018" s="17"/>
      <c r="E3018" s="17" t="s">
        <v>596</v>
      </c>
      <c r="F3018" s="18" t="s">
        <v>861</v>
      </c>
      <c r="G3018" s="49" t="s">
        <v>862</v>
      </c>
      <c r="H3018" s="17">
        <f t="shared" si="21"/>
        <v>5</v>
      </c>
      <c r="I3018" s="30"/>
      <c r="J3018" s="62" t="s">
        <v>532</v>
      </c>
      <c r="O3018" s="62" t="str">
        <f>IF(E3018="PA",IF(K3018&lt;&gt;"",ISERROR(VLOOKUP(K3018,ABBR!A:D,1,FALSE)),ISERROR(VLOOKUP(C3018,ABBR!A:D,1,FALSE))),"")</f>
        <v/>
      </c>
      <c r="P3018" t="str">
        <f>VLOOKUP(A3018,Groups!A:L,5,FALSE)</f>
        <v>SAMP</v>
      </c>
      <c r="Q3018" s="62" t="str">
        <f>IF(G3018="PA",IF(M3018&lt;&gt;"",ISERROR(VLOOKUP(M3018,ABBR!C:F,1,FALSE)),ISERROR(VLOOKUP(E3018,ABBR!C:F,1,FALSE))),"")</f>
        <v/>
      </c>
    </row>
    <row r="3019" spans="1:17" s="62" customFormat="1" hidden="1" x14ac:dyDescent="0.25">
      <c r="A3019" s="16" t="s">
        <v>545</v>
      </c>
      <c r="B3019" s="17" t="s">
        <v>594</v>
      </c>
      <c r="C3019" s="16" t="s">
        <v>863</v>
      </c>
      <c r="D3019" s="17"/>
      <c r="E3019" s="17" t="s">
        <v>608</v>
      </c>
      <c r="F3019" s="18" t="s">
        <v>864</v>
      </c>
      <c r="G3019" s="49" t="s">
        <v>865</v>
      </c>
      <c r="H3019" s="17">
        <f t="shared" si="21"/>
        <v>6</v>
      </c>
      <c r="I3019" s="30"/>
      <c r="J3019" s="62" t="s">
        <v>532</v>
      </c>
      <c r="O3019" s="62" t="str">
        <f>IF(E3019="PA",IF(K3019&lt;&gt;"",ISERROR(VLOOKUP(K3019,ABBR!A:D,1,FALSE)),ISERROR(VLOOKUP(C3019,ABBR!A:D,1,FALSE))),"")</f>
        <v/>
      </c>
      <c r="P3019" t="str">
        <f>VLOOKUP(A3019,Groups!A:L,5,FALSE)</f>
        <v>SAMP</v>
      </c>
      <c r="Q3019" s="62" t="str">
        <f>IF(G3019="PA",IF(M3019&lt;&gt;"",ISERROR(VLOOKUP(M3019,ABBR!C:F,1,FALSE)),ISERROR(VLOOKUP(E3019,ABBR!C:F,1,FALSE))),"")</f>
        <v/>
      </c>
    </row>
    <row r="3020" spans="1:17" s="62" customFormat="1" hidden="1" x14ac:dyDescent="0.25">
      <c r="A3020" s="16" t="s">
        <v>545</v>
      </c>
      <c r="B3020" s="17" t="s">
        <v>594</v>
      </c>
      <c r="C3020" s="16" t="s">
        <v>866</v>
      </c>
      <c r="D3020" s="17" t="s">
        <v>600</v>
      </c>
      <c r="E3020" s="17" t="s">
        <v>601</v>
      </c>
      <c r="F3020" s="18" t="s">
        <v>867</v>
      </c>
      <c r="G3020" s="49" t="s">
        <v>853</v>
      </c>
      <c r="H3020" s="17">
        <f t="shared" si="21"/>
        <v>7</v>
      </c>
      <c r="I3020" s="30"/>
      <c r="J3020" s="62" t="s">
        <v>532</v>
      </c>
      <c r="O3020" s="62" t="str">
        <f>IF(E3020="PA",IF(K3020&lt;&gt;"",ISERROR(VLOOKUP(K3020,ABBR!A:D,1,FALSE)),ISERROR(VLOOKUP(C3020,ABBR!A:D,1,FALSE))),"")</f>
        <v/>
      </c>
      <c r="P3020" t="str">
        <f>VLOOKUP(A3020,Groups!A:L,5,FALSE)</f>
        <v>SAMP</v>
      </c>
      <c r="Q3020" s="62" t="str">
        <f>IF(G3020="PA",IF(M3020&lt;&gt;"",ISERROR(VLOOKUP(M3020,ABBR!C:F,1,FALSE)),ISERROR(VLOOKUP(E3020,ABBR!C:F,1,FALSE))),"")</f>
        <v/>
      </c>
    </row>
    <row r="3021" spans="1:17" s="62" customFormat="1" hidden="1" x14ac:dyDescent="0.25">
      <c r="A3021" s="16" t="s">
        <v>545</v>
      </c>
      <c r="B3021" s="17"/>
      <c r="C3021" s="16" t="s">
        <v>868</v>
      </c>
      <c r="D3021" s="17"/>
      <c r="E3021" s="17" t="s">
        <v>608</v>
      </c>
      <c r="F3021" s="18" t="s">
        <v>869</v>
      </c>
      <c r="G3021" s="49" t="s">
        <v>3265</v>
      </c>
      <c r="H3021" s="17">
        <f t="shared" si="21"/>
        <v>8</v>
      </c>
      <c r="I3021" s="30"/>
      <c r="J3021" s="62" t="s">
        <v>532</v>
      </c>
      <c r="O3021" s="62" t="str">
        <f>IF(E3021="PA",IF(K3021&lt;&gt;"",ISERROR(VLOOKUP(K3021,ABBR!A:D,1,FALSE)),ISERROR(VLOOKUP(C3021,ABBR!A:D,1,FALSE))),"")</f>
        <v/>
      </c>
      <c r="P3021" t="str">
        <f>VLOOKUP(A3021,Groups!A:L,5,FALSE)</f>
        <v>SAMP</v>
      </c>
      <c r="Q3021" s="62" t="str">
        <f>IF(G3021="PA",IF(M3021&lt;&gt;"",ISERROR(VLOOKUP(M3021,ABBR!C:F,1,FALSE)),ISERROR(VLOOKUP(E3021,ABBR!C:F,1,FALSE))),"")</f>
        <v/>
      </c>
    </row>
    <row r="3022" spans="1:17" s="62" customFormat="1" ht="25" hidden="1" x14ac:dyDescent="0.25">
      <c r="A3022" s="16" t="s">
        <v>545</v>
      </c>
      <c r="B3022" s="17"/>
      <c r="C3022" s="16" t="s">
        <v>871</v>
      </c>
      <c r="D3022" s="17"/>
      <c r="E3022" s="17" t="s">
        <v>608</v>
      </c>
      <c r="F3022" s="18" t="s">
        <v>872</v>
      </c>
      <c r="G3022" s="49" t="s">
        <v>873</v>
      </c>
      <c r="H3022" s="17">
        <f t="shared" si="21"/>
        <v>9</v>
      </c>
      <c r="I3022" s="30"/>
      <c r="J3022" s="62" t="s">
        <v>532</v>
      </c>
      <c r="O3022" s="62" t="str">
        <f>IF(E3022="PA",IF(K3022&lt;&gt;"",ISERROR(VLOOKUP(K3022,ABBR!A:D,1,FALSE)),ISERROR(VLOOKUP(C3022,ABBR!A:D,1,FALSE))),"")</f>
        <v/>
      </c>
      <c r="P3022" t="str">
        <f>VLOOKUP(A3022,Groups!A:L,5,FALSE)</f>
        <v>SAMP</v>
      </c>
      <c r="Q3022" s="62" t="str">
        <f>IF(G3022="PA",IF(M3022&lt;&gt;"",ISERROR(VLOOKUP(M3022,ABBR!C:F,1,FALSE)),ISERROR(VLOOKUP(E3022,ABBR!C:F,1,FALSE))),"")</f>
        <v/>
      </c>
    </row>
    <row r="3023" spans="1:17" s="62" customFormat="1" hidden="1" x14ac:dyDescent="0.25">
      <c r="A3023" s="16" t="s">
        <v>545</v>
      </c>
      <c r="B3023" s="46"/>
      <c r="C3023" s="16" t="s">
        <v>877</v>
      </c>
      <c r="D3023" s="46" t="s">
        <v>600</v>
      </c>
      <c r="E3023" s="46" t="s">
        <v>601</v>
      </c>
      <c r="F3023" s="93" t="s">
        <v>878</v>
      </c>
      <c r="G3023" s="94" t="s">
        <v>879</v>
      </c>
      <c r="H3023" s="17">
        <f t="shared" si="21"/>
        <v>10</v>
      </c>
      <c r="I3023"/>
      <c r="J3023" s="34" t="s">
        <v>473</v>
      </c>
      <c r="K3023"/>
      <c r="L3023"/>
      <c r="M3023"/>
      <c r="O3023" s="62" t="str">
        <f>IF(E3023="PA",IF(K3023&lt;&gt;"",ISERROR(VLOOKUP(K3023,ABBR!A:D,1,FALSE)),ISERROR(VLOOKUP(C3023,ABBR!A:D,1,FALSE))),"")</f>
        <v/>
      </c>
      <c r="P3023" t="str">
        <f>VLOOKUP(A3023,Groups!A:L,5,FALSE)</f>
        <v>SAMP</v>
      </c>
      <c r="Q3023" s="62" t="str">
        <f>IF(G3023="PA",IF(M3023&lt;&gt;"",ISERROR(VLOOKUP(M3023,ABBR!C:F,1,FALSE)),ISERROR(VLOOKUP(E3023,ABBR!C:F,1,FALSE))),"")</f>
        <v/>
      </c>
    </row>
    <row r="3024" spans="1:17" s="62" customFormat="1" hidden="1" x14ac:dyDescent="0.25">
      <c r="A3024" s="16" t="s">
        <v>545</v>
      </c>
      <c r="B3024" s="17"/>
      <c r="C3024" s="16" t="s">
        <v>5024</v>
      </c>
      <c r="D3024" s="17"/>
      <c r="E3024" s="17" t="s">
        <v>608</v>
      </c>
      <c r="F3024" s="18" t="s">
        <v>875</v>
      </c>
      <c r="G3024" s="49" t="s">
        <v>876</v>
      </c>
      <c r="H3024" s="17">
        <f t="shared" si="21"/>
        <v>11</v>
      </c>
      <c r="I3024" s="30"/>
      <c r="J3024" s="80" t="s">
        <v>473</v>
      </c>
      <c r="O3024" s="62" t="str">
        <f>IF(E3024="PA",IF(K3024&lt;&gt;"",ISERROR(VLOOKUP(K3024,ABBR!A:D,1,FALSE)),ISERROR(VLOOKUP(C3024,ABBR!A:D,1,FALSE))),"")</f>
        <v/>
      </c>
      <c r="P3024" t="str">
        <f>VLOOKUP(A3024,Groups!A:L,5,FALSE)</f>
        <v>SAMP</v>
      </c>
      <c r="Q3024" s="62" t="str">
        <f>IF(G3024="PA",IF(M3024&lt;&gt;"",ISERROR(VLOOKUP(M3024,ABBR!C:F,1,FALSE)),ISERROR(VLOOKUP(E3024,ABBR!C:F,1,FALSE))),"")</f>
        <v/>
      </c>
    </row>
    <row r="3025" spans="1:17" s="62" customFormat="1" hidden="1" x14ac:dyDescent="0.25">
      <c r="A3025" s="16" t="s">
        <v>545</v>
      </c>
      <c r="B3025" s="17"/>
      <c r="C3025" s="16" t="s">
        <v>5025</v>
      </c>
      <c r="D3025" s="17"/>
      <c r="E3025" s="17" t="s">
        <v>723</v>
      </c>
      <c r="F3025" s="18" t="s">
        <v>5026</v>
      </c>
      <c r="G3025" s="49" t="s">
        <v>5027</v>
      </c>
      <c r="H3025" s="17">
        <f t="shared" si="21"/>
        <v>12</v>
      </c>
      <c r="I3025" s="30"/>
      <c r="J3025" s="62" t="s">
        <v>532</v>
      </c>
      <c r="O3025" s="62" t="str">
        <f>IF(E3025="PA",IF(K3025&lt;&gt;"",ISERROR(VLOOKUP(K3025,ABBR!A:D,1,FALSE)),ISERROR(VLOOKUP(C3025,ABBR!A:D,1,FALSE))),"")</f>
        <v/>
      </c>
      <c r="P3025" t="str">
        <f>VLOOKUP(A3025,Groups!A:L,5,FALSE)</f>
        <v>SAMP</v>
      </c>
      <c r="Q3025" s="62" t="str">
        <f>IF(G3025="PA",IF(M3025&lt;&gt;"",ISERROR(VLOOKUP(M3025,ABBR!C:F,1,FALSE)),ISERROR(VLOOKUP(E3025,ABBR!C:F,1,FALSE))),"")</f>
        <v/>
      </c>
    </row>
    <row r="3026" spans="1:17" s="62" customFormat="1" hidden="1" x14ac:dyDescent="0.25">
      <c r="A3026" s="16" t="s">
        <v>545</v>
      </c>
      <c r="B3026" s="17"/>
      <c r="C3026" s="16" t="s">
        <v>5028</v>
      </c>
      <c r="D3026" s="17"/>
      <c r="E3026" s="17" t="s">
        <v>767</v>
      </c>
      <c r="F3026" s="18" t="s">
        <v>5029</v>
      </c>
      <c r="G3026" s="49" t="s">
        <v>5030</v>
      </c>
      <c r="H3026" s="17">
        <f t="shared" si="21"/>
        <v>13</v>
      </c>
      <c r="I3026" s="30"/>
      <c r="J3026" s="62" t="s">
        <v>532</v>
      </c>
      <c r="O3026" s="62" t="str">
        <f>IF(E3026="PA",IF(K3026&lt;&gt;"",ISERROR(VLOOKUP(K3026,ABBR!A:D,1,FALSE)),ISERROR(VLOOKUP(C3026,ABBR!A:D,1,FALSE))),"")</f>
        <v/>
      </c>
      <c r="P3026" t="str">
        <f>VLOOKUP(A3026,Groups!A:L,5,FALSE)</f>
        <v>SAMP</v>
      </c>
      <c r="Q3026" s="62" t="str">
        <f>IF(G3026="PA",IF(M3026&lt;&gt;"",ISERROR(VLOOKUP(M3026,ABBR!C:F,1,FALSE)),ISERROR(VLOOKUP(E3026,ABBR!C:F,1,FALSE))),"")</f>
        <v/>
      </c>
    </row>
    <row r="3027" spans="1:17" s="62" customFormat="1" hidden="1" x14ac:dyDescent="0.25">
      <c r="A3027" s="16" t="s">
        <v>545</v>
      </c>
      <c r="B3027" s="17"/>
      <c r="C3027" s="16" t="s">
        <v>5031</v>
      </c>
      <c r="D3027" s="17"/>
      <c r="E3027" s="17" t="s">
        <v>723</v>
      </c>
      <c r="F3027" s="18" t="s">
        <v>5032</v>
      </c>
      <c r="G3027" s="49" t="s">
        <v>5033</v>
      </c>
      <c r="H3027" s="17">
        <f t="shared" si="21"/>
        <v>14</v>
      </c>
      <c r="I3027" s="30"/>
      <c r="J3027" s="62" t="s">
        <v>532</v>
      </c>
      <c r="O3027" s="62" t="str">
        <f>IF(E3027="PA",IF(K3027&lt;&gt;"",ISERROR(VLOOKUP(K3027,ABBR!A:D,1,FALSE)),ISERROR(VLOOKUP(C3027,ABBR!A:D,1,FALSE))),"")</f>
        <v/>
      </c>
      <c r="P3027" t="str">
        <f>VLOOKUP(A3027,Groups!A:L,5,FALSE)</f>
        <v>SAMP</v>
      </c>
      <c r="Q3027" s="62" t="str">
        <f>IF(G3027="PA",IF(M3027&lt;&gt;"",ISERROR(VLOOKUP(M3027,ABBR!C:F,1,FALSE)),ISERROR(VLOOKUP(E3027,ABBR!C:F,1,FALSE))),"")</f>
        <v/>
      </c>
    </row>
    <row r="3028" spans="1:17" s="62" customFormat="1" hidden="1" x14ac:dyDescent="0.25">
      <c r="A3028" s="16" t="s">
        <v>545</v>
      </c>
      <c r="B3028" s="17"/>
      <c r="C3028" s="16" t="s">
        <v>5034</v>
      </c>
      <c r="D3028" s="17"/>
      <c r="E3028" s="17" t="s">
        <v>608</v>
      </c>
      <c r="F3028" s="18" t="s">
        <v>5035</v>
      </c>
      <c r="G3028" s="49" t="s">
        <v>5036</v>
      </c>
      <c r="H3028" s="17">
        <f t="shared" si="21"/>
        <v>15</v>
      </c>
      <c r="I3028" s="30"/>
      <c r="J3028" s="62" t="s">
        <v>532</v>
      </c>
      <c r="O3028" s="62" t="str">
        <f>IF(E3028="PA",IF(K3028&lt;&gt;"",ISERROR(VLOOKUP(K3028,ABBR!A:D,1,FALSE)),ISERROR(VLOOKUP(C3028,ABBR!A:D,1,FALSE))),"")</f>
        <v/>
      </c>
      <c r="P3028" t="str">
        <f>VLOOKUP(A3028,Groups!A:L,5,FALSE)</f>
        <v>SAMP</v>
      </c>
      <c r="Q3028" s="62" t="str">
        <f>IF(G3028="PA",IF(M3028&lt;&gt;"",ISERROR(VLOOKUP(M3028,ABBR!C:F,1,FALSE)),ISERROR(VLOOKUP(E3028,ABBR!C:F,1,FALSE))),"")</f>
        <v/>
      </c>
    </row>
    <row r="3029" spans="1:17" s="62" customFormat="1" hidden="1" x14ac:dyDescent="0.25">
      <c r="A3029" s="16" t="s">
        <v>545</v>
      </c>
      <c r="B3029" s="17"/>
      <c r="C3029" s="16" t="s">
        <v>5037</v>
      </c>
      <c r="D3029" s="17"/>
      <c r="E3029" s="17" t="s">
        <v>608</v>
      </c>
      <c r="F3029" s="18" t="s">
        <v>5038</v>
      </c>
      <c r="G3029" s="49" t="s">
        <v>5039</v>
      </c>
      <c r="H3029" s="17">
        <f t="shared" si="21"/>
        <v>16</v>
      </c>
      <c r="I3029" s="30"/>
      <c r="J3029" s="62" t="s">
        <v>532</v>
      </c>
      <c r="O3029" s="62" t="str">
        <f>IF(E3029="PA",IF(K3029&lt;&gt;"",ISERROR(VLOOKUP(K3029,ABBR!A:D,1,FALSE)),ISERROR(VLOOKUP(C3029,ABBR!A:D,1,FALSE))),"")</f>
        <v/>
      </c>
      <c r="P3029" t="str">
        <f>VLOOKUP(A3029,Groups!A:L,5,FALSE)</f>
        <v>SAMP</v>
      </c>
      <c r="Q3029" s="62" t="str">
        <f>IF(G3029="PA",IF(M3029&lt;&gt;"",ISERROR(VLOOKUP(M3029,ABBR!C:F,1,FALSE)),ISERROR(VLOOKUP(E3029,ABBR!C:F,1,FALSE))),"")</f>
        <v/>
      </c>
    </row>
    <row r="3030" spans="1:17" s="62" customFormat="1" hidden="1" x14ac:dyDescent="0.25">
      <c r="A3030" s="16" t="s">
        <v>545</v>
      </c>
      <c r="B3030" s="17"/>
      <c r="C3030" s="16" t="s">
        <v>5040</v>
      </c>
      <c r="D3030" s="17"/>
      <c r="E3030" s="17" t="s">
        <v>608</v>
      </c>
      <c r="F3030" s="18" t="s">
        <v>5041</v>
      </c>
      <c r="G3030" s="49" t="s">
        <v>5039</v>
      </c>
      <c r="H3030" s="17">
        <f t="shared" si="21"/>
        <v>17</v>
      </c>
      <c r="I3030" s="30"/>
      <c r="J3030" s="62" t="s">
        <v>532</v>
      </c>
      <c r="O3030" s="62" t="str">
        <f>IF(E3030="PA",IF(K3030&lt;&gt;"",ISERROR(VLOOKUP(K3030,ABBR!A:D,1,FALSE)),ISERROR(VLOOKUP(C3030,ABBR!A:D,1,FALSE))),"")</f>
        <v/>
      </c>
      <c r="P3030" t="str">
        <f>VLOOKUP(A3030,Groups!A:L,5,FALSE)</f>
        <v>SAMP</v>
      </c>
      <c r="Q3030" s="62" t="str">
        <f>IF(G3030="PA",IF(M3030&lt;&gt;"",ISERROR(VLOOKUP(M3030,ABBR!C:F,1,FALSE)),ISERROR(VLOOKUP(E3030,ABBR!C:F,1,FALSE))),"")</f>
        <v/>
      </c>
    </row>
    <row r="3031" spans="1:17" s="62" customFormat="1" hidden="1" x14ac:dyDescent="0.25">
      <c r="A3031" s="16" t="s">
        <v>545</v>
      </c>
      <c r="B3031" s="17"/>
      <c r="C3031" s="16" t="s">
        <v>5042</v>
      </c>
      <c r="D3031" s="17"/>
      <c r="E3031" s="17" t="s">
        <v>723</v>
      </c>
      <c r="F3031" s="18" t="s">
        <v>5043</v>
      </c>
      <c r="G3031" s="49" t="s">
        <v>5044</v>
      </c>
      <c r="H3031" s="17">
        <f t="shared" si="21"/>
        <v>18</v>
      </c>
      <c r="I3031" s="30"/>
      <c r="J3031" s="62" t="s">
        <v>532</v>
      </c>
      <c r="O3031" s="62" t="str">
        <f>IF(E3031="PA",IF(K3031&lt;&gt;"",ISERROR(VLOOKUP(K3031,ABBR!A:D,1,FALSE)),ISERROR(VLOOKUP(C3031,ABBR!A:D,1,FALSE))),"")</f>
        <v/>
      </c>
      <c r="P3031" t="str">
        <f>VLOOKUP(A3031,Groups!A:L,5,FALSE)</f>
        <v>SAMP</v>
      </c>
      <c r="Q3031" s="62" t="str">
        <f>IF(G3031="PA",IF(M3031&lt;&gt;"",ISERROR(VLOOKUP(M3031,ABBR!C:F,1,FALSE)),ISERROR(VLOOKUP(E3031,ABBR!C:F,1,FALSE))),"")</f>
        <v/>
      </c>
    </row>
    <row r="3032" spans="1:17" s="62" customFormat="1" hidden="1" x14ac:dyDescent="0.25">
      <c r="A3032" s="16" t="s">
        <v>545</v>
      </c>
      <c r="B3032" s="17"/>
      <c r="C3032" s="16" t="s">
        <v>5045</v>
      </c>
      <c r="D3032" s="17"/>
      <c r="E3032" s="17" t="s">
        <v>767</v>
      </c>
      <c r="F3032" s="18" t="s">
        <v>5046</v>
      </c>
      <c r="G3032" s="49" t="s">
        <v>1458</v>
      </c>
      <c r="H3032" s="17">
        <f t="shared" si="21"/>
        <v>19</v>
      </c>
      <c r="I3032" s="30"/>
      <c r="J3032" s="62" t="s">
        <v>532</v>
      </c>
      <c r="O3032" s="62" t="str">
        <f>IF(E3032="PA",IF(K3032&lt;&gt;"",ISERROR(VLOOKUP(K3032,ABBR!A:D,1,FALSE)),ISERROR(VLOOKUP(C3032,ABBR!A:D,1,FALSE))),"")</f>
        <v/>
      </c>
      <c r="P3032" t="str">
        <f>VLOOKUP(A3032,Groups!A:L,5,FALSE)</f>
        <v>SAMP</v>
      </c>
      <c r="Q3032" s="62" t="str">
        <f>IF(G3032="PA",IF(M3032&lt;&gt;"",ISERROR(VLOOKUP(M3032,ABBR!C:F,1,FALSE)),ISERROR(VLOOKUP(E3032,ABBR!C:F,1,FALSE))),"")</f>
        <v/>
      </c>
    </row>
    <row r="3033" spans="1:17" s="62" customFormat="1" hidden="1" x14ac:dyDescent="0.25">
      <c r="A3033" s="16" t="s">
        <v>545</v>
      </c>
      <c r="B3033" s="17"/>
      <c r="C3033" s="16" t="s">
        <v>5047</v>
      </c>
      <c r="D3033" s="17"/>
      <c r="E3033" s="17" t="s">
        <v>723</v>
      </c>
      <c r="F3033" s="18" t="s">
        <v>5048</v>
      </c>
      <c r="G3033" s="49" t="s">
        <v>5049</v>
      </c>
      <c r="H3033" s="17">
        <f t="shared" si="21"/>
        <v>20</v>
      </c>
      <c r="I3033" s="30"/>
      <c r="J3033" s="62" t="s">
        <v>532</v>
      </c>
      <c r="O3033" s="62" t="str">
        <f>IF(E3033="PA",IF(K3033&lt;&gt;"",ISERROR(VLOOKUP(K3033,ABBR!A:D,1,FALSE)),ISERROR(VLOOKUP(C3033,ABBR!A:D,1,FALSE))),"")</f>
        <v/>
      </c>
      <c r="P3033" t="str">
        <f>VLOOKUP(A3033,Groups!A:L,5,FALSE)</f>
        <v>SAMP</v>
      </c>
      <c r="Q3033" s="62" t="str">
        <f>IF(G3033="PA",IF(M3033&lt;&gt;"",ISERROR(VLOOKUP(M3033,ABBR!C:F,1,FALSE)),ISERROR(VLOOKUP(E3033,ABBR!C:F,1,FALSE))),"")</f>
        <v/>
      </c>
    </row>
    <row r="3034" spans="1:17" s="62" customFormat="1" hidden="1" x14ac:dyDescent="0.25">
      <c r="A3034" s="16" t="s">
        <v>545</v>
      </c>
      <c r="B3034" s="17"/>
      <c r="C3034" s="16" t="s">
        <v>5050</v>
      </c>
      <c r="D3034" s="17"/>
      <c r="E3034" s="17" t="s">
        <v>608</v>
      </c>
      <c r="F3034" s="18" t="s">
        <v>5051</v>
      </c>
      <c r="G3034" s="49" t="s">
        <v>5052</v>
      </c>
      <c r="H3034" s="17">
        <f t="shared" si="21"/>
        <v>21</v>
      </c>
      <c r="I3034" s="30"/>
      <c r="J3034" s="62" t="s">
        <v>532</v>
      </c>
      <c r="O3034" s="62" t="str">
        <f>IF(E3034="PA",IF(K3034&lt;&gt;"",ISERROR(VLOOKUP(K3034,ABBR!A:D,1,FALSE)),ISERROR(VLOOKUP(C3034,ABBR!A:D,1,FALSE))),"")</f>
        <v/>
      </c>
      <c r="P3034" t="str">
        <f>VLOOKUP(A3034,Groups!A:L,5,FALSE)</f>
        <v>SAMP</v>
      </c>
      <c r="Q3034" s="62" t="str">
        <f>IF(G3034="PA",IF(M3034&lt;&gt;"",ISERROR(VLOOKUP(M3034,ABBR!C:F,1,FALSE)),ISERROR(VLOOKUP(E3034,ABBR!C:F,1,FALSE))),"")</f>
        <v/>
      </c>
    </row>
    <row r="3035" spans="1:17" s="62" customFormat="1" hidden="1" x14ac:dyDescent="0.25">
      <c r="A3035" s="16" t="s">
        <v>545</v>
      </c>
      <c r="B3035" s="17"/>
      <c r="C3035" s="16" t="s">
        <v>5053</v>
      </c>
      <c r="D3035" s="17"/>
      <c r="E3035" s="17" t="s">
        <v>608</v>
      </c>
      <c r="F3035" s="18" t="s">
        <v>5054</v>
      </c>
      <c r="G3035" s="49" t="s">
        <v>5055</v>
      </c>
      <c r="H3035" s="17">
        <f t="shared" si="21"/>
        <v>22</v>
      </c>
      <c r="I3035" s="30"/>
      <c r="J3035" s="62" t="s">
        <v>532</v>
      </c>
      <c r="O3035" s="62" t="str">
        <f>IF(E3035="PA",IF(K3035&lt;&gt;"",ISERROR(VLOOKUP(K3035,ABBR!A:D,1,FALSE)),ISERROR(VLOOKUP(C3035,ABBR!A:D,1,FALSE))),"")</f>
        <v/>
      </c>
      <c r="P3035" t="str">
        <f>VLOOKUP(A3035,Groups!A:L,5,FALSE)</f>
        <v>SAMP</v>
      </c>
      <c r="Q3035" s="62" t="str">
        <f>IF(G3035="PA",IF(M3035&lt;&gt;"",ISERROR(VLOOKUP(M3035,ABBR!C:F,1,FALSE)),ISERROR(VLOOKUP(E3035,ABBR!C:F,1,FALSE))),"")</f>
        <v/>
      </c>
    </row>
    <row r="3036" spans="1:17" s="62" customFormat="1" hidden="1" x14ac:dyDescent="0.25">
      <c r="A3036" s="16" t="s">
        <v>545</v>
      </c>
      <c r="B3036" s="17"/>
      <c r="C3036" s="16" t="s">
        <v>5056</v>
      </c>
      <c r="D3036" s="17"/>
      <c r="E3036" s="17" t="s">
        <v>608</v>
      </c>
      <c r="F3036" s="18" t="s">
        <v>5057</v>
      </c>
      <c r="G3036" s="49" t="s">
        <v>5058</v>
      </c>
      <c r="H3036" s="17">
        <f t="shared" si="21"/>
        <v>23</v>
      </c>
      <c r="I3036" s="30"/>
      <c r="J3036" s="62" t="s">
        <v>532</v>
      </c>
      <c r="O3036" s="62" t="str">
        <f>IF(E3036="PA",IF(K3036&lt;&gt;"",ISERROR(VLOOKUP(K3036,ABBR!A:D,1,FALSE)),ISERROR(VLOOKUP(C3036,ABBR!A:D,1,FALSE))),"")</f>
        <v/>
      </c>
      <c r="P3036" t="str">
        <f>VLOOKUP(A3036,Groups!A:L,5,FALSE)</f>
        <v>SAMP</v>
      </c>
      <c r="Q3036" s="62" t="str">
        <f>IF(G3036="PA",IF(M3036&lt;&gt;"",ISERROR(VLOOKUP(M3036,ABBR!C:F,1,FALSE)),ISERROR(VLOOKUP(E3036,ABBR!C:F,1,FALSE))),"")</f>
        <v/>
      </c>
    </row>
    <row r="3037" spans="1:17" s="62" customFormat="1" ht="25" hidden="1" x14ac:dyDescent="0.25">
      <c r="A3037" s="16" t="s">
        <v>545</v>
      </c>
      <c r="B3037" s="17"/>
      <c r="C3037" s="16" t="s">
        <v>5059</v>
      </c>
      <c r="D3037" s="17"/>
      <c r="E3037" s="17" t="s">
        <v>608</v>
      </c>
      <c r="F3037" s="18" t="s">
        <v>642</v>
      </c>
      <c r="G3037" s="49" t="s">
        <v>5060</v>
      </c>
      <c r="H3037" s="17">
        <f t="shared" si="21"/>
        <v>24</v>
      </c>
      <c r="I3037" s="30"/>
      <c r="J3037" s="62" t="s">
        <v>532</v>
      </c>
      <c r="O3037" s="62" t="str">
        <f>IF(E3037="PA",IF(K3037&lt;&gt;"",ISERROR(VLOOKUP(K3037,ABBR!A:D,1,FALSE)),ISERROR(VLOOKUP(C3037,ABBR!A:D,1,FALSE))),"")</f>
        <v/>
      </c>
      <c r="P3037" t="str">
        <f>VLOOKUP(A3037,Groups!A:L,5,FALSE)</f>
        <v>SAMP</v>
      </c>
      <c r="Q3037" s="62" t="str">
        <f>IF(G3037="PA",IF(M3037&lt;&gt;"",ISERROR(VLOOKUP(M3037,ABBR!C:F,1,FALSE)),ISERROR(VLOOKUP(E3037,ABBR!C:F,1,FALSE))),"")</f>
        <v/>
      </c>
    </row>
    <row r="3038" spans="1:17" s="62" customFormat="1" hidden="1" x14ac:dyDescent="0.25">
      <c r="A3038" s="16" t="s">
        <v>545</v>
      </c>
      <c r="B3038" s="17"/>
      <c r="C3038" s="16" t="s">
        <v>5061</v>
      </c>
      <c r="D3038" s="17"/>
      <c r="E3038" s="17" t="s">
        <v>608</v>
      </c>
      <c r="F3038" s="18" t="s">
        <v>918</v>
      </c>
      <c r="G3038" s="49" t="s">
        <v>5062</v>
      </c>
      <c r="H3038" s="17">
        <f t="shared" si="21"/>
        <v>25</v>
      </c>
      <c r="I3038" s="30"/>
      <c r="J3038" s="62" t="s">
        <v>532</v>
      </c>
      <c r="O3038" s="62" t="str">
        <f>IF(E3038="PA",IF(K3038&lt;&gt;"",ISERROR(VLOOKUP(K3038,ABBR!A:D,1,FALSE)),ISERROR(VLOOKUP(C3038,ABBR!A:D,1,FALSE))),"")</f>
        <v/>
      </c>
      <c r="P3038" t="str">
        <f>VLOOKUP(A3038,Groups!A:L,5,FALSE)</f>
        <v>SAMP</v>
      </c>
      <c r="Q3038" s="62" t="str">
        <f>IF(G3038="PA",IF(M3038&lt;&gt;"",ISERROR(VLOOKUP(M3038,ABBR!C:F,1,FALSE)),ISERROR(VLOOKUP(E3038,ABBR!C:F,1,FALSE))),"")</f>
        <v/>
      </c>
    </row>
    <row r="3039" spans="1:17" s="62" customFormat="1" hidden="1" x14ac:dyDescent="0.25">
      <c r="A3039" s="16" t="s">
        <v>545</v>
      </c>
      <c r="B3039" s="46"/>
      <c r="C3039" s="9" t="s">
        <v>5063</v>
      </c>
      <c r="D3039" s="46"/>
      <c r="E3039" s="46" t="s">
        <v>608</v>
      </c>
      <c r="F3039" s="93" t="s">
        <v>921</v>
      </c>
      <c r="G3039" s="94" t="s">
        <v>922</v>
      </c>
      <c r="H3039" s="17">
        <f t="shared" si="21"/>
        <v>26</v>
      </c>
      <c r="I3039"/>
      <c r="J3039" s="34" t="s">
        <v>473</v>
      </c>
      <c r="K3039"/>
      <c r="L3039"/>
      <c r="M3039" s="101"/>
      <c r="N3039"/>
      <c r="O3039" s="62" t="str">
        <f>IF(E3039="PA",IF(K3039&lt;&gt;"",ISERROR(VLOOKUP(K3039,ABBR!A:D,1,FALSE)),ISERROR(VLOOKUP(C3039,ABBR!A:D,1,FALSE))),"")</f>
        <v/>
      </c>
      <c r="P3039" t="str">
        <f>VLOOKUP(A3039,Groups!A:L,5,FALSE)</f>
        <v>SAMP</v>
      </c>
      <c r="Q3039" s="62" t="str">
        <f>IF(G3039="PA",IF(M3039&lt;&gt;"",ISERROR(VLOOKUP(M3039,ABBR!C:F,1,FALSE)),ISERROR(VLOOKUP(E3039,ABBR!C:F,1,FALSE))),"")</f>
        <v/>
      </c>
    </row>
    <row r="3040" spans="1:17" s="62" customFormat="1" hidden="1" x14ac:dyDescent="0.25">
      <c r="A3040" s="16" t="s">
        <v>545</v>
      </c>
      <c r="B3040" s="17"/>
      <c r="C3040" s="16" t="s">
        <v>5064</v>
      </c>
      <c r="D3040" s="17"/>
      <c r="E3040" s="17" t="s">
        <v>608</v>
      </c>
      <c r="F3040" s="18" t="s">
        <v>929</v>
      </c>
      <c r="G3040" s="49" t="s">
        <v>876</v>
      </c>
      <c r="H3040" s="17">
        <f t="shared" si="21"/>
        <v>27</v>
      </c>
      <c r="I3040" s="30"/>
      <c r="J3040" s="62" t="s">
        <v>532</v>
      </c>
      <c r="O3040" s="62" t="str">
        <f>IF(E3040="PA",IF(K3040&lt;&gt;"",ISERROR(VLOOKUP(K3040,ABBR!A:D,1,FALSE)),ISERROR(VLOOKUP(C3040,ABBR!A:D,1,FALSE))),"")</f>
        <v/>
      </c>
      <c r="P3040" t="str">
        <f>VLOOKUP(A3040,Groups!A:L,5,FALSE)</f>
        <v>SAMP</v>
      </c>
      <c r="Q3040" s="62" t="str">
        <f>IF(G3040="PA",IF(M3040&lt;&gt;"",ISERROR(VLOOKUP(M3040,ABBR!C:F,1,FALSE)),ISERROR(VLOOKUP(E3040,ABBR!C:F,1,FALSE))),"")</f>
        <v/>
      </c>
    </row>
    <row r="3041" spans="1:17" s="62" customFormat="1" hidden="1" x14ac:dyDescent="0.25">
      <c r="A3041" s="16" t="s">
        <v>545</v>
      </c>
      <c r="B3041" s="17"/>
      <c r="C3041" s="16" t="s">
        <v>5065</v>
      </c>
      <c r="D3041" s="17" t="s">
        <v>924</v>
      </c>
      <c r="E3041" s="17" t="s">
        <v>925</v>
      </c>
      <c r="F3041" s="18" t="s">
        <v>4338</v>
      </c>
      <c r="G3041" s="49" t="s">
        <v>927</v>
      </c>
      <c r="H3041" s="17">
        <f t="shared" si="21"/>
        <v>28</v>
      </c>
      <c r="I3041" s="30"/>
      <c r="J3041" s="62" t="s">
        <v>532</v>
      </c>
      <c r="O3041" s="62" t="str">
        <f>IF(E3041="PA",IF(K3041&lt;&gt;"",ISERROR(VLOOKUP(K3041,ABBR!A:D,1,FALSE)),ISERROR(VLOOKUP(C3041,ABBR!A:D,1,FALSE))),"")</f>
        <v/>
      </c>
      <c r="P3041" t="str">
        <f>VLOOKUP(A3041,Groups!A:L,5,FALSE)</f>
        <v>SAMP</v>
      </c>
      <c r="Q3041" s="62" t="str">
        <f>IF(G3041="PA",IF(M3041&lt;&gt;"",ISERROR(VLOOKUP(M3041,ABBR!C:F,1,FALSE)),ISERROR(VLOOKUP(E3041,ABBR!C:F,1,FALSE))),"")</f>
        <v/>
      </c>
    </row>
    <row r="3042" spans="1:17" s="62" customFormat="1" hidden="1" x14ac:dyDescent="0.25">
      <c r="A3042" s="16" t="s">
        <v>545</v>
      </c>
      <c r="B3042" s="17"/>
      <c r="C3042" s="16" t="s">
        <v>5066</v>
      </c>
      <c r="D3042" s="17"/>
      <c r="E3042" s="17" t="s">
        <v>608</v>
      </c>
      <c r="F3042" s="18" t="s">
        <v>931</v>
      </c>
      <c r="G3042" s="49" t="s">
        <v>932</v>
      </c>
      <c r="H3042" s="17">
        <f t="shared" si="21"/>
        <v>29</v>
      </c>
      <c r="I3042" s="30"/>
      <c r="J3042" s="62" t="s">
        <v>532</v>
      </c>
      <c r="O3042" s="62" t="str">
        <f>IF(E3042="PA",IF(K3042&lt;&gt;"",ISERROR(VLOOKUP(K3042,ABBR!A:D,1,FALSE)),ISERROR(VLOOKUP(C3042,ABBR!A:D,1,FALSE))),"")</f>
        <v/>
      </c>
      <c r="P3042" t="str">
        <f>VLOOKUP(A3042,Groups!A:L,5,FALSE)</f>
        <v>SAMP</v>
      </c>
      <c r="Q3042" s="62" t="str">
        <f>IF(G3042="PA",IF(M3042&lt;&gt;"",ISERROR(VLOOKUP(M3042,ABBR!C:F,1,FALSE)),ISERROR(VLOOKUP(E3042,ABBR!C:F,1,FALSE))),"")</f>
        <v/>
      </c>
    </row>
    <row r="3043" spans="1:17" s="62" customFormat="1" ht="25" hidden="1" x14ac:dyDescent="0.25">
      <c r="A3043" s="16" t="s">
        <v>545</v>
      </c>
      <c r="B3043" s="17"/>
      <c r="C3043" s="16" t="s">
        <v>5067</v>
      </c>
      <c r="D3043" s="17"/>
      <c r="E3043" s="17" t="s">
        <v>608</v>
      </c>
      <c r="F3043" s="18" t="s">
        <v>934</v>
      </c>
      <c r="G3043" s="49" t="s">
        <v>935</v>
      </c>
      <c r="H3043" s="17">
        <f t="shared" si="21"/>
        <v>30</v>
      </c>
      <c r="I3043" s="30"/>
      <c r="J3043" s="62" t="s">
        <v>532</v>
      </c>
      <c r="O3043" s="62" t="str">
        <f>IF(E3043="PA",IF(K3043&lt;&gt;"",ISERROR(VLOOKUP(K3043,ABBR!A:D,1,FALSE)),ISERROR(VLOOKUP(C3043,ABBR!A:D,1,FALSE))),"")</f>
        <v/>
      </c>
      <c r="P3043" t="str">
        <f>VLOOKUP(A3043,Groups!A:L,5,FALSE)</f>
        <v>SAMP</v>
      </c>
      <c r="Q3043" s="62" t="str">
        <f>IF(G3043="PA",IF(M3043&lt;&gt;"",ISERROR(VLOOKUP(M3043,ABBR!C:F,1,FALSE)),ISERROR(VLOOKUP(E3043,ABBR!C:F,1,FALSE))),"")</f>
        <v/>
      </c>
    </row>
    <row r="3044" spans="1:17" s="62" customFormat="1" hidden="1" x14ac:dyDescent="0.25">
      <c r="A3044" s="16" t="s">
        <v>545</v>
      </c>
      <c r="B3044" s="17"/>
      <c r="C3044" s="16" t="s">
        <v>936</v>
      </c>
      <c r="D3044" s="17"/>
      <c r="E3044" s="17" t="s">
        <v>608</v>
      </c>
      <c r="F3044" s="18" t="s">
        <v>937</v>
      </c>
      <c r="G3044" s="49" t="s">
        <v>938</v>
      </c>
      <c r="H3044" s="17">
        <f t="shared" si="21"/>
        <v>31</v>
      </c>
      <c r="I3044" s="30"/>
      <c r="J3044" s="62" t="s">
        <v>532</v>
      </c>
      <c r="O3044" s="62" t="str">
        <f>IF(E3044="PA",IF(K3044&lt;&gt;"",ISERROR(VLOOKUP(K3044,ABBR!A:D,1,FALSE)),ISERROR(VLOOKUP(C3044,ABBR!A:D,1,FALSE))),"")</f>
        <v/>
      </c>
      <c r="P3044" t="str">
        <f>VLOOKUP(A3044,Groups!A:L,5,FALSE)</f>
        <v>SAMP</v>
      </c>
      <c r="Q3044" s="62" t="str">
        <f>IF(G3044="PA",IF(M3044&lt;&gt;"",ISERROR(VLOOKUP(M3044,ABBR!C:F,1,FALSE)),ISERROR(VLOOKUP(E3044,ABBR!C:F,1,FALSE))),"")</f>
        <v/>
      </c>
    </row>
    <row r="3045" spans="1:17" s="62" customFormat="1" hidden="1" x14ac:dyDescent="0.25">
      <c r="A3045" s="16" t="s">
        <v>545</v>
      </c>
      <c r="B3045" s="17"/>
      <c r="C3045" s="16" t="s">
        <v>643</v>
      </c>
      <c r="D3045" s="17"/>
      <c r="E3045" s="17" t="s">
        <v>608</v>
      </c>
      <c r="F3045" s="18" t="s">
        <v>1714</v>
      </c>
      <c r="G3045" s="49" t="s">
        <v>4090</v>
      </c>
      <c r="H3045" s="17">
        <f t="shared" si="21"/>
        <v>32</v>
      </c>
      <c r="I3045" s="30"/>
      <c r="J3045" s="62" t="s">
        <v>532</v>
      </c>
      <c r="O3045" s="62" t="str">
        <f>IF(E3045="PA",IF(K3045&lt;&gt;"",ISERROR(VLOOKUP(K3045,ABBR!A:D,1,FALSE)),ISERROR(VLOOKUP(C3045,ABBR!A:D,1,FALSE))),"")</f>
        <v/>
      </c>
      <c r="P3045" t="str">
        <f>VLOOKUP(A3045,Groups!A:L,5,FALSE)</f>
        <v>SAMP</v>
      </c>
      <c r="Q3045" s="62" t="str">
        <f>IF(G3045="PA",IF(M3045&lt;&gt;"",ISERROR(VLOOKUP(M3045,ABBR!C:F,1,FALSE)),ISERROR(VLOOKUP(E3045,ABBR!C:F,1,FALSE))),"")</f>
        <v/>
      </c>
    </row>
    <row r="3046" spans="1:17" s="62" customFormat="1" hidden="1" x14ac:dyDescent="0.25">
      <c r="A3046" s="16" t="s">
        <v>548</v>
      </c>
      <c r="B3046" s="17" t="s">
        <v>594</v>
      </c>
      <c r="C3046" s="16" t="s">
        <v>595</v>
      </c>
      <c r="D3046" s="17"/>
      <c r="E3046" s="17" t="s">
        <v>596</v>
      </c>
      <c r="F3046" s="18" t="s">
        <v>597</v>
      </c>
      <c r="G3046" s="49" t="s">
        <v>598</v>
      </c>
      <c r="H3046" s="17">
        <v>1</v>
      </c>
      <c r="I3046" s="30"/>
      <c r="J3046" s="62" t="s">
        <v>532</v>
      </c>
      <c r="O3046" s="62" t="str">
        <f>IF(E3046="PA",IF(K3046&lt;&gt;"",ISERROR(VLOOKUP(K3046,ABBR!A:D,1,FALSE)),ISERROR(VLOOKUP(C3046,ABBR!A:D,1,FALSE))),"")</f>
        <v/>
      </c>
      <c r="P3046" t="str">
        <f>VLOOKUP(A3046,Groups!A:L,5,FALSE)</f>
        <v>SAMP</v>
      </c>
      <c r="Q3046" s="62" t="str">
        <f>IF(G3046="PA",IF(M3046&lt;&gt;"",ISERROR(VLOOKUP(M3046,ABBR!C:F,1,FALSE)),ISERROR(VLOOKUP(E3046,ABBR!C:F,1,FALSE))),"")</f>
        <v/>
      </c>
    </row>
    <row r="3047" spans="1:17" s="62" customFormat="1" hidden="1" x14ac:dyDescent="0.25">
      <c r="A3047" s="16" t="s">
        <v>548</v>
      </c>
      <c r="B3047" s="17" t="s">
        <v>594</v>
      </c>
      <c r="C3047" s="16" t="s">
        <v>851</v>
      </c>
      <c r="D3047" s="17" t="s">
        <v>600</v>
      </c>
      <c r="E3047" s="17" t="s">
        <v>601</v>
      </c>
      <c r="F3047" s="18" t="s">
        <v>852</v>
      </c>
      <c r="G3047" s="49" t="s">
        <v>853</v>
      </c>
      <c r="H3047" s="17">
        <v>2</v>
      </c>
      <c r="I3047" s="30"/>
      <c r="J3047" s="62" t="s">
        <v>532</v>
      </c>
      <c r="O3047" s="62" t="str">
        <f>IF(E3047="PA",IF(K3047&lt;&gt;"",ISERROR(VLOOKUP(K3047,ABBR!A:D,1,FALSE)),ISERROR(VLOOKUP(C3047,ABBR!A:D,1,FALSE))),"")</f>
        <v/>
      </c>
      <c r="P3047" t="str">
        <f>VLOOKUP(A3047,Groups!A:L,5,FALSE)</f>
        <v>SAMP</v>
      </c>
      <c r="Q3047" s="62" t="str">
        <f>IF(G3047="PA",IF(M3047&lt;&gt;"",ISERROR(VLOOKUP(M3047,ABBR!C:F,1,FALSE)),ISERROR(VLOOKUP(E3047,ABBR!C:F,1,FALSE))),"")</f>
        <v/>
      </c>
    </row>
    <row r="3048" spans="1:17" s="62" customFormat="1" hidden="1" x14ac:dyDescent="0.25">
      <c r="A3048" s="16" t="s">
        <v>548</v>
      </c>
      <c r="B3048" s="17" t="s">
        <v>594</v>
      </c>
      <c r="C3048" s="16" t="s">
        <v>854</v>
      </c>
      <c r="D3048" s="17"/>
      <c r="E3048" s="17" t="s">
        <v>608</v>
      </c>
      <c r="F3048" s="18" t="s">
        <v>855</v>
      </c>
      <c r="G3048" s="49" t="s">
        <v>856</v>
      </c>
      <c r="H3048" s="17">
        <v>3</v>
      </c>
      <c r="I3048" s="30"/>
      <c r="J3048" s="62" t="s">
        <v>532</v>
      </c>
      <c r="O3048" s="62" t="str">
        <f>IF(E3048="PA",IF(K3048&lt;&gt;"",ISERROR(VLOOKUP(K3048,ABBR!A:D,1,FALSE)),ISERROR(VLOOKUP(C3048,ABBR!A:D,1,FALSE))),"")</f>
        <v/>
      </c>
      <c r="P3048" t="str">
        <f>VLOOKUP(A3048,Groups!A:L,5,FALSE)</f>
        <v>SAMP</v>
      </c>
      <c r="Q3048" s="62" t="str">
        <f>IF(G3048="PA",IF(M3048&lt;&gt;"",ISERROR(VLOOKUP(M3048,ABBR!C:F,1,FALSE)),ISERROR(VLOOKUP(E3048,ABBR!C:F,1,FALSE))),"")</f>
        <v/>
      </c>
    </row>
    <row r="3049" spans="1:17" s="62" customFormat="1" hidden="1" x14ac:dyDescent="0.25">
      <c r="A3049" s="16" t="s">
        <v>548</v>
      </c>
      <c r="B3049" s="17" t="s">
        <v>594</v>
      </c>
      <c r="C3049" s="16" t="s">
        <v>857</v>
      </c>
      <c r="D3049" s="17"/>
      <c r="E3049" s="17" t="s">
        <v>618</v>
      </c>
      <c r="F3049" s="18" t="s">
        <v>858</v>
      </c>
      <c r="G3049" s="49" t="s">
        <v>859</v>
      </c>
      <c r="H3049" s="17">
        <v>4</v>
      </c>
      <c r="I3049" s="30"/>
      <c r="J3049" s="62" t="s">
        <v>532</v>
      </c>
      <c r="O3049" s="62" t="b">
        <f>IF(E3049="PA",IF(K3049&lt;&gt;"",ISERROR(VLOOKUP(K3049,ABBR!A:D,1,FALSE)),ISERROR(VLOOKUP(C3049,ABBR!A:D,1,FALSE))),"")</f>
        <v>0</v>
      </c>
      <c r="P3049" t="str">
        <f>VLOOKUP(A3049,Groups!A:L,5,FALSE)</f>
        <v>SAMP</v>
      </c>
      <c r="Q3049" s="62" t="str">
        <f>IF(G3049="PA",IF(M3049&lt;&gt;"",ISERROR(VLOOKUP(M3049,ABBR!C:F,1,FALSE)),ISERROR(VLOOKUP(E3049,ABBR!C:F,1,FALSE))),"")</f>
        <v/>
      </c>
    </row>
    <row r="3050" spans="1:17" s="62" customFormat="1" hidden="1" x14ac:dyDescent="0.25">
      <c r="A3050" s="16" t="s">
        <v>548</v>
      </c>
      <c r="B3050" s="17" t="s">
        <v>594</v>
      </c>
      <c r="C3050" s="16" t="s">
        <v>860</v>
      </c>
      <c r="D3050" s="17"/>
      <c r="E3050" s="17" t="s">
        <v>596</v>
      </c>
      <c r="F3050" s="18" t="s">
        <v>861</v>
      </c>
      <c r="G3050" s="49" t="s">
        <v>862</v>
      </c>
      <c r="H3050" s="17">
        <v>5</v>
      </c>
      <c r="I3050" s="30"/>
      <c r="J3050" s="62" t="s">
        <v>532</v>
      </c>
      <c r="O3050" s="62" t="str">
        <f>IF(E3050="PA",IF(K3050&lt;&gt;"",ISERROR(VLOOKUP(K3050,ABBR!A:D,1,FALSE)),ISERROR(VLOOKUP(C3050,ABBR!A:D,1,FALSE))),"")</f>
        <v/>
      </c>
      <c r="P3050" t="str">
        <f>VLOOKUP(A3050,Groups!A:L,5,FALSE)</f>
        <v>SAMP</v>
      </c>
      <c r="Q3050" s="62" t="str">
        <f>IF(G3050="PA",IF(M3050&lt;&gt;"",ISERROR(VLOOKUP(M3050,ABBR!C:F,1,FALSE)),ISERROR(VLOOKUP(E3050,ABBR!C:F,1,FALSE))),"")</f>
        <v/>
      </c>
    </row>
    <row r="3051" spans="1:17" s="62" customFormat="1" hidden="1" x14ac:dyDescent="0.25">
      <c r="A3051" s="16" t="s">
        <v>548</v>
      </c>
      <c r="B3051" s="17" t="s">
        <v>594</v>
      </c>
      <c r="C3051" s="16" t="s">
        <v>863</v>
      </c>
      <c r="D3051" s="17"/>
      <c r="E3051" s="17" t="s">
        <v>608</v>
      </c>
      <c r="F3051" s="18" t="s">
        <v>864</v>
      </c>
      <c r="G3051" s="49" t="s">
        <v>865</v>
      </c>
      <c r="H3051" s="17">
        <v>6</v>
      </c>
      <c r="I3051" s="30"/>
      <c r="J3051" s="62" t="s">
        <v>532</v>
      </c>
      <c r="O3051" s="62" t="str">
        <f>IF(E3051="PA",IF(K3051&lt;&gt;"",ISERROR(VLOOKUP(K3051,ABBR!A:D,1,FALSE)),ISERROR(VLOOKUP(C3051,ABBR!A:D,1,FALSE))),"")</f>
        <v/>
      </c>
      <c r="P3051" t="str">
        <f>VLOOKUP(A3051,Groups!A:L,5,FALSE)</f>
        <v>SAMP</v>
      </c>
      <c r="Q3051" s="62" t="str">
        <f>IF(G3051="PA",IF(M3051&lt;&gt;"",ISERROR(VLOOKUP(M3051,ABBR!C:F,1,FALSE)),ISERROR(VLOOKUP(E3051,ABBR!C:F,1,FALSE))),"")</f>
        <v/>
      </c>
    </row>
    <row r="3052" spans="1:17" s="62" customFormat="1" hidden="1" x14ac:dyDescent="0.25">
      <c r="A3052" s="16" t="s">
        <v>548</v>
      </c>
      <c r="B3052" s="17" t="s">
        <v>594</v>
      </c>
      <c r="C3052" s="16" t="s">
        <v>866</v>
      </c>
      <c r="D3052" s="17" t="s">
        <v>600</v>
      </c>
      <c r="E3052" s="17" t="s">
        <v>601</v>
      </c>
      <c r="F3052" s="18" t="s">
        <v>867</v>
      </c>
      <c r="G3052" s="49" t="s">
        <v>853</v>
      </c>
      <c r="H3052" s="17">
        <v>7</v>
      </c>
      <c r="I3052" s="30"/>
      <c r="J3052" s="62" t="s">
        <v>532</v>
      </c>
      <c r="O3052" s="62" t="str">
        <f>IF(E3052="PA",IF(K3052&lt;&gt;"",ISERROR(VLOOKUP(K3052,ABBR!A:D,1,FALSE)),ISERROR(VLOOKUP(C3052,ABBR!A:D,1,FALSE))),"")</f>
        <v/>
      </c>
      <c r="P3052" t="str">
        <f>VLOOKUP(A3052,Groups!A:L,5,FALSE)</f>
        <v>SAMP</v>
      </c>
      <c r="Q3052" s="62" t="str">
        <f>IF(G3052="PA",IF(M3052&lt;&gt;"",ISERROR(VLOOKUP(M3052,ABBR!C:F,1,FALSE)),ISERROR(VLOOKUP(E3052,ABBR!C:F,1,FALSE))),"")</f>
        <v/>
      </c>
    </row>
    <row r="3053" spans="1:17" s="62" customFormat="1" hidden="1" x14ac:dyDescent="0.25">
      <c r="A3053" s="16" t="s">
        <v>548</v>
      </c>
      <c r="B3053" s="17"/>
      <c r="C3053" s="16" t="s">
        <v>877</v>
      </c>
      <c r="D3053" s="17" t="s">
        <v>600</v>
      </c>
      <c r="E3053" s="17" t="s">
        <v>601</v>
      </c>
      <c r="F3053" s="18" t="s">
        <v>878</v>
      </c>
      <c r="G3053" s="49" t="s">
        <v>879</v>
      </c>
      <c r="H3053" s="17">
        <v>8</v>
      </c>
      <c r="I3053" s="30"/>
      <c r="J3053" s="80" t="s">
        <v>473</v>
      </c>
      <c r="O3053" s="62" t="str">
        <f>IF(E3053="PA",IF(K3053&lt;&gt;"",ISERROR(VLOOKUP(K3053,ABBR!A:D,1,FALSE)),ISERROR(VLOOKUP(C3053,ABBR!A:D,1,FALSE))),"")</f>
        <v/>
      </c>
      <c r="P3053" t="str">
        <f>VLOOKUP(A3053,Groups!A:L,5,FALSE)</f>
        <v>SAMP</v>
      </c>
      <c r="Q3053" s="62" t="str">
        <f>IF(G3053="PA",IF(M3053&lt;&gt;"",ISERROR(VLOOKUP(M3053,ABBR!C:F,1,FALSE)),ISERROR(VLOOKUP(E3053,ABBR!C:F,1,FALSE))),"")</f>
        <v/>
      </c>
    </row>
    <row r="3054" spans="1:17" s="62" customFormat="1" hidden="1" x14ac:dyDescent="0.25">
      <c r="A3054" s="16" t="s">
        <v>548</v>
      </c>
      <c r="B3054" s="17"/>
      <c r="C3054" s="16" t="s">
        <v>868</v>
      </c>
      <c r="D3054" s="17"/>
      <c r="E3054" s="17" t="s">
        <v>608</v>
      </c>
      <c r="F3054" s="18" t="s">
        <v>869</v>
      </c>
      <c r="G3054" s="49" t="s">
        <v>3265</v>
      </c>
      <c r="H3054" s="17">
        <v>9</v>
      </c>
      <c r="I3054" s="30"/>
      <c r="J3054" s="62" t="s">
        <v>532</v>
      </c>
      <c r="O3054" s="62" t="str">
        <f>IF(E3054="PA",IF(K3054&lt;&gt;"",ISERROR(VLOOKUP(K3054,ABBR!A:D,1,FALSE)),ISERROR(VLOOKUP(C3054,ABBR!A:D,1,FALSE))),"")</f>
        <v/>
      </c>
      <c r="P3054" t="str">
        <f>VLOOKUP(A3054,Groups!A:L,5,FALSE)</f>
        <v>SAMP</v>
      </c>
      <c r="Q3054" s="62" t="str">
        <f>IF(G3054="PA",IF(M3054&lt;&gt;"",ISERROR(VLOOKUP(M3054,ABBR!C:F,1,FALSE)),ISERROR(VLOOKUP(E3054,ABBR!C:F,1,FALSE))),"")</f>
        <v/>
      </c>
    </row>
    <row r="3055" spans="1:17" s="62" customFormat="1" ht="25" hidden="1" x14ac:dyDescent="0.25">
      <c r="A3055" s="16" t="s">
        <v>548</v>
      </c>
      <c r="B3055" s="17"/>
      <c r="C3055" s="16" t="s">
        <v>871</v>
      </c>
      <c r="D3055" s="17"/>
      <c r="E3055" s="17" t="s">
        <v>608</v>
      </c>
      <c r="F3055" s="18" t="s">
        <v>872</v>
      </c>
      <c r="G3055" s="49" t="s">
        <v>873</v>
      </c>
      <c r="H3055" s="17">
        <v>10</v>
      </c>
      <c r="I3055" s="30"/>
      <c r="J3055" s="62" t="s">
        <v>532</v>
      </c>
      <c r="O3055" s="62" t="str">
        <f>IF(E3055="PA",IF(K3055&lt;&gt;"",ISERROR(VLOOKUP(K3055,ABBR!A:D,1,FALSE)),ISERROR(VLOOKUP(C3055,ABBR!A:D,1,FALSE))),"")</f>
        <v/>
      </c>
      <c r="P3055" t="str">
        <f>VLOOKUP(A3055,Groups!A:L,5,FALSE)</f>
        <v>SAMP</v>
      </c>
      <c r="Q3055" s="62" t="str">
        <f>IF(G3055="PA",IF(M3055&lt;&gt;"",ISERROR(VLOOKUP(M3055,ABBR!C:F,1,FALSE)),ISERROR(VLOOKUP(E3055,ABBR!C:F,1,FALSE))),"")</f>
        <v/>
      </c>
    </row>
    <row r="3056" spans="1:17" s="62" customFormat="1" hidden="1" x14ac:dyDescent="0.25">
      <c r="A3056" s="16" t="s">
        <v>548</v>
      </c>
      <c r="B3056" s="17"/>
      <c r="C3056" s="16" t="s">
        <v>5068</v>
      </c>
      <c r="D3056" s="17"/>
      <c r="E3056" s="17" t="s">
        <v>608</v>
      </c>
      <c r="F3056" s="18" t="s">
        <v>875</v>
      </c>
      <c r="G3056" s="49" t="s">
        <v>876</v>
      </c>
      <c r="H3056" s="17">
        <v>11</v>
      </c>
      <c r="I3056" s="30"/>
      <c r="J3056" s="80" t="s">
        <v>473</v>
      </c>
      <c r="O3056" s="62" t="str">
        <f>IF(E3056="PA",IF(K3056&lt;&gt;"",ISERROR(VLOOKUP(K3056,ABBR!A:D,1,FALSE)),ISERROR(VLOOKUP(C3056,ABBR!A:D,1,FALSE))),"")</f>
        <v/>
      </c>
      <c r="P3056" t="str">
        <f>VLOOKUP(A3056,Groups!A:L,5,FALSE)</f>
        <v>SAMP</v>
      </c>
      <c r="Q3056" s="62" t="str">
        <f>IF(G3056="PA",IF(M3056&lt;&gt;"",ISERROR(VLOOKUP(M3056,ABBR!C:F,1,FALSE)),ISERROR(VLOOKUP(E3056,ABBR!C:F,1,FALSE))),"")</f>
        <v/>
      </c>
    </row>
    <row r="3057" spans="1:17" s="62" customFormat="1" hidden="1" x14ac:dyDescent="0.25">
      <c r="A3057" s="16" t="s">
        <v>548</v>
      </c>
      <c r="B3057" s="17"/>
      <c r="C3057" s="16" t="s">
        <v>5069</v>
      </c>
      <c r="D3057" s="17"/>
      <c r="E3057" s="17" t="s">
        <v>608</v>
      </c>
      <c r="F3057" s="18" t="s">
        <v>5070</v>
      </c>
      <c r="G3057" s="49" t="s">
        <v>5036</v>
      </c>
      <c r="H3057" s="17">
        <v>12</v>
      </c>
      <c r="I3057" s="30"/>
      <c r="J3057" s="62" t="s">
        <v>532</v>
      </c>
      <c r="O3057" s="62" t="str">
        <f>IF(E3057="PA",IF(K3057&lt;&gt;"",ISERROR(VLOOKUP(K3057,ABBR!A:D,1,FALSE)),ISERROR(VLOOKUP(C3057,ABBR!A:D,1,FALSE))),"")</f>
        <v/>
      </c>
      <c r="P3057" t="str">
        <f>VLOOKUP(A3057,Groups!A:L,5,FALSE)</f>
        <v>SAMP</v>
      </c>
      <c r="Q3057" s="62" t="str">
        <f>IF(G3057="PA",IF(M3057&lt;&gt;"",ISERROR(VLOOKUP(M3057,ABBR!C:F,1,FALSE)),ISERROR(VLOOKUP(E3057,ABBR!C:F,1,FALSE))),"")</f>
        <v/>
      </c>
    </row>
    <row r="3058" spans="1:17" s="62" customFormat="1" ht="12.65" hidden="1" customHeight="1" x14ac:dyDescent="0.35">
      <c r="A3058" s="16" t="s">
        <v>548</v>
      </c>
      <c r="B3058" s="17"/>
      <c r="C3058" s="16" t="s">
        <v>5071</v>
      </c>
      <c r="D3058" s="17"/>
      <c r="E3058" s="17" t="s">
        <v>723</v>
      </c>
      <c r="F3058" s="18" t="s">
        <v>5072</v>
      </c>
      <c r="G3058" s="49" t="s">
        <v>2822</v>
      </c>
      <c r="H3058" s="17">
        <v>13</v>
      </c>
      <c r="I3058" s="30"/>
      <c r="J3058" s="62" t="s">
        <v>532</v>
      </c>
      <c r="M3058" s="99"/>
      <c r="N3058" s="100"/>
      <c r="O3058" s="62" t="str">
        <f>IF(E3058="PA",IF(K3058&lt;&gt;"",ISERROR(VLOOKUP(K3058,ABBR!A:D,1,FALSE)),ISERROR(VLOOKUP(C3058,ABBR!A:D,1,FALSE))),"")</f>
        <v/>
      </c>
      <c r="P3058" t="str">
        <f>VLOOKUP(A3058,Groups!A:L,5,FALSE)</f>
        <v>SAMP</v>
      </c>
      <c r="Q3058" s="62" t="str">
        <f>IF(G3058="PA",IF(M3058&lt;&gt;"",ISERROR(VLOOKUP(M3058,ABBR!C:F,1,FALSE)),ISERROR(VLOOKUP(E3058,ABBR!C:F,1,FALSE))),"")</f>
        <v/>
      </c>
    </row>
    <row r="3059" spans="1:17" s="62" customFormat="1" ht="12.65" hidden="1" customHeight="1" x14ac:dyDescent="0.35">
      <c r="A3059" s="16" t="s">
        <v>548</v>
      </c>
      <c r="B3059" s="17"/>
      <c r="C3059" s="16" t="s">
        <v>5073</v>
      </c>
      <c r="D3059" s="17"/>
      <c r="E3059" s="17" t="s">
        <v>723</v>
      </c>
      <c r="F3059" s="18" t="s">
        <v>5074</v>
      </c>
      <c r="G3059" s="49" t="s">
        <v>2651</v>
      </c>
      <c r="H3059" s="17">
        <v>14</v>
      </c>
      <c r="I3059" s="30"/>
      <c r="J3059" s="62" t="s">
        <v>532</v>
      </c>
      <c r="M3059" s="99"/>
      <c r="N3059" s="100"/>
      <c r="O3059" s="62" t="str">
        <f>IF(E3059="PA",IF(K3059&lt;&gt;"",ISERROR(VLOOKUP(K3059,ABBR!A:D,1,FALSE)),ISERROR(VLOOKUP(C3059,ABBR!A:D,1,FALSE))),"")</f>
        <v/>
      </c>
      <c r="P3059" t="str">
        <f>VLOOKUP(A3059,Groups!A:L,5,FALSE)</f>
        <v>SAMP</v>
      </c>
      <c r="Q3059" s="62" t="str">
        <f>IF(G3059="PA",IF(M3059&lt;&gt;"",ISERROR(VLOOKUP(M3059,ABBR!C:F,1,FALSE)),ISERROR(VLOOKUP(E3059,ABBR!C:F,1,FALSE))),"")</f>
        <v/>
      </c>
    </row>
    <row r="3060" spans="1:17" s="62" customFormat="1" ht="12.65" hidden="1" customHeight="1" x14ac:dyDescent="0.35">
      <c r="A3060" s="16" t="s">
        <v>548</v>
      </c>
      <c r="B3060" s="17"/>
      <c r="C3060" s="16" t="s">
        <v>5075</v>
      </c>
      <c r="D3060" s="17"/>
      <c r="E3060" s="17" t="s">
        <v>723</v>
      </c>
      <c r="F3060" s="18" t="s">
        <v>5076</v>
      </c>
      <c r="G3060" s="49" t="s">
        <v>5077</v>
      </c>
      <c r="H3060" s="17">
        <v>15</v>
      </c>
      <c r="I3060" s="30"/>
      <c r="J3060" s="62" t="s">
        <v>532</v>
      </c>
      <c r="M3060" s="99"/>
      <c r="N3060" s="100"/>
      <c r="O3060" s="62" t="str">
        <f>IF(E3060="PA",IF(K3060&lt;&gt;"",ISERROR(VLOOKUP(K3060,ABBR!A:D,1,FALSE)),ISERROR(VLOOKUP(C3060,ABBR!A:D,1,FALSE))),"")</f>
        <v/>
      </c>
      <c r="P3060" t="str">
        <f>VLOOKUP(A3060,Groups!A:L,5,FALSE)</f>
        <v>SAMP</v>
      </c>
      <c r="Q3060" s="62" t="str">
        <f>IF(G3060="PA",IF(M3060&lt;&gt;"",ISERROR(VLOOKUP(M3060,ABBR!C:F,1,FALSE)),ISERROR(VLOOKUP(E3060,ABBR!C:F,1,FALSE))),"")</f>
        <v/>
      </c>
    </row>
    <row r="3061" spans="1:17" s="62" customFormat="1" ht="12.65" hidden="1" customHeight="1" x14ac:dyDescent="0.35">
      <c r="A3061" s="16" t="s">
        <v>548</v>
      </c>
      <c r="B3061" s="17"/>
      <c r="C3061" s="16" t="s">
        <v>5078</v>
      </c>
      <c r="D3061" s="17"/>
      <c r="E3061" s="17" t="s">
        <v>767</v>
      </c>
      <c r="F3061" s="18" t="s">
        <v>5079</v>
      </c>
      <c r="G3061" s="49" t="s">
        <v>978</v>
      </c>
      <c r="H3061" s="17">
        <v>16</v>
      </c>
      <c r="I3061" s="30"/>
      <c r="J3061" s="62" t="s">
        <v>532</v>
      </c>
      <c r="M3061" s="99"/>
      <c r="N3061" s="100"/>
      <c r="O3061" s="62" t="str">
        <f>IF(E3061="PA",IF(K3061&lt;&gt;"",ISERROR(VLOOKUP(K3061,ABBR!A:D,1,FALSE)),ISERROR(VLOOKUP(C3061,ABBR!A:D,1,FALSE))),"")</f>
        <v/>
      </c>
      <c r="P3061" t="str">
        <f>VLOOKUP(A3061,Groups!A:L,5,FALSE)</f>
        <v>SAMP</v>
      </c>
      <c r="Q3061" s="62" t="str">
        <f>IF(G3061="PA",IF(M3061&lt;&gt;"",ISERROR(VLOOKUP(M3061,ABBR!C:F,1,FALSE)),ISERROR(VLOOKUP(E3061,ABBR!C:F,1,FALSE))),"")</f>
        <v/>
      </c>
    </row>
    <row r="3062" spans="1:17" s="62" customFormat="1" ht="37.5" hidden="1" x14ac:dyDescent="0.25">
      <c r="A3062" s="16" t="s">
        <v>548</v>
      </c>
      <c r="B3062" s="17"/>
      <c r="C3062" s="16" t="s">
        <v>5080</v>
      </c>
      <c r="D3062" s="17"/>
      <c r="E3062" s="17" t="s">
        <v>608</v>
      </c>
      <c r="F3062" s="18" t="s">
        <v>642</v>
      </c>
      <c r="G3062" s="49" t="s">
        <v>5081</v>
      </c>
      <c r="H3062" s="17">
        <v>17</v>
      </c>
      <c r="I3062" s="30"/>
      <c r="J3062" s="62" t="s">
        <v>532</v>
      </c>
      <c r="O3062" s="62" t="str">
        <f>IF(E3062="PA",IF(K3062&lt;&gt;"",ISERROR(VLOOKUP(K3062,ABBR!A:D,1,FALSE)),ISERROR(VLOOKUP(C3062,ABBR!A:D,1,FALSE))),"")</f>
        <v/>
      </c>
      <c r="P3062" t="str">
        <f>VLOOKUP(A3062,Groups!A:L,5,FALSE)</f>
        <v>SAMP</v>
      </c>
      <c r="Q3062" s="62" t="str">
        <f>IF(G3062="PA",IF(M3062&lt;&gt;"",ISERROR(VLOOKUP(M3062,ABBR!C:F,1,FALSE)),ISERROR(VLOOKUP(E3062,ABBR!C:F,1,FALSE))),"")</f>
        <v/>
      </c>
    </row>
    <row r="3063" spans="1:17" s="62" customFormat="1" hidden="1" x14ac:dyDescent="0.25">
      <c r="A3063" s="16" t="s">
        <v>548</v>
      </c>
      <c r="B3063" s="17"/>
      <c r="C3063" s="16" t="s">
        <v>5082</v>
      </c>
      <c r="D3063" s="17"/>
      <c r="E3063" s="17" t="s">
        <v>608</v>
      </c>
      <c r="F3063" s="18" t="s">
        <v>918</v>
      </c>
      <c r="G3063" s="49" t="s">
        <v>5062</v>
      </c>
      <c r="H3063" s="17">
        <v>18</v>
      </c>
      <c r="I3063" s="30"/>
      <c r="J3063" s="62" t="s">
        <v>532</v>
      </c>
      <c r="O3063" s="62" t="str">
        <f>IF(E3063="PA",IF(K3063&lt;&gt;"",ISERROR(VLOOKUP(K3063,ABBR!A:D,1,FALSE)),ISERROR(VLOOKUP(C3063,ABBR!A:D,1,FALSE))),"")</f>
        <v/>
      </c>
      <c r="P3063" t="str">
        <f>VLOOKUP(A3063,Groups!A:L,5,FALSE)</f>
        <v>SAMP</v>
      </c>
      <c r="Q3063" s="62" t="str">
        <f>IF(G3063="PA",IF(M3063&lt;&gt;"",ISERROR(VLOOKUP(M3063,ABBR!C:F,1,FALSE)),ISERROR(VLOOKUP(E3063,ABBR!C:F,1,FALSE))),"")</f>
        <v/>
      </c>
    </row>
    <row r="3064" spans="1:17" s="62" customFormat="1" hidden="1" x14ac:dyDescent="0.25">
      <c r="A3064" s="16" t="s">
        <v>548</v>
      </c>
      <c r="B3064" s="17"/>
      <c r="C3064" s="16" t="s">
        <v>5083</v>
      </c>
      <c r="D3064" s="17"/>
      <c r="E3064" s="46" t="s">
        <v>608</v>
      </c>
      <c r="F3064" s="93" t="s">
        <v>921</v>
      </c>
      <c r="G3064" s="94" t="s">
        <v>922</v>
      </c>
      <c r="H3064" s="17">
        <v>19</v>
      </c>
      <c r="I3064" s="30"/>
      <c r="J3064" s="80" t="s">
        <v>473</v>
      </c>
      <c r="M3064" s="101"/>
      <c r="O3064" s="62" t="str">
        <f>IF(E3064="PA",IF(K3064&lt;&gt;"",ISERROR(VLOOKUP(K3064,ABBR!A:D,1,FALSE)),ISERROR(VLOOKUP(C3064,ABBR!A:D,1,FALSE))),"")</f>
        <v/>
      </c>
      <c r="P3064" t="str">
        <f>VLOOKUP(A3064,Groups!A:L,5,FALSE)</f>
        <v>SAMP</v>
      </c>
      <c r="Q3064" s="62" t="str">
        <f>IF(G3064="PA",IF(M3064&lt;&gt;"",ISERROR(VLOOKUP(M3064,ABBR!C:F,1,FALSE)),ISERROR(VLOOKUP(E3064,ABBR!C:F,1,FALSE))),"")</f>
        <v/>
      </c>
    </row>
    <row r="3065" spans="1:17" s="62" customFormat="1" hidden="1" x14ac:dyDescent="0.25">
      <c r="A3065" s="16" t="s">
        <v>548</v>
      </c>
      <c r="B3065" s="17"/>
      <c r="C3065" s="16" t="s">
        <v>5084</v>
      </c>
      <c r="D3065" s="17"/>
      <c r="E3065" s="17" t="s">
        <v>608</v>
      </c>
      <c r="F3065" s="18" t="s">
        <v>929</v>
      </c>
      <c r="G3065" s="49" t="s">
        <v>876</v>
      </c>
      <c r="H3065" s="17">
        <v>20</v>
      </c>
      <c r="I3065" s="30"/>
      <c r="J3065" s="62" t="s">
        <v>532</v>
      </c>
      <c r="O3065" s="62" t="str">
        <f>IF(E3065="PA",IF(K3065&lt;&gt;"",ISERROR(VLOOKUP(K3065,ABBR!A:D,1,FALSE)),ISERROR(VLOOKUP(C3065,ABBR!A:D,1,FALSE))),"")</f>
        <v/>
      </c>
      <c r="P3065" t="str">
        <f>VLOOKUP(A3065,Groups!A:L,5,FALSE)</f>
        <v>SAMP</v>
      </c>
      <c r="Q3065" s="62" t="str">
        <f>IF(G3065="PA",IF(M3065&lt;&gt;"",ISERROR(VLOOKUP(M3065,ABBR!C:F,1,FALSE)),ISERROR(VLOOKUP(E3065,ABBR!C:F,1,FALSE))),"")</f>
        <v/>
      </c>
    </row>
    <row r="3066" spans="1:17" s="62" customFormat="1" hidden="1" x14ac:dyDescent="0.25">
      <c r="A3066" s="16" t="s">
        <v>548</v>
      </c>
      <c r="B3066" s="17"/>
      <c r="C3066" s="16" t="s">
        <v>5085</v>
      </c>
      <c r="D3066" s="17" t="s">
        <v>924</v>
      </c>
      <c r="E3066" s="17" t="s">
        <v>925</v>
      </c>
      <c r="F3066" s="18" t="s">
        <v>4338</v>
      </c>
      <c r="G3066" s="49" t="s">
        <v>927</v>
      </c>
      <c r="H3066" s="17">
        <v>21</v>
      </c>
      <c r="I3066" s="30"/>
      <c r="J3066" s="62" t="s">
        <v>532</v>
      </c>
      <c r="O3066" s="62" t="str">
        <f>IF(E3066="PA",IF(K3066&lt;&gt;"",ISERROR(VLOOKUP(K3066,ABBR!A:D,1,FALSE)),ISERROR(VLOOKUP(C3066,ABBR!A:D,1,FALSE))),"")</f>
        <v/>
      </c>
      <c r="P3066" t="str">
        <f>VLOOKUP(A3066,Groups!A:L,5,FALSE)</f>
        <v>SAMP</v>
      </c>
      <c r="Q3066" s="62" t="str">
        <f>IF(G3066="PA",IF(M3066&lt;&gt;"",ISERROR(VLOOKUP(M3066,ABBR!C:F,1,FALSE)),ISERROR(VLOOKUP(E3066,ABBR!C:F,1,FALSE))),"")</f>
        <v/>
      </c>
    </row>
    <row r="3067" spans="1:17" s="62" customFormat="1" hidden="1" x14ac:dyDescent="0.25">
      <c r="A3067" s="16" t="s">
        <v>548</v>
      </c>
      <c r="B3067" s="17"/>
      <c r="C3067" s="16" t="s">
        <v>5086</v>
      </c>
      <c r="D3067" s="17"/>
      <c r="E3067" s="17" t="s">
        <v>608</v>
      </c>
      <c r="F3067" s="18" t="s">
        <v>931</v>
      </c>
      <c r="G3067" s="49" t="s">
        <v>932</v>
      </c>
      <c r="H3067" s="17">
        <v>22</v>
      </c>
      <c r="I3067" s="30"/>
      <c r="J3067" s="62" t="s">
        <v>532</v>
      </c>
      <c r="O3067" s="62" t="str">
        <f>IF(E3067="PA",IF(K3067&lt;&gt;"",ISERROR(VLOOKUP(K3067,ABBR!A:D,1,FALSE)),ISERROR(VLOOKUP(C3067,ABBR!A:D,1,FALSE))),"")</f>
        <v/>
      </c>
      <c r="P3067" t="str">
        <f>VLOOKUP(A3067,Groups!A:L,5,FALSE)</f>
        <v>SAMP</v>
      </c>
      <c r="Q3067" s="62" t="str">
        <f>IF(G3067="PA",IF(M3067&lt;&gt;"",ISERROR(VLOOKUP(M3067,ABBR!C:F,1,FALSE)),ISERROR(VLOOKUP(E3067,ABBR!C:F,1,FALSE))),"")</f>
        <v/>
      </c>
    </row>
    <row r="3068" spans="1:17" s="62" customFormat="1" ht="25" hidden="1" x14ac:dyDescent="0.25">
      <c r="A3068" s="16" t="s">
        <v>548</v>
      </c>
      <c r="B3068" s="17"/>
      <c r="C3068" s="16" t="s">
        <v>5087</v>
      </c>
      <c r="D3068" s="17"/>
      <c r="E3068" s="17" t="s">
        <v>608</v>
      </c>
      <c r="F3068" s="18" t="s">
        <v>934</v>
      </c>
      <c r="G3068" s="49" t="s">
        <v>935</v>
      </c>
      <c r="H3068" s="17">
        <v>23</v>
      </c>
      <c r="I3068" s="30"/>
      <c r="J3068" s="62" t="s">
        <v>532</v>
      </c>
      <c r="O3068" s="62" t="str">
        <f>IF(E3068="PA",IF(K3068&lt;&gt;"",ISERROR(VLOOKUP(K3068,ABBR!A:D,1,FALSE)),ISERROR(VLOOKUP(C3068,ABBR!A:D,1,FALSE))),"")</f>
        <v/>
      </c>
      <c r="P3068" t="str">
        <f>VLOOKUP(A3068,Groups!A:L,5,FALSE)</f>
        <v>SAMP</v>
      </c>
      <c r="Q3068" s="62" t="str">
        <f>IF(G3068="PA",IF(M3068&lt;&gt;"",ISERROR(VLOOKUP(M3068,ABBR!C:F,1,FALSE)),ISERROR(VLOOKUP(E3068,ABBR!C:F,1,FALSE))),"")</f>
        <v/>
      </c>
    </row>
    <row r="3069" spans="1:17" s="62" customFormat="1" hidden="1" x14ac:dyDescent="0.25">
      <c r="A3069" s="16" t="s">
        <v>548</v>
      </c>
      <c r="B3069" s="17"/>
      <c r="C3069" s="16" t="s">
        <v>936</v>
      </c>
      <c r="D3069" s="17"/>
      <c r="E3069" s="17" t="s">
        <v>608</v>
      </c>
      <c r="F3069" s="18" t="s">
        <v>937</v>
      </c>
      <c r="G3069" s="49" t="s">
        <v>938</v>
      </c>
      <c r="H3069" s="17">
        <v>24</v>
      </c>
      <c r="I3069" s="30"/>
      <c r="J3069" s="62" t="s">
        <v>532</v>
      </c>
      <c r="O3069" s="62" t="str">
        <f>IF(E3069="PA",IF(K3069&lt;&gt;"",ISERROR(VLOOKUP(K3069,ABBR!A:D,1,FALSE)),ISERROR(VLOOKUP(C3069,ABBR!A:D,1,FALSE))),"")</f>
        <v/>
      </c>
      <c r="P3069" t="str">
        <f>VLOOKUP(A3069,Groups!A:L,5,FALSE)</f>
        <v>SAMP</v>
      </c>
      <c r="Q3069" s="62" t="str">
        <f>IF(G3069="PA",IF(M3069&lt;&gt;"",ISERROR(VLOOKUP(M3069,ABBR!C:F,1,FALSE)),ISERROR(VLOOKUP(E3069,ABBR!C:F,1,FALSE))),"")</f>
        <v/>
      </c>
    </row>
    <row r="3070" spans="1:17" s="62" customFormat="1" hidden="1" x14ac:dyDescent="0.25">
      <c r="A3070" s="16" t="s">
        <v>548</v>
      </c>
      <c r="B3070" s="17"/>
      <c r="C3070" s="16" t="s">
        <v>643</v>
      </c>
      <c r="D3070" s="17"/>
      <c r="E3070" s="17" t="s">
        <v>608</v>
      </c>
      <c r="F3070" s="18" t="s">
        <v>1714</v>
      </c>
      <c r="G3070" s="49" t="s">
        <v>4090</v>
      </c>
      <c r="H3070" s="17">
        <v>25</v>
      </c>
      <c r="I3070" s="30"/>
      <c r="J3070" s="62" t="s">
        <v>532</v>
      </c>
      <c r="O3070" s="62" t="str">
        <f>IF(E3070="PA",IF(K3070&lt;&gt;"",ISERROR(VLOOKUP(K3070,ABBR!A:D,1,FALSE)),ISERROR(VLOOKUP(C3070,ABBR!A:D,1,FALSE))),"")</f>
        <v/>
      </c>
      <c r="P3070" t="str">
        <f>VLOOKUP(A3070,Groups!A:L,5,FALSE)</f>
        <v>SAMP</v>
      </c>
      <c r="Q3070" s="62" t="str">
        <f>IF(G3070="PA",IF(M3070&lt;&gt;"",ISERROR(VLOOKUP(M3070,ABBR!C:F,1,FALSE)),ISERROR(VLOOKUP(E3070,ABBR!C:F,1,FALSE))),"")</f>
        <v/>
      </c>
    </row>
    <row r="3071" spans="1:17" s="62" customFormat="1" hidden="1" x14ac:dyDescent="0.25">
      <c r="A3071" s="16" t="s">
        <v>365</v>
      </c>
      <c r="B3071" s="17" t="s">
        <v>594</v>
      </c>
      <c r="C3071" s="16" t="s">
        <v>595</v>
      </c>
      <c r="D3071" s="17"/>
      <c r="E3071" s="17" t="s">
        <v>596</v>
      </c>
      <c r="F3071" s="18" t="s">
        <v>597</v>
      </c>
      <c r="G3071" s="49" t="s">
        <v>598</v>
      </c>
      <c r="H3071" s="17">
        <v>1</v>
      </c>
      <c r="I3071" s="30"/>
      <c r="J3071"/>
      <c r="K3071"/>
      <c r="L3071"/>
      <c r="M3071"/>
      <c r="N3071"/>
      <c r="O3071" s="62" t="str">
        <f>IF(E3071="PA",IF(K3071&lt;&gt;"",ISERROR(VLOOKUP(K3071,ABBR!A:D,1,FALSE)),ISERROR(VLOOKUP(C3071,ABBR!A:D,1,FALSE))),"")</f>
        <v/>
      </c>
      <c r="P3071" t="str">
        <f>VLOOKUP(A3071,Groups!A:L,5,FALSE)</f>
        <v>SAMP</v>
      </c>
      <c r="Q3071" s="62" t="str">
        <f>IF(G3071="PA",IF(M3071&lt;&gt;"",ISERROR(VLOOKUP(M3071,ABBR!C:F,1,FALSE)),ISERROR(VLOOKUP(E3071,ABBR!C:F,1,FALSE))),"")</f>
        <v/>
      </c>
    </row>
    <row r="3072" spans="1:17" s="62" customFormat="1" hidden="1" x14ac:dyDescent="0.25">
      <c r="A3072" s="16" t="s">
        <v>365</v>
      </c>
      <c r="B3072" s="17" t="s">
        <v>594</v>
      </c>
      <c r="C3072" s="16" t="s">
        <v>851</v>
      </c>
      <c r="D3072" s="17" t="s">
        <v>600</v>
      </c>
      <c r="E3072" s="17" t="s">
        <v>601</v>
      </c>
      <c r="F3072" s="18" t="s">
        <v>852</v>
      </c>
      <c r="G3072" s="49" t="s">
        <v>853</v>
      </c>
      <c r="H3072" s="17">
        <v>2</v>
      </c>
      <c r="I3072" s="30"/>
      <c r="J3072"/>
      <c r="K3072"/>
      <c r="L3072"/>
      <c r="M3072"/>
      <c r="N3072"/>
      <c r="O3072" s="62" t="str">
        <f>IF(E3072="PA",IF(K3072&lt;&gt;"",ISERROR(VLOOKUP(K3072,ABBR!A:D,1,FALSE)),ISERROR(VLOOKUP(C3072,ABBR!A:D,1,FALSE))),"")</f>
        <v/>
      </c>
      <c r="P3072" t="str">
        <f>VLOOKUP(A3072,Groups!A:L,5,FALSE)</f>
        <v>SAMP</v>
      </c>
      <c r="Q3072" s="62" t="str">
        <f>IF(G3072="PA",IF(M3072&lt;&gt;"",ISERROR(VLOOKUP(M3072,ABBR!C:F,1,FALSE)),ISERROR(VLOOKUP(E3072,ABBR!C:F,1,FALSE))),"")</f>
        <v/>
      </c>
    </row>
    <row r="3073" spans="1:17" s="62" customFormat="1" hidden="1" x14ac:dyDescent="0.25">
      <c r="A3073" s="16" t="s">
        <v>365</v>
      </c>
      <c r="B3073" s="17" t="s">
        <v>594</v>
      </c>
      <c r="C3073" s="16" t="s">
        <v>854</v>
      </c>
      <c r="D3073" s="17"/>
      <c r="E3073" s="17" t="s">
        <v>608</v>
      </c>
      <c r="F3073" s="18" t="s">
        <v>855</v>
      </c>
      <c r="G3073" s="49" t="s">
        <v>941</v>
      </c>
      <c r="H3073" s="17">
        <v>3</v>
      </c>
      <c r="I3073" s="30"/>
      <c r="J3073"/>
      <c r="K3073"/>
      <c r="L3073"/>
      <c r="M3073"/>
      <c r="N3073"/>
      <c r="O3073" s="62" t="str">
        <f>IF(E3073="PA",IF(K3073&lt;&gt;"",ISERROR(VLOOKUP(K3073,ABBR!A:D,1,FALSE)),ISERROR(VLOOKUP(C3073,ABBR!A:D,1,FALSE))),"")</f>
        <v/>
      </c>
      <c r="P3073" t="str">
        <f>VLOOKUP(A3073,Groups!A:L,5,FALSE)</f>
        <v>SAMP</v>
      </c>
      <c r="Q3073" s="62" t="str">
        <f>IF(G3073="PA",IF(M3073&lt;&gt;"",ISERROR(VLOOKUP(M3073,ABBR!C:F,1,FALSE)),ISERROR(VLOOKUP(E3073,ABBR!C:F,1,FALSE))),"")</f>
        <v/>
      </c>
    </row>
    <row r="3074" spans="1:17" s="62" customFormat="1" hidden="1" x14ac:dyDescent="0.25">
      <c r="A3074" s="16" t="s">
        <v>365</v>
      </c>
      <c r="B3074" s="17" t="s">
        <v>594</v>
      </c>
      <c r="C3074" s="16" t="s">
        <v>857</v>
      </c>
      <c r="D3074" s="17"/>
      <c r="E3074" s="17" t="s">
        <v>618</v>
      </c>
      <c r="F3074" s="18" t="s">
        <v>858</v>
      </c>
      <c r="G3074" s="49" t="s">
        <v>3547</v>
      </c>
      <c r="H3074" s="17">
        <v>4</v>
      </c>
      <c r="I3074" s="30"/>
      <c r="J3074"/>
      <c r="K3074"/>
      <c r="L3074"/>
      <c r="M3074"/>
      <c r="N3074"/>
      <c r="O3074" s="62" t="b">
        <f>IF(E3074="PA",IF(K3074&lt;&gt;"",ISERROR(VLOOKUP(K3074,ABBR!A:D,1,FALSE)),ISERROR(VLOOKUP(C3074,ABBR!A:D,1,FALSE))),"")</f>
        <v>0</v>
      </c>
      <c r="P3074" t="str">
        <f>VLOOKUP(A3074,Groups!A:L,5,FALSE)</f>
        <v>SAMP</v>
      </c>
      <c r="Q3074" s="62" t="str">
        <f>IF(G3074="PA",IF(M3074&lt;&gt;"",ISERROR(VLOOKUP(M3074,ABBR!C:F,1,FALSE)),ISERROR(VLOOKUP(E3074,ABBR!C:F,1,FALSE))),"")</f>
        <v/>
      </c>
    </row>
    <row r="3075" spans="1:17" s="62" customFormat="1" hidden="1" x14ac:dyDescent="0.25">
      <c r="A3075" s="16" t="s">
        <v>365</v>
      </c>
      <c r="B3075" s="17" t="s">
        <v>594</v>
      </c>
      <c r="C3075" s="16" t="s">
        <v>860</v>
      </c>
      <c r="D3075" s="17"/>
      <c r="E3075" s="17" t="s">
        <v>596</v>
      </c>
      <c r="F3075" s="18" t="s">
        <v>942</v>
      </c>
      <c r="G3075" s="49" t="s">
        <v>862</v>
      </c>
      <c r="H3075" s="17">
        <v>5</v>
      </c>
      <c r="I3075" s="30"/>
      <c r="J3075"/>
      <c r="K3075"/>
      <c r="L3075"/>
      <c r="M3075"/>
      <c r="N3075"/>
      <c r="O3075" s="62" t="str">
        <f>IF(E3075="PA",IF(K3075&lt;&gt;"",ISERROR(VLOOKUP(K3075,ABBR!A:D,1,FALSE)),ISERROR(VLOOKUP(C3075,ABBR!A:D,1,FALSE))),"")</f>
        <v/>
      </c>
      <c r="P3075" t="str">
        <f>VLOOKUP(A3075,Groups!A:L,5,FALSE)</f>
        <v>SAMP</v>
      </c>
      <c r="Q3075" s="62" t="str">
        <f>IF(G3075="PA",IF(M3075&lt;&gt;"",ISERROR(VLOOKUP(M3075,ABBR!C:F,1,FALSE)),ISERROR(VLOOKUP(E3075,ABBR!C:F,1,FALSE))),"")</f>
        <v/>
      </c>
    </row>
    <row r="3076" spans="1:17" s="62" customFormat="1" hidden="1" x14ac:dyDescent="0.25">
      <c r="A3076" s="16" t="s">
        <v>365</v>
      </c>
      <c r="B3076" s="17" t="s">
        <v>594</v>
      </c>
      <c r="C3076" s="16" t="s">
        <v>863</v>
      </c>
      <c r="D3076" s="17"/>
      <c r="E3076" s="17" t="s">
        <v>608</v>
      </c>
      <c r="F3076" s="18" t="s">
        <v>864</v>
      </c>
      <c r="G3076" s="49" t="s">
        <v>865</v>
      </c>
      <c r="H3076" s="17">
        <v>6</v>
      </c>
      <c r="I3076" s="30"/>
      <c r="J3076"/>
      <c r="K3076"/>
      <c r="L3076"/>
      <c r="M3076"/>
      <c r="N3076"/>
      <c r="O3076" s="62" t="str">
        <f>IF(E3076="PA",IF(K3076&lt;&gt;"",ISERROR(VLOOKUP(K3076,ABBR!A:D,1,FALSE)),ISERROR(VLOOKUP(C3076,ABBR!A:D,1,FALSE))),"")</f>
        <v/>
      </c>
      <c r="P3076" t="str">
        <f>VLOOKUP(A3076,Groups!A:L,5,FALSE)</f>
        <v>SAMP</v>
      </c>
      <c r="Q3076" s="62" t="str">
        <f>IF(G3076="PA",IF(M3076&lt;&gt;"",ISERROR(VLOOKUP(M3076,ABBR!C:F,1,FALSE)),ISERROR(VLOOKUP(E3076,ABBR!C:F,1,FALSE))),"")</f>
        <v/>
      </c>
    </row>
    <row r="3077" spans="1:17" s="62" customFormat="1" hidden="1" x14ac:dyDescent="0.25">
      <c r="A3077" s="16" t="s">
        <v>365</v>
      </c>
      <c r="B3077" s="17" t="s">
        <v>594</v>
      </c>
      <c r="C3077" s="16" t="s">
        <v>866</v>
      </c>
      <c r="D3077" s="17" t="s">
        <v>600</v>
      </c>
      <c r="E3077" s="17" t="s">
        <v>601</v>
      </c>
      <c r="F3077" s="18" t="s">
        <v>867</v>
      </c>
      <c r="G3077" s="49" t="s">
        <v>853</v>
      </c>
      <c r="H3077" s="17">
        <v>7</v>
      </c>
      <c r="I3077" s="30"/>
      <c r="J3077"/>
      <c r="K3077"/>
      <c r="L3077"/>
      <c r="M3077"/>
      <c r="N3077"/>
      <c r="O3077" s="62" t="str">
        <f>IF(E3077="PA",IF(K3077&lt;&gt;"",ISERROR(VLOOKUP(K3077,ABBR!A:D,1,FALSE)),ISERROR(VLOOKUP(C3077,ABBR!A:D,1,FALSE))),"")</f>
        <v/>
      </c>
      <c r="P3077" t="str">
        <f>VLOOKUP(A3077,Groups!A:L,5,FALSE)</f>
        <v>SAMP</v>
      </c>
      <c r="Q3077" s="62" t="str">
        <f>IF(G3077="PA",IF(M3077&lt;&gt;"",ISERROR(VLOOKUP(M3077,ABBR!C:F,1,FALSE)),ISERROR(VLOOKUP(E3077,ABBR!C:F,1,FALSE))),"")</f>
        <v/>
      </c>
    </row>
    <row r="3078" spans="1:17" s="62" customFormat="1" hidden="1" x14ac:dyDescent="0.25">
      <c r="A3078" s="16" t="s">
        <v>365</v>
      </c>
      <c r="B3078" s="17"/>
      <c r="C3078" s="16" t="s">
        <v>868</v>
      </c>
      <c r="D3078" s="17"/>
      <c r="E3078" s="17" t="s">
        <v>608</v>
      </c>
      <c r="F3078" s="18" t="s">
        <v>869</v>
      </c>
      <c r="G3078" s="51" t="s">
        <v>3265</v>
      </c>
      <c r="H3078" s="17">
        <v>8</v>
      </c>
      <c r="I3078" s="30"/>
      <c r="J3078"/>
      <c r="K3078"/>
      <c r="L3078"/>
      <c r="M3078"/>
      <c r="N3078"/>
      <c r="O3078" s="62" t="str">
        <f>IF(E3078="PA",IF(K3078&lt;&gt;"",ISERROR(VLOOKUP(K3078,ABBR!A:D,1,FALSE)),ISERROR(VLOOKUP(C3078,ABBR!A:D,1,FALSE))),"")</f>
        <v/>
      </c>
      <c r="P3078" t="str">
        <f>VLOOKUP(A3078,Groups!A:L,5,FALSE)</f>
        <v>SAMP</v>
      </c>
      <c r="Q3078" s="62" t="str">
        <f>IF(G3078="PA",IF(M3078&lt;&gt;"",ISERROR(VLOOKUP(M3078,ABBR!C:F,1,FALSE)),ISERROR(VLOOKUP(E3078,ABBR!C:F,1,FALSE))),"")</f>
        <v/>
      </c>
    </row>
    <row r="3079" spans="1:17" s="62" customFormat="1" ht="25" hidden="1" x14ac:dyDescent="0.25">
      <c r="A3079" s="16" t="s">
        <v>365</v>
      </c>
      <c r="B3079" s="17"/>
      <c r="C3079" s="16" t="s">
        <v>871</v>
      </c>
      <c r="D3079" s="17"/>
      <c r="E3079" s="17" t="s">
        <v>608</v>
      </c>
      <c r="F3079" s="18" t="s">
        <v>872</v>
      </c>
      <c r="G3079" s="49" t="s">
        <v>873</v>
      </c>
      <c r="H3079" s="17">
        <v>9</v>
      </c>
      <c r="I3079" s="30"/>
      <c r="J3079"/>
      <c r="K3079"/>
      <c r="L3079"/>
      <c r="M3079"/>
      <c r="N3079"/>
      <c r="O3079" s="62" t="str">
        <f>IF(E3079="PA",IF(K3079&lt;&gt;"",ISERROR(VLOOKUP(K3079,ABBR!A:D,1,FALSE)),ISERROR(VLOOKUP(C3079,ABBR!A:D,1,FALSE))),"")</f>
        <v/>
      </c>
      <c r="P3079" t="str">
        <f>VLOOKUP(A3079,Groups!A:L,5,FALSE)</f>
        <v>SAMP</v>
      </c>
      <c r="Q3079" s="62" t="str">
        <f>IF(G3079="PA",IF(M3079&lt;&gt;"",ISERROR(VLOOKUP(M3079,ABBR!C:F,1,FALSE)),ISERROR(VLOOKUP(E3079,ABBR!C:F,1,FALSE))),"")</f>
        <v/>
      </c>
    </row>
    <row r="3080" spans="1:17" s="62" customFormat="1" hidden="1" x14ac:dyDescent="0.25">
      <c r="A3080" s="16" t="s">
        <v>365</v>
      </c>
      <c r="B3080" s="17"/>
      <c r="C3080" s="16" t="s">
        <v>5088</v>
      </c>
      <c r="D3080" s="17" t="s">
        <v>1077</v>
      </c>
      <c r="E3080" s="17" t="s">
        <v>601</v>
      </c>
      <c r="F3080" s="18" t="s">
        <v>1465</v>
      </c>
      <c r="G3080" s="49" t="s">
        <v>3599</v>
      </c>
      <c r="H3080" s="17">
        <v>10</v>
      </c>
      <c r="I3080" s="30"/>
      <c r="J3080"/>
      <c r="K3080"/>
      <c r="L3080"/>
      <c r="M3080"/>
      <c r="N3080"/>
      <c r="O3080" s="62" t="str">
        <f>IF(E3080="PA",IF(K3080&lt;&gt;"",ISERROR(VLOOKUP(K3080,ABBR!A:D,1,FALSE)),ISERROR(VLOOKUP(C3080,ABBR!A:D,1,FALSE))),"")</f>
        <v/>
      </c>
      <c r="P3080" t="str">
        <f>VLOOKUP(A3080,Groups!A:L,5,FALSE)</f>
        <v>SAMP</v>
      </c>
      <c r="Q3080" s="62" t="str">
        <f>IF(G3080="PA",IF(M3080&lt;&gt;"",ISERROR(VLOOKUP(M3080,ABBR!C:F,1,FALSE)),ISERROR(VLOOKUP(E3080,ABBR!C:F,1,FALSE))),"")</f>
        <v/>
      </c>
    </row>
    <row r="3081" spans="1:17" s="62" customFormat="1" hidden="1" x14ac:dyDescent="0.25">
      <c r="A3081" s="16" t="s">
        <v>365</v>
      </c>
      <c r="B3081" s="17"/>
      <c r="C3081" s="16" t="s">
        <v>5089</v>
      </c>
      <c r="D3081" s="17" t="s">
        <v>766</v>
      </c>
      <c r="E3081" s="17" t="s">
        <v>767</v>
      </c>
      <c r="F3081" s="18" t="s">
        <v>5090</v>
      </c>
      <c r="G3081" s="49" t="s">
        <v>1458</v>
      </c>
      <c r="H3081" s="17">
        <v>11</v>
      </c>
      <c r="I3081" s="30"/>
      <c r="J3081"/>
      <c r="K3081"/>
      <c r="L3081"/>
      <c r="M3081"/>
      <c r="N3081"/>
      <c r="O3081" s="62" t="str">
        <f>IF(E3081="PA",IF(K3081&lt;&gt;"",ISERROR(VLOOKUP(K3081,ABBR!A:D,1,FALSE)),ISERROR(VLOOKUP(C3081,ABBR!A:D,1,FALSE))),"")</f>
        <v/>
      </c>
      <c r="P3081" t="str">
        <f>VLOOKUP(A3081,Groups!A:L,5,FALSE)</f>
        <v>SAMP</v>
      </c>
      <c r="Q3081" s="62" t="str">
        <f>IF(G3081="PA",IF(M3081&lt;&gt;"",ISERROR(VLOOKUP(M3081,ABBR!C:F,1,FALSE)),ISERROR(VLOOKUP(E3081,ABBR!C:F,1,FALSE))),"")</f>
        <v/>
      </c>
    </row>
    <row r="3082" spans="1:17" s="62" customFormat="1" hidden="1" x14ac:dyDescent="0.25">
      <c r="A3082" s="16" t="s">
        <v>365</v>
      </c>
      <c r="B3082" s="17"/>
      <c r="C3082" s="16" t="s">
        <v>5091</v>
      </c>
      <c r="D3082" s="17" t="s">
        <v>766</v>
      </c>
      <c r="E3082" s="17" t="s">
        <v>767</v>
      </c>
      <c r="F3082" s="18" t="s">
        <v>5092</v>
      </c>
      <c r="G3082" s="49" t="s">
        <v>910</v>
      </c>
      <c r="H3082" s="17">
        <v>12</v>
      </c>
      <c r="I3082" s="30"/>
      <c r="J3082"/>
      <c r="K3082"/>
      <c r="L3082"/>
      <c r="M3082"/>
      <c r="N3082"/>
      <c r="O3082" s="62" t="str">
        <f>IF(E3082="PA",IF(K3082&lt;&gt;"",ISERROR(VLOOKUP(K3082,ABBR!A:D,1,FALSE)),ISERROR(VLOOKUP(C3082,ABBR!A:D,1,FALSE))),"")</f>
        <v/>
      </c>
      <c r="P3082" t="str">
        <f>VLOOKUP(A3082,Groups!A:L,5,FALSE)</f>
        <v>SAMP</v>
      </c>
      <c r="Q3082" s="62" t="str">
        <f>IF(G3082="PA",IF(M3082&lt;&gt;"",ISERROR(VLOOKUP(M3082,ABBR!C:F,1,FALSE)),ISERROR(VLOOKUP(E3082,ABBR!C:F,1,FALSE))),"")</f>
        <v/>
      </c>
    </row>
    <row r="3083" spans="1:17" s="62" customFormat="1" hidden="1" x14ac:dyDescent="0.25">
      <c r="A3083" s="16" t="s">
        <v>365</v>
      </c>
      <c r="B3083" s="17"/>
      <c r="C3083" s="16" t="s">
        <v>5093</v>
      </c>
      <c r="D3083" s="17" t="s">
        <v>766</v>
      </c>
      <c r="E3083" s="17" t="s">
        <v>767</v>
      </c>
      <c r="F3083" s="18" t="s">
        <v>5094</v>
      </c>
      <c r="G3083" s="49" t="s">
        <v>1114</v>
      </c>
      <c r="H3083" s="17">
        <v>13</v>
      </c>
      <c r="I3083" s="30"/>
      <c r="J3083"/>
      <c r="K3083"/>
      <c r="L3083"/>
      <c r="M3083"/>
      <c r="N3083"/>
      <c r="O3083" s="62" t="str">
        <f>IF(E3083="PA",IF(K3083&lt;&gt;"",ISERROR(VLOOKUP(K3083,ABBR!A:D,1,FALSE)),ISERROR(VLOOKUP(C3083,ABBR!A:D,1,FALSE))),"")</f>
        <v/>
      </c>
      <c r="P3083" t="str">
        <f>VLOOKUP(A3083,Groups!A:L,5,FALSE)</f>
        <v>SAMP</v>
      </c>
      <c r="Q3083" s="62" t="str">
        <f>IF(G3083="PA",IF(M3083&lt;&gt;"",ISERROR(VLOOKUP(M3083,ABBR!C:F,1,FALSE)),ISERROR(VLOOKUP(E3083,ABBR!C:F,1,FALSE))),"")</f>
        <v/>
      </c>
    </row>
    <row r="3084" spans="1:17" s="62" customFormat="1" hidden="1" x14ac:dyDescent="0.25">
      <c r="A3084" s="16" t="s">
        <v>365</v>
      </c>
      <c r="B3084" s="17"/>
      <c r="C3084" s="16" t="s">
        <v>5095</v>
      </c>
      <c r="D3084" s="17" t="s">
        <v>1077</v>
      </c>
      <c r="E3084" s="17" t="s">
        <v>601</v>
      </c>
      <c r="F3084" s="18" t="s">
        <v>5096</v>
      </c>
      <c r="G3084" s="49" t="s">
        <v>5097</v>
      </c>
      <c r="H3084" s="17">
        <v>14</v>
      </c>
      <c r="I3084" s="30"/>
      <c r="J3084"/>
      <c r="K3084"/>
      <c r="L3084"/>
      <c r="M3084"/>
      <c r="N3084"/>
      <c r="O3084" s="62" t="str">
        <f>IF(E3084="PA",IF(K3084&lt;&gt;"",ISERROR(VLOOKUP(K3084,ABBR!A:D,1,FALSE)),ISERROR(VLOOKUP(C3084,ABBR!A:D,1,FALSE))),"")</f>
        <v/>
      </c>
      <c r="P3084" t="str">
        <f>VLOOKUP(A3084,Groups!A:L,5,FALSE)</f>
        <v>SAMP</v>
      </c>
      <c r="Q3084" s="62" t="str">
        <f>IF(G3084="PA",IF(M3084&lt;&gt;"",ISERROR(VLOOKUP(M3084,ABBR!C:F,1,FALSE)),ISERROR(VLOOKUP(E3084,ABBR!C:F,1,FALSE))),"")</f>
        <v/>
      </c>
    </row>
    <row r="3085" spans="1:17" s="62" customFormat="1" ht="37.5" hidden="1" x14ac:dyDescent="0.25">
      <c r="A3085" s="16" t="s">
        <v>365</v>
      </c>
      <c r="B3085" s="17"/>
      <c r="C3085" s="16" t="s">
        <v>5098</v>
      </c>
      <c r="D3085" s="17"/>
      <c r="E3085" s="17" t="s">
        <v>608</v>
      </c>
      <c r="F3085" s="18" t="s">
        <v>2858</v>
      </c>
      <c r="G3085" s="49" t="s">
        <v>5099</v>
      </c>
      <c r="H3085" s="17">
        <v>15</v>
      </c>
      <c r="I3085" s="30"/>
      <c r="J3085"/>
      <c r="K3085"/>
      <c r="L3085"/>
      <c r="M3085"/>
      <c r="N3085"/>
      <c r="O3085" s="62" t="str">
        <f>IF(E3085="PA",IF(K3085&lt;&gt;"",ISERROR(VLOOKUP(K3085,ABBR!A:D,1,FALSE)),ISERROR(VLOOKUP(C3085,ABBR!A:D,1,FALSE))),"")</f>
        <v/>
      </c>
      <c r="P3085" t="str">
        <f>VLOOKUP(A3085,Groups!A:L,5,FALSE)</f>
        <v>SAMP</v>
      </c>
      <c r="Q3085" s="62" t="str">
        <f>IF(G3085="PA",IF(M3085&lt;&gt;"",ISERROR(VLOOKUP(M3085,ABBR!C:F,1,FALSE)),ISERROR(VLOOKUP(E3085,ABBR!C:F,1,FALSE))),"")</f>
        <v/>
      </c>
    </row>
    <row r="3086" spans="1:17" s="62" customFormat="1" ht="25" hidden="1" x14ac:dyDescent="0.25">
      <c r="A3086" s="16" t="s">
        <v>365</v>
      </c>
      <c r="B3086" s="17"/>
      <c r="C3086" s="16" t="s">
        <v>5100</v>
      </c>
      <c r="D3086" s="17"/>
      <c r="E3086" s="17" t="s">
        <v>608</v>
      </c>
      <c r="F3086" s="18" t="s">
        <v>918</v>
      </c>
      <c r="G3086" s="49" t="s">
        <v>5101</v>
      </c>
      <c r="H3086" s="17">
        <v>16</v>
      </c>
      <c r="I3086" s="30"/>
      <c r="J3086"/>
      <c r="K3086"/>
      <c r="L3086"/>
      <c r="M3086"/>
      <c r="N3086"/>
      <c r="O3086" s="62" t="str">
        <f>IF(E3086="PA",IF(K3086&lt;&gt;"",ISERROR(VLOOKUP(K3086,ABBR!A:D,1,FALSE)),ISERROR(VLOOKUP(C3086,ABBR!A:D,1,FALSE))),"")</f>
        <v/>
      </c>
      <c r="P3086" t="str">
        <f>VLOOKUP(A3086,Groups!A:L,5,FALSE)</f>
        <v>SAMP</v>
      </c>
      <c r="Q3086" s="62" t="str">
        <f>IF(G3086="PA",IF(M3086&lt;&gt;"",ISERROR(VLOOKUP(M3086,ABBR!C:F,1,FALSE)),ISERROR(VLOOKUP(E3086,ABBR!C:F,1,FALSE))),"")</f>
        <v/>
      </c>
    </row>
    <row r="3087" spans="1:17" s="62" customFormat="1" hidden="1" x14ac:dyDescent="0.25">
      <c r="A3087" s="16" t="s">
        <v>365</v>
      </c>
      <c r="B3087" s="17"/>
      <c r="C3087" s="16" t="s">
        <v>5102</v>
      </c>
      <c r="D3087" s="17"/>
      <c r="E3087" s="17" t="s">
        <v>608</v>
      </c>
      <c r="F3087" s="18" t="s">
        <v>950</v>
      </c>
      <c r="G3087" s="27" t="s">
        <v>951</v>
      </c>
      <c r="H3087" s="17">
        <v>17</v>
      </c>
      <c r="I3087" s="30"/>
      <c r="J3087"/>
      <c r="K3087"/>
      <c r="L3087"/>
      <c r="M3087"/>
      <c r="N3087"/>
      <c r="O3087" s="62" t="str">
        <f>IF(E3087="PA",IF(K3087&lt;&gt;"",ISERROR(VLOOKUP(K3087,ABBR!A:D,1,FALSE)),ISERROR(VLOOKUP(C3087,ABBR!A:D,1,FALSE))),"")</f>
        <v/>
      </c>
      <c r="P3087" t="str">
        <f>VLOOKUP(A3087,Groups!A:L,5,FALSE)</f>
        <v>SAMP</v>
      </c>
      <c r="Q3087" s="62" t="str">
        <f>IF(G3087="PA",IF(M3087&lt;&gt;"",ISERROR(VLOOKUP(M3087,ABBR!C:F,1,FALSE)),ISERROR(VLOOKUP(E3087,ABBR!C:F,1,FALSE))),"")</f>
        <v/>
      </c>
    </row>
    <row r="3088" spans="1:17" s="62" customFormat="1" ht="25" hidden="1" x14ac:dyDescent="0.25">
      <c r="A3088" s="16" t="s">
        <v>365</v>
      </c>
      <c r="B3088" s="17"/>
      <c r="C3088" s="16" t="s">
        <v>5103</v>
      </c>
      <c r="D3088" s="17"/>
      <c r="E3088" s="17" t="s">
        <v>608</v>
      </c>
      <c r="F3088" s="18" t="s">
        <v>934</v>
      </c>
      <c r="G3088" s="49" t="s">
        <v>953</v>
      </c>
      <c r="H3088" s="17">
        <v>18</v>
      </c>
      <c r="I3088" s="30"/>
      <c r="J3088"/>
      <c r="K3088"/>
      <c r="L3088"/>
      <c r="M3088"/>
      <c r="N3088"/>
      <c r="O3088" s="62" t="str">
        <f>IF(E3088="PA",IF(K3088&lt;&gt;"",ISERROR(VLOOKUP(K3088,ABBR!A:D,1,FALSE)),ISERROR(VLOOKUP(C3088,ABBR!A:D,1,FALSE))),"")</f>
        <v/>
      </c>
      <c r="P3088" t="str">
        <f>VLOOKUP(A3088,Groups!A:L,5,FALSE)</f>
        <v>SAMP</v>
      </c>
      <c r="Q3088" s="62" t="str">
        <f>IF(G3088="PA",IF(M3088&lt;&gt;"",ISERROR(VLOOKUP(M3088,ABBR!C:F,1,FALSE)),ISERROR(VLOOKUP(E3088,ABBR!C:F,1,FALSE))),"")</f>
        <v/>
      </c>
    </row>
    <row r="3089" spans="1:17" s="62" customFormat="1" hidden="1" x14ac:dyDescent="0.25">
      <c r="A3089" s="16" t="s">
        <v>365</v>
      </c>
      <c r="B3089" s="17"/>
      <c r="C3089" s="16" t="s">
        <v>936</v>
      </c>
      <c r="D3089" s="17"/>
      <c r="E3089" s="22" t="s">
        <v>608</v>
      </c>
      <c r="F3089" s="18" t="s">
        <v>937</v>
      </c>
      <c r="G3089" s="49" t="s">
        <v>938</v>
      </c>
      <c r="H3089" s="17">
        <v>19</v>
      </c>
      <c r="I3089" s="30"/>
      <c r="J3089"/>
      <c r="K3089"/>
      <c r="L3089"/>
      <c r="M3089"/>
      <c r="N3089"/>
      <c r="O3089" s="62" t="str">
        <f>IF(E3089="PA",IF(K3089&lt;&gt;"",ISERROR(VLOOKUP(K3089,ABBR!A:D,1,FALSE)),ISERROR(VLOOKUP(C3089,ABBR!A:D,1,FALSE))),"")</f>
        <v/>
      </c>
      <c r="P3089" t="str">
        <f>VLOOKUP(A3089,Groups!A:L,5,FALSE)</f>
        <v>SAMP</v>
      </c>
      <c r="Q3089" s="62" t="str">
        <f>IF(G3089="PA",IF(M3089&lt;&gt;"",ISERROR(VLOOKUP(M3089,ABBR!C:F,1,FALSE)),ISERROR(VLOOKUP(E3089,ABBR!C:F,1,FALSE))),"")</f>
        <v/>
      </c>
    </row>
    <row r="3090" spans="1:17" s="62" customFormat="1" hidden="1" x14ac:dyDescent="0.25">
      <c r="A3090" s="16" t="s">
        <v>365</v>
      </c>
      <c r="B3090" s="17"/>
      <c r="C3090" s="16" t="s">
        <v>643</v>
      </c>
      <c r="D3090" s="17"/>
      <c r="E3090" s="17" t="s">
        <v>608</v>
      </c>
      <c r="F3090" s="18" t="s">
        <v>954</v>
      </c>
      <c r="G3090" s="49" t="s">
        <v>2078</v>
      </c>
      <c r="H3090" s="17">
        <v>20</v>
      </c>
      <c r="I3090" s="30"/>
      <c r="J3090"/>
      <c r="K3090"/>
      <c r="L3090"/>
      <c r="M3090"/>
      <c r="N3090"/>
      <c r="O3090" s="62" t="str">
        <f>IF(E3090="PA",IF(K3090&lt;&gt;"",ISERROR(VLOOKUP(K3090,ABBR!A:D,1,FALSE)),ISERROR(VLOOKUP(C3090,ABBR!A:D,1,FALSE))),"")</f>
        <v/>
      </c>
      <c r="P3090" t="str">
        <f>VLOOKUP(A3090,Groups!A:L,5,FALSE)</f>
        <v>SAMP</v>
      </c>
      <c r="Q3090" s="62" t="str">
        <f>IF(G3090="PA",IF(M3090&lt;&gt;"",ISERROR(VLOOKUP(M3090,ABBR!C:F,1,FALSE)),ISERROR(VLOOKUP(E3090,ABBR!C:F,1,FALSE))),"")</f>
        <v/>
      </c>
    </row>
    <row r="3091" spans="1:17" s="62" customFormat="1" hidden="1" x14ac:dyDescent="0.25">
      <c r="A3091" s="16" t="s">
        <v>365</v>
      </c>
      <c r="B3091" s="17"/>
      <c r="C3091" s="16" t="s">
        <v>877</v>
      </c>
      <c r="D3091" s="17" t="s">
        <v>600</v>
      </c>
      <c r="E3091" s="17" t="s">
        <v>601</v>
      </c>
      <c r="F3091" s="18" t="s">
        <v>878</v>
      </c>
      <c r="G3091" s="49" t="s">
        <v>879</v>
      </c>
      <c r="H3091" s="17">
        <v>21</v>
      </c>
      <c r="I3091" s="30" t="s">
        <v>955</v>
      </c>
      <c r="J3091" s="80">
        <v>4.0999999999999996</v>
      </c>
      <c r="K3091"/>
      <c r="L3091"/>
      <c r="M3091"/>
      <c r="N3091"/>
      <c r="O3091" s="62" t="str">
        <f>IF(E3091="PA",IF(K3091&lt;&gt;"",ISERROR(VLOOKUP(K3091,ABBR!A:D,1,FALSE)),ISERROR(VLOOKUP(C3091,ABBR!A:D,1,FALSE))),"")</f>
        <v/>
      </c>
      <c r="P3091" t="str">
        <f>VLOOKUP(A3091,Groups!A:L,5,FALSE)</f>
        <v>SAMP</v>
      </c>
      <c r="Q3091" s="62" t="str">
        <f>IF(G3091="PA",IF(M3091&lt;&gt;"",ISERROR(VLOOKUP(M3091,ABBR!C:F,1,FALSE)),ISERROR(VLOOKUP(E3091,ABBR!C:F,1,FALSE))),"")</f>
        <v/>
      </c>
    </row>
    <row r="3092" spans="1:17" s="62" customFormat="1" hidden="1" x14ac:dyDescent="0.25">
      <c r="A3092" s="16" t="s">
        <v>365</v>
      </c>
      <c r="B3092" s="17"/>
      <c r="C3092" s="16" t="s">
        <v>5104</v>
      </c>
      <c r="D3092" s="17"/>
      <c r="E3092" s="17" t="s">
        <v>608</v>
      </c>
      <c r="F3092" s="18" t="s">
        <v>921</v>
      </c>
      <c r="G3092" s="94" t="s">
        <v>922</v>
      </c>
      <c r="H3092" s="17">
        <v>22</v>
      </c>
      <c r="I3092" s="30" t="s">
        <v>955</v>
      </c>
      <c r="J3092" s="80">
        <v>4.0999999999999996</v>
      </c>
      <c r="K3092"/>
      <c r="L3092"/>
      <c r="M3092" s="101"/>
      <c r="N3092"/>
      <c r="O3092" s="62" t="str">
        <f>IF(E3092="PA",IF(K3092&lt;&gt;"",ISERROR(VLOOKUP(K3092,ABBR!A:D,1,FALSE)),ISERROR(VLOOKUP(C3092,ABBR!A:D,1,FALSE))),"")</f>
        <v/>
      </c>
      <c r="P3092" t="str">
        <f>VLOOKUP(A3092,Groups!A:L,5,FALSE)</f>
        <v>SAMP</v>
      </c>
      <c r="Q3092" s="62" t="str">
        <f>IF(G3092="PA",IF(M3092&lt;&gt;"",ISERROR(VLOOKUP(M3092,ABBR!C:F,1,FALSE)),ISERROR(VLOOKUP(E3092,ABBR!C:F,1,FALSE))),"")</f>
        <v/>
      </c>
    </row>
    <row r="3093" spans="1:17" s="62" customFormat="1" hidden="1" x14ac:dyDescent="0.25">
      <c r="A3093" s="16" t="s">
        <v>365</v>
      </c>
      <c r="B3093" s="17"/>
      <c r="C3093" s="16" t="s">
        <v>5105</v>
      </c>
      <c r="D3093" s="17" t="s">
        <v>4630</v>
      </c>
      <c r="E3093" s="17" t="s">
        <v>723</v>
      </c>
      <c r="F3093" s="18" t="s">
        <v>5106</v>
      </c>
      <c r="G3093" s="49" t="s">
        <v>5107</v>
      </c>
      <c r="H3093" s="17">
        <v>23</v>
      </c>
      <c r="I3093" s="30"/>
      <c r="J3093" s="62" t="s">
        <v>473</v>
      </c>
      <c r="O3093" s="62" t="str">
        <f>IF(E3093="PA",IF(K3093&lt;&gt;"",ISERROR(VLOOKUP(K3093,ABBR!A:D,1,FALSE)),ISERROR(VLOOKUP(C3093,ABBR!A:D,1,FALSE))),"")</f>
        <v/>
      </c>
      <c r="P3093" t="str">
        <f>VLOOKUP(A3093,Groups!A:L,5,FALSE)</f>
        <v>SAMP</v>
      </c>
      <c r="Q3093" s="62" t="str">
        <f>IF(G3093="PA",IF(M3093&lt;&gt;"",ISERROR(VLOOKUP(M3093,ABBR!C:F,1,FALSE)),ISERROR(VLOOKUP(E3093,ABBR!C:F,1,FALSE))),"")</f>
        <v/>
      </c>
    </row>
    <row r="3094" spans="1:17" s="62" customFormat="1" hidden="1" x14ac:dyDescent="0.25">
      <c r="A3094" s="16" t="s">
        <v>365</v>
      </c>
      <c r="B3094" s="17"/>
      <c r="C3094" s="16" t="s">
        <v>5108</v>
      </c>
      <c r="D3094" s="17" t="s">
        <v>924</v>
      </c>
      <c r="E3094" s="17" t="s">
        <v>925</v>
      </c>
      <c r="F3094" s="18" t="s">
        <v>926</v>
      </c>
      <c r="G3094" s="49" t="s">
        <v>927</v>
      </c>
      <c r="H3094" s="17">
        <v>24</v>
      </c>
      <c r="I3094" s="30"/>
      <c r="J3094" s="62" t="s">
        <v>473</v>
      </c>
      <c r="O3094" s="62" t="str">
        <f>IF(E3094="PA",IF(K3094&lt;&gt;"",ISERROR(VLOOKUP(K3094,ABBR!A:D,1,FALSE)),ISERROR(VLOOKUP(C3094,ABBR!A:D,1,FALSE))),"")</f>
        <v/>
      </c>
      <c r="P3094" t="str">
        <f>VLOOKUP(A3094,Groups!A:L,5,FALSE)</f>
        <v>SAMP</v>
      </c>
      <c r="Q3094" s="62" t="str">
        <f>IF(G3094="PA",IF(M3094&lt;&gt;"",ISERROR(VLOOKUP(M3094,ABBR!C:F,1,FALSE)),ISERROR(VLOOKUP(E3094,ABBR!C:F,1,FALSE))),"")</f>
        <v/>
      </c>
    </row>
    <row r="3095" spans="1:17" s="62" customFormat="1" hidden="1" x14ac:dyDescent="0.25">
      <c r="A3095" s="16" t="s">
        <v>365</v>
      </c>
      <c r="B3095" s="17"/>
      <c r="C3095" s="16" t="s">
        <v>5109</v>
      </c>
      <c r="D3095" s="17"/>
      <c r="E3095" s="17" t="s">
        <v>608</v>
      </c>
      <c r="F3095" s="18" t="s">
        <v>875</v>
      </c>
      <c r="G3095" s="49" t="s">
        <v>876</v>
      </c>
      <c r="H3095" s="17">
        <v>25</v>
      </c>
      <c r="I3095" s="30"/>
      <c r="J3095" s="80" t="s">
        <v>473</v>
      </c>
      <c r="O3095" s="62" t="str">
        <f>IF(E3095="PA",IF(K3095&lt;&gt;"",ISERROR(VLOOKUP(K3095,ABBR!A:D,1,FALSE)),ISERROR(VLOOKUP(C3095,ABBR!A:D,1,FALSE))),"")</f>
        <v/>
      </c>
      <c r="P3095" t="str">
        <f>VLOOKUP(A3095,Groups!A:L,5,FALSE)</f>
        <v>SAMP</v>
      </c>
      <c r="Q3095" s="62" t="str">
        <f>IF(G3095="PA",IF(M3095&lt;&gt;"",ISERROR(VLOOKUP(M3095,ABBR!C:F,1,FALSE)),ISERROR(VLOOKUP(E3095,ABBR!C:F,1,FALSE))),"")</f>
        <v/>
      </c>
    </row>
    <row r="3096" spans="1:17" s="62" customFormat="1" hidden="1" x14ac:dyDescent="0.25">
      <c r="A3096" s="16" t="s">
        <v>365</v>
      </c>
      <c r="B3096" s="17"/>
      <c r="C3096" s="16" t="s">
        <v>5110</v>
      </c>
      <c r="D3096" s="17"/>
      <c r="E3096" s="17" t="s">
        <v>608</v>
      </c>
      <c r="F3096" s="18" t="s">
        <v>929</v>
      </c>
      <c r="G3096" s="49" t="s">
        <v>876</v>
      </c>
      <c r="H3096" s="17">
        <v>26</v>
      </c>
      <c r="I3096" s="30"/>
      <c r="J3096" s="80" t="s">
        <v>473</v>
      </c>
      <c r="O3096" s="62" t="str">
        <f>IF(E3096="PA",IF(K3096&lt;&gt;"",ISERROR(VLOOKUP(K3096,ABBR!A:D,1,FALSE)),ISERROR(VLOOKUP(C3096,ABBR!A:D,1,FALSE))),"")</f>
        <v/>
      </c>
      <c r="P3096" t="str">
        <f>VLOOKUP(A3096,Groups!A:L,5,FALSE)</f>
        <v>SAMP</v>
      </c>
      <c r="Q3096" s="62" t="str">
        <f>IF(G3096="PA",IF(M3096&lt;&gt;"",ISERROR(VLOOKUP(M3096,ABBR!C:F,1,FALSE)),ISERROR(VLOOKUP(E3096,ABBR!C:F,1,FALSE))),"")</f>
        <v/>
      </c>
    </row>
    <row r="3097" spans="1:17" s="62" customFormat="1" hidden="1" x14ac:dyDescent="0.25">
      <c r="A3097" s="16" t="s">
        <v>368</v>
      </c>
      <c r="B3097" s="17" t="s">
        <v>594</v>
      </c>
      <c r="C3097" s="16" t="s">
        <v>595</v>
      </c>
      <c r="D3097" s="17"/>
      <c r="E3097" s="17" t="s">
        <v>596</v>
      </c>
      <c r="F3097" s="18" t="s">
        <v>597</v>
      </c>
      <c r="G3097" s="49" t="s">
        <v>5111</v>
      </c>
      <c r="H3097" s="17">
        <v>1</v>
      </c>
      <c r="I3097" s="30" t="s">
        <v>955</v>
      </c>
      <c r="J3097" s="80">
        <v>4.0999999999999996</v>
      </c>
      <c r="K3097"/>
      <c r="L3097"/>
      <c r="M3097"/>
      <c r="N3097"/>
      <c r="O3097" s="62" t="str">
        <f>IF(E3097="PA",IF(K3097&lt;&gt;"",ISERROR(VLOOKUP(K3097,ABBR!A:D,1,FALSE)),ISERROR(VLOOKUP(C3097,ABBR!A:D,1,FALSE))),"")</f>
        <v/>
      </c>
      <c r="P3097" t="str">
        <f>VLOOKUP(A3097,Groups!A:L,5,FALSE)</f>
        <v>RESG</v>
      </c>
      <c r="Q3097" s="62" t="str">
        <f>IF(G3097="PA",IF(M3097&lt;&gt;"",ISERROR(VLOOKUP(M3097,ABBR!C:F,1,FALSE)),ISERROR(VLOOKUP(E3097,ABBR!C:F,1,FALSE))),"")</f>
        <v/>
      </c>
    </row>
    <row r="3098" spans="1:17" s="62" customFormat="1" hidden="1" x14ac:dyDescent="0.25">
      <c r="A3098" s="16" t="s">
        <v>368</v>
      </c>
      <c r="B3098" s="17" t="s">
        <v>594</v>
      </c>
      <c r="C3098" s="16" t="s">
        <v>851</v>
      </c>
      <c r="D3098" s="17" t="s">
        <v>600</v>
      </c>
      <c r="E3098" s="17" t="s">
        <v>601</v>
      </c>
      <c r="F3098" s="18" t="s">
        <v>852</v>
      </c>
      <c r="G3098" s="49" t="s">
        <v>5112</v>
      </c>
      <c r="H3098" s="17">
        <v>2</v>
      </c>
      <c r="I3098" s="30" t="s">
        <v>955</v>
      </c>
      <c r="J3098" s="80">
        <v>4.0999999999999996</v>
      </c>
      <c r="K3098"/>
      <c r="L3098"/>
      <c r="M3098"/>
      <c r="N3098"/>
      <c r="O3098" s="62" t="str">
        <f>IF(E3098="PA",IF(K3098&lt;&gt;"",ISERROR(VLOOKUP(K3098,ABBR!A:D,1,FALSE)),ISERROR(VLOOKUP(C3098,ABBR!A:D,1,FALSE))),"")</f>
        <v/>
      </c>
      <c r="P3098" t="str">
        <f>VLOOKUP(A3098,Groups!A:L,5,FALSE)</f>
        <v>RESG</v>
      </c>
      <c r="Q3098" s="62" t="str">
        <f>IF(G3098="PA",IF(M3098&lt;&gt;"",ISERROR(VLOOKUP(M3098,ABBR!C:F,1,FALSE)),ISERROR(VLOOKUP(E3098,ABBR!C:F,1,FALSE))),"")</f>
        <v/>
      </c>
    </row>
    <row r="3099" spans="1:17" s="62" customFormat="1" hidden="1" x14ac:dyDescent="0.25">
      <c r="A3099" s="16" t="s">
        <v>368</v>
      </c>
      <c r="B3099" s="17" t="s">
        <v>594</v>
      </c>
      <c r="C3099" s="16" t="s">
        <v>854</v>
      </c>
      <c r="D3099" s="17"/>
      <c r="E3099" s="17" t="s">
        <v>608</v>
      </c>
      <c r="F3099" s="18" t="s">
        <v>855</v>
      </c>
      <c r="G3099" s="49" t="s">
        <v>5113</v>
      </c>
      <c r="H3099" s="17">
        <v>3</v>
      </c>
      <c r="I3099" s="30" t="s">
        <v>955</v>
      </c>
      <c r="J3099" s="80">
        <v>4.0999999999999996</v>
      </c>
      <c r="K3099"/>
      <c r="L3099"/>
      <c r="M3099"/>
      <c r="N3099"/>
      <c r="O3099" s="62" t="str">
        <f>IF(E3099="PA",IF(K3099&lt;&gt;"",ISERROR(VLOOKUP(K3099,ABBR!A:D,1,FALSE)),ISERROR(VLOOKUP(C3099,ABBR!A:D,1,FALSE))),"")</f>
        <v/>
      </c>
      <c r="P3099" t="str">
        <f>VLOOKUP(A3099,Groups!A:L,5,FALSE)</f>
        <v>RESG</v>
      </c>
      <c r="Q3099" s="62" t="str">
        <f>IF(G3099="PA",IF(M3099&lt;&gt;"",ISERROR(VLOOKUP(M3099,ABBR!C:F,1,FALSE)),ISERROR(VLOOKUP(E3099,ABBR!C:F,1,FALSE))),"")</f>
        <v/>
      </c>
    </row>
    <row r="3100" spans="1:17" s="62" customFormat="1" hidden="1" x14ac:dyDescent="0.25">
      <c r="A3100" s="16" t="s">
        <v>368</v>
      </c>
      <c r="B3100" s="17" t="s">
        <v>594</v>
      </c>
      <c r="C3100" s="16" t="s">
        <v>857</v>
      </c>
      <c r="D3100" s="17"/>
      <c r="E3100" s="17" t="s">
        <v>618</v>
      </c>
      <c r="F3100" s="18" t="s">
        <v>858</v>
      </c>
      <c r="G3100" s="49" t="s">
        <v>859</v>
      </c>
      <c r="H3100" s="17">
        <v>4</v>
      </c>
      <c r="I3100" s="30" t="s">
        <v>955</v>
      </c>
      <c r="J3100" s="80">
        <v>4.0999999999999996</v>
      </c>
      <c r="K3100"/>
      <c r="L3100"/>
      <c r="M3100"/>
      <c r="N3100"/>
      <c r="O3100" s="62" t="b">
        <f>IF(E3100="PA",IF(K3100&lt;&gt;"",ISERROR(VLOOKUP(K3100,ABBR!A:D,1,FALSE)),ISERROR(VLOOKUP(C3100,ABBR!A:D,1,FALSE))),"")</f>
        <v>0</v>
      </c>
      <c r="P3100" t="str">
        <f>VLOOKUP(A3100,Groups!A:L,5,FALSE)</f>
        <v>RESG</v>
      </c>
      <c r="Q3100" s="62" t="str">
        <f>IF(G3100="PA",IF(M3100&lt;&gt;"",ISERROR(VLOOKUP(M3100,ABBR!C:F,1,FALSE)),ISERROR(VLOOKUP(E3100,ABBR!C:F,1,FALSE))),"")</f>
        <v/>
      </c>
    </row>
    <row r="3101" spans="1:17" s="62" customFormat="1" hidden="1" x14ac:dyDescent="0.25">
      <c r="A3101" s="16" t="s">
        <v>368</v>
      </c>
      <c r="B3101" s="17" t="s">
        <v>594</v>
      </c>
      <c r="C3101" s="16" t="s">
        <v>860</v>
      </c>
      <c r="D3101" s="17"/>
      <c r="E3101" s="17" t="s">
        <v>596</v>
      </c>
      <c r="F3101" s="18" t="s">
        <v>942</v>
      </c>
      <c r="G3101" s="49" t="s">
        <v>5114</v>
      </c>
      <c r="H3101" s="17">
        <v>5</v>
      </c>
      <c r="I3101" s="30" t="s">
        <v>955</v>
      </c>
      <c r="J3101" s="80">
        <v>4.0999999999999996</v>
      </c>
      <c r="K3101"/>
      <c r="L3101"/>
      <c r="M3101"/>
      <c r="N3101"/>
      <c r="O3101" s="62" t="str">
        <f>IF(E3101="PA",IF(K3101&lt;&gt;"",ISERROR(VLOOKUP(K3101,ABBR!A:D,1,FALSE)),ISERROR(VLOOKUP(C3101,ABBR!A:D,1,FALSE))),"")</f>
        <v/>
      </c>
      <c r="P3101" t="str">
        <f>VLOOKUP(A3101,Groups!A:L,5,FALSE)</f>
        <v>RESG</v>
      </c>
      <c r="Q3101" s="62" t="str">
        <f>IF(G3101="PA",IF(M3101&lt;&gt;"",ISERROR(VLOOKUP(M3101,ABBR!C:F,1,FALSE)),ISERROR(VLOOKUP(E3101,ABBR!C:F,1,FALSE))),"")</f>
        <v/>
      </c>
    </row>
    <row r="3102" spans="1:17" s="62" customFormat="1" hidden="1" x14ac:dyDescent="0.25">
      <c r="A3102" s="16" t="s">
        <v>368</v>
      </c>
      <c r="B3102" s="17" t="s">
        <v>594</v>
      </c>
      <c r="C3102" s="16" t="s">
        <v>863</v>
      </c>
      <c r="D3102" s="17"/>
      <c r="E3102" s="17" t="s">
        <v>608</v>
      </c>
      <c r="F3102" s="18" t="s">
        <v>864</v>
      </c>
      <c r="G3102" s="49" t="s">
        <v>5115</v>
      </c>
      <c r="H3102" s="17">
        <v>6</v>
      </c>
      <c r="I3102" s="30" t="s">
        <v>955</v>
      </c>
      <c r="J3102" s="80">
        <v>4.0999999999999996</v>
      </c>
      <c r="K3102"/>
      <c r="L3102"/>
      <c r="M3102"/>
      <c r="N3102"/>
      <c r="O3102" s="62" t="str">
        <f>IF(E3102="PA",IF(K3102&lt;&gt;"",ISERROR(VLOOKUP(K3102,ABBR!A:D,1,FALSE)),ISERROR(VLOOKUP(C3102,ABBR!A:D,1,FALSE))),"")</f>
        <v/>
      </c>
      <c r="P3102" t="str">
        <f>VLOOKUP(A3102,Groups!A:L,5,FALSE)</f>
        <v>RESG</v>
      </c>
      <c r="Q3102" s="62" t="str">
        <f>IF(G3102="PA",IF(M3102&lt;&gt;"",ISERROR(VLOOKUP(M3102,ABBR!C:F,1,FALSE)),ISERROR(VLOOKUP(E3102,ABBR!C:F,1,FALSE))),"")</f>
        <v/>
      </c>
    </row>
    <row r="3103" spans="1:17" s="62" customFormat="1" hidden="1" x14ac:dyDescent="0.25">
      <c r="A3103" s="16" t="s">
        <v>368</v>
      </c>
      <c r="B3103" s="17" t="s">
        <v>594</v>
      </c>
      <c r="C3103" s="16" t="s">
        <v>866</v>
      </c>
      <c r="D3103" s="17" t="s">
        <v>600</v>
      </c>
      <c r="E3103" s="17" t="s">
        <v>601</v>
      </c>
      <c r="F3103" s="18" t="s">
        <v>867</v>
      </c>
      <c r="G3103" s="49" t="s">
        <v>2112</v>
      </c>
      <c r="H3103" s="17">
        <v>7</v>
      </c>
      <c r="I3103" s="30" t="s">
        <v>955</v>
      </c>
      <c r="J3103" s="80">
        <v>4.0999999999999996</v>
      </c>
      <c r="K3103"/>
      <c r="L3103"/>
      <c r="M3103"/>
      <c r="N3103"/>
      <c r="O3103" s="62" t="str">
        <f>IF(E3103="PA",IF(K3103&lt;&gt;"",ISERROR(VLOOKUP(K3103,ABBR!A:D,1,FALSE)),ISERROR(VLOOKUP(C3103,ABBR!A:D,1,FALSE))),"")</f>
        <v/>
      </c>
      <c r="P3103" t="str">
        <f>VLOOKUP(A3103,Groups!A:L,5,FALSE)</f>
        <v>RESG</v>
      </c>
      <c r="Q3103" s="62" t="str">
        <f>IF(G3103="PA",IF(M3103&lt;&gt;"",ISERROR(VLOOKUP(M3103,ABBR!C:F,1,FALSE)),ISERROR(VLOOKUP(E3103,ABBR!C:F,1,FALSE))),"")</f>
        <v/>
      </c>
    </row>
    <row r="3104" spans="1:17" s="62" customFormat="1" hidden="1" x14ac:dyDescent="0.25">
      <c r="A3104" s="16" t="s">
        <v>368</v>
      </c>
      <c r="B3104" s="17" t="s">
        <v>594</v>
      </c>
      <c r="C3104" s="16" t="s">
        <v>5116</v>
      </c>
      <c r="D3104" s="17"/>
      <c r="E3104" s="17" t="s">
        <v>608</v>
      </c>
      <c r="F3104" s="18" t="s">
        <v>1617</v>
      </c>
      <c r="G3104" s="49" t="s">
        <v>1229</v>
      </c>
      <c r="H3104" s="17">
        <v>8</v>
      </c>
      <c r="I3104" s="30" t="s">
        <v>955</v>
      </c>
      <c r="J3104" s="80">
        <v>4.0999999999999996</v>
      </c>
      <c r="K3104"/>
      <c r="L3104"/>
      <c r="M3104"/>
      <c r="N3104"/>
      <c r="O3104" s="62" t="str">
        <f>IF(E3104="PA",IF(K3104&lt;&gt;"",ISERROR(VLOOKUP(K3104,ABBR!A:D,1,FALSE)),ISERROR(VLOOKUP(C3104,ABBR!A:D,1,FALSE))),"")</f>
        <v/>
      </c>
      <c r="P3104" t="str">
        <f>VLOOKUP(A3104,Groups!A:L,5,FALSE)</f>
        <v>RESG</v>
      </c>
      <c r="Q3104" s="62" t="str">
        <f>IF(G3104="PA",IF(M3104&lt;&gt;"",ISERROR(VLOOKUP(M3104,ABBR!C:F,1,FALSE)),ISERROR(VLOOKUP(E3104,ABBR!C:F,1,FALSE))),"")</f>
        <v/>
      </c>
    </row>
    <row r="3105" spans="1:17" s="62" customFormat="1" hidden="1" x14ac:dyDescent="0.25">
      <c r="A3105" s="16" t="s">
        <v>368</v>
      </c>
      <c r="B3105" s="17"/>
      <c r="C3105" s="16" t="s">
        <v>5117</v>
      </c>
      <c r="D3105" s="17" t="s">
        <v>722</v>
      </c>
      <c r="E3105" s="17" t="s">
        <v>601</v>
      </c>
      <c r="F3105" s="18" t="s">
        <v>1725</v>
      </c>
      <c r="G3105" s="49" t="s">
        <v>5118</v>
      </c>
      <c r="H3105" s="17">
        <v>9</v>
      </c>
      <c r="I3105" s="30" t="s">
        <v>955</v>
      </c>
      <c r="J3105" s="80">
        <v>4.0999999999999996</v>
      </c>
      <c r="K3105"/>
      <c r="L3105"/>
      <c r="M3105"/>
      <c r="N3105"/>
      <c r="O3105" s="62" t="str">
        <f>IF(E3105="PA",IF(K3105&lt;&gt;"",ISERROR(VLOOKUP(K3105,ABBR!A:D,1,FALSE)),ISERROR(VLOOKUP(C3105,ABBR!A:D,1,FALSE))),"")</f>
        <v/>
      </c>
      <c r="P3105" t="str">
        <f>VLOOKUP(A3105,Groups!A:L,5,FALSE)</f>
        <v>RESG</v>
      </c>
      <c r="Q3105" s="62" t="str">
        <f>IF(G3105="PA",IF(M3105&lt;&gt;"",ISERROR(VLOOKUP(M3105,ABBR!C:F,1,FALSE)),ISERROR(VLOOKUP(E3105,ABBR!C:F,1,FALSE))),"")</f>
        <v/>
      </c>
    </row>
    <row r="3106" spans="1:17" s="62" customFormat="1" hidden="1" x14ac:dyDescent="0.25">
      <c r="A3106" s="16" t="s">
        <v>368</v>
      </c>
      <c r="B3106" s="17"/>
      <c r="C3106" s="16" t="s">
        <v>5119</v>
      </c>
      <c r="D3106" s="17" t="s">
        <v>722</v>
      </c>
      <c r="E3106" s="17" t="s">
        <v>601</v>
      </c>
      <c r="F3106" s="18" t="s">
        <v>1728</v>
      </c>
      <c r="G3106" s="49" t="s">
        <v>5120</v>
      </c>
      <c r="H3106" s="17">
        <v>10</v>
      </c>
      <c r="I3106" s="30" t="s">
        <v>955</v>
      </c>
      <c r="J3106" s="80">
        <v>4.0999999999999996</v>
      </c>
      <c r="K3106"/>
      <c r="L3106"/>
      <c r="M3106"/>
      <c r="N3106"/>
      <c r="O3106" s="62" t="str">
        <f>IF(E3106="PA",IF(K3106&lt;&gt;"",ISERROR(VLOOKUP(K3106,ABBR!A:D,1,FALSE)),ISERROR(VLOOKUP(C3106,ABBR!A:D,1,FALSE))),"")</f>
        <v/>
      </c>
      <c r="P3106" t="str">
        <f>VLOOKUP(A3106,Groups!A:L,5,FALSE)</f>
        <v>RESG</v>
      </c>
      <c r="Q3106" s="62" t="str">
        <f>IF(G3106="PA",IF(M3106&lt;&gt;"",ISERROR(VLOOKUP(M3106,ABBR!C:F,1,FALSE)),ISERROR(VLOOKUP(E3106,ABBR!C:F,1,FALSE))),"")</f>
        <v/>
      </c>
    </row>
    <row r="3107" spans="1:17" s="62" customFormat="1" hidden="1" x14ac:dyDescent="0.25">
      <c r="A3107" s="16" t="s">
        <v>368</v>
      </c>
      <c r="B3107" s="17"/>
      <c r="C3107" s="16" t="s">
        <v>5121</v>
      </c>
      <c r="D3107" s="17"/>
      <c r="E3107" s="17" t="s">
        <v>618</v>
      </c>
      <c r="F3107" s="18" t="s">
        <v>1633</v>
      </c>
      <c r="G3107" s="49" t="s">
        <v>1634</v>
      </c>
      <c r="H3107" s="17">
        <v>11</v>
      </c>
      <c r="I3107" s="30" t="s">
        <v>955</v>
      </c>
      <c r="J3107" s="80">
        <v>4.0999999999999996</v>
      </c>
      <c r="K3107"/>
      <c r="L3107"/>
      <c r="M3107"/>
      <c r="N3107"/>
      <c r="O3107" s="62" t="b">
        <f>IF(E3107="PA",IF(K3107&lt;&gt;"",ISERROR(VLOOKUP(K3107,ABBR!A:D,1,FALSE)),ISERROR(VLOOKUP(C3107,ABBR!A:D,1,FALSE))),"")</f>
        <v>0</v>
      </c>
      <c r="P3107" t="str">
        <f>VLOOKUP(A3107,Groups!A:L,5,FALSE)</f>
        <v>RESG</v>
      </c>
      <c r="Q3107" s="62" t="str">
        <f>IF(G3107="PA",IF(M3107&lt;&gt;"",ISERROR(VLOOKUP(M3107,ABBR!C:F,1,FALSE)),ISERROR(VLOOKUP(E3107,ABBR!C:F,1,FALSE))),"")</f>
        <v/>
      </c>
    </row>
    <row r="3108" spans="1:17" s="62" customFormat="1" hidden="1" x14ac:dyDescent="0.25">
      <c r="A3108" s="16" t="s">
        <v>368</v>
      </c>
      <c r="B3108" s="17"/>
      <c r="C3108" s="16" t="s">
        <v>5122</v>
      </c>
      <c r="D3108" s="17" t="s">
        <v>1639</v>
      </c>
      <c r="E3108" s="17" t="s">
        <v>1417</v>
      </c>
      <c r="F3108" s="18" t="s">
        <v>5123</v>
      </c>
      <c r="G3108" s="49" t="s">
        <v>5124</v>
      </c>
      <c r="H3108" s="17">
        <v>12</v>
      </c>
      <c r="I3108" s="30" t="s">
        <v>955</v>
      </c>
      <c r="J3108" s="80">
        <v>4.0999999999999996</v>
      </c>
      <c r="K3108" s="68"/>
      <c r="L3108"/>
      <c r="M3108"/>
      <c r="N3108"/>
      <c r="O3108" s="62" t="str">
        <f>IF(E3108="PA",IF(K3108&lt;&gt;"",ISERROR(VLOOKUP(K3108,ABBR!A:D,1,FALSE)),ISERROR(VLOOKUP(C3108,ABBR!A:D,1,FALSE))),"")</f>
        <v/>
      </c>
      <c r="P3108" t="str">
        <f>VLOOKUP(A3108,Groups!A:L,5,FALSE)</f>
        <v>RESG</v>
      </c>
      <c r="Q3108" s="62" t="str">
        <f>IF(G3108="PA",IF(M3108&lt;&gt;"",ISERROR(VLOOKUP(M3108,ABBR!C:F,1,FALSE)),ISERROR(VLOOKUP(E3108,ABBR!C:F,1,FALSE))),"")</f>
        <v/>
      </c>
    </row>
    <row r="3109" spans="1:17" s="62" customFormat="1" hidden="1" x14ac:dyDescent="0.25">
      <c r="A3109" s="16" t="s">
        <v>368</v>
      </c>
      <c r="B3109" s="17"/>
      <c r="C3109" s="16" t="s">
        <v>5125</v>
      </c>
      <c r="D3109" s="17" t="s">
        <v>722</v>
      </c>
      <c r="E3109" s="17" t="s">
        <v>601</v>
      </c>
      <c r="F3109" s="18" t="s">
        <v>5126</v>
      </c>
      <c r="G3109" s="49" t="s">
        <v>5127</v>
      </c>
      <c r="H3109" s="17">
        <v>13</v>
      </c>
      <c r="I3109" s="30" t="s">
        <v>955</v>
      </c>
      <c r="J3109" s="80">
        <v>4.0999999999999996</v>
      </c>
      <c r="K3109"/>
      <c r="L3109"/>
      <c r="M3109"/>
      <c r="N3109"/>
      <c r="O3109" s="62" t="str">
        <f>IF(E3109="PA",IF(K3109&lt;&gt;"",ISERROR(VLOOKUP(K3109,ABBR!A:D,1,FALSE)),ISERROR(VLOOKUP(C3109,ABBR!A:D,1,FALSE))),"")</f>
        <v/>
      </c>
      <c r="P3109" t="str">
        <f>VLOOKUP(A3109,Groups!A:L,5,FALSE)</f>
        <v>RESG</v>
      </c>
      <c r="Q3109" s="62" t="str">
        <f>IF(G3109="PA",IF(M3109&lt;&gt;"",ISERROR(VLOOKUP(M3109,ABBR!C:F,1,FALSE)),ISERROR(VLOOKUP(E3109,ABBR!C:F,1,FALSE))),"")</f>
        <v/>
      </c>
    </row>
    <row r="3110" spans="1:17" s="62" customFormat="1" hidden="1" x14ac:dyDescent="0.25">
      <c r="A3110" s="16" t="s">
        <v>368</v>
      </c>
      <c r="B3110" s="17"/>
      <c r="C3110" s="16" t="s">
        <v>5128</v>
      </c>
      <c r="D3110" s="17" t="s">
        <v>722</v>
      </c>
      <c r="E3110" s="17" t="s">
        <v>601</v>
      </c>
      <c r="F3110" s="18" t="s">
        <v>5129</v>
      </c>
      <c r="G3110" s="49" t="s">
        <v>5130</v>
      </c>
      <c r="H3110" s="17">
        <v>14</v>
      </c>
      <c r="I3110" s="30" t="s">
        <v>955</v>
      </c>
      <c r="J3110" s="80">
        <v>4.0999999999999996</v>
      </c>
      <c r="K3110"/>
      <c r="L3110"/>
      <c r="M3110"/>
      <c r="N3110"/>
      <c r="O3110" s="62" t="str">
        <f>IF(E3110="PA",IF(K3110&lt;&gt;"",ISERROR(VLOOKUP(K3110,ABBR!A:D,1,FALSE)),ISERROR(VLOOKUP(C3110,ABBR!A:D,1,FALSE))),"")</f>
        <v/>
      </c>
      <c r="P3110" t="str">
        <f>VLOOKUP(A3110,Groups!A:L,5,FALSE)</f>
        <v>RESG</v>
      </c>
      <c r="Q3110" s="62" t="str">
        <f>IF(G3110="PA",IF(M3110&lt;&gt;"",ISERROR(VLOOKUP(M3110,ABBR!C:F,1,FALSE)),ISERROR(VLOOKUP(E3110,ABBR!C:F,1,FALSE))),"")</f>
        <v/>
      </c>
    </row>
    <row r="3111" spans="1:17" s="62" customFormat="1" hidden="1" x14ac:dyDescent="0.25">
      <c r="A3111" s="16" t="s">
        <v>368</v>
      </c>
      <c r="B3111" s="17"/>
      <c r="C3111" s="16" t="s">
        <v>5131</v>
      </c>
      <c r="D3111" s="17" t="s">
        <v>766</v>
      </c>
      <c r="E3111" s="17" t="s">
        <v>608</v>
      </c>
      <c r="F3111" s="18" t="s">
        <v>5132</v>
      </c>
      <c r="G3111" s="49" t="s">
        <v>4414</v>
      </c>
      <c r="H3111" s="17">
        <v>15</v>
      </c>
      <c r="I3111" s="30" t="s">
        <v>955</v>
      </c>
      <c r="J3111" s="80">
        <v>4.0999999999999996</v>
      </c>
      <c r="K3111"/>
      <c r="L3111"/>
      <c r="M3111"/>
      <c r="N3111"/>
      <c r="O3111" s="62" t="str">
        <f>IF(E3111="PA",IF(K3111&lt;&gt;"",ISERROR(VLOOKUP(K3111,ABBR!A:D,1,FALSE)),ISERROR(VLOOKUP(C3111,ABBR!A:D,1,FALSE))),"")</f>
        <v/>
      </c>
      <c r="P3111" t="str">
        <f>VLOOKUP(A3111,Groups!A:L,5,FALSE)</f>
        <v>RESG</v>
      </c>
      <c r="Q3111" s="62" t="str">
        <f>IF(G3111="PA",IF(M3111&lt;&gt;"",ISERROR(VLOOKUP(M3111,ABBR!C:F,1,FALSE)),ISERROR(VLOOKUP(E3111,ABBR!C:F,1,FALSE))),"")</f>
        <v/>
      </c>
    </row>
    <row r="3112" spans="1:17" s="62" customFormat="1" hidden="1" x14ac:dyDescent="0.25">
      <c r="A3112" s="16" t="s">
        <v>368</v>
      </c>
      <c r="B3112" s="17"/>
      <c r="C3112" s="16" t="s">
        <v>5133</v>
      </c>
      <c r="D3112" s="17" t="s">
        <v>1077</v>
      </c>
      <c r="E3112" s="17" t="s">
        <v>601</v>
      </c>
      <c r="F3112" s="18" t="s">
        <v>5134</v>
      </c>
      <c r="G3112" s="49" t="s">
        <v>5135</v>
      </c>
      <c r="H3112" s="17">
        <v>16</v>
      </c>
      <c r="I3112" s="30" t="s">
        <v>955</v>
      </c>
      <c r="J3112" s="80">
        <v>4.0999999999999996</v>
      </c>
      <c r="K3112"/>
      <c r="L3112"/>
      <c r="M3112"/>
      <c r="N3112"/>
      <c r="O3112" s="62" t="str">
        <f>IF(E3112="PA",IF(K3112&lt;&gt;"",ISERROR(VLOOKUP(K3112,ABBR!A:D,1,FALSE)),ISERROR(VLOOKUP(C3112,ABBR!A:D,1,FALSE))),"")</f>
        <v/>
      </c>
      <c r="P3112" t="str">
        <f>VLOOKUP(A3112,Groups!A:L,5,FALSE)</f>
        <v>RESG</v>
      </c>
      <c r="Q3112" s="62" t="str">
        <f>IF(G3112="PA",IF(M3112&lt;&gt;"",ISERROR(VLOOKUP(M3112,ABBR!C:F,1,FALSE)),ISERROR(VLOOKUP(E3112,ABBR!C:F,1,FALSE))),"")</f>
        <v/>
      </c>
    </row>
    <row r="3113" spans="1:17" s="62" customFormat="1" hidden="1" x14ac:dyDescent="0.25">
      <c r="A3113" s="16" t="s">
        <v>368</v>
      </c>
      <c r="B3113" s="17"/>
      <c r="C3113" s="16" t="s">
        <v>5136</v>
      </c>
      <c r="D3113" s="17" t="s">
        <v>766</v>
      </c>
      <c r="E3113" s="17" t="s">
        <v>723</v>
      </c>
      <c r="F3113" s="18" t="s">
        <v>5137</v>
      </c>
      <c r="G3113" s="49" t="s">
        <v>1657</v>
      </c>
      <c r="H3113" s="17">
        <v>17</v>
      </c>
      <c r="I3113" s="30" t="s">
        <v>955</v>
      </c>
      <c r="J3113" s="80">
        <v>4.0999999999999996</v>
      </c>
      <c r="K3113"/>
      <c r="L3113"/>
      <c r="M3113"/>
      <c r="N3113"/>
      <c r="O3113" s="62" t="str">
        <f>IF(E3113="PA",IF(K3113&lt;&gt;"",ISERROR(VLOOKUP(K3113,ABBR!A:D,1,FALSE)),ISERROR(VLOOKUP(C3113,ABBR!A:D,1,FALSE))),"")</f>
        <v/>
      </c>
      <c r="P3113" t="str">
        <f>VLOOKUP(A3113,Groups!A:L,5,FALSE)</f>
        <v>RESG</v>
      </c>
      <c r="Q3113" s="62" t="str">
        <f>IF(G3113="PA",IF(M3113&lt;&gt;"",ISERROR(VLOOKUP(M3113,ABBR!C:F,1,FALSE)),ISERROR(VLOOKUP(E3113,ABBR!C:F,1,FALSE))),"")</f>
        <v/>
      </c>
    </row>
    <row r="3114" spans="1:17" s="62" customFormat="1" hidden="1" x14ac:dyDescent="0.25">
      <c r="A3114" s="16" t="s">
        <v>368</v>
      </c>
      <c r="B3114" s="17"/>
      <c r="C3114" s="16" t="s">
        <v>5138</v>
      </c>
      <c r="D3114" s="17"/>
      <c r="E3114" s="17" t="s">
        <v>1321</v>
      </c>
      <c r="F3114" s="18" t="s">
        <v>5139</v>
      </c>
      <c r="G3114" s="49" t="s">
        <v>1660</v>
      </c>
      <c r="H3114" s="17">
        <v>18</v>
      </c>
      <c r="I3114" s="30" t="s">
        <v>955</v>
      </c>
      <c r="J3114" s="80">
        <v>4.0999999999999996</v>
      </c>
      <c r="K3114"/>
      <c r="L3114"/>
      <c r="M3114"/>
      <c r="N3114"/>
      <c r="O3114" s="62" t="str">
        <f>IF(E3114="PA",IF(K3114&lt;&gt;"",ISERROR(VLOOKUP(K3114,ABBR!A:D,1,FALSE)),ISERROR(VLOOKUP(C3114,ABBR!A:D,1,FALSE))),"")</f>
        <v/>
      </c>
      <c r="P3114" t="str">
        <f>VLOOKUP(A3114,Groups!A:L,5,FALSE)</f>
        <v>RESG</v>
      </c>
      <c r="Q3114" s="62" t="str">
        <f>IF(G3114="PA",IF(M3114&lt;&gt;"",ISERROR(VLOOKUP(M3114,ABBR!C:F,1,FALSE)),ISERROR(VLOOKUP(E3114,ABBR!C:F,1,FALSE))),"")</f>
        <v/>
      </c>
    </row>
    <row r="3115" spans="1:17" s="62" customFormat="1" ht="25" hidden="1" x14ac:dyDescent="0.25">
      <c r="A3115" s="16" t="s">
        <v>368</v>
      </c>
      <c r="B3115" s="17"/>
      <c r="C3115" s="16" t="s">
        <v>5140</v>
      </c>
      <c r="D3115" s="17" t="s">
        <v>1345</v>
      </c>
      <c r="E3115" s="17" t="s">
        <v>723</v>
      </c>
      <c r="F3115" s="18" t="s">
        <v>5141</v>
      </c>
      <c r="G3115" s="49" t="s">
        <v>5142</v>
      </c>
      <c r="H3115" s="17">
        <v>19</v>
      </c>
      <c r="I3115" s="30" t="s">
        <v>955</v>
      </c>
      <c r="J3115" s="80">
        <v>4.0999999999999996</v>
      </c>
      <c r="K3115"/>
      <c r="L3115"/>
      <c r="M3115"/>
      <c r="N3115"/>
      <c r="O3115" s="62" t="str">
        <f>IF(E3115="PA",IF(K3115&lt;&gt;"",ISERROR(VLOOKUP(K3115,ABBR!A:D,1,FALSE)),ISERROR(VLOOKUP(C3115,ABBR!A:D,1,FALSE))),"")</f>
        <v/>
      </c>
      <c r="P3115" t="str">
        <f>VLOOKUP(A3115,Groups!A:L,5,FALSE)</f>
        <v>RESG</v>
      </c>
      <c r="Q3115" s="62" t="str">
        <f>IF(G3115="PA",IF(M3115&lt;&gt;"",ISERROR(VLOOKUP(M3115,ABBR!C:F,1,FALSE)),ISERROR(VLOOKUP(E3115,ABBR!C:F,1,FALSE))),"")</f>
        <v/>
      </c>
    </row>
    <row r="3116" spans="1:17" s="62" customFormat="1" ht="25" hidden="1" x14ac:dyDescent="0.25">
      <c r="A3116" s="16" t="s">
        <v>368</v>
      </c>
      <c r="B3116" s="17"/>
      <c r="C3116" s="16" t="s">
        <v>5143</v>
      </c>
      <c r="D3116" s="17" t="s">
        <v>1345</v>
      </c>
      <c r="E3116" s="17" t="s">
        <v>723</v>
      </c>
      <c r="F3116" s="18" t="s">
        <v>5144</v>
      </c>
      <c r="G3116" s="49" t="s">
        <v>5145</v>
      </c>
      <c r="H3116" s="17">
        <v>20</v>
      </c>
      <c r="I3116" s="30" t="s">
        <v>955</v>
      </c>
      <c r="J3116" s="80">
        <v>4.0999999999999996</v>
      </c>
      <c r="K3116"/>
      <c r="L3116"/>
      <c r="M3116"/>
      <c r="N3116"/>
      <c r="O3116" s="62" t="str">
        <f>IF(E3116="PA",IF(K3116&lt;&gt;"",ISERROR(VLOOKUP(K3116,ABBR!A:D,1,FALSE)),ISERROR(VLOOKUP(C3116,ABBR!A:D,1,FALSE))),"")</f>
        <v/>
      </c>
      <c r="P3116" t="str">
        <f>VLOOKUP(A3116,Groups!A:L,5,FALSE)</f>
        <v>RESG</v>
      </c>
      <c r="Q3116" s="62" t="str">
        <f>IF(G3116="PA",IF(M3116&lt;&gt;"",ISERROR(VLOOKUP(M3116,ABBR!C:F,1,FALSE)),ISERROR(VLOOKUP(E3116,ABBR!C:F,1,FALSE))),"")</f>
        <v/>
      </c>
    </row>
    <row r="3117" spans="1:17" s="62" customFormat="1" hidden="1" x14ac:dyDescent="0.25">
      <c r="A3117" s="16" t="s">
        <v>368</v>
      </c>
      <c r="B3117" s="17"/>
      <c r="C3117" s="16" t="s">
        <v>5146</v>
      </c>
      <c r="D3117" s="17" t="s">
        <v>1345</v>
      </c>
      <c r="E3117" s="17" t="s">
        <v>723</v>
      </c>
      <c r="F3117" s="18" t="s">
        <v>5147</v>
      </c>
      <c r="G3117" s="49" t="s">
        <v>1687</v>
      </c>
      <c r="H3117" s="17">
        <v>21</v>
      </c>
      <c r="I3117" s="30" t="s">
        <v>955</v>
      </c>
      <c r="J3117" s="80">
        <v>4.0999999999999996</v>
      </c>
      <c r="K3117"/>
      <c r="L3117"/>
      <c r="M3117"/>
      <c r="N3117"/>
      <c r="O3117" s="62" t="str">
        <f>IF(E3117="PA",IF(K3117&lt;&gt;"",ISERROR(VLOOKUP(K3117,ABBR!A:D,1,FALSE)),ISERROR(VLOOKUP(C3117,ABBR!A:D,1,FALSE))),"")</f>
        <v/>
      </c>
      <c r="P3117" t="str">
        <f>VLOOKUP(A3117,Groups!A:L,5,FALSE)</f>
        <v>RESG</v>
      </c>
      <c r="Q3117" s="62" t="str">
        <f>IF(G3117="PA",IF(M3117&lt;&gt;"",ISERROR(VLOOKUP(M3117,ABBR!C:F,1,FALSE)),ISERROR(VLOOKUP(E3117,ABBR!C:F,1,FALSE))),"")</f>
        <v/>
      </c>
    </row>
    <row r="3118" spans="1:17" s="62" customFormat="1" hidden="1" x14ac:dyDescent="0.25">
      <c r="A3118" s="16" t="s">
        <v>368</v>
      </c>
      <c r="B3118" s="17"/>
      <c r="C3118" s="16" t="s">
        <v>5148</v>
      </c>
      <c r="D3118" s="17" t="s">
        <v>1345</v>
      </c>
      <c r="E3118" s="17" t="s">
        <v>723</v>
      </c>
      <c r="F3118" s="18" t="s">
        <v>5149</v>
      </c>
      <c r="G3118" s="49" t="s">
        <v>5150</v>
      </c>
      <c r="H3118" s="17">
        <v>22</v>
      </c>
      <c r="I3118" s="30" t="s">
        <v>955</v>
      </c>
      <c r="J3118" s="80">
        <v>4.0999999999999996</v>
      </c>
      <c r="K3118"/>
      <c r="L3118"/>
      <c r="M3118"/>
      <c r="N3118"/>
      <c r="O3118" s="62" t="str">
        <f>IF(E3118="PA",IF(K3118&lt;&gt;"",ISERROR(VLOOKUP(K3118,ABBR!A:D,1,FALSE)),ISERROR(VLOOKUP(C3118,ABBR!A:D,1,FALSE))),"")</f>
        <v/>
      </c>
      <c r="P3118" t="str">
        <f>VLOOKUP(A3118,Groups!A:L,5,FALSE)</f>
        <v>RESG</v>
      </c>
      <c r="Q3118" s="62" t="str">
        <f>IF(G3118="PA",IF(M3118&lt;&gt;"",ISERROR(VLOOKUP(M3118,ABBR!C:F,1,FALSE)),ISERROR(VLOOKUP(E3118,ABBR!C:F,1,FALSE))),"")</f>
        <v/>
      </c>
    </row>
    <row r="3119" spans="1:17" s="62" customFormat="1" hidden="1" x14ac:dyDescent="0.25">
      <c r="A3119" s="16" t="s">
        <v>368</v>
      </c>
      <c r="B3119" s="17"/>
      <c r="C3119" s="16" t="s">
        <v>5151</v>
      </c>
      <c r="D3119" s="17" t="s">
        <v>1345</v>
      </c>
      <c r="E3119" s="17" t="s">
        <v>723</v>
      </c>
      <c r="F3119" s="18" t="s">
        <v>5152</v>
      </c>
      <c r="G3119" s="49" t="s">
        <v>5153</v>
      </c>
      <c r="H3119" s="17">
        <v>23</v>
      </c>
      <c r="I3119" s="30" t="s">
        <v>955</v>
      </c>
      <c r="J3119" s="80">
        <v>4.0999999999999996</v>
      </c>
      <c r="K3119"/>
      <c r="L3119"/>
      <c r="M3119"/>
      <c r="N3119"/>
      <c r="O3119" s="62" t="str">
        <f>IF(E3119="PA",IF(K3119&lt;&gt;"",ISERROR(VLOOKUP(K3119,ABBR!A:D,1,FALSE)),ISERROR(VLOOKUP(C3119,ABBR!A:D,1,FALSE))),"")</f>
        <v/>
      </c>
      <c r="P3119" t="str">
        <f>VLOOKUP(A3119,Groups!A:L,5,FALSE)</f>
        <v>RESG</v>
      </c>
      <c r="Q3119" s="62" t="str">
        <f>IF(G3119="PA",IF(M3119&lt;&gt;"",ISERROR(VLOOKUP(M3119,ABBR!C:F,1,FALSE)),ISERROR(VLOOKUP(E3119,ABBR!C:F,1,FALSE))),"")</f>
        <v/>
      </c>
    </row>
    <row r="3120" spans="1:17" s="62" customFormat="1" hidden="1" x14ac:dyDescent="0.25">
      <c r="A3120" s="16" t="s">
        <v>368</v>
      </c>
      <c r="B3120" s="17"/>
      <c r="C3120" s="16" t="s">
        <v>5154</v>
      </c>
      <c r="D3120" s="17" t="s">
        <v>766</v>
      </c>
      <c r="E3120" s="17" t="s">
        <v>1321</v>
      </c>
      <c r="F3120" s="18" t="s">
        <v>5155</v>
      </c>
      <c r="G3120" s="49" t="s">
        <v>5156</v>
      </c>
      <c r="H3120" s="17">
        <v>24</v>
      </c>
      <c r="I3120" s="30" t="s">
        <v>955</v>
      </c>
      <c r="J3120" s="80">
        <v>4.0999999999999996</v>
      </c>
      <c r="K3120"/>
      <c r="L3120"/>
      <c r="M3120"/>
      <c r="N3120"/>
      <c r="O3120" s="62" t="str">
        <f>IF(E3120="PA",IF(K3120&lt;&gt;"",ISERROR(VLOOKUP(K3120,ABBR!A:D,1,FALSE)),ISERROR(VLOOKUP(C3120,ABBR!A:D,1,FALSE))),"")</f>
        <v/>
      </c>
      <c r="P3120" t="str">
        <f>VLOOKUP(A3120,Groups!A:L,5,FALSE)</f>
        <v>RESG</v>
      </c>
      <c r="Q3120" s="62" t="str">
        <f>IF(G3120="PA",IF(M3120&lt;&gt;"",ISERROR(VLOOKUP(M3120,ABBR!C:F,1,FALSE)),ISERROR(VLOOKUP(E3120,ABBR!C:F,1,FALSE))),"")</f>
        <v/>
      </c>
    </row>
    <row r="3121" spans="1:17" s="62" customFormat="1" ht="25" hidden="1" x14ac:dyDescent="0.25">
      <c r="A3121" s="16" t="s">
        <v>368</v>
      </c>
      <c r="B3121" s="17"/>
      <c r="C3121" s="16" t="s">
        <v>5157</v>
      </c>
      <c r="D3121" s="17" t="s">
        <v>766</v>
      </c>
      <c r="E3121" s="17" t="s">
        <v>1321</v>
      </c>
      <c r="F3121" s="18" t="s">
        <v>5158</v>
      </c>
      <c r="G3121" s="49" t="s">
        <v>5159</v>
      </c>
      <c r="H3121" s="17">
        <v>25</v>
      </c>
      <c r="I3121" s="30" t="s">
        <v>955</v>
      </c>
      <c r="J3121" s="80">
        <v>4.0999999999999996</v>
      </c>
      <c r="K3121"/>
      <c r="L3121"/>
      <c r="M3121"/>
      <c r="N3121"/>
      <c r="O3121" s="62" t="str">
        <f>IF(E3121="PA",IF(K3121&lt;&gt;"",ISERROR(VLOOKUP(K3121,ABBR!A:D,1,FALSE)),ISERROR(VLOOKUP(C3121,ABBR!A:D,1,FALSE))),"")</f>
        <v/>
      </c>
      <c r="P3121" t="str">
        <f>VLOOKUP(A3121,Groups!A:L,5,FALSE)</f>
        <v>RESG</v>
      </c>
      <c r="Q3121" s="62" t="str">
        <f>IF(G3121="PA",IF(M3121&lt;&gt;"",ISERROR(VLOOKUP(M3121,ABBR!C:F,1,FALSE)),ISERROR(VLOOKUP(E3121,ABBR!C:F,1,FALSE))),"")</f>
        <v/>
      </c>
    </row>
    <row r="3122" spans="1:17" s="62" customFormat="1" hidden="1" x14ac:dyDescent="0.25">
      <c r="A3122" s="16" t="s">
        <v>368</v>
      </c>
      <c r="B3122" s="17"/>
      <c r="C3122" s="16" t="s">
        <v>5160</v>
      </c>
      <c r="D3122" s="17" t="s">
        <v>766</v>
      </c>
      <c r="E3122" s="17" t="s">
        <v>1321</v>
      </c>
      <c r="F3122" s="18" t="s">
        <v>5161</v>
      </c>
      <c r="G3122" s="49" t="s">
        <v>5162</v>
      </c>
      <c r="H3122" s="17">
        <v>26</v>
      </c>
      <c r="I3122" s="30" t="s">
        <v>955</v>
      </c>
      <c r="J3122" s="80">
        <v>4.0999999999999996</v>
      </c>
      <c r="K3122"/>
      <c r="L3122"/>
      <c r="M3122"/>
      <c r="N3122"/>
      <c r="O3122" s="62" t="str">
        <f>IF(E3122="PA",IF(K3122&lt;&gt;"",ISERROR(VLOOKUP(K3122,ABBR!A:D,1,FALSE)),ISERROR(VLOOKUP(C3122,ABBR!A:D,1,FALSE))),"")</f>
        <v/>
      </c>
      <c r="P3122" t="str">
        <f>VLOOKUP(A3122,Groups!A:L,5,FALSE)</f>
        <v>RESG</v>
      </c>
      <c r="Q3122" s="62" t="str">
        <f>IF(G3122="PA",IF(M3122&lt;&gt;"",ISERROR(VLOOKUP(M3122,ABBR!C:F,1,FALSE)),ISERROR(VLOOKUP(E3122,ABBR!C:F,1,FALSE))),"")</f>
        <v/>
      </c>
    </row>
    <row r="3123" spans="1:17" s="62" customFormat="1" ht="25" hidden="1" x14ac:dyDescent="0.25">
      <c r="A3123" s="16" t="s">
        <v>368</v>
      </c>
      <c r="B3123" s="17"/>
      <c r="C3123" s="16" t="s">
        <v>5163</v>
      </c>
      <c r="D3123" s="17"/>
      <c r="E3123" s="17" t="s">
        <v>608</v>
      </c>
      <c r="F3123" s="18" t="s">
        <v>1689</v>
      </c>
      <c r="G3123" s="49" t="s">
        <v>1690</v>
      </c>
      <c r="H3123" s="17">
        <v>27</v>
      </c>
      <c r="I3123" s="30" t="s">
        <v>955</v>
      </c>
      <c r="J3123" s="80">
        <v>4.0999999999999996</v>
      </c>
      <c r="K3123"/>
      <c r="L3123"/>
      <c r="M3123"/>
      <c r="N3123"/>
      <c r="O3123" s="62" t="str">
        <f>IF(E3123="PA",IF(K3123&lt;&gt;"",ISERROR(VLOOKUP(K3123,ABBR!A:D,1,FALSE)),ISERROR(VLOOKUP(C3123,ABBR!A:D,1,FALSE))),"")</f>
        <v/>
      </c>
      <c r="P3123" t="str">
        <f>VLOOKUP(A3123,Groups!A:L,5,FALSE)</f>
        <v>RESG</v>
      </c>
      <c r="Q3123" s="62" t="str">
        <f>IF(G3123="PA",IF(M3123&lt;&gt;"",ISERROR(VLOOKUP(M3123,ABBR!C:F,1,FALSE)),ISERROR(VLOOKUP(E3123,ABBR!C:F,1,FALSE))),"")</f>
        <v/>
      </c>
    </row>
    <row r="3124" spans="1:17" s="62" customFormat="1" hidden="1" x14ac:dyDescent="0.25">
      <c r="A3124" s="16" t="s">
        <v>368</v>
      </c>
      <c r="B3124" s="17"/>
      <c r="C3124" s="16" t="s">
        <v>5164</v>
      </c>
      <c r="D3124" s="17"/>
      <c r="E3124" s="17" t="s">
        <v>608</v>
      </c>
      <c r="F3124" s="18" t="s">
        <v>1692</v>
      </c>
      <c r="G3124" s="49" t="s">
        <v>5165</v>
      </c>
      <c r="H3124" s="17">
        <v>28</v>
      </c>
      <c r="I3124" s="30" t="s">
        <v>955</v>
      </c>
      <c r="J3124" s="80">
        <v>4.0999999999999996</v>
      </c>
      <c r="K3124"/>
      <c r="L3124"/>
      <c r="M3124"/>
      <c r="N3124"/>
      <c r="O3124" s="62" t="str">
        <f>IF(E3124="PA",IF(K3124&lt;&gt;"",ISERROR(VLOOKUP(K3124,ABBR!A:D,1,FALSE)),ISERROR(VLOOKUP(C3124,ABBR!A:D,1,FALSE))),"")</f>
        <v/>
      </c>
      <c r="P3124" t="str">
        <f>VLOOKUP(A3124,Groups!A:L,5,FALSE)</f>
        <v>RESG</v>
      </c>
      <c r="Q3124" s="62" t="str">
        <f>IF(G3124="PA",IF(M3124&lt;&gt;"",ISERROR(VLOOKUP(M3124,ABBR!C:F,1,FALSE)),ISERROR(VLOOKUP(E3124,ABBR!C:F,1,FALSE))),"")</f>
        <v/>
      </c>
    </row>
    <row r="3125" spans="1:17" s="62" customFormat="1" hidden="1" x14ac:dyDescent="0.25">
      <c r="A3125" s="16" t="s">
        <v>368</v>
      </c>
      <c r="B3125" s="17"/>
      <c r="C3125" s="16" t="s">
        <v>5166</v>
      </c>
      <c r="D3125" s="17" t="s">
        <v>722</v>
      </c>
      <c r="E3125" s="17" t="s">
        <v>601</v>
      </c>
      <c r="F3125" s="18" t="s">
        <v>1695</v>
      </c>
      <c r="G3125" s="49" t="s">
        <v>5167</v>
      </c>
      <c r="H3125" s="17">
        <v>29</v>
      </c>
      <c r="I3125" s="30" t="s">
        <v>955</v>
      </c>
      <c r="J3125" s="80">
        <v>4.0999999999999996</v>
      </c>
      <c r="K3125"/>
      <c r="L3125"/>
      <c r="M3125"/>
      <c r="N3125"/>
      <c r="O3125" s="62" t="str">
        <f>IF(E3125="PA",IF(K3125&lt;&gt;"",ISERROR(VLOOKUP(K3125,ABBR!A:D,1,FALSE)),ISERROR(VLOOKUP(C3125,ABBR!A:D,1,FALSE))),"")</f>
        <v/>
      </c>
      <c r="P3125" t="str">
        <f>VLOOKUP(A3125,Groups!A:L,5,FALSE)</f>
        <v>RESG</v>
      </c>
      <c r="Q3125" s="62" t="str">
        <f>IF(G3125="PA",IF(M3125&lt;&gt;"",ISERROR(VLOOKUP(M3125,ABBR!C:F,1,FALSE)),ISERROR(VLOOKUP(E3125,ABBR!C:F,1,FALSE))),"")</f>
        <v/>
      </c>
    </row>
    <row r="3126" spans="1:17" s="62" customFormat="1" hidden="1" x14ac:dyDescent="0.25">
      <c r="A3126" s="16" t="s">
        <v>368</v>
      </c>
      <c r="B3126" s="17"/>
      <c r="C3126" s="16" t="s">
        <v>5168</v>
      </c>
      <c r="D3126" s="17" t="s">
        <v>1698</v>
      </c>
      <c r="E3126" s="17" t="s">
        <v>1699</v>
      </c>
      <c r="F3126" s="18" t="s">
        <v>1700</v>
      </c>
      <c r="G3126" s="49" t="s">
        <v>5169</v>
      </c>
      <c r="H3126" s="17">
        <v>30</v>
      </c>
      <c r="I3126" s="30" t="s">
        <v>955</v>
      </c>
      <c r="J3126" s="80">
        <v>4.0999999999999996</v>
      </c>
      <c r="K3126"/>
      <c r="L3126"/>
      <c r="M3126"/>
      <c r="N3126"/>
      <c r="O3126" s="62" t="str">
        <f>IF(E3126="PA",IF(K3126&lt;&gt;"",ISERROR(VLOOKUP(K3126,ABBR!A:D,1,FALSE)),ISERROR(VLOOKUP(C3126,ABBR!A:D,1,FALSE))),"")</f>
        <v/>
      </c>
      <c r="P3126" t="str">
        <f>VLOOKUP(A3126,Groups!A:L,5,FALSE)</f>
        <v>RESG</v>
      </c>
      <c r="Q3126" s="62" t="str">
        <f>IF(G3126="PA",IF(M3126&lt;&gt;"",ISERROR(VLOOKUP(M3126,ABBR!C:F,1,FALSE)),ISERROR(VLOOKUP(E3126,ABBR!C:F,1,FALSE))),"")</f>
        <v/>
      </c>
    </row>
    <row r="3127" spans="1:17" s="62" customFormat="1" hidden="1" x14ac:dyDescent="0.25">
      <c r="A3127" s="16" t="s">
        <v>368</v>
      </c>
      <c r="B3127" s="17"/>
      <c r="C3127" s="16" t="s">
        <v>5170</v>
      </c>
      <c r="D3127" s="17"/>
      <c r="E3127" s="17" t="s">
        <v>608</v>
      </c>
      <c r="F3127" s="18" t="s">
        <v>1703</v>
      </c>
      <c r="G3127" s="49" t="s">
        <v>1704</v>
      </c>
      <c r="H3127" s="17">
        <v>31</v>
      </c>
      <c r="I3127" s="30" t="s">
        <v>955</v>
      </c>
      <c r="J3127" s="80">
        <v>4.0999999999999996</v>
      </c>
      <c r="K3127"/>
      <c r="L3127"/>
      <c r="M3127"/>
      <c r="N3127"/>
      <c r="O3127" s="62" t="str">
        <f>IF(E3127="PA",IF(K3127&lt;&gt;"",ISERROR(VLOOKUP(K3127,ABBR!A:D,1,FALSE)),ISERROR(VLOOKUP(C3127,ABBR!A:D,1,FALSE))),"")</f>
        <v/>
      </c>
      <c r="P3127" t="str">
        <f>VLOOKUP(A3127,Groups!A:L,5,FALSE)</f>
        <v>RESG</v>
      </c>
      <c r="Q3127" s="62" t="str">
        <f>IF(G3127="PA",IF(M3127&lt;&gt;"",ISERROR(VLOOKUP(M3127,ABBR!C:F,1,FALSE)),ISERROR(VLOOKUP(E3127,ABBR!C:F,1,FALSE))),"")</f>
        <v/>
      </c>
    </row>
    <row r="3128" spans="1:17" s="62" customFormat="1" hidden="1" x14ac:dyDescent="0.25">
      <c r="A3128" s="16" t="s">
        <v>368</v>
      </c>
      <c r="B3128" s="17"/>
      <c r="C3128" s="16" t="s">
        <v>5171</v>
      </c>
      <c r="D3128" s="17" t="s">
        <v>1706</v>
      </c>
      <c r="E3128" s="17" t="s">
        <v>767</v>
      </c>
      <c r="F3128" s="18" t="s">
        <v>1707</v>
      </c>
      <c r="G3128" s="49" t="s">
        <v>1708</v>
      </c>
      <c r="H3128" s="17">
        <v>32</v>
      </c>
      <c r="I3128" s="30" t="s">
        <v>955</v>
      </c>
      <c r="J3128" s="80">
        <v>4.0999999999999996</v>
      </c>
      <c r="K3128"/>
      <c r="L3128"/>
      <c r="M3128"/>
      <c r="N3128"/>
      <c r="O3128" s="62" t="str">
        <f>IF(E3128="PA",IF(K3128&lt;&gt;"",ISERROR(VLOOKUP(K3128,ABBR!A:D,1,FALSE)),ISERROR(VLOOKUP(C3128,ABBR!A:D,1,FALSE))),"")</f>
        <v/>
      </c>
      <c r="P3128" t="str">
        <f>VLOOKUP(A3128,Groups!A:L,5,FALSE)</f>
        <v>RESG</v>
      </c>
      <c r="Q3128" s="62" t="str">
        <f>IF(G3128="PA",IF(M3128&lt;&gt;"",ISERROR(VLOOKUP(M3128,ABBR!C:F,1,FALSE)),ISERROR(VLOOKUP(E3128,ABBR!C:F,1,FALSE))),"")</f>
        <v/>
      </c>
    </row>
    <row r="3129" spans="1:17" s="62" customFormat="1" hidden="1" x14ac:dyDescent="0.25">
      <c r="A3129" s="16" t="s">
        <v>368</v>
      </c>
      <c r="B3129" s="17"/>
      <c r="C3129" s="16" t="s">
        <v>5172</v>
      </c>
      <c r="D3129" s="17" t="s">
        <v>1710</v>
      </c>
      <c r="E3129" s="17" t="s">
        <v>723</v>
      </c>
      <c r="F3129" s="18" t="s">
        <v>5173</v>
      </c>
      <c r="G3129" s="49" t="s">
        <v>1712</v>
      </c>
      <c r="H3129" s="17">
        <v>33</v>
      </c>
      <c r="I3129" s="30" t="s">
        <v>955</v>
      </c>
      <c r="J3129" s="80">
        <v>4.0999999999999996</v>
      </c>
      <c r="K3129"/>
      <c r="L3129"/>
      <c r="M3129"/>
      <c r="N3129"/>
      <c r="O3129" s="62" t="str">
        <f>IF(E3129="PA",IF(K3129&lt;&gt;"",ISERROR(VLOOKUP(K3129,ABBR!A:D,1,FALSE)),ISERROR(VLOOKUP(C3129,ABBR!A:D,1,FALSE))),"")</f>
        <v/>
      </c>
      <c r="P3129" t="str">
        <f>VLOOKUP(A3129,Groups!A:L,5,FALSE)</f>
        <v>RESG</v>
      </c>
      <c r="Q3129" s="62" t="str">
        <f>IF(G3129="PA",IF(M3129&lt;&gt;"",ISERROR(VLOOKUP(M3129,ABBR!C:F,1,FALSE)),ISERROR(VLOOKUP(E3129,ABBR!C:F,1,FALSE))),"")</f>
        <v/>
      </c>
    </row>
    <row r="3130" spans="1:17" s="62" customFormat="1" hidden="1" x14ac:dyDescent="0.25">
      <c r="A3130" s="16" t="s">
        <v>368</v>
      </c>
      <c r="B3130" s="17"/>
      <c r="C3130" s="16" t="s">
        <v>5174</v>
      </c>
      <c r="D3130" s="17"/>
      <c r="E3130" s="17" t="s">
        <v>608</v>
      </c>
      <c r="F3130" s="18" t="s">
        <v>642</v>
      </c>
      <c r="G3130" s="49" t="s">
        <v>16</v>
      </c>
      <c r="H3130" s="17">
        <v>34</v>
      </c>
      <c r="I3130" s="30" t="s">
        <v>955</v>
      </c>
      <c r="J3130" s="80">
        <v>4.0999999999999996</v>
      </c>
      <c r="K3130"/>
      <c r="L3130"/>
      <c r="M3130" s="101"/>
      <c r="N3130"/>
      <c r="O3130" s="62" t="str">
        <f>IF(E3130="PA",IF(K3130&lt;&gt;"",ISERROR(VLOOKUP(K3130,ABBR!A:D,1,FALSE)),ISERROR(VLOOKUP(C3130,ABBR!A:D,1,FALSE))),"")</f>
        <v/>
      </c>
      <c r="P3130" t="str">
        <f>VLOOKUP(A3130,Groups!A:L,5,FALSE)</f>
        <v>RESG</v>
      </c>
      <c r="Q3130" s="62" t="str">
        <f>IF(G3130="PA",IF(M3130&lt;&gt;"",ISERROR(VLOOKUP(M3130,ABBR!C:F,1,FALSE)),ISERROR(VLOOKUP(E3130,ABBR!C:F,1,FALSE))),"")</f>
        <v/>
      </c>
    </row>
    <row r="3131" spans="1:17" s="62" customFormat="1" hidden="1" x14ac:dyDescent="0.25">
      <c r="A3131" s="16" t="s">
        <v>368</v>
      </c>
      <c r="B3131" s="17"/>
      <c r="C3131" s="16" t="s">
        <v>643</v>
      </c>
      <c r="D3131" s="17"/>
      <c r="E3131" s="17" t="s">
        <v>608</v>
      </c>
      <c r="F3131" s="18" t="s">
        <v>1714</v>
      </c>
      <c r="G3131" s="49" t="s">
        <v>940</v>
      </c>
      <c r="H3131" s="17">
        <v>35</v>
      </c>
      <c r="I3131" s="30" t="s">
        <v>955</v>
      </c>
      <c r="J3131" s="80">
        <v>4.0999999999999996</v>
      </c>
      <c r="K3131"/>
      <c r="L3131"/>
      <c r="M3131"/>
      <c r="N3131"/>
      <c r="O3131" s="62" t="str">
        <f>IF(E3131="PA",IF(K3131&lt;&gt;"",ISERROR(VLOOKUP(K3131,ABBR!A:D,1,FALSE)),ISERROR(VLOOKUP(C3131,ABBR!A:D,1,FALSE))),"")</f>
        <v/>
      </c>
      <c r="P3131" t="str">
        <f>VLOOKUP(A3131,Groups!A:L,5,FALSE)</f>
        <v>RESG</v>
      </c>
      <c r="Q3131" s="62" t="str">
        <f>IF(G3131="PA",IF(M3131&lt;&gt;"",ISERROR(VLOOKUP(M3131,ABBR!C:F,1,FALSE)),ISERROR(VLOOKUP(E3131,ABBR!C:F,1,FALSE))),"")</f>
        <v/>
      </c>
    </row>
    <row r="3132" spans="1:17" s="62" customFormat="1" hidden="1" x14ac:dyDescent="0.25">
      <c r="A3132" s="16" t="s">
        <v>371</v>
      </c>
      <c r="B3132" s="17" t="s">
        <v>594</v>
      </c>
      <c r="C3132" s="16" t="s">
        <v>595</v>
      </c>
      <c r="D3132" s="17"/>
      <c r="E3132" s="17" t="s">
        <v>596</v>
      </c>
      <c r="F3132" s="18" t="s">
        <v>597</v>
      </c>
      <c r="G3132" s="49" t="s">
        <v>5111</v>
      </c>
      <c r="H3132" s="17">
        <v>1</v>
      </c>
      <c r="I3132" s="30" t="s">
        <v>955</v>
      </c>
      <c r="J3132" s="80">
        <v>4.0999999999999996</v>
      </c>
      <c r="K3132"/>
      <c r="L3132"/>
      <c r="M3132"/>
      <c r="N3132"/>
      <c r="O3132" s="62" t="str">
        <f>IF(E3132="PA",IF(K3132&lt;&gt;"",ISERROR(VLOOKUP(K3132,ABBR!A:D,1,FALSE)),ISERROR(VLOOKUP(C3132,ABBR!A:D,1,FALSE))),"")</f>
        <v/>
      </c>
      <c r="P3132" t="str">
        <f>VLOOKUP(A3132,Groups!A:L,5,FALSE)</f>
        <v>RESG</v>
      </c>
      <c r="Q3132" s="62" t="str">
        <f>IF(G3132="PA",IF(M3132&lt;&gt;"",ISERROR(VLOOKUP(M3132,ABBR!C:F,1,FALSE)),ISERROR(VLOOKUP(E3132,ABBR!C:F,1,FALSE))),"")</f>
        <v/>
      </c>
    </row>
    <row r="3133" spans="1:17" s="62" customFormat="1" hidden="1" x14ac:dyDescent="0.25">
      <c r="A3133" s="16" t="s">
        <v>371</v>
      </c>
      <c r="B3133" s="17" t="s">
        <v>594</v>
      </c>
      <c r="C3133" s="16" t="s">
        <v>851</v>
      </c>
      <c r="D3133" s="17" t="s">
        <v>600</v>
      </c>
      <c r="E3133" s="17" t="s">
        <v>601</v>
      </c>
      <c r="F3133" s="18" t="s">
        <v>852</v>
      </c>
      <c r="G3133" s="49" t="s">
        <v>5112</v>
      </c>
      <c r="H3133" s="17">
        <v>2</v>
      </c>
      <c r="I3133" s="30" t="s">
        <v>955</v>
      </c>
      <c r="J3133" s="80">
        <v>4.0999999999999996</v>
      </c>
      <c r="K3133"/>
      <c r="L3133"/>
      <c r="M3133"/>
      <c r="N3133"/>
      <c r="O3133" s="62" t="str">
        <f>IF(E3133="PA",IF(K3133&lt;&gt;"",ISERROR(VLOOKUP(K3133,ABBR!A:D,1,FALSE)),ISERROR(VLOOKUP(C3133,ABBR!A:D,1,FALSE))),"")</f>
        <v/>
      </c>
      <c r="P3133" t="str">
        <f>VLOOKUP(A3133,Groups!A:L,5,FALSE)</f>
        <v>RESG</v>
      </c>
      <c r="Q3133" s="62" t="str">
        <f>IF(G3133="PA",IF(M3133&lt;&gt;"",ISERROR(VLOOKUP(M3133,ABBR!C:F,1,FALSE)),ISERROR(VLOOKUP(E3133,ABBR!C:F,1,FALSE))),"")</f>
        <v/>
      </c>
    </row>
    <row r="3134" spans="1:17" s="62" customFormat="1" hidden="1" x14ac:dyDescent="0.25">
      <c r="A3134" s="16" t="s">
        <v>371</v>
      </c>
      <c r="B3134" s="17" t="s">
        <v>594</v>
      </c>
      <c r="C3134" s="16" t="s">
        <v>854</v>
      </c>
      <c r="D3134" s="17"/>
      <c r="E3134" s="17" t="s">
        <v>608</v>
      </c>
      <c r="F3134" s="18" t="s">
        <v>855</v>
      </c>
      <c r="G3134" s="49" t="s">
        <v>5113</v>
      </c>
      <c r="H3134" s="17">
        <v>3</v>
      </c>
      <c r="I3134" s="30" t="s">
        <v>955</v>
      </c>
      <c r="J3134" s="80">
        <v>4.0999999999999996</v>
      </c>
      <c r="K3134"/>
      <c r="L3134"/>
      <c r="M3134"/>
      <c r="N3134"/>
      <c r="O3134" s="62" t="str">
        <f>IF(E3134="PA",IF(K3134&lt;&gt;"",ISERROR(VLOOKUP(K3134,ABBR!A:D,1,FALSE)),ISERROR(VLOOKUP(C3134,ABBR!A:D,1,FALSE))),"")</f>
        <v/>
      </c>
      <c r="P3134" t="str">
        <f>VLOOKUP(A3134,Groups!A:L,5,FALSE)</f>
        <v>RESG</v>
      </c>
      <c r="Q3134" s="62" t="str">
        <f>IF(G3134="PA",IF(M3134&lt;&gt;"",ISERROR(VLOOKUP(M3134,ABBR!C:F,1,FALSE)),ISERROR(VLOOKUP(E3134,ABBR!C:F,1,FALSE))),"")</f>
        <v/>
      </c>
    </row>
    <row r="3135" spans="1:17" s="62" customFormat="1" hidden="1" x14ac:dyDescent="0.25">
      <c r="A3135" s="16" t="s">
        <v>371</v>
      </c>
      <c r="B3135" s="17" t="s">
        <v>594</v>
      </c>
      <c r="C3135" s="16" t="s">
        <v>857</v>
      </c>
      <c r="D3135" s="17"/>
      <c r="E3135" s="17" t="s">
        <v>618</v>
      </c>
      <c r="F3135" s="18" t="s">
        <v>858</v>
      </c>
      <c r="G3135" s="49" t="s">
        <v>859</v>
      </c>
      <c r="H3135" s="17">
        <v>4</v>
      </c>
      <c r="I3135" s="30" t="s">
        <v>955</v>
      </c>
      <c r="J3135" s="80">
        <v>4.0999999999999996</v>
      </c>
      <c r="K3135"/>
      <c r="L3135"/>
      <c r="M3135"/>
      <c r="N3135"/>
      <c r="O3135" s="62" t="b">
        <f>IF(E3135="PA",IF(K3135&lt;&gt;"",ISERROR(VLOOKUP(K3135,ABBR!A:D,1,FALSE)),ISERROR(VLOOKUP(C3135,ABBR!A:D,1,FALSE))),"")</f>
        <v>0</v>
      </c>
      <c r="P3135" t="str">
        <f>VLOOKUP(A3135,Groups!A:L,5,FALSE)</f>
        <v>RESG</v>
      </c>
      <c r="Q3135" s="62" t="str">
        <f>IF(G3135="PA",IF(M3135&lt;&gt;"",ISERROR(VLOOKUP(M3135,ABBR!C:F,1,FALSE)),ISERROR(VLOOKUP(E3135,ABBR!C:F,1,FALSE))),"")</f>
        <v/>
      </c>
    </row>
    <row r="3136" spans="1:17" s="62" customFormat="1" hidden="1" x14ac:dyDescent="0.25">
      <c r="A3136" s="16" t="s">
        <v>371</v>
      </c>
      <c r="B3136" s="17" t="s">
        <v>594</v>
      </c>
      <c r="C3136" s="16" t="s">
        <v>860</v>
      </c>
      <c r="D3136" s="17"/>
      <c r="E3136" s="17" t="s">
        <v>596</v>
      </c>
      <c r="F3136" s="18" t="s">
        <v>942</v>
      </c>
      <c r="G3136" s="49" t="s">
        <v>5114</v>
      </c>
      <c r="H3136" s="17">
        <v>5</v>
      </c>
      <c r="I3136" s="30" t="s">
        <v>955</v>
      </c>
      <c r="J3136" s="80">
        <v>4.0999999999999996</v>
      </c>
      <c r="K3136"/>
      <c r="L3136"/>
      <c r="M3136"/>
      <c r="N3136"/>
      <c r="O3136" s="62" t="str">
        <f>IF(E3136="PA",IF(K3136&lt;&gt;"",ISERROR(VLOOKUP(K3136,ABBR!A:D,1,FALSE)),ISERROR(VLOOKUP(C3136,ABBR!A:D,1,FALSE))),"")</f>
        <v/>
      </c>
      <c r="P3136" t="str">
        <f>VLOOKUP(A3136,Groups!A:L,5,FALSE)</f>
        <v>RESG</v>
      </c>
      <c r="Q3136" s="62" t="str">
        <f>IF(G3136="PA",IF(M3136&lt;&gt;"",ISERROR(VLOOKUP(M3136,ABBR!C:F,1,FALSE)),ISERROR(VLOOKUP(E3136,ABBR!C:F,1,FALSE))),"")</f>
        <v/>
      </c>
    </row>
    <row r="3137" spans="1:17" s="62" customFormat="1" hidden="1" x14ac:dyDescent="0.25">
      <c r="A3137" s="16" t="s">
        <v>371</v>
      </c>
      <c r="B3137" s="17" t="s">
        <v>594</v>
      </c>
      <c r="C3137" s="16" t="s">
        <v>863</v>
      </c>
      <c r="D3137" s="17"/>
      <c r="E3137" s="17" t="s">
        <v>608</v>
      </c>
      <c r="F3137" s="18" t="s">
        <v>864</v>
      </c>
      <c r="G3137" s="49" t="s">
        <v>5115</v>
      </c>
      <c r="H3137" s="17">
        <v>6</v>
      </c>
      <c r="I3137" s="30" t="s">
        <v>955</v>
      </c>
      <c r="J3137" s="80">
        <v>4.0999999999999996</v>
      </c>
      <c r="K3137"/>
      <c r="L3137"/>
      <c r="M3137"/>
      <c r="N3137"/>
      <c r="O3137" s="62" t="str">
        <f>IF(E3137="PA",IF(K3137&lt;&gt;"",ISERROR(VLOOKUP(K3137,ABBR!A:D,1,FALSE)),ISERROR(VLOOKUP(C3137,ABBR!A:D,1,FALSE))),"")</f>
        <v/>
      </c>
      <c r="P3137" t="str">
        <f>VLOOKUP(A3137,Groups!A:L,5,FALSE)</f>
        <v>RESG</v>
      </c>
      <c r="Q3137" s="62" t="str">
        <f>IF(G3137="PA",IF(M3137&lt;&gt;"",ISERROR(VLOOKUP(M3137,ABBR!C:F,1,FALSE)),ISERROR(VLOOKUP(E3137,ABBR!C:F,1,FALSE))),"")</f>
        <v/>
      </c>
    </row>
    <row r="3138" spans="1:17" s="62" customFormat="1" hidden="1" x14ac:dyDescent="0.25">
      <c r="A3138" s="16" t="s">
        <v>371</v>
      </c>
      <c r="B3138" s="17" t="s">
        <v>594</v>
      </c>
      <c r="C3138" s="16" t="s">
        <v>866</v>
      </c>
      <c r="D3138" s="17" t="s">
        <v>600</v>
      </c>
      <c r="E3138" s="17" t="s">
        <v>601</v>
      </c>
      <c r="F3138" s="18" t="s">
        <v>867</v>
      </c>
      <c r="G3138" s="49" t="s">
        <v>2112</v>
      </c>
      <c r="H3138" s="17">
        <v>7</v>
      </c>
      <c r="I3138" s="30" t="s">
        <v>955</v>
      </c>
      <c r="J3138" s="80">
        <v>4.0999999999999996</v>
      </c>
      <c r="K3138"/>
      <c r="L3138"/>
      <c r="M3138"/>
      <c r="N3138"/>
      <c r="O3138" s="62" t="str">
        <f>IF(E3138="PA",IF(K3138&lt;&gt;"",ISERROR(VLOOKUP(K3138,ABBR!A:D,1,FALSE)),ISERROR(VLOOKUP(C3138,ABBR!A:D,1,FALSE))),"")</f>
        <v/>
      </c>
      <c r="P3138" t="str">
        <f>VLOOKUP(A3138,Groups!A:L,5,FALSE)</f>
        <v>RESG</v>
      </c>
      <c r="Q3138" s="62" t="str">
        <f>IF(G3138="PA",IF(M3138&lt;&gt;"",ISERROR(VLOOKUP(M3138,ABBR!C:F,1,FALSE)),ISERROR(VLOOKUP(E3138,ABBR!C:F,1,FALSE))),"")</f>
        <v/>
      </c>
    </row>
    <row r="3139" spans="1:17" s="62" customFormat="1" hidden="1" x14ac:dyDescent="0.25">
      <c r="A3139" s="16" t="s">
        <v>371</v>
      </c>
      <c r="B3139" s="17" t="s">
        <v>594</v>
      </c>
      <c r="C3139" s="9" t="s">
        <v>5175</v>
      </c>
      <c r="D3139" s="17"/>
      <c r="E3139" s="17" t="s">
        <v>608</v>
      </c>
      <c r="F3139" s="18" t="s">
        <v>1617</v>
      </c>
      <c r="G3139" s="49" t="s">
        <v>1229</v>
      </c>
      <c r="H3139" s="17">
        <v>8</v>
      </c>
      <c r="I3139" s="30" t="s">
        <v>955</v>
      </c>
      <c r="J3139" s="80">
        <v>4.0999999999999996</v>
      </c>
      <c r="K3139"/>
      <c r="L3139"/>
      <c r="M3139"/>
      <c r="N3139"/>
      <c r="O3139" s="62" t="str">
        <f>IF(E3139="PA",IF(K3139&lt;&gt;"",ISERROR(VLOOKUP(K3139,ABBR!A:D,1,FALSE)),ISERROR(VLOOKUP(C3139,ABBR!A:D,1,FALSE))),"")</f>
        <v/>
      </c>
      <c r="P3139" t="str">
        <f>VLOOKUP(A3139,Groups!A:L,5,FALSE)</f>
        <v>RESG</v>
      </c>
      <c r="Q3139" s="62" t="str">
        <f>IF(G3139="PA",IF(M3139&lt;&gt;"",ISERROR(VLOOKUP(M3139,ABBR!C:F,1,FALSE)),ISERROR(VLOOKUP(E3139,ABBR!C:F,1,FALSE))),"")</f>
        <v/>
      </c>
    </row>
    <row r="3140" spans="1:17" s="62" customFormat="1" hidden="1" x14ac:dyDescent="0.25">
      <c r="A3140" s="16" t="s">
        <v>371</v>
      </c>
      <c r="B3140" s="17" t="s">
        <v>594</v>
      </c>
      <c r="C3140" s="9" t="s">
        <v>5176</v>
      </c>
      <c r="D3140" s="17"/>
      <c r="E3140" s="17" t="s">
        <v>608</v>
      </c>
      <c r="F3140" s="18" t="s">
        <v>5177</v>
      </c>
      <c r="G3140" s="49" t="s">
        <v>1507</v>
      </c>
      <c r="H3140" s="17">
        <v>9</v>
      </c>
      <c r="I3140" s="30" t="s">
        <v>955</v>
      </c>
      <c r="J3140" s="80">
        <v>4.0999999999999996</v>
      </c>
      <c r="K3140"/>
      <c r="L3140"/>
      <c r="M3140"/>
      <c r="N3140"/>
      <c r="O3140" s="62" t="str">
        <f>IF(E3140="PA",IF(K3140&lt;&gt;"",ISERROR(VLOOKUP(K3140,ABBR!A:D,1,FALSE)),ISERROR(VLOOKUP(C3140,ABBR!A:D,1,FALSE))),"")</f>
        <v/>
      </c>
      <c r="P3140" t="str">
        <f>VLOOKUP(A3140,Groups!A:L,5,FALSE)</f>
        <v>RESG</v>
      </c>
      <c r="Q3140" s="62" t="str">
        <f>IF(G3140="PA",IF(M3140&lt;&gt;"",ISERROR(VLOOKUP(M3140,ABBR!C:F,1,FALSE)),ISERROR(VLOOKUP(E3140,ABBR!C:F,1,FALSE))),"")</f>
        <v/>
      </c>
    </row>
    <row r="3141" spans="1:17" s="62" customFormat="1" hidden="1" x14ac:dyDescent="0.25">
      <c r="A3141" s="16" t="s">
        <v>371</v>
      </c>
      <c r="B3141" s="17"/>
      <c r="C3141" s="9" t="s">
        <v>5178</v>
      </c>
      <c r="D3141" s="17"/>
      <c r="E3141" s="17" t="s">
        <v>618</v>
      </c>
      <c r="F3141" s="18" t="s">
        <v>5179</v>
      </c>
      <c r="G3141" s="49" t="s">
        <v>1723</v>
      </c>
      <c r="H3141" s="17">
        <v>10</v>
      </c>
      <c r="I3141" s="30" t="s">
        <v>955</v>
      </c>
      <c r="J3141" s="80">
        <v>4.0999999999999996</v>
      </c>
      <c r="K3141"/>
      <c r="L3141"/>
      <c r="M3141"/>
      <c r="N3141"/>
      <c r="O3141" s="62" t="b">
        <f>IF(E3141="PA",IF(K3141&lt;&gt;"",ISERROR(VLOOKUP(K3141,ABBR!A:D,1,FALSE)),ISERROR(VLOOKUP(C3141,ABBR!A:D,1,FALSE))),"")</f>
        <v>0</v>
      </c>
      <c r="P3141" t="str">
        <f>VLOOKUP(A3141,Groups!A:L,5,FALSE)</f>
        <v>RESG</v>
      </c>
      <c r="Q3141" s="62" t="str">
        <f>IF(G3141="PA",IF(M3141&lt;&gt;"",ISERROR(VLOOKUP(M3141,ABBR!C:F,1,FALSE)),ISERROR(VLOOKUP(E3141,ABBR!C:F,1,FALSE))),"")</f>
        <v/>
      </c>
    </row>
    <row r="3142" spans="1:17" s="62" customFormat="1" hidden="1" x14ac:dyDescent="0.25">
      <c r="A3142" s="16" t="s">
        <v>371</v>
      </c>
      <c r="B3142" s="17"/>
      <c r="C3142" s="9" t="s">
        <v>5180</v>
      </c>
      <c r="D3142" s="17" t="s">
        <v>722</v>
      </c>
      <c r="E3142" s="17" t="s">
        <v>601</v>
      </c>
      <c r="F3142" s="18" t="s">
        <v>5181</v>
      </c>
      <c r="G3142" s="49" t="s">
        <v>5118</v>
      </c>
      <c r="H3142" s="17">
        <v>11</v>
      </c>
      <c r="I3142" s="30" t="s">
        <v>955</v>
      </c>
      <c r="J3142" s="80">
        <v>4.0999999999999996</v>
      </c>
      <c r="K3142"/>
      <c r="L3142"/>
      <c r="M3142"/>
      <c r="N3142"/>
      <c r="O3142" s="62" t="str">
        <f>IF(E3142="PA",IF(K3142&lt;&gt;"",ISERROR(VLOOKUP(K3142,ABBR!A:D,1,FALSE)),ISERROR(VLOOKUP(C3142,ABBR!A:D,1,FALSE))),"")</f>
        <v/>
      </c>
      <c r="P3142" t="str">
        <f>VLOOKUP(A3142,Groups!A:L,5,FALSE)</f>
        <v>RESG</v>
      </c>
      <c r="Q3142" s="62" t="str">
        <f>IF(G3142="PA",IF(M3142&lt;&gt;"",ISERROR(VLOOKUP(M3142,ABBR!C:F,1,FALSE)),ISERROR(VLOOKUP(E3142,ABBR!C:F,1,FALSE))),"")</f>
        <v/>
      </c>
    </row>
    <row r="3143" spans="1:17" s="62" customFormat="1" hidden="1" x14ac:dyDescent="0.25">
      <c r="A3143" s="16" t="s">
        <v>371</v>
      </c>
      <c r="B3143" s="17"/>
      <c r="C3143" s="9" t="s">
        <v>5182</v>
      </c>
      <c r="D3143" s="17" t="s">
        <v>722</v>
      </c>
      <c r="E3143" s="17" t="s">
        <v>601</v>
      </c>
      <c r="F3143" s="18" t="s">
        <v>5183</v>
      </c>
      <c r="G3143" s="49" t="s">
        <v>5184</v>
      </c>
      <c r="H3143" s="17">
        <v>12</v>
      </c>
      <c r="I3143" s="30" t="s">
        <v>955</v>
      </c>
      <c r="J3143" s="80">
        <v>4.0999999999999996</v>
      </c>
      <c r="K3143"/>
      <c r="L3143"/>
      <c r="M3143"/>
      <c r="N3143"/>
      <c r="O3143" s="62" t="str">
        <f>IF(E3143="PA",IF(K3143&lt;&gt;"",ISERROR(VLOOKUP(K3143,ABBR!A:D,1,FALSE)),ISERROR(VLOOKUP(C3143,ABBR!A:D,1,FALSE))),"")</f>
        <v/>
      </c>
      <c r="P3143" t="str">
        <f>VLOOKUP(A3143,Groups!A:L,5,FALSE)</f>
        <v>RESG</v>
      </c>
      <c r="Q3143" s="62" t="str">
        <f>IF(G3143="PA",IF(M3143&lt;&gt;"",ISERROR(VLOOKUP(M3143,ABBR!C:F,1,FALSE)),ISERROR(VLOOKUP(E3143,ABBR!C:F,1,FALSE))),"")</f>
        <v/>
      </c>
    </row>
    <row r="3144" spans="1:17" s="62" customFormat="1" hidden="1" x14ac:dyDescent="0.25">
      <c r="A3144" s="16" t="s">
        <v>371</v>
      </c>
      <c r="B3144" s="17"/>
      <c r="C3144" s="9" t="s">
        <v>5185</v>
      </c>
      <c r="D3144" s="17" t="s">
        <v>1345</v>
      </c>
      <c r="E3144" s="17" t="s">
        <v>723</v>
      </c>
      <c r="F3144" s="18" t="s">
        <v>5186</v>
      </c>
      <c r="G3144" s="49" t="s">
        <v>1620</v>
      </c>
      <c r="H3144" s="17">
        <v>13</v>
      </c>
      <c r="I3144" s="30" t="s">
        <v>955</v>
      </c>
      <c r="J3144" s="80">
        <v>4.0999999999999996</v>
      </c>
      <c r="K3144"/>
      <c r="L3144"/>
      <c r="M3144"/>
      <c r="N3144"/>
      <c r="O3144" s="62" t="str">
        <f>IF(E3144="PA",IF(K3144&lt;&gt;"",ISERROR(VLOOKUP(K3144,ABBR!A:D,1,FALSE)),ISERROR(VLOOKUP(C3144,ABBR!A:D,1,FALSE))),"")</f>
        <v/>
      </c>
      <c r="P3144" t="str">
        <f>VLOOKUP(A3144,Groups!A:L,5,FALSE)</f>
        <v>RESG</v>
      </c>
      <c r="Q3144" s="62" t="str">
        <f>IF(G3144="PA",IF(M3144&lt;&gt;"",ISERROR(VLOOKUP(M3144,ABBR!C:F,1,FALSE)),ISERROR(VLOOKUP(E3144,ABBR!C:F,1,FALSE))),"")</f>
        <v/>
      </c>
    </row>
    <row r="3145" spans="1:17" s="62" customFormat="1" hidden="1" x14ac:dyDescent="0.25">
      <c r="A3145" s="16" t="s">
        <v>371</v>
      </c>
      <c r="B3145" s="17"/>
      <c r="C3145" s="9" t="s">
        <v>5187</v>
      </c>
      <c r="D3145" s="17" t="s">
        <v>1345</v>
      </c>
      <c r="E3145" s="17" t="s">
        <v>723</v>
      </c>
      <c r="F3145" s="18" t="s">
        <v>1917</v>
      </c>
      <c r="G3145" s="49" t="s">
        <v>5188</v>
      </c>
      <c r="H3145" s="17">
        <v>14</v>
      </c>
      <c r="I3145" s="30" t="s">
        <v>955</v>
      </c>
      <c r="J3145" s="80">
        <v>4.0999999999999996</v>
      </c>
      <c r="K3145"/>
      <c r="L3145"/>
      <c r="M3145"/>
      <c r="N3145"/>
      <c r="O3145" s="62" t="str">
        <f>IF(E3145="PA",IF(K3145&lt;&gt;"",ISERROR(VLOOKUP(K3145,ABBR!A:D,1,FALSE)),ISERROR(VLOOKUP(C3145,ABBR!A:D,1,FALSE))),"")</f>
        <v/>
      </c>
      <c r="P3145" t="str">
        <f>VLOOKUP(A3145,Groups!A:L,5,FALSE)</f>
        <v>RESG</v>
      </c>
      <c r="Q3145" s="62" t="str">
        <f>IF(G3145="PA",IF(M3145&lt;&gt;"",ISERROR(VLOOKUP(M3145,ABBR!C:F,1,FALSE)),ISERROR(VLOOKUP(E3145,ABBR!C:F,1,FALSE))),"")</f>
        <v/>
      </c>
    </row>
    <row r="3146" spans="1:17" s="62" customFormat="1" hidden="1" x14ac:dyDescent="0.25">
      <c r="A3146" s="16" t="s">
        <v>371</v>
      </c>
      <c r="B3146" s="17"/>
      <c r="C3146" s="9" t="s">
        <v>5189</v>
      </c>
      <c r="D3146" s="17" t="s">
        <v>1345</v>
      </c>
      <c r="E3146" s="17" t="s">
        <v>723</v>
      </c>
      <c r="F3146" s="18" t="s">
        <v>5190</v>
      </c>
      <c r="G3146" s="49" t="s">
        <v>5191</v>
      </c>
      <c r="H3146" s="17">
        <v>15</v>
      </c>
      <c r="I3146" s="30" t="s">
        <v>955</v>
      </c>
      <c r="J3146" s="80">
        <v>4.0999999999999996</v>
      </c>
      <c r="K3146"/>
      <c r="L3146"/>
      <c r="M3146"/>
      <c r="N3146"/>
      <c r="O3146" s="62" t="str">
        <f>IF(E3146="PA",IF(K3146&lt;&gt;"",ISERROR(VLOOKUP(K3146,ABBR!A:D,1,FALSE)),ISERROR(VLOOKUP(C3146,ABBR!A:D,1,FALSE))),"")</f>
        <v/>
      </c>
      <c r="P3146" t="str">
        <f>VLOOKUP(A3146,Groups!A:L,5,FALSE)</f>
        <v>RESG</v>
      </c>
      <c r="Q3146" s="62" t="str">
        <f>IF(G3146="PA",IF(M3146&lt;&gt;"",ISERROR(VLOOKUP(M3146,ABBR!C:F,1,FALSE)),ISERROR(VLOOKUP(E3146,ABBR!C:F,1,FALSE))),"")</f>
        <v/>
      </c>
    </row>
    <row r="3147" spans="1:17" s="62" customFormat="1" hidden="1" x14ac:dyDescent="0.25">
      <c r="A3147" s="16" t="s">
        <v>371</v>
      </c>
      <c r="B3147" s="17"/>
      <c r="C3147" s="9" t="s">
        <v>5192</v>
      </c>
      <c r="D3147" s="17" t="s">
        <v>1345</v>
      </c>
      <c r="E3147" s="17" t="s">
        <v>723</v>
      </c>
      <c r="F3147" s="18" t="s">
        <v>5193</v>
      </c>
      <c r="G3147" s="49" t="s">
        <v>5194</v>
      </c>
      <c r="H3147" s="17">
        <v>16</v>
      </c>
      <c r="I3147" s="30" t="s">
        <v>955</v>
      </c>
      <c r="J3147" s="80">
        <v>4.0999999999999996</v>
      </c>
      <c r="K3147"/>
      <c r="L3147"/>
      <c r="M3147"/>
      <c r="N3147"/>
      <c r="O3147" s="62" t="str">
        <f>IF(E3147="PA",IF(K3147&lt;&gt;"",ISERROR(VLOOKUP(K3147,ABBR!A:D,1,FALSE)),ISERROR(VLOOKUP(C3147,ABBR!A:D,1,FALSE))),"")</f>
        <v/>
      </c>
      <c r="P3147" t="str">
        <f>VLOOKUP(A3147,Groups!A:L,5,FALSE)</f>
        <v>RESG</v>
      </c>
      <c r="Q3147" s="62" t="str">
        <f>IF(G3147="PA",IF(M3147&lt;&gt;"",ISERROR(VLOOKUP(M3147,ABBR!C:F,1,FALSE)),ISERROR(VLOOKUP(E3147,ABBR!C:F,1,FALSE))),"")</f>
        <v/>
      </c>
    </row>
    <row r="3148" spans="1:17" s="62" customFormat="1" hidden="1" x14ac:dyDescent="0.25">
      <c r="A3148" s="16" t="s">
        <v>371</v>
      </c>
      <c r="B3148" s="17"/>
      <c r="C3148" s="9" t="s">
        <v>5195</v>
      </c>
      <c r="D3148" s="17" t="s">
        <v>1345</v>
      </c>
      <c r="E3148" s="17" t="s">
        <v>723</v>
      </c>
      <c r="F3148" s="18" t="s">
        <v>5196</v>
      </c>
      <c r="G3148" s="49" t="s">
        <v>5197</v>
      </c>
      <c r="H3148" s="17">
        <v>17</v>
      </c>
      <c r="I3148" s="30" t="s">
        <v>955</v>
      </c>
      <c r="J3148" s="80">
        <v>4.0999999999999996</v>
      </c>
      <c r="K3148"/>
      <c r="L3148"/>
      <c r="M3148"/>
      <c r="N3148"/>
      <c r="O3148" s="62" t="str">
        <f>IF(E3148="PA",IF(K3148&lt;&gt;"",ISERROR(VLOOKUP(K3148,ABBR!A:D,1,FALSE)),ISERROR(VLOOKUP(C3148,ABBR!A:D,1,FALSE))),"")</f>
        <v/>
      </c>
      <c r="P3148" t="str">
        <f>VLOOKUP(A3148,Groups!A:L,5,FALSE)</f>
        <v>RESG</v>
      </c>
      <c r="Q3148" s="62" t="str">
        <f>IF(G3148="PA",IF(M3148&lt;&gt;"",ISERROR(VLOOKUP(M3148,ABBR!C:F,1,FALSE)),ISERROR(VLOOKUP(E3148,ABBR!C:F,1,FALSE))),"")</f>
        <v/>
      </c>
    </row>
    <row r="3149" spans="1:17" s="62" customFormat="1" hidden="1" x14ac:dyDescent="0.25">
      <c r="A3149" s="16" t="s">
        <v>371</v>
      </c>
      <c r="B3149" s="17"/>
      <c r="C3149" s="9" t="s">
        <v>5198</v>
      </c>
      <c r="D3149" s="17"/>
      <c r="E3149" s="17" t="s">
        <v>601</v>
      </c>
      <c r="F3149" s="18" t="s">
        <v>5199</v>
      </c>
      <c r="G3149" s="49" t="s">
        <v>5200</v>
      </c>
      <c r="H3149" s="17">
        <v>18</v>
      </c>
      <c r="I3149" s="30" t="s">
        <v>955</v>
      </c>
      <c r="J3149" s="80">
        <v>4.0999999999999996</v>
      </c>
      <c r="K3149"/>
      <c r="L3149"/>
      <c r="M3149"/>
      <c r="N3149"/>
      <c r="O3149" s="62" t="str">
        <f>IF(E3149="PA",IF(K3149&lt;&gt;"",ISERROR(VLOOKUP(K3149,ABBR!A:D,1,FALSE)),ISERROR(VLOOKUP(C3149,ABBR!A:D,1,FALSE))),"")</f>
        <v/>
      </c>
      <c r="P3149" t="str">
        <f>VLOOKUP(A3149,Groups!A:L,5,FALSE)</f>
        <v>RESG</v>
      </c>
      <c r="Q3149" s="62" t="str">
        <f>IF(G3149="PA",IF(M3149&lt;&gt;"",ISERROR(VLOOKUP(M3149,ABBR!C:F,1,FALSE)),ISERROR(VLOOKUP(E3149,ABBR!C:F,1,FALSE))),"")</f>
        <v/>
      </c>
    </row>
    <row r="3150" spans="1:17" s="62" customFormat="1" hidden="1" x14ac:dyDescent="0.25">
      <c r="A3150" s="16" t="s">
        <v>371</v>
      </c>
      <c r="B3150" s="17"/>
      <c r="C3150" s="9" t="s">
        <v>5201</v>
      </c>
      <c r="D3150" s="17" t="s">
        <v>1345</v>
      </c>
      <c r="E3150" s="17" t="s">
        <v>723</v>
      </c>
      <c r="F3150" s="18" t="s">
        <v>5202</v>
      </c>
      <c r="G3150" s="49" t="s">
        <v>1666</v>
      </c>
      <c r="H3150" s="17">
        <v>19</v>
      </c>
      <c r="I3150" s="30" t="s">
        <v>955</v>
      </c>
      <c r="J3150" s="80">
        <v>4.0999999999999996</v>
      </c>
      <c r="K3150"/>
      <c r="L3150"/>
      <c r="M3150"/>
      <c r="N3150"/>
      <c r="O3150" s="62" t="str">
        <f>IF(E3150="PA",IF(K3150&lt;&gt;"",ISERROR(VLOOKUP(K3150,ABBR!A:D,1,FALSE)),ISERROR(VLOOKUP(C3150,ABBR!A:D,1,FALSE))),"")</f>
        <v/>
      </c>
      <c r="P3150" t="str">
        <f>VLOOKUP(A3150,Groups!A:L,5,FALSE)</f>
        <v>RESG</v>
      </c>
      <c r="Q3150" s="62" t="str">
        <f>IF(G3150="PA",IF(M3150&lt;&gt;"",ISERROR(VLOOKUP(M3150,ABBR!C:F,1,FALSE)),ISERROR(VLOOKUP(E3150,ABBR!C:F,1,FALSE))),"")</f>
        <v/>
      </c>
    </row>
    <row r="3151" spans="1:17" s="62" customFormat="1" hidden="1" x14ac:dyDescent="0.25">
      <c r="A3151" s="16" t="s">
        <v>371</v>
      </c>
      <c r="B3151" s="17"/>
      <c r="C3151" s="9" t="s">
        <v>5203</v>
      </c>
      <c r="D3151" s="17" t="s">
        <v>766</v>
      </c>
      <c r="E3151" s="17" t="s">
        <v>1321</v>
      </c>
      <c r="F3151" s="18" t="s">
        <v>5204</v>
      </c>
      <c r="G3151" s="49" t="s">
        <v>1738</v>
      </c>
      <c r="H3151" s="17">
        <v>20</v>
      </c>
      <c r="I3151" s="30" t="s">
        <v>955</v>
      </c>
      <c r="J3151" s="80">
        <v>4.0999999999999996</v>
      </c>
      <c r="K3151"/>
      <c r="L3151"/>
      <c r="M3151"/>
      <c r="N3151"/>
      <c r="O3151" s="62" t="str">
        <f>IF(E3151="PA",IF(K3151&lt;&gt;"",ISERROR(VLOOKUP(K3151,ABBR!A:D,1,FALSE)),ISERROR(VLOOKUP(C3151,ABBR!A:D,1,FALSE))),"")</f>
        <v/>
      </c>
      <c r="P3151" t="str">
        <f>VLOOKUP(A3151,Groups!A:L,5,FALSE)</f>
        <v>RESG</v>
      </c>
      <c r="Q3151" s="62" t="str">
        <f>IF(G3151="PA",IF(M3151&lt;&gt;"",ISERROR(VLOOKUP(M3151,ABBR!C:F,1,FALSE)),ISERROR(VLOOKUP(E3151,ABBR!C:F,1,FALSE))),"")</f>
        <v/>
      </c>
    </row>
    <row r="3152" spans="1:17" s="62" customFormat="1" hidden="1" x14ac:dyDescent="0.25">
      <c r="A3152" s="16" t="s">
        <v>371</v>
      </c>
      <c r="B3152" s="17"/>
      <c r="C3152" s="9" t="s">
        <v>5205</v>
      </c>
      <c r="D3152" s="17" t="s">
        <v>766</v>
      </c>
      <c r="E3152" s="17" t="s">
        <v>1321</v>
      </c>
      <c r="F3152" s="18" t="s">
        <v>5206</v>
      </c>
      <c r="G3152" s="49" t="s">
        <v>1738</v>
      </c>
      <c r="H3152" s="17">
        <v>21</v>
      </c>
      <c r="I3152" s="30" t="s">
        <v>955</v>
      </c>
      <c r="J3152" s="80">
        <v>4.0999999999999996</v>
      </c>
      <c r="K3152"/>
      <c r="L3152"/>
      <c r="M3152"/>
      <c r="N3152"/>
      <c r="O3152" s="62" t="str">
        <f>IF(E3152="PA",IF(K3152&lt;&gt;"",ISERROR(VLOOKUP(K3152,ABBR!A:D,1,FALSE)),ISERROR(VLOOKUP(C3152,ABBR!A:D,1,FALSE))),"")</f>
        <v/>
      </c>
      <c r="P3152" t="str">
        <f>VLOOKUP(A3152,Groups!A:L,5,FALSE)</f>
        <v>RESG</v>
      </c>
      <c r="Q3152" s="62" t="str">
        <f>IF(G3152="PA",IF(M3152&lt;&gt;"",ISERROR(VLOOKUP(M3152,ABBR!C:F,1,FALSE)),ISERROR(VLOOKUP(E3152,ABBR!C:F,1,FALSE))),"")</f>
        <v/>
      </c>
    </row>
    <row r="3153" spans="1:17" s="62" customFormat="1" hidden="1" x14ac:dyDescent="0.25">
      <c r="A3153" s="16" t="s">
        <v>371</v>
      </c>
      <c r="B3153" s="17"/>
      <c r="C3153" s="9" t="s">
        <v>5207</v>
      </c>
      <c r="D3153" s="17" t="s">
        <v>1345</v>
      </c>
      <c r="E3153" s="17" t="s">
        <v>723</v>
      </c>
      <c r="F3153" s="18" t="s">
        <v>5208</v>
      </c>
      <c r="G3153" s="49" t="s">
        <v>5209</v>
      </c>
      <c r="H3153" s="17">
        <v>22</v>
      </c>
      <c r="I3153" s="30" t="s">
        <v>955</v>
      </c>
      <c r="J3153" s="80">
        <v>4.0999999999999996</v>
      </c>
      <c r="K3153"/>
      <c r="L3153"/>
      <c r="M3153"/>
      <c r="N3153"/>
      <c r="O3153" s="62" t="str">
        <f>IF(E3153="PA",IF(K3153&lt;&gt;"",ISERROR(VLOOKUP(K3153,ABBR!A:D,1,FALSE)),ISERROR(VLOOKUP(C3153,ABBR!A:D,1,FALSE))),"")</f>
        <v/>
      </c>
      <c r="P3153" t="str">
        <f>VLOOKUP(A3153,Groups!A:L,5,FALSE)</f>
        <v>RESG</v>
      </c>
      <c r="Q3153" s="62" t="str">
        <f>IF(G3153="PA",IF(M3153&lt;&gt;"",ISERROR(VLOOKUP(M3153,ABBR!C:F,1,FALSE)),ISERROR(VLOOKUP(E3153,ABBR!C:F,1,FALSE))),"")</f>
        <v/>
      </c>
    </row>
    <row r="3154" spans="1:17" s="62" customFormat="1" hidden="1" x14ac:dyDescent="0.25">
      <c r="A3154" s="16" t="s">
        <v>371</v>
      </c>
      <c r="B3154" s="17"/>
      <c r="C3154" s="9" t="s">
        <v>5210</v>
      </c>
      <c r="D3154" s="17" t="s">
        <v>1345</v>
      </c>
      <c r="E3154" s="17" t="s">
        <v>723</v>
      </c>
      <c r="F3154" s="18" t="s">
        <v>5211</v>
      </c>
      <c r="G3154" s="49" t="s">
        <v>5212</v>
      </c>
      <c r="H3154" s="17">
        <v>23</v>
      </c>
      <c r="I3154" s="30" t="s">
        <v>955</v>
      </c>
      <c r="J3154" s="80">
        <v>4.0999999999999996</v>
      </c>
      <c r="K3154"/>
      <c r="L3154"/>
      <c r="M3154"/>
      <c r="N3154"/>
      <c r="O3154" s="62" t="str">
        <f>IF(E3154="PA",IF(K3154&lt;&gt;"",ISERROR(VLOOKUP(K3154,ABBR!A:D,1,FALSE)),ISERROR(VLOOKUP(C3154,ABBR!A:D,1,FALSE))),"")</f>
        <v/>
      </c>
      <c r="P3154" t="str">
        <f>VLOOKUP(A3154,Groups!A:L,5,FALSE)</f>
        <v>RESG</v>
      </c>
      <c r="Q3154" s="62" t="str">
        <f>IF(G3154="PA",IF(M3154&lt;&gt;"",ISERROR(VLOOKUP(M3154,ABBR!C:F,1,FALSE)),ISERROR(VLOOKUP(E3154,ABBR!C:F,1,FALSE))),"")</f>
        <v/>
      </c>
    </row>
    <row r="3155" spans="1:17" s="62" customFormat="1" hidden="1" x14ac:dyDescent="0.25">
      <c r="A3155" s="16" t="s">
        <v>371</v>
      </c>
      <c r="B3155" s="17"/>
      <c r="C3155" s="9" t="s">
        <v>5213</v>
      </c>
      <c r="D3155" s="17" t="s">
        <v>1345</v>
      </c>
      <c r="E3155" s="17" t="s">
        <v>723</v>
      </c>
      <c r="F3155" s="18" t="s">
        <v>5214</v>
      </c>
      <c r="G3155" s="49" t="s">
        <v>5215</v>
      </c>
      <c r="H3155" s="17">
        <v>24</v>
      </c>
      <c r="I3155" s="30" t="s">
        <v>955</v>
      </c>
      <c r="J3155" s="80">
        <v>4.0999999999999996</v>
      </c>
      <c r="K3155"/>
      <c r="L3155"/>
      <c r="M3155"/>
      <c r="N3155"/>
      <c r="O3155" s="62" t="str">
        <f>IF(E3155="PA",IF(K3155&lt;&gt;"",ISERROR(VLOOKUP(K3155,ABBR!A:D,1,FALSE)),ISERROR(VLOOKUP(C3155,ABBR!A:D,1,FALSE))),"")</f>
        <v/>
      </c>
      <c r="P3155" t="str">
        <f>VLOOKUP(A3155,Groups!A:L,5,FALSE)</f>
        <v>RESG</v>
      </c>
      <c r="Q3155" s="62" t="str">
        <f>IF(G3155="PA",IF(M3155&lt;&gt;"",ISERROR(VLOOKUP(M3155,ABBR!C:F,1,FALSE)),ISERROR(VLOOKUP(E3155,ABBR!C:F,1,FALSE))),"")</f>
        <v/>
      </c>
    </row>
    <row r="3156" spans="1:17" s="62" customFormat="1" hidden="1" x14ac:dyDescent="0.25">
      <c r="A3156" s="16" t="s">
        <v>371</v>
      </c>
      <c r="B3156" s="17"/>
      <c r="C3156" s="9" t="s">
        <v>5216</v>
      </c>
      <c r="D3156" s="17" t="s">
        <v>1345</v>
      </c>
      <c r="E3156" s="17" t="s">
        <v>723</v>
      </c>
      <c r="F3156" s="18" t="s">
        <v>5217</v>
      </c>
      <c r="G3156" s="49" t="s">
        <v>5218</v>
      </c>
      <c r="H3156" s="17">
        <v>25</v>
      </c>
      <c r="I3156" s="30" t="s">
        <v>955</v>
      </c>
      <c r="J3156" s="80">
        <v>4.0999999999999996</v>
      </c>
      <c r="K3156"/>
      <c r="L3156"/>
      <c r="M3156"/>
      <c r="N3156"/>
      <c r="O3156" s="62" t="str">
        <f>IF(E3156="PA",IF(K3156&lt;&gt;"",ISERROR(VLOOKUP(K3156,ABBR!A:D,1,FALSE)),ISERROR(VLOOKUP(C3156,ABBR!A:D,1,FALSE))),"")</f>
        <v/>
      </c>
      <c r="P3156" t="str">
        <f>VLOOKUP(A3156,Groups!A:L,5,FALSE)</f>
        <v>RESG</v>
      </c>
      <c r="Q3156" s="62" t="str">
        <f>IF(G3156="PA",IF(M3156&lt;&gt;"",ISERROR(VLOOKUP(M3156,ABBR!C:F,1,FALSE)),ISERROR(VLOOKUP(E3156,ABBR!C:F,1,FALSE))),"")</f>
        <v/>
      </c>
    </row>
    <row r="3157" spans="1:17" s="62" customFormat="1" hidden="1" x14ac:dyDescent="0.25">
      <c r="A3157" s="16" t="s">
        <v>371</v>
      </c>
      <c r="B3157" s="17"/>
      <c r="C3157" s="9" t="s">
        <v>5219</v>
      </c>
      <c r="D3157" s="17" t="s">
        <v>766</v>
      </c>
      <c r="E3157" s="17" t="s">
        <v>1321</v>
      </c>
      <c r="F3157" s="18" t="s">
        <v>5220</v>
      </c>
      <c r="G3157" s="49" t="s">
        <v>5221</v>
      </c>
      <c r="H3157" s="17">
        <v>26</v>
      </c>
      <c r="I3157" s="30" t="s">
        <v>955</v>
      </c>
      <c r="J3157" s="80">
        <v>4.0999999999999996</v>
      </c>
      <c r="K3157"/>
      <c r="L3157"/>
      <c r="M3157"/>
      <c r="N3157"/>
      <c r="O3157" s="62" t="str">
        <f>IF(E3157="PA",IF(K3157&lt;&gt;"",ISERROR(VLOOKUP(K3157,ABBR!A:D,1,FALSE)),ISERROR(VLOOKUP(C3157,ABBR!A:D,1,FALSE))),"")</f>
        <v/>
      </c>
      <c r="P3157" t="str">
        <f>VLOOKUP(A3157,Groups!A:L,5,FALSE)</f>
        <v>RESG</v>
      </c>
      <c r="Q3157" s="62" t="str">
        <f>IF(G3157="PA",IF(M3157&lt;&gt;"",ISERROR(VLOOKUP(M3157,ABBR!C:F,1,FALSE)),ISERROR(VLOOKUP(E3157,ABBR!C:F,1,FALSE))),"")</f>
        <v/>
      </c>
    </row>
    <row r="3158" spans="1:17" s="62" customFormat="1" hidden="1" x14ac:dyDescent="0.25">
      <c r="A3158" s="16" t="s">
        <v>371</v>
      </c>
      <c r="B3158" s="17"/>
      <c r="C3158" s="9" t="s">
        <v>5222</v>
      </c>
      <c r="D3158" s="17" t="s">
        <v>1710</v>
      </c>
      <c r="E3158" s="17" t="s">
        <v>601</v>
      </c>
      <c r="F3158" s="18" t="s">
        <v>5223</v>
      </c>
      <c r="G3158" s="49" t="s">
        <v>5224</v>
      </c>
      <c r="H3158" s="17">
        <v>27</v>
      </c>
      <c r="I3158" s="30" t="s">
        <v>955</v>
      </c>
      <c r="J3158" s="80">
        <v>4.0999999999999996</v>
      </c>
      <c r="K3158"/>
      <c r="L3158"/>
      <c r="M3158"/>
      <c r="N3158"/>
      <c r="O3158" s="62" t="str">
        <f>IF(E3158="PA",IF(K3158&lt;&gt;"",ISERROR(VLOOKUP(K3158,ABBR!A:D,1,FALSE)),ISERROR(VLOOKUP(C3158,ABBR!A:D,1,FALSE))),"")</f>
        <v/>
      </c>
      <c r="P3158" t="str">
        <f>VLOOKUP(A3158,Groups!A:L,5,FALSE)</f>
        <v>RESG</v>
      </c>
      <c r="Q3158" s="62" t="str">
        <f>IF(G3158="PA",IF(M3158&lt;&gt;"",ISERROR(VLOOKUP(M3158,ABBR!C:F,1,FALSE)),ISERROR(VLOOKUP(E3158,ABBR!C:F,1,FALSE))),"")</f>
        <v/>
      </c>
    </row>
    <row r="3159" spans="1:17" s="62" customFormat="1" hidden="1" x14ac:dyDescent="0.25">
      <c r="A3159" s="16" t="s">
        <v>371</v>
      </c>
      <c r="B3159" s="17"/>
      <c r="C3159" s="9" t="s">
        <v>5225</v>
      </c>
      <c r="D3159" s="17" t="s">
        <v>766</v>
      </c>
      <c r="E3159" s="17" t="s">
        <v>601</v>
      </c>
      <c r="F3159" s="18" t="s">
        <v>5226</v>
      </c>
      <c r="G3159" s="49" t="s">
        <v>5227</v>
      </c>
      <c r="H3159" s="17">
        <v>28</v>
      </c>
      <c r="I3159" s="30" t="s">
        <v>955</v>
      </c>
      <c r="J3159" s="80">
        <v>4.0999999999999996</v>
      </c>
      <c r="K3159"/>
      <c r="L3159"/>
      <c r="M3159"/>
      <c r="N3159"/>
      <c r="O3159" s="62" t="str">
        <f>IF(E3159="PA",IF(K3159&lt;&gt;"",ISERROR(VLOOKUP(K3159,ABBR!A:D,1,FALSE)),ISERROR(VLOOKUP(C3159,ABBR!A:D,1,FALSE))),"")</f>
        <v/>
      </c>
      <c r="P3159" t="str">
        <f>VLOOKUP(A3159,Groups!A:L,5,FALSE)</f>
        <v>RESG</v>
      </c>
      <c r="Q3159" s="62" t="str">
        <f>IF(G3159="PA",IF(M3159&lt;&gt;"",ISERROR(VLOOKUP(M3159,ABBR!C:F,1,FALSE)),ISERROR(VLOOKUP(E3159,ABBR!C:F,1,FALSE))),"")</f>
        <v/>
      </c>
    </row>
    <row r="3160" spans="1:17" s="62" customFormat="1" hidden="1" x14ac:dyDescent="0.25">
      <c r="A3160" s="16" t="s">
        <v>371</v>
      </c>
      <c r="B3160" s="17"/>
      <c r="C3160" s="9" t="s">
        <v>5228</v>
      </c>
      <c r="D3160" s="17"/>
      <c r="E3160" s="17" t="s">
        <v>608</v>
      </c>
      <c r="F3160" s="18" t="s">
        <v>642</v>
      </c>
      <c r="G3160" s="49" t="s">
        <v>16</v>
      </c>
      <c r="H3160" s="17">
        <v>29</v>
      </c>
      <c r="I3160" s="30" t="s">
        <v>955</v>
      </c>
      <c r="J3160" s="80">
        <v>4.0999999999999996</v>
      </c>
      <c r="K3160"/>
      <c r="L3160"/>
      <c r="M3160" s="101"/>
      <c r="N3160"/>
      <c r="O3160" s="62" t="str">
        <f>IF(E3160="PA",IF(K3160&lt;&gt;"",ISERROR(VLOOKUP(K3160,ABBR!A:D,1,FALSE)),ISERROR(VLOOKUP(C3160,ABBR!A:D,1,FALSE))),"")</f>
        <v/>
      </c>
      <c r="P3160" t="str">
        <f>VLOOKUP(A3160,Groups!A:L,5,FALSE)</f>
        <v>RESG</v>
      </c>
      <c r="Q3160" s="62" t="str">
        <f>IF(G3160="PA",IF(M3160&lt;&gt;"",ISERROR(VLOOKUP(M3160,ABBR!C:F,1,FALSE)),ISERROR(VLOOKUP(E3160,ABBR!C:F,1,FALSE))),"")</f>
        <v/>
      </c>
    </row>
    <row r="3161" spans="1:17" s="62" customFormat="1" hidden="1" x14ac:dyDescent="0.25">
      <c r="A3161" s="16" t="s">
        <v>371</v>
      </c>
      <c r="B3161" s="17"/>
      <c r="C3161" s="9" t="s">
        <v>643</v>
      </c>
      <c r="D3161" s="17"/>
      <c r="E3161" s="17" t="s">
        <v>608</v>
      </c>
      <c r="F3161" s="18" t="s">
        <v>1714</v>
      </c>
      <c r="G3161" s="49" t="s">
        <v>940</v>
      </c>
      <c r="H3161" s="17">
        <v>30</v>
      </c>
      <c r="I3161" s="30" t="s">
        <v>955</v>
      </c>
      <c r="J3161" s="80">
        <v>4.0999999999999996</v>
      </c>
      <c r="K3161"/>
      <c r="L3161"/>
      <c r="M3161"/>
      <c r="N3161"/>
      <c r="O3161" s="62" t="str">
        <f>IF(E3161="PA",IF(K3161&lt;&gt;"",ISERROR(VLOOKUP(K3161,ABBR!A:D,1,FALSE)),ISERROR(VLOOKUP(C3161,ABBR!A:D,1,FALSE))),"")</f>
        <v/>
      </c>
      <c r="P3161" t="str">
        <f>VLOOKUP(A3161,Groups!A:L,5,FALSE)</f>
        <v>RESG</v>
      </c>
      <c r="Q3161" s="62" t="str">
        <f>IF(G3161="PA",IF(M3161&lt;&gt;"",ISERROR(VLOOKUP(M3161,ABBR!C:F,1,FALSE)),ISERROR(VLOOKUP(E3161,ABBR!C:F,1,FALSE))),"")</f>
        <v/>
      </c>
    </row>
    <row r="3162" spans="1:17" s="62" customFormat="1" hidden="1" x14ac:dyDescent="0.25">
      <c r="A3162" s="16" t="s">
        <v>370</v>
      </c>
      <c r="B3162" s="17" t="s">
        <v>594</v>
      </c>
      <c r="C3162" s="16" t="s">
        <v>595</v>
      </c>
      <c r="D3162" s="17"/>
      <c r="E3162" s="17" t="s">
        <v>596</v>
      </c>
      <c r="F3162" s="18" t="s">
        <v>597</v>
      </c>
      <c r="G3162" s="49" t="s">
        <v>5111</v>
      </c>
      <c r="H3162" s="17">
        <v>1</v>
      </c>
      <c r="I3162" s="30" t="s">
        <v>955</v>
      </c>
      <c r="J3162" s="80">
        <v>4.0999999999999996</v>
      </c>
      <c r="K3162"/>
      <c r="L3162"/>
      <c r="M3162"/>
      <c r="N3162"/>
      <c r="O3162" s="62" t="str">
        <f>IF(E3162="PA",IF(K3162&lt;&gt;"",ISERROR(VLOOKUP(K3162,ABBR!A:D,1,FALSE)),ISERROR(VLOOKUP(C3162,ABBR!A:D,1,FALSE))),"")</f>
        <v/>
      </c>
      <c r="P3162" t="str">
        <f>VLOOKUP(A3162,Groups!A:L,5,FALSE)</f>
        <v>SAMP</v>
      </c>
      <c r="Q3162" s="62" t="str">
        <f>IF(G3162="PA",IF(M3162&lt;&gt;"",ISERROR(VLOOKUP(M3162,ABBR!C:F,1,FALSE)),ISERROR(VLOOKUP(E3162,ABBR!C:F,1,FALSE))),"")</f>
        <v/>
      </c>
    </row>
    <row r="3163" spans="1:17" s="62" customFormat="1" hidden="1" x14ac:dyDescent="0.25">
      <c r="A3163" s="16" t="s">
        <v>370</v>
      </c>
      <c r="B3163" s="17" t="s">
        <v>594</v>
      </c>
      <c r="C3163" s="16" t="s">
        <v>851</v>
      </c>
      <c r="D3163" s="17" t="s">
        <v>600</v>
      </c>
      <c r="E3163" s="17" t="s">
        <v>601</v>
      </c>
      <c r="F3163" s="18" t="s">
        <v>852</v>
      </c>
      <c r="G3163" s="49" t="s">
        <v>910</v>
      </c>
      <c r="H3163" s="17">
        <v>2</v>
      </c>
      <c r="I3163" s="30" t="s">
        <v>955</v>
      </c>
      <c r="J3163" s="80">
        <v>4.0999999999999996</v>
      </c>
      <c r="K3163"/>
      <c r="L3163"/>
      <c r="M3163"/>
      <c r="N3163"/>
      <c r="O3163" s="62" t="str">
        <f>IF(E3163="PA",IF(K3163&lt;&gt;"",ISERROR(VLOOKUP(K3163,ABBR!A:D,1,FALSE)),ISERROR(VLOOKUP(C3163,ABBR!A:D,1,FALSE))),"")</f>
        <v/>
      </c>
      <c r="P3163" t="str">
        <f>VLOOKUP(A3163,Groups!A:L,5,FALSE)</f>
        <v>SAMP</v>
      </c>
      <c r="Q3163" s="62" t="str">
        <f>IF(G3163="PA",IF(M3163&lt;&gt;"",ISERROR(VLOOKUP(M3163,ABBR!C:F,1,FALSE)),ISERROR(VLOOKUP(E3163,ABBR!C:F,1,FALSE))),"")</f>
        <v/>
      </c>
    </row>
    <row r="3164" spans="1:17" s="62" customFormat="1" hidden="1" x14ac:dyDescent="0.25">
      <c r="A3164" s="16" t="s">
        <v>370</v>
      </c>
      <c r="B3164" s="17" t="s">
        <v>594</v>
      </c>
      <c r="C3164" s="16" t="s">
        <v>854</v>
      </c>
      <c r="D3164" s="17"/>
      <c r="E3164" s="17" t="s">
        <v>608</v>
      </c>
      <c r="F3164" s="18" t="s">
        <v>855</v>
      </c>
      <c r="G3164" s="49" t="s">
        <v>5113</v>
      </c>
      <c r="H3164" s="17">
        <v>3</v>
      </c>
      <c r="I3164" s="30" t="s">
        <v>955</v>
      </c>
      <c r="J3164" s="80">
        <v>4.0999999999999996</v>
      </c>
      <c r="K3164"/>
      <c r="L3164"/>
      <c r="M3164"/>
      <c r="N3164"/>
      <c r="O3164" s="62" t="str">
        <f>IF(E3164="PA",IF(K3164&lt;&gt;"",ISERROR(VLOOKUP(K3164,ABBR!A:D,1,FALSE)),ISERROR(VLOOKUP(C3164,ABBR!A:D,1,FALSE))),"")</f>
        <v/>
      </c>
      <c r="P3164" t="str">
        <f>VLOOKUP(A3164,Groups!A:L,5,FALSE)</f>
        <v>SAMP</v>
      </c>
      <c r="Q3164" s="62" t="str">
        <f>IF(G3164="PA",IF(M3164&lt;&gt;"",ISERROR(VLOOKUP(M3164,ABBR!C:F,1,FALSE)),ISERROR(VLOOKUP(E3164,ABBR!C:F,1,FALSE))),"")</f>
        <v/>
      </c>
    </row>
    <row r="3165" spans="1:17" s="62" customFormat="1" hidden="1" x14ac:dyDescent="0.25">
      <c r="A3165" s="16" t="s">
        <v>370</v>
      </c>
      <c r="B3165" s="17" t="s">
        <v>594</v>
      </c>
      <c r="C3165" s="16" t="s">
        <v>857</v>
      </c>
      <c r="D3165" s="17"/>
      <c r="E3165" s="17" t="s">
        <v>618</v>
      </c>
      <c r="F3165" s="18" t="s">
        <v>858</v>
      </c>
      <c r="G3165" s="49" t="s">
        <v>859</v>
      </c>
      <c r="H3165" s="17">
        <v>4</v>
      </c>
      <c r="I3165" s="30" t="s">
        <v>955</v>
      </c>
      <c r="J3165" s="80">
        <v>4.0999999999999996</v>
      </c>
      <c r="K3165"/>
      <c r="L3165"/>
      <c r="M3165"/>
      <c r="N3165"/>
      <c r="O3165" s="62" t="b">
        <f>IF(E3165="PA",IF(K3165&lt;&gt;"",ISERROR(VLOOKUP(K3165,ABBR!A:D,1,FALSE)),ISERROR(VLOOKUP(C3165,ABBR!A:D,1,FALSE))),"")</f>
        <v>0</v>
      </c>
      <c r="P3165" t="str">
        <f>VLOOKUP(A3165,Groups!A:L,5,FALSE)</f>
        <v>SAMP</v>
      </c>
      <c r="Q3165" s="62" t="str">
        <f>IF(G3165="PA",IF(M3165&lt;&gt;"",ISERROR(VLOOKUP(M3165,ABBR!C:F,1,FALSE)),ISERROR(VLOOKUP(E3165,ABBR!C:F,1,FALSE))),"")</f>
        <v/>
      </c>
    </row>
    <row r="3166" spans="1:17" s="62" customFormat="1" hidden="1" x14ac:dyDescent="0.25">
      <c r="A3166" s="16" t="s">
        <v>370</v>
      </c>
      <c r="B3166" s="17" t="s">
        <v>594</v>
      </c>
      <c r="C3166" s="16" t="s">
        <v>860</v>
      </c>
      <c r="D3166" s="17"/>
      <c r="E3166" s="17" t="s">
        <v>596</v>
      </c>
      <c r="F3166" s="18" t="s">
        <v>942</v>
      </c>
      <c r="G3166" s="49" t="s">
        <v>5114</v>
      </c>
      <c r="H3166" s="17">
        <v>5</v>
      </c>
      <c r="I3166" s="30" t="s">
        <v>955</v>
      </c>
      <c r="J3166" s="80">
        <v>4.0999999999999996</v>
      </c>
      <c r="K3166"/>
      <c r="L3166"/>
      <c r="M3166"/>
      <c r="N3166"/>
      <c r="O3166" s="62" t="str">
        <f>IF(E3166="PA",IF(K3166&lt;&gt;"",ISERROR(VLOOKUP(K3166,ABBR!A:D,1,FALSE)),ISERROR(VLOOKUP(C3166,ABBR!A:D,1,FALSE))),"")</f>
        <v/>
      </c>
      <c r="P3166" t="str">
        <f>VLOOKUP(A3166,Groups!A:L,5,FALSE)</f>
        <v>SAMP</v>
      </c>
      <c r="Q3166" s="62" t="str">
        <f>IF(G3166="PA",IF(M3166&lt;&gt;"",ISERROR(VLOOKUP(M3166,ABBR!C:F,1,FALSE)),ISERROR(VLOOKUP(E3166,ABBR!C:F,1,FALSE))),"")</f>
        <v/>
      </c>
    </row>
    <row r="3167" spans="1:17" s="62" customFormat="1" hidden="1" x14ac:dyDescent="0.25">
      <c r="A3167" s="16" t="s">
        <v>370</v>
      </c>
      <c r="B3167" s="17" t="s">
        <v>594</v>
      </c>
      <c r="C3167" s="16" t="s">
        <v>863</v>
      </c>
      <c r="D3167" s="17"/>
      <c r="E3167" s="17" t="s">
        <v>608</v>
      </c>
      <c r="F3167" s="18" t="s">
        <v>864</v>
      </c>
      <c r="G3167" s="49" t="s">
        <v>5115</v>
      </c>
      <c r="H3167" s="17">
        <v>6</v>
      </c>
      <c r="I3167" s="30" t="s">
        <v>955</v>
      </c>
      <c r="J3167" s="80">
        <v>4.0999999999999996</v>
      </c>
      <c r="K3167"/>
      <c r="L3167"/>
      <c r="M3167"/>
      <c r="N3167"/>
      <c r="O3167" s="62" t="str">
        <f>IF(E3167="PA",IF(K3167&lt;&gt;"",ISERROR(VLOOKUP(K3167,ABBR!A:D,1,FALSE)),ISERROR(VLOOKUP(C3167,ABBR!A:D,1,FALSE))),"")</f>
        <v/>
      </c>
      <c r="P3167" t="str">
        <f>VLOOKUP(A3167,Groups!A:L,5,FALSE)</f>
        <v>SAMP</v>
      </c>
      <c r="Q3167" s="62" t="str">
        <f>IF(G3167="PA",IF(M3167&lt;&gt;"",ISERROR(VLOOKUP(M3167,ABBR!C:F,1,FALSE)),ISERROR(VLOOKUP(E3167,ABBR!C:F,1,FALSE))),"")</f>
        <v/>
      </c>
    </row>
    <row r="3168" spans="1:17" s="62" customFormat="1" hidden="1" x14ac:dyDescent="0.25">
      <c r="A3168" s="16" t="s">
        <v>370</v>
      </c>
      <c r="B3168" s="17" t="s">
        <v>594</v>
      </c>
      <c r="C3168" s="16" t="s">
        <v>866</v>
      </c>
      <c r="D3168" s="17" t="s">
        <v>600</v>
      </c>
      <c r="E3168" s="17" t="s">
        <v>601</v>
      </c>
      <c r="F3168" s="18" t="s">
        <v>867</v>
      </c>
      <c r="G3168" s="49" t="s">
        <v>2112</v>
      </c>
      <c r="H3168" s="17">
        <v>7</v>
      </c>
      <c r="I3168" s="30" t="s">
        <v>955</v>
      </c>
      <c r="J3168" s="80">
        <v>4.0999999999999996</v>
      </c>
      <c r="K3168"/>
      <c r="L3168"/>
      <c r="M3168"/>
      <c r="N3168"/>
      <c r="O3168" s="62" t="str">
        <f>IF(E3168="PA",IF(K3168&lt;&gt;"",ISERROR(VLOOKUP(K3168,ABBR!A:D,1,FALSE)),ISERROR(VLOOKUP(C3168,ABBR!A:D,1,FALSE))),"")</f>
        <v/>
      </c>
      <c r="P3168" t="str">
        <f>VLOOKUP(A3168,Groups!A:L,5,FALSE)</f>
        <v>SAMP</v>
      </c>
      <c r="Q3168" s="62" t="str">
        <f>IF(G3168="PA",IF(M3168&lt;&gt;"",ISERROR(VLOOKUP(M3168,ABBR!C:F,1,FALSE)),ISERROR(VLOOKUP(E3168,ABBR!C:F,1,FALSE))),"")</f>
        <v/>
      </c>
    </row>
    <row r="3169" spans="1:17" s="62" customFormat="1" hidden="1" x14ac:dyDescent="0.25">
      <c r="A3169" s="16" t="s">
        <v>370</v>
      </c>
      <c r="B3169" s="17"/>
      <c r="C3169" s="16" t="s">
        <v>868</v>
      </c>
      <c r="D3169" s="17"/>
      <c r="E3169" s="17" t="s">
        <v>608</v>
      </c>
      <c r="F3169" s="18" t="s">
        <v>869</v>
      </c>
      <c r="G3169" s="51" t="s">
        <v>3265</v>
      </c>
      <c r="H3169" s="17">
        <v>8</v>
      </c>
      <c r="I3169" s="30" t="s">
        <v>955</v>
      </c>
      <c r="J3169" s="80">
        <v>4.0999999999999996</v>
      </c>
      <c r="K3169"/>
      <c r="L3169"/>
      <c r="M3169"/>
      <c r="N3169"/>
      <c r="O3169" s="62" t="str">
        <f>IF(E3169="PA",IF(K3169&lt;&gt;"",ISERROR(VLOOKUP(K3169,ABBR!A:D,1,FALSE)),ISERROR(VLOOKUP(C3169,ABBR!A:D,1,FALSE))),"")</f>
        <v/>
      </c>
      <c r="P3169" t="str">
        <f>VLOOKUP(A3169,Groups!A:L,5,FALSE)</f>
        <v>SAMP</v>
      </c>
      <c r="Q3169" s="62" t="str">
        <f>IF(G3169="PA",IF(M3169&lt;&gt;"",ISERROR(VLOOKUP(M3169,ABBR!C:F,1,FALSE)),ISERROR(VLOOKUP(E3169,ABBR!C:F,1,FALSE))),"")</f>
        <v/>
      </c>
    </row>
    <row r="3170" spans="1:17" s="62" customFormat="1" ht="25" hidden="1" x14ac:dyDescent="0.25">
      <c r="A3170" s="16" t="s">
        <v>370</v>
      </c>
      <c r="B3170" s="17"/>
      <c r="C3170" s="16" t="s">
        <v>871</v>
      </c>
      <c r="D3170" s="17"/>
      <c r="E3170" s="17" t="s">
        <v>608</v>
      </c>
      <c r="F3170" s="18" t="s">
        <v>872</v>
      </c>
      <c r="G3170" s="49" t="s">
        <v>873</v>
      </c>
      <c r="H3170" s="17">
        <v>9</v>
      </c>
      <c r="I3170" s="30" t="s">
        <v>955</v>
      </c>
      <c r="J3170" s="80">
        <v>4.0999999999999996</v>
      </c>
      <c r="K3170"/>
      <c r="L3170"/>
      <c r="M3170"/>
      <c r="N3170"/>
      <c r="O3170" s="62" t="str">
        <f>IF(E3170="PA",IF(K3170&lt;&gt;"",ISERROR(VLOOKUP(K3170,ABBR!A:D,1,FALSE)),ISERROR(VLOOKUP(C3170,ABBR!A:D,1,FALSE))),"")</f>
        <v/>
      </c>
      <c r="P3170" t="str">
        <f>VLOOKUP(A3170,Groups!A:L,5,FALSE)</f>
        <v>SAMP</v>
      </c>
      <c r="Q3170" s="62" t="str">
        <f>IF(G3170="PA",IF(M3170&lt;&gt;"",ISERROR(VLOOKUP(M3170,ABBR!C:F,1,FALSE)),ISERROR(VLOOKUP(E3170,ABBR!C:F,1,FALSE))),"")</f>
        <v/>
      </c>
    </row>
    <row r="3171" spans="1:17" s="62" customFormat="1" hidden="1" x14ac:dyDescent="0.25">
      <c r="A3171" s="16" t="s">
        <v>370</v>
      </c>
      <c r="B3171" s="46"/>
      <c r="C3171" s="9" t="s">
        <v>877</v>
      </c>
      <c r="D3171" s="17" t="s">
        <v>600</v>
      </c>
      <c r="E3171" s="17" t="s">
        <v>601</v>
      </c>
      <c r="F3171" s="18" t="s">
        <v>878</v>
      </c>
      <c r="G3171" s="49" t="s">
        <v>879</v>
      </c>
      <c r="H3171" s="17">
        <v>10</v>
      </c>
      <c r="I3171" s="30" t="s">
        <v>955</v>
      </c>
      <c r="J3171" s="80">
        <v>4.0999999999999996</v>
      </c>
      <c r="K3171"/>
      <c r="L3171"/>
      <c r="M3171"/>
      <c r="N3171"/>
      <c r="O3171" s="62" t="str">
        <f>IF(E3171="PA",IF(K3171&lt;&gt;"",ISERROR(VLOOKUP(K3171,ABBR!A:D,1,FALSE)),ISERROR(VLOOKUP(C3171,ABBR!A:D,1,FALSE))),"")</f>
        <v/>
      </c>
      <c r="P3171" t="str">
        <f>VLOOKUP(A3171,Groups!A:L,5,FALSE)</f>
        <v>SAMP</v>
      </c>
      <c r="Q3171" s="62" t="str">
        <f>IF(G3171="PA",IF(M3171&lt;&gt;"",ISERROR(VLOOKUP(M3171,ABBR!C:F,1,FALSE)),ISERROR(VLOOKUP(E3171,ABBR!C:F,1,FALSE))),"")</f>
        <v/>
      </c>
    </row>
    <row r="3172" spans="1:17" s="62" customFormat="1" hidden="1" x14ac:dyDescent="0.25">
      <c r="A3172" s="16" t="s">
        <v>370</v>
      </c>
      <c r="B3172" s="46"/>
      <c r="C3172" s="9" t="s">
        <v>5229</v>
      </c>
      <c r="D3172" s="46"/>
      <c r="E3172" s="46" t="s">
        <v>618</v>
      </c>
      <c r="F3172" s="9" t="s">
        <v>1272</v>
      </c>
      <c r="G3172" s="47" t="s">
        <v>1273</v>
      </c>
      <c r="H3172" s="17">
        <v>11</v>
      </c>
      <c r="I3172" s="30" t="s">
        <v>955</v>
      </c>
      <c r="J3172" s="80">
        <v>4.0999999999999996</v>
      </c>
      <c r="K3172"/>
      <c r="L3172"/>
      <c r="M3172"/>
      <c r="N3172"/>
      <c r="O3172" s="62" t="b">
        <f>IF(E3172="PA",IF(K3172&lt;&gt;"",ISERROR(VLOOKUP(K3172,ABBR!A:D,1,FALSE)),ISERROR(VLOOKUP(C3172,ABBR!A:D,1,FALSE))),"")</f>
        <v>0</v>
      </c>
      <c r="P3172" t="str">
        <f>VLOOKUP(A3172,Groups!A:L,5,FALSE)</f>
        <v>SAMP</v>
      </c>
      <c r="Q3172" s="62" t="str">
        <f>IF(G3172="PA",IF(M3172&lt;&gt;"",ISERROR(VLOOKUP(M3172,ABBR!C:F,1,FALSE)),ISERROR(VLOOKUP(E3172,ABBR!C:F,1,FALSE))),"")</f>
        <v/>
      </c>
    </row>
    <row r="3173" spans="1:17" s="62" customFormat="1" ht="25" hidden="1" x14ac:dyDescent="0.25">
      <c r="A3173" s="16" t="s">
        <v>370</v>
      </c>
      <c r="B3173" s="46"/>
      <c r="C3173" s="9" t="s">
        <v>5230</v>
      </c>
      <c r="D3173" s="46"/>
      <c r="E3173" s="46" t="s">
        <v>608</v>
      </c>
      <c r="F3173" s="9" t="s">
        <v>5231</v>
      </c>
      <c r="G3173" s="47" t="s">
        <v>5232</v>
      </c>
      <c r="H3173" s="17">
        <v>12</v>
      </c>
      <c r="I3173" s="30" t="s">
        <v>955</v>
      </c>
      <c r="J3173" s="80">
        <v>4.0999999999999996</v>
      </c>
      <c r="K3173"/>
      <c r="L3173"/>
      <c r="M3173"/>
      <c r="N3173"/>
      <c r="O3173" s="62" t="str">
        <f>IF(E3173="PA",IF(K3173&lt;&gt;"",ISERROR(VLOOKUP(K3173,ABBR!A:D,1,FALSE)),ISERROR(VLOOKUP(C3173,ABBR!A:D,1,FALSE))),"")</f>
        <v/>
      </c>
      <c r="P3173" t="str">
        <f>VLOOKUP(A3173,Groups!A:L,5,FALSE)</f>
        <v>SAMP</v>
      </c>
      <c r="Q3173" s="62" t="str">
        <f>IF(G3173="PA",IF(M3173&lt;&gt;"",ISERROR(VLOOKUP(M3173,ABBR!C:F,1,FALSE)),ISERROR(VLOOKUP(E3173,ABBR!C:F,1,FALSE))),"")</f>
        <v/>
      </c>
    </row>
    <row r="3174" spans="1:17" s="62" customFormat="1" hidden="1" x14ac:dyDescent="0.25">
      <c r="A3174" s="16" t="s">
        <v>370</v>
      </c>
      <c r="B3174" s="46"/>
      <c r="C3174" s="9" t="s">
        <v>5233</v>
      </c>
      <c r="D3174" s="46"/>
      <c r="E3174" s="46" t="s">
        <v>608</v>
      </c>
      <c r="F3174" s="9" t="s">
        <v>5234</v>
      </c>
      <c r="G3174" s="47" t="s">
        <v>5235</v>
      </c>
      <c r="H3174" s="17">
        <v>13</v>
      </c>
      <c r="I3174" s="30" t="s">
        <v>955</v>
      </c>
      <c r="J3174" s="80">
        <v>4.0999999999999996</v>
      </c>
      <c r="K3174"/>
      <c r="L3174"/>
      <c r="M3174"/>
      <c r="N3174"/>
      <c r="O3174" s="62" t="str">
        <f>IF(E3174="PA",IF(K3174&lt;&gt;"",ISERROR(VLOOKUP(K3174,ABBR!A:D,1,FALSE)),ISERROR(VLOOKUP(C3174,ABBR!A:D,1,FALSE))),"")</f>
        <v/>
      </c>
      <c r="P3174" t="str">
        <f>VLOOKUP(A3174,Groups!A:L,5,FALSE)</f>
        <v>SAMP</v>
      </c>
      <c r="Q3174" s="62" t="str">
        <f>IF(G3174="PA",IF(M3174&lt;&gt;"",ISERROR(VLOOKUP(M3174,ABBR!C:F,1,FALSE)),ISERROR(VLOOKUP(E3174,ABBR!C:F,1,FALSE))),"")</f>
        <v/>
      </c>
    </row>
    <row r="3175" spans="1:17" s="62" customFormat="1" hidden="1" x14ac:dyDescent="0.25">
      <c r="A3175" s="16" t="s">
        <v>370</v>
      </c>
      <c r="B3175" s="46"/>
      <c r="C3175" s="9" t="s">
        <v>5236</v>
      </c>
      <c r="D3175" s="46"/>
      <c r="E3175" s="37" t="s">
        <v>618</v>
      </c>
      <c r="F3175" s="21" t="s">
        <v>5237</v>
      </c>
      <c r="G3175" s="27" t="s">
        <v>5238</v>
      </c>
      <c r="H3175" s="17">
        <v>14</v>
      </c>
      <c r="I3175" s="30" t="s">
        <v>955</v>
      </c>
      <c r="J3175" s="80">
        <v>4.0999999999999996</v>
      </c>
      <c r="K3175"/>
      <c r="L3175"/>
      <c r="M3175" t="s">
        <v>5239</v>
      </c>
      <c r="N3175"/>
      <c r="O3175" s="62" t="b">
        <f>IF(E3175="PA",IF(K3175&lt;&gt;"",ISERROR(VLOOKUP(K3175,ABBR!A:D,1,FALSE)),ISERROR(VLOOKUP(C3175,ABBR!A:D,1,FALSE))),"")</f>
        <v>0</v>
      </c>
      <c r="P3175" t="str">
        <f>VLOOKUP(A3175,Groups!A:L,5,FALSE)</f>
        <v>SAMP</v>
      </c>
      <c r="Q3175" s="62" t="str">
        <f>IF(G3175="PA",IF(M3175&lt;&gt;"",ISERROR(VLOOKUP(M3175,ABBR!C:F,1,FALSE)),ISERROR(VLOOKUP(E3175,ABBR!C:F,1,FALSE))),"")</f>
        <v/>
      </c>
    </row>
    <row r="3176" spans="1:17" s="62" customFormat="1" hidden="1" x14ac:dyDescent="0.25">
      <c r="A3176" s="16" t="s">
        <v>370</v>
      </c>
      <c r="B3176" s="46"/>
      <c r="C3176" s="9" t="s">
        <v>5240</v>
      </c>
      <c r="D3176" s="46" t="s">
        <v>722</v>
      </c>
      <c r="E3176" s="46" t="s">
        <v>601</v>
      </c>
      <c r="F3176" s="9" t="s">
        <v>1807</v>
      </c>
      <c r="G3176" s="47">
        <v>22.15</v>
      </c>
      <c r="H3176" s="17">
        <v>15</v>
      </c>
      <c r="I3176" s="30" t="s">
        <v>955</v>
      </c>
      <c r="J3176" s="80">
        <v>4.0999999999999996</v>
      </c>
      <c r="K3176"/>
      <c r="L3176"/>
      <c r="M3176"/>
      <c r="N3176"/>
      <c r="O3176" s="62" t="str">
        <f>IF(E3176="PA",IF(K3176&lt;&gt;"",ISERROR(VLOOKUP(K3176,ABBR!A:D,1,FALSE)),ISERROR(VLOOKUP(C3176,ABBR!A:D,1,FALSE))),"")</f>
        <v/>
      </c>
      <c r="P3176" t="str">
        <f>VLOOKUP(A3176,Groups!A:L,5,FALSE)</f>
        <v>SAMP</v>
      </c>
      <c r="Q3176" s="62" t="str">
        <f>IF(G3176="PA",IF(M3176&lt;&gt;"",ISERROR(VLOOKUP(M3176,ABBR!C:F,1,FALSE)),ISERROR(VLOOKUP(E3176,ABBR!C:F,1,FALSE))),"")</f>
        <v/>
      </c>
    </row>
    <row r="3177" spans="1:17" s="62" customFormat="1" hidden="1" x14ac:dyDescent="0.25">
      <c r="A3177" s="16" t="s">
        <v>370</v>
      </c>
      <c r="B3177" s="46"/>
      <c r="C3177" s="9" t="s">
        <v>5241</v>
      </c>
      <c r="D3177" s="46" t="s">
        <v>722</v>
      </c>
      <c r="E3177" s="46" t="s">
        <v>601</v>
      </c>
      <c r="F3177" s="9" t="s">
        <v>5242</v>
      </c>
      <c r="G3177" s="47">
        <v>25.15</v>
      </c>
      <c r="H3177" s="17">
        <v>16</v>
      </c>
      <c r="I3177" s="30" t="s">
        <v>955</v>
      </c>
      <c r="J3177" s="80">
        <v>4.0999999999999996</v>
      </c>
      <c r="K3177"/>
      <c r="L3177"/>
      <c r="M3177"/>
      <c r="N3177"/>
      <c r="O3177" s="62" t="str">
        <f>IF(E3177="PA",IF(K3177&lt;&gt;"",ISERROR(VLOOKUP(K3177,ABBR!A:D,1,FALSE)),ISERROR(VLOOKUP(C3177,ABBR!A:D,1,FALSE))),"")</f>
        <v/>
      </c>
      <c r="P3177" t="str">
        <f>VLOOKUP(A3177,Groups!A:L,5,FALSE)</f>
        <v>SAMP</v>
      </c>
      <c r="Q3177" s="62" t="str">
        <f>IF(G3177="PA",IF(M3177&lt;&gt;"",ISERROR(VLOOKUP(M3177,ABBR!C:F,1,FALSE)),ISERROR(VLOOKUP(E3177,ABBR!C:F,1,FALSE))),"")</f>
        <v/>
      </c>
    </row>
    <row r="3178" spans="1:17" s="62" customFormat="1" hidden="1" x14ac:dyDescent="0.25">
      <c r="A3178" s="16" t="s">
        <v>370</v>
      </c>
      <c r="B3178" s="46"/>
      <c r="C3178" s="9" t="s">
        <v>5243</v>
      </c>
      <c r="D3178" s="46" t="s">
        <v>766</v>
      </c>
      <c r="E3178" s="46" t="s">
        <v>608</v>
      </c>
      <c r="F3178" s="9" t="s">
        <v>5244</v>
      </c>
      <c r="G3178" s="47">
        <v>10.5</v>
      </c>
      <c r="H3178" s="17">
        <v>17</v>
      </c>
      <c r="I3178" s="30" t="s">
        <v>955</v>
      </c>
      <c r="J3178" s="80">
        <v>4.0999999999999996</v>
      </c>
      <c r="K3178"/>
      <c r="L3178"/>
      <c r="M3178"/>
      <c r="N3178"/>
      <c r="O3178" s="62" t="str">
        <f>IF(E3178="PA",IF(K3178&lt;&gt;"",ISERROR(VLOOKUP(K3178,ABBR!A:D,1,FALSE)),ISERROR(VLOOKUP(C3178,ABBR!A:D,1,FALSE))),"")</f>
        <v/>
      </c>
      <c r="P3178" t="str">
        <f>VLOOKUP(A3178,Groups!A:L,5,FALSE)</f>
        <v>SAMP</v>
      </c>
      <c r="Q3178" s="62" t="str">
        <f>IF(G3178="PA",IF(M3178&lt;&gt;"",ISERROR(VLOOKUP(M3178,ABBR!C:F,1,FALSE)),ISERROR(VLOOKUP(E3178,ABBR!C:F,1,FALSE))),"")</f>
        <v/>
      </c>
    </row>
    <row r="3179" spans="1:17" s="62" customFormat="1" hidden="1" x14ac:dyDescent="0.25">
      <c r="A3179" s="16" t="s">
        <v>370</v>
      </c>
      <c r="B3179" s="46"/>
      <c r="C3179" s="9" t="s">
        <v>5245</v>
      </c>
      <c r="D3179" s="46" t="s">
        <v>766</v>
      </c>
      <c r="E3179" s="46" t="s">
        <v>608</v>
      </c>
      <c r="F3179" s="9" t="s">
        <v>5246</v>
      </c>
      <c r="G3179" s="47">
        <v>10.4</v>
      </c>
      <c r="H3179" s="17">
        <v>18</v>
      </c>
      <c r="I3179" s="30" t="s">
        <v>955</v>
      </c>
      <c r="J3179" s="80">
        <v>4.0999999999999996</v>
      </c>
      <c r="K3179"/>
      <c r="L3179"/>
      <c r="M3179"/>
      <c r="N3179"/>
      <c r="O3179" s="62" t="str">
        <f>IF(E3179="PA",IF(K3179&lt;&gt;"",ISERROR(VLOOKUP(K3179,ABBR!A:D,1,FALSE)),ISERROR(VLOOKUP(C3179,ABBR!A:D,1,FALSE))),"")</f>
        <v/>
      </c>
      <c r="P3179" t="str">
        <f>VLOOKUP(A3179,Groups!A:L,5,FALSE)</f>
        <v>SAMP</v>
      </c>
      <c r="Q3179" s="62" t="str">
        <f>IF(G3179="PA",IF(M3179&lt;&gt;"",ISERROR(VLOOKUP(M3179,ABBR!C:F,1,FALSE)),ISERROR(VLOOKUP(E3179,ABBR!C:F,1,FALSE))),"")</f>
        <v/>
      </c>
    </row>
    <row r="3180" spans="1:17" s="62" customFormat="1" hidden="1" x14ac:dyDescent="0.25">
      <c r="A3180" s="16" t="s">
        <v>370</v>
      </c>
      <c r="B3180" s="46"/>
      <c r="C3180" s="9" t="s">
        <v>5247</v>
      </c>
      <c r="D3180" s="46" t="s">
        <v>1077</v>
      </c>
      <c r="E3180" s="46" t="s">
        <v>601</v>
      </c>
      <c r="F3180" s="9" t="s">
        <v>5248</v>
      </c>
      <c r="G3180" s="47">
        <v>2.12</v>
      </c>
      <c r="H3180" s="17">
        <v>19</v>
      </c>
      <c r="I3180" s="30" t="s">
        <v>955</v>
      </c>
      <c r="J3180" s="80">
        <v>4.0999999999999996</v>
      </c>
      <c r="K3180"/>
      <c r="L3180"/>
      <c r="M3180"/>
      <c r="N3180"/>
      <c r="O3180" s="62" t="str">
        <f>IF(E3180="PA",IF(K3180&lt;&gt;"",ISERROR(VLOOKUP(K3180,ABBR!A:D,1,FALSE)),ISERROR(VLOOKUP(C3180,ABBR!A:D,1,FALSE))),"")</f>
        <v/>
      </c>
      <c r="P3180" t="str">
        <f>VLOOKUP(A3180,Groups!A:L,5,FALSE)</f>
        <v>SAMP</v>
      </c>
      <c r="Q3180" s="62" t="str">
        <f>IF(G3180="PA",IF(M3180&lt;&gt;"",ISERROR(VLOOKUP(M3180,ABBR!C:F,1,FALSE)),ISERROR(VLOOKUP(E3180,ABBR!C:F,1,FALSE))),"")</f>
        <v/>
      </c>
    </row>
    <row r="3181" spans="1:17" s="62" customFormat="1" hidden="1" x14ac:dyDescent="0.25">
      <c r="A3181" s="16" t="s">
        <v>370</v>
      </c>
      <c r="B3181" s="46"/>
      <c r="C3181" s="9" t="s">
        <v>5249</v>
      </c>
      <c r="D3181" s="46" t="s">
        <v>1077</v>
      </c>
      <c r="E3181" s="46" t="s">
        <v>601</v>
      </c>
      <c r="F3181" s="9" t="s">
        <v>5250</v>
      </c>
      <c r="G3181" s="47">
        <v>2.0499999999999998</v>
      </c>
      <c r="H3181" s="17">
        <v>20</v>
      </c>
      <c r="I3181" s="30" t="s">
        <v>955</v>
      </c>
      <c r="J3181" s="80">
        <v>4.0999999999999996</v>
      </c>
      <c r="K3181"/>
      <c r="L3181"/>
      <c r="M3181"/>
      <c r="N3181"/>
      <c r="O3181" s="62" t="str">
        <f>IF(E3181="PA",IF(K3181&lt;&gt;"",ISERROR(VLOOKUP(K3181,ABBR!A:D,1,FALSE)),ISERROR(VLOOKUP(C3181,ABBR!A:D,1,FALSE))),"")</f>
        <v/>
      </c>
      <c r="P3181" t="str">
        <f>VLOOKUP(A3181,Groups!A:L,5,FALSE)</f>
        <v>SAMP</v>
      </c>
      <c r="Q3181" s="62" t="str">
        <f>IF(G3181="PA",IF(M3181&lt;&gt;"",ISERROR(VLOOKUP(M3181,ABBR!C:F,1,FALSE)),ISERROR(VLOOKUP(E3181,ABBR!C:F,1,FALSE))),"")</f>
        <v/>
      </c>
    </row>
    <row r="3182" spans="1:17" s="62" customFormat="1" hidden="1" x14ac:dyDescent="0.25">
      <c r="A3182" s="16" t="s">
        <v>370</v>
      </c>
      <c r="B3182" s="46"/>
      <c r="C3182" s="9" t="s">
        <v>5251</v>
      </c>
      <c r="D3182" s="46" t="s">
        <v>1077</v>
      </c>
      <c r="E3182" s="46" t="s">
        <v>601</v>
      </c>
      <c r="F3182" s="9" t="s">
        <v>5252</v>
      </c>
      <c r="G3182" s="47">
        <v>1.17</v>
      </c>
      <c r="H3182" s="17">
        <v>21</v>
      </c>
      <c r="I3182" s="30" t="s">
        <v>955</v>
      </c>
      <c r="J3182" s="80">
        <v>4.0999999999999996</v>
      </c>
      <c r="K3182"/>
      <c r="L3182"/>
      <c r="M3182"/>
      <c r="N3182"/>
      <c r="O3182" s="62" t="str">
        <f>IF(E3182="PA",IF(K3182&lt;&gt;"",ISERROR(VLOOKUP(K3182,ABBR!A:D,1,FALSE)),ISERROR(VLOOKUP(C3182,ABBR!A:D,1,FALSE))),"")</f>
        <v/>
      </c>
      <c r="P3182" t="str">
        <f>VLOOKUP(A3182,Groups!A:L,5,FALSE)</f>
        <v>SAMP</v>
      </c>
      <c r="Q3182" s="62" t="str">
        <f>IF(G3182="PA",IF(M3182&lt;&gt;"",ISERROR(VLOOKUP(M3182,ABBR!C:F,1,FALSE)),ISERROR(VLOOKUP(E3182,ABBR!C:F,1,FALSE))),"")</f>
        <v/>
      </c>
    </row>
    <row r="3183" spans="1:17" s="62" customFormat="1" hidden="1" x14ac:dyDescent="0.25">
      <c r="A3183" s="16" t="s">
        <v>370</v>
      </c>
      <c r="B3183" s="46"/>
      <c r="C3183" s="9" t="s">
        <v>5253</v>
      </c>
      <c r="D3183" s="46" t="s">
        <v>1077</v>
      </c>
      <c r="E3183" s="46" t="s">
        <v>601</v>
      </c>
      <c r="F3183" s="9" t="s">
        <v>5254</v>
      </c>
      <c r="G3183" s="47">
        <v>1.86</v>
      </c>
      <c r="H3183" s="17">
        <v>22</v>
      </c>
      <c r="I3183" s="30" t="s">
        <v>955</v>
      </c>
      <c r="J3183" s="80">
        <v>4.0999999999999996</v>
      </c>
      <c r="K3183"/>
      <c r="L3183"/>
      <c r="M3183"/>
      <c r="N3183"/>
      <c r="O3183" s="62" t="str">
        <f>IF(E3183="PA",IF(K3183&lt;&gt;"",ISERROR(VLOOKUP(K3183,ABBR!A:D,1,FALSE)),ISERROR(VLOOKUP(C3183,ABBR!A:D,1,FALSE))),"")</f>
        <v/>
      </c>
      <c r="P3183" t="str">
        <f>VLOOKUP(A3183,Groups!A:L,5,FALSE)</f>
        <v>SAMP</v>
      </c>
      <c r="Q3183" s="62" t="str">
        <f>IF(G3183="PA",IF(M3183&lt;&gt;"",ISERROR(VLOOKUP(M3183,ABBR!C:F,1,FALSE)),ISERROR(VLOOKUP(E3183,ABBR!C:F,1,FALSE))),"")</f>
        <v/>
      </c>
    </row>
    <row r="3184" spans="1:17" s="62" customFormat="1" hidden="1" x14ac:dyDescent="0.25">
      <c r="A3184" s="16" t="s">
        <v>370</v>
      </c>
      <c r="B3184" s="46"/>
      <c r="C3184" s="9" t="s">
        <v>5255</v>
      </c>
      <c r="D3184" s="46" t="s">
        <v>766</v>
      </c>
      <c r="E3184" s="46" t="s">
        <v>723</v>
      </c>
      <c r="F3184" s="9" t="s">
        <v>5256</v>
      </c>
      <c r="G3184" s="47">
        <v>80.099999999999994</v>
      </c>
      <c r="H3184" s="17">
        <v>23</v>
      </c>
      <c r="I3184" s="30" t="s">
        <v>955</v>
      </c>
      <c r="J3184" s="80">
        <v>4.0999999999999996</v>
      </c>
      <c r="K3184"/>
      <c r="L3184"/>
      <c r="M3184"/>
      <c r="N3184"/>
      <c r="O3184" s="62" t="str">
        <f>IF(E3184="PA",IF(K3184&lt;&gt;"",ISERROR(VLOOKUP(K3184,ABBR!A:D,1,FALSE)),ISERROR(VLOOKUP(C3184,ABBR!A:D,1,FALSE))),"")</f>
        <v/>
      </c>
      <c r="P3184" t="str">
        <f>VLOOKUP(A3184,Groups!A:L,5,FALSE)</f>
        <v>SAMP</v>
      </c>
      <c r="Q3184" s="62" t="str">
        <f>IF(G3184="PA",IF(M3184&lt;&gt;"",ISERROR(VLOOKUP(M3184,ABBR!C:F,1,FALSE)),ISERROR(VLOOKUP(E3184,ABBR!C:F,1,FALSE))),"")</f>
        <v/>
      </c>
    </row>
    <row r="3185" spans="1:17" s="62" customFormat="1" hidden="1" x14ac:dyDescent="0.25">
      <c r="A3185" s="16" t="s">
        <v>370</v>
      </c>
      <c r="B3185" s="46"/>
      <c r="C3185" s="9" t="s">
        <v>5257</v>
      </c>
      <c r="D3185" s="46"/>
      <c r="E3185" s="46" t="s">
        <v>1321</v>
      </c>
      <c r="F3185" s="9" t="s">
        <v>5258</v>
      </c>
      <c r="G3185" s="47">
        <v>0.995</v>
      </c>
      <c r="H3185" s="17">
        <v>24</v>
      </c>
      <c r="I3185" s="30" t="s">
        <v>955</v>
      </c>
      <c r="J3185" s="80">
        <v>4.0999999999999996</v>
      </c>
      <c r="K3185"/>
      <c r="L3185"/>
      <c r="M3185"/>
      <c r="N3185"/>
      <c r="O3185" s="62" t="str">
        <f>IF(E3185="PA",IF(K3185&lt;&gt;"",ISERROR(VLOOKUP(K3185,ABBR!A:D,1,FALSE)),ISERROR(VLOOKUP(C3185,ABBR!A:D,1,FALSE))),"")</f>
        <v/>
      </c>
      <c r="P3185" t="str">
        <f>VLOOKUP(A3185,Groups!A:L,5,FALSE)</f>
        <v>SAMP</v>
      </c>
      <c r="Q3185" s="62" t="str">
        <f>IF(G3185="PA",IF(M3185&lt;&gt;"",ISERROR(VLOOKUP(M3185,ABBR!C:F,1,FALSE)),ISERROR(VLOOKUP(E3185,ABBR!C:F,1,FALSE))),"")</f>
        <v/>
      </c>
    </row>
    <row r="3186" spans="1:17" s="62" customFormat="1" hidden="1" x14ac:dyDescent="0.25">
      <c r="A3186" s="16" t="s">
        <v>370</v>
      </c>
      <c r="B3186" s="46"/>
      <c r="C3186" s="9" t="s">
        <v>5259</v>
      </c>
      <c r="D3186" s="46" t="s">
        <v>766</v>
      </c>
      <c r="E3186" s="46" t="s">
        <v>767</v>
      </c>
      <c r="F3186" s="9" t="s">
        <v>1536</v>
      </c>
      <c r="G3186" s="47">
        <v>97</v>
      </c>
      <c r="H3186" s="17">
        <v>25</v>
      </c>
      <c r="I3186" s="30" t="s">
        <v>955</v>
      </c>
      <c r="J3186" s="80">
        <v>4.0999999999999996</v>
      </c>
      <c r="K3186"/>
      <c r="L3186"/>
      <c r="M3186"/>
      <c r="N3186"/>
      <c r="O3186" s="62" t="str">
        <f>IF(E3186="PA",IF(K3186&lt;&gt;"",ISERROR(VLOOKUP(K3186,ABBR!A:D,1,FALSE)),ISERROR(VLOOKUP(C3186,ABBR!A:D,1,FALSE))),"")</f>
        <v/>
      </c>
      <c r="P3186" t="str">
        <f>VLOOKUP(A3186,Groups!A:L,5,FALSE)</f>
        <v>SAMP</v>
      </c>
      <c r="Q3186" s="62" t="str">
        <f>IF(G3186="PA",IF(M3186&lt;&gt;"",ISERROR(VLOOKUP(M3186,ABBR!C:F,1,FALSE)),ISERROR(VLOOKUP(E3186,ABBR!C:F,1,FALSE))),"")</f>
        <v/>
      </c>
    </row>
    <row r="3187" spans="1:17" s="62" customFormat="1" hidden="1" x14ac:dyDescent="0.25">
      <c r="A3187" s="16" t="s">
        <v>370</v>
      </c>
      <c r="B3187" s="46"/>
      <c r="C3187" s="9" t="s">
        <v>5260</v>
      </c>
      <c r="D3187" s="46" t="s">
        <v>1077</v>
      </c>
      <c r="E3187" s="46" t="s">
        <v>1391</v>
      </c>
      <c r="F3187" s="9" t="s">
        <v>1462</v>
      </c>
      <c r="G3187" s="47" t="s">
        <v>1463</v>
      </c>
      <c r="H3187" s="17">
        <v>26</v>
      </c>
      <c r="I3187" s="30" t="s">
        <v>955</v>
      </c>
      <c r="J3187" s="80">
        <v>4.0999999999999996</v>
      </c>
      <c r="K3187"/>
      <c r="L3187"/>
      <c r="M3187"/>
      <c r="N3187"/>
      <c r="O3187" s="62" t="str">
        <f>IF(E3187="PA",IF(K3187&lt;&gt;"",ISERROR(VLOOKUP(K3187,ABBR!A:D,1,FALSE)),ISERROR(VLOOKUP(C3187,ABBR!A:D,1,FALSE))),"")</f>
        <v/>
      </c>
      <c r="P3187" t="str">
        <f>VLOOKUP(A3187,Groups!A:L,5,FALSE)</f>
        <v>SAMP</v>
      </c>
      <c r="Q3187" s="62" t="str">
        <f>IF(G3187="PA",IF(M3187&lt;&gt;"",ISERROR(VLOOKUP(M3187,ABBR!C:F,1,FALSE)),ISERROR(VLOOKUP(E3187,ABBR!C:F,1,FALSE))),"")</f>
        <v/>
      </c>
    </row>
    <row r="3188" spans="1:17" s="62" customFormat="1" ht="25" hidden="1" x14ac:dyDescent="0.25">
      <c r="A3188" s="16" t="s">
        <v>370</v>
      </c>
      <c r="B3188" s="46"/>
      <c r="C3188" s="9" t="s">
        <v>5261</v>
      </c>
      <c r="D3188" s="46"/>
      <c r="E3188" s="46" t="s">
        <v>608</v>
      </c>
      <c r="F3188" s="9" t="s">
        <v>5262</v>
      </c>
      <c r="G3188" s="47" t="s">
        <v>5263</v>
      </c>
      <c r="H3188" s="17">
        <v>27</v>
      </c>
      <c r="I3188" s="30" t="s">
        <v>955</v>
      </c>
      <c r="J3188" s="80">
        <v>4.0999999999999996</v>
      </c>
      <c r="K3188"/>
      <c r="L3188"/>
      <c r="M3188"/>
      <c r="N3188"/>
      <c r="O3188" s="62" t="str">
        <f>IF(E3188="PA",IF(K3188&lt;&gt;"",ISERROR(VLOOKUP(K3188,ABBR!A:D,1,FALSE)),ISERROR(VLOOKUP(C3188,ABBR!A:D,1,FALSE))),"")</f>
        <v/>
      </c>
      <c r="P3188" t="str">
        <f>VLOOKUP(A3188,Groups!A:L,5,FALSE)</f>
        <v>SAMP</v>
      </c>
      <c r="Q3188" s="62" t="str">
        <f>IF(G3188="PA",IF(M3188&lt;&gt;"",ISERROR(VLOOKUP(M3188,ABBR!C:F,1,FALSE)),ISERROR(VLOOKUP(E3188,ABBR!C:F,1,FALSE))),"")</f>
        <v/>
      </c>
    </row>
    <row r="3189" spans="1:17" s="62" customFormat="1" hidden="1" x14ac:dyDescent="0.25">
      <c r="A3189" s="16" t="s">
        <v>370</v>
      </c>
      <c r="B3189" s="46"/>
      <c r="C3189" s="9" t="s">
        <v>5264</v>
      </c>
      <c r="D3189" s="17"/>
      <c r="E3189" s="17" t="s">
        <v>608</v>
      </c>
      <c r="F3189" s="18" t="s">
        <v>921</v>
      </c>
      <c r="G3189" s="94" t="s">
        <v>922</v>
      </c>
      <c r="H3189" s="17">
        <v>28</v>
      </c>
      <c r="I3189" s="30" t="s">
        <v>955</v>
      </c>
      <c r="J3189" s="80">
        <v>4.0999999999999996</v>
      </c>
      <c r="K3189"/>
      <c r="L3189"/>
      <c r="M3189" s="101"/>
      <c r="N3189"/>
      <c r="O3189" s="62" t="str">
        <f>IF(E3189="PA",IF(K3189&lt;&gt;"",ISERROR(VLOOKUP(K3189,ABBR!A:D,1,FALSE)),ISERROR(VLOOKUP(C3189,ABBR!A:D,1,FALSE))),"")</f>
        <v/>
      </c>
      <c r="P3189" t="str">
        <f>VLOOKUP(A3189,Groups!A:L,5,FALSE)</f>
        <v>SAMP</v>
      </c>
      <c r="Q3189" s="62" t="str">
        <f>IF(G3189="PA",IF(M3189&lt;&gt;"",ISERROR(VLOOKUP(M3189,ABBR!C:F,1,FALSE)),ISERROR(VLOOKUP(E3189,ABBR!C:F,1,FALSE))),"")</f>
        <v/>
      </c>
    </row>
    <row r="3190" spans="1:17" s="62" customFormat="1" hidden="1" x14ac:dyDescent="0.25">
      <c r="A3190" s="16" t="s">
        <v>370</v>
      </c>
      <c r="B3190" s="46"/>
      <c r="C3190" s="9" t="s">
        <v>5265</v>
      </c>
      <c r="D3190" s="46"/>
      <c r="E3190" s="46" t="s">
        <v>608</v>
      </c>
      <c r="F3190" s="9" t="s">
        <v>642</v>
      </c>
      <c r="G3190" s="49" t="s">
        <v>16</v>
      </c>
      <c r="H3190" s="17">
        <v>29</v>
      </c>
      <c r="I3190" s="30" t="s">
        <v>955</v>
      </c>
      <c r="J3190" s="80">
        <v>4.0999999999999996</v>
      </c>
      <c r="K3190"/>
      <c r="L3190"/>
      <c r="M3190" s="101"/>
      <c r="N3190"/>
      <c r="O3190" s="62" t="str">
        <f>IF(E3190="PA",IF(K3190&lt;&gt;"",ISERROR(VLOOKUP(K3190,ABBR!A:D,1,FALSE)),ISERROR(VLOOKUP(C3190,ABBR!A:D,1,FALSE))),"")</f>
        <v/>
      </c>
      <c r="P3190" t="str">
        <f>VLOOKUP(A3190,Groups!A:L,5,FALSE)</f>
        <v>SAMP</v>
      </c>
      <c r="Q3190" s="62" t="str">
        <f>IF(G3190="PA",IF(M3190&lt;&gt;"",ISERROR(VLOOKUP(M3190,ABBR!C:F,1,FALSE)),ISERROR(VLOOKUP(E3190,ABBR!C:F,1,FALSE))),"")</f>
        <v/>
      </c>
    </row>
    <row r="3191" spans="1:17" s="62" customFormat="1" hidden="1" x14ac:dyDescent="0.25">
      <c r="A3191" s="16" t="s">
        <v>370</v>
      </c>
      <c r="B3191" s="46"/>
      <c r="C3191" s="9" t="s">
        <v>5266</v>
      </c>
      <c r="D3191" s="46"/>
      <c r="E3191" s="46" t="s">
        <v>608</v>
      </c>
      <c r="F3191" s="9" t="s">
        <v>5267</v>
      </c>
      <c r="G3191" s="47" t="s">
        <v>5268</v>
      </c>
      <c r="H3191" s="17">
        <v>30</v>
      </c>
      <c r="I3191" s="30" t="s">
        <v>955</v>
      </c>
      <c r="J3191" s="80">
        <v>4.0999999999999996</v>
      </c>
      <c r="K3191"/>
      <c r="L3191"/>
      <c r="M3191"/>
      <c r="N3191"/>
      <c r="O3191" s="62" t="str">
        <f>IF(E3191="PA",IF(K3191&lt;&gt;"",ISERROR(VLOOKUP(K3191,ABBR!A:D,1,FALSE)),ISERROR(VLOOKUP(C3191,ABBR!A:D,1,FALSE))),"")</f>
        <v/>
      </c>
      <c r="P3191" t="str">
        <f>VLOOKUP(A3191,Groups!A:L,5,FALSE)</f>
        <v>SAMP</v>
      </c>
      <c r="Q3191" s="62" t="str">
        <f>IF(G3191="PA",IF(M3191&lt;&gt;"",ISERROR(VLOOKUP(M3191,ABBR!C:F,1,FALSE)),ISERROR(VLOOKUP(E3191,ABBR!C:F,1,FALSE))),"")</f>
        <v/>
      </c>
    </row>
    <row r="3192" spans="1:17" s="62" customFormat="1" ht="25" hidden="1" x14ac:dyDescent="0.25">
      <c r="A3192" s="16" t="s">
        <v>370</v>
      </c>
      <c r="B3192" s="46"/>
      <c r="C3192" s="9" t="s">
        <v>5269</v>
      </c>
      <c r="D3192" s="46"/>
      <c r="E3192" s="46" t="s">
        <v>608</v>
      </c>
      <c r="F3192" s="9" t="s">
        <v>950</v>
      </c>
      <c r="G3192" s="47" t="s">
        <v>951</v>
      </c>
      <c r="H3192" s="17">
        <v>31</v>
      </c>
      <c r="I3192" s="30" t="s">
        <v>955</v>
      </c>
      <c r="J3192" s="80">
        <v>4.0999999999999996</v>
      </c>
      <c r="K3192"/>
      <c r="L3192"/>
      <c r="M3192"/>
      <c r="N3192"/>
      <c r="O3192" s="62" t="str">
        <f>IF(E3192="PA",IF(K3192&lt;&gt;"",ISERROR(VLOOKUP(K3192,ABBR!A:D,1,FALSE)),ISERROR(VLOOKUP(C3192,ABBR!A:D,1,FALSE))),"")</f>
        <v/>
      </c>
      <c r="P3192" t="str">
        <f>VLOOKUP(A3192,Groups!A:L,5,FALSE)</f>
        <v>SAMP</v>
      </c>
      <c r="Q3192" s="62" t="str">
        <f>IF(G3192="PA",IF(M3192&lt;&gt;"",ISERROR(VLOOKUP(M3192,ABBR!C:F,1,FALSE)),ISERROR(VLOOKUP(E3192,ABBR!C:F,1,FALSE))),"")</f>
        <v/>
      </c>
    </row>
    <row r="3193" spans="1:17" s="62" customFormat="1" ht="25" hidden="1" x14ac:dyDescent="0.25">
      <c r="A3193" s="16" t="s">
        <v>370</v>
      </c>
      <c r="B3193" s="46"/>
      <c r="C3193" s="9" t="s">
        <v>5270</v>
      </c>
      <c r="D3193" s="46"/>
      <c r="E3193" s="46" t="s">
        <v>608</v>
      </c>
      <c r="F3193" s="9" t="s">
        <v>5271</v>
      </c>
      <c r="G3193" s="47" t="s">
        <v>953</v>
      </c>
      <c r="H3193" s="17">
        <v>32</v>
      </c>
      <c r="I3193" s="30" t="s">
        <v>955</v>
      </c>
      <c r="J3193" s="80">
        <v>4.0999999999999996</v>
      </c>
      <c r="K3193"/>
      <c r="L3193"/>
      <c r="M3193"/>
      <c r="N3193"/>
      <c r="O3193" s="62" t="str">
        <f>IF(E3193="PA",IF(K3193&lt;&gt;"",ISERROR(VLOOKUP(K3193,ABBR!A:D,1,FALSE)),ISERROR(VLOOKUP(C3193,ABBR!A:D,1,FALSE))),"")</f>
        <v/>
      </c>
      <c r="P3193" t="str">
        <f>VLOOKUP(A3193,Groups!A:L,5,FALSE)</f>
        <v>SAMP</v>
      </c>
      <c r="Q3193" s="62" t="str">
        <f>IF(G3193="PA",IF(M3193&lt;&gt;"",ISERROR(VLOOKUP(M3193,ABBR!C:F,1,FALSE)),ISERROR(VLOOKUP(E3193,ABBR!C:F,1,FALSE))),"")</f>
        <v/>
      </c>
    </row>
    <row r="3194" spans="1:17" s="62" customFormat="1" hidden="1" x14ac:dyDescent="0.25">
      <c r="A3194" s="16" t="s">
        <v>370</v>
      </c>
      <c r="B3194" s="46"/>
      <c r="C3194" s="9" t="s">
        <v>936</v>
      </c>
      <c r="D3194" s="46"/>
      <c r="E3194" s="46" t="s">
        <v>608</v>
      </c>
      <c r="F3194" s="9" t="s">
        <v>4325</v>
      </c>
      <c r="G3194" s="47" t="s">
        <v>5272</v>
      </c>
      <c r="H3194" s="17">
        <v>33</v>
      </c>
      <c r="I3194" s="30" t="s">
        <v>955</v>
      </c>
      <c r="J3194" s="80">
        <v>4.0999999999999996</v>
      </c>
      <c r="K3194"/>
      <c r="L3194"/>
      <c r="M3194"/>
      <c r="N3194"/>
      <c r="O3194" s="62" t="str">
        <f>IF(E3194="PA",IF(K3194&lt;&gt;"",ISERROR(VLOOKUP(K3194,ABBR!A:D,1,FALSE)),ISERROR(VLOOKUP(C3194,ABBR!A:D,1,FALSE))),"")</f>
        <v/>
      </c>
      <c r="P3194" t="str">
        <f>VLOOKUP(A3194,Groups!A:L,5,FALSE)</f>
        <v>SAMP</v>
      </c>
      <c r="Q3194" s="62" t="str">
        <f>IF(G3194="PA",IF(M3194&lt;&gt;"",ISERROR(VLOOKUP(M3194,ABBR!C:F,1,FALSE)),ISERROR(VLOOKUP(E3194,ABBR!C:F,1,FALSE))),"")</f>
        <v/>
      </c>
    </row>
    <row r="3195" spans="1:17" s="62" customFormat="1" hidden="1" x14ac:dyDescent="0.25">
      <c r="A3195" s="16" t="s">
        <v>370</v>
      </c>
      <c r="B3195" s="46"/>
      <c r="C3195" s="9" t="s">
        <v>643</v>
      </c>
      <c r="D3195" s="46"/>
      <c r="E3195" s="46" t="s">
        <v>608</v>
      </c>
      <c r="F3195" s="9" t="s">
        <v>1714</v>
      </c>
      <c r="G3195" s="47" t="s">
        <v>940</v>
      </c>
      <c r="H3195" s="17">
        <v>34</v>
      </c>
      <c r="I3195" s="30" t="s">
        <v>955</v>
      </c>
      <c r="J3195" s="80">
        <v>4.0999999999999996</v>
      </c>
      <c r="K3195"/>
      <c r="L3195"/>
      <c r="M3195"/>
      <c r="N3195"/>
      <c r="O3195" s="62" t="str">
        <f>IF(E3195="PA",IF(K3195&lt;&gt;"",ISERROR(VLOOKUP(K3195,ABBR!A:D,1,FALSE)),ISERROR(VLOOKUP(C3195,ABBR!A:D,1,FALSE))),"")</f>
        <v/>
      </c>
      <c r="P3195" t="str">
        <f>VLOOKUP(A3195,Groups!A:L,5,FALSE)</f>
        <v>SAMP</v>
      </c>
      <c r="Q3195" s="62" t="str">
        <f>IF(G3195="PA",IF(M3195&lt;&gt;"",ISERROR(VLOOKUP(M3195,ABBR!C:F,1,FALSE)),ISERROR(VLOOKUP(E3195,ABBR!C:F,1,FALSE))),"")</f>
        <v/>
      </c>
    </row>
    <row r="3196" spans="1:17" s="62" customFormat="1" hidden="1" x14ac:dyDescent="0.25">
      <c r="A3196" s="16" t="s">
        <v>370</v>
      </c>
      <c r="B3196" s="17"/>
      <c r="C3196" s="16" t="s">
        <v>5273</v>
      </c>
      <c r="D3196" s="17" t="s">
        <v>924</v>
      </c>
      <c r="E3196" s="17" t="s">
        <v>925</v>
      </c>
      <c r="F3196" s="18" t="s">
        <v>926</v>
      </c>
      <c r="G3196" s="49" t="s">
        <v>927</v>
      </c>
      <c r="H3196" s="17">
        <v>35</v>
      </c>
      <c r="I3196" s="30"/>
      <c r="J3196" s="62" t="s">
        <v>473</v>
      </c>
      <c r="O3196" s="62" t="str">
        <f>IF(E3196="PA",IF(K3196&lt;&gt;"",ISERROR(VLOOKUP(K3196,ABBR!A:D,1,FALSE)),ISERROR(VLOOKUP(C3196,ABBR!A:D,1,FALSE))),"")</f>
        <v/>
      </c>
      <c r="P3196" t="str">
        <f>VLOOKUP(A3196,Groups!A:L,5,FALSE)</f>
        <v>SAMP</v>
      </c>
      <c r="Q3196" s="62" t="str">
        <f>IF(G3196="PA",IF(M3196&lt;&gt;"",ISERROR(VLOOKUP(M3196,ABBR!C:F,1,FALSE)),ISERROR(VLOOKUP(E3196,ABBR!C:F,1,FALSE))),"")</f>
        <v/>
      </c>
    </row>
    <row r="3197" spans="1:17" s="62" customFormat="1" hidden="1" x14ac:dyDescent="0.25">
      <c r="A3197" s="16" t="s">
        <v>370</v>
      </c>
      <c r="B3197" s="17"/>
      <c r="C3197" s="16" t="s">
        <v>5274</v>
      </c>
      <c r="D3197" s="17"/>
      <c r="E3197" s="17" t="s">
        <v>608</v>
      </c>
      <c r="F3197" s="18" t="s">
        <v>875</v>
      </c>
      <c r="G3197" s="49" t="s">
        <v>876</v>
      </c>
      <c r="H3197" s="17">
        <v>36</v>
      </c>
      <c r="I3197" s="30"/>
      <c r="J3197" s="62" t="s">
        <v>473</v>
      </c>
      <c r="O3197" s="62" t="str">
        <f>IF(E3197="PA",IF(K3197&lt;&gt;"",ISERROR(VLOOKUP(K3197,ABBR!A:D,1,FALSE)),ISERROR(VLOOKUP(C3197,ABBR!A:D,1,FALSE))),"")</f>
        <v/>
      </c>
      <c r="P3197" t="str">
        <f>VLOOKUP(A3197,Groups!A:L,5,FALSE)</f>
        <v>SAMP</v>
      </c>
      <c r="Q3197" s="62" t="str">
        <f>IF(G3197="PA",IF(M3197&lt;&gt;"",ISERROR(VLOOKUP(M3197,ABBR!C:F,1,FALSE)),ISERROR(VLOOKUP(E3197,ABBR!C:F,1,FALSE))),"")</f>
        <v/>
      </c>
    </row>
    <row r="3198" spans="1:17" s="62" customFormat="1" hidden="1" x14ac:dyDescent="0.25">
      <c r="A3198" s="16" t="s">
        <v>370</v>
      </c>
      <c r="B3198" s="17"/>
      <c r="C3198" s="16" t="s">
        <v>5275</v>
      </c>
      <c r="D3198" s="17"/>
      <c r="E3198" s="17" t="s">
        <v>608</v>
      </c>
      <c r="F3198" s="18" t="s">
        <v>929</v>
      </c>
      <c r="G3198" s="49" t="s">
        <v>876</v>
      </c>
      <c r="H3198" s="17">
        <v>37</v>
      </c>
      <c r="I3198" s="30"/>
      <c r="J3198" s="62" t="s">
        <v>473</v>
      </c>
      <c r="O3198" s="62" t="str">
        <f>IF(E3198="PA",IF(K3198&lt;&gt;"",ISERROR(VLOOKUP(K3198,ABBR!A:D,1,FALSE)),ISERROR(VLOOKUP(C3198,ABBR!A:D,1,FALSE))),"")</f>
        <v/>
      </c>
      <c r="P3198" t="str">
        <f>VLOOKUP(A3198,Groups!A:L,5,FALSE)</f>
        <v>SAMP</v>
      </c>
      <c r="Q3198" s="62" t="str">
        <f>IF(G3198="PA",IF(M3198&lt;&gt;"",ISERROR(VLOOKUP(M3198,ABBR!C:F,1,FALSE)),ISERROR(VLOOKUP(E3198,ABBR!C:F,1,FALSE))),"")</f>
        <v/>
      </c>
    </row>
    <row r="3199" spans="1:17" s="62" customFormat="1" hidden="1" x14ac:dyDescent="0.25">
      <c r="A3199" s="16" t="s">
        <v>373</v>
      </c>
      <c r="B3199" s="17" t="s">
        <v>594</v>
      </c>
      <c r="C3199" s="16" t="s">
        <v>595</v>
      </c>
      <c r="D3199" s="17"/>
      <c r="E3199" s="17" t="s">
        <v>596</v>
      </c>
      <c r="F3199" s="18" t="s">
        <v>597</v>
      </c>
      <c r="G3199" s="49" t="s">
        <v>5111</v>
      </c>
      <c r="H3199" s="17">
        <v>1</v>
      </c>
      <c r="I3199" s="30" t="s">
        <v>955</v>
      </c>
      <c r="J3199" s="80">
        <v>4.0999999999999996</v>
      </c>
      <c r="K3199"/>
      <c r="L3199"/>
      <c r="M3199"/>
      <c r="N3199"/>
      <c r="O3199" s="62" t="str">
        <f>IF(E3199="PA",IF(K3199&lt;&gt;"",ISERROR(VLOOKUP(K3199,ABBR!A:D,1,FALSE)),ISERROR(VLOOKUP(C3199,ABBR!A:D,1,FALSE))),"")</f>
        <v/>
      </c>
      <c r="P3199" t="str">
        <f>VLOOKUP(A3199,Groups!A:L,5,FALSE)</f>
        <v>RESD</v>
      </c>
      <c r="Q3199" s="62" t="str">
        <f>IF(G3199="PA",IF(M3199&lt;&gt;"",ISERROR(VLOOKUP(M3199,ABBR!C:F,1,FALSE)),ISERROR(VLOOKUP(E3199,ABBR!C:F,1,FALSE))),"")</f>
        <v/>
      </c>
    </row>
    <row r="3200" spans="1:17" s="62" customFormat="1" hidden="1" x14ac:dyDescent="0.25">
      <c r="A3200" s="16" t="s">
        <v>373</v>
      </c>
      <c r="B3200" s="17" t="s">
        <v>594</v>
      </c>
      <c r="C3200" s="16" t="s">
        <v>851</v>
      </c>
      <c r="D3200" s="17" t="s">
        <v>600</v>
      </c>
      <c r="E3200" s="17" t="s">
        <v>601</v>
      </c>
      <c r="F3200" s="18" t="s">
        <v>852</v>
      </c>
      <c r="G3200" s="49" t="s">
        <v>910</v>
      </c>
      <c r="H3200" s="17">
        <v>2</v>
      </c>
      <c r="I3200" s="30" t="s">
        <v>955</v>
      </c>
      <c r="J3200" s="80">
        <v>4.0999999999999996</v>
      </c>
      <c r="K3200"/>
      <c r="L3200"/>
      <c r="M3200"/>
      <c r="N3200"/>
      <c r="O3200" s="62" t="str">
        <f>IF(E3200="PA",IF(K3200&lt;&gt;"",ISERROR(VLOOKUP(K3200,ABBR!A:D,1,FALSE)),ISERROR(VLOOKUP(C3200,ABBR!A:D,1,FALSE))),"")</f>
        <v/>
      </c>
      <c r="P3200" t="str">
        <f>VLOOKUP(A3200,Groups!A:L,5,FALSE)</f>
        <v>RESD</v>
      </c>
      <c r="Q3200" s="62" t="str">
        <f>IF(G3200="PA",IF(M3200&lt;&gt;"",ISERROR(VLOOKUP(M3200,ABBR!C:F,1,FALSE)),ISERROR(VLOOKUP(E3200,ABBR!C:F,1,FALSE))),"")</f>
        <v/>
      </c>
    </row>
    <row r="3201" spans="1:17" s="62" customFormat="1" hidden="1" x14ac:dyDescent="0.25">
      <c r="A3201" s="16" t="s">
        <v>373</v>
      </c>
      <c r="B3201" s="17" t="s">
        <v>594</v>
      </c>
      <c r="C3201" s="16" t="s">
        <v>854</v>
      </c>
      <c r="D3201" s="17"/>
      <c r="E3201" s="17" t="s">
        <v>608</v>
      </c>
      <c r="F3201" s="18" t="s">
        <v>855</v>
      </c>
      <c r="G3201" s="49" t="s">
        <v>5113</v>
      </c>
      <c r="H3201" s="17">
        <v>3</v>
      </c>
      <c r="I3201" s="30" t="s">
        <v>955</v>
      </c>
      <c r="J3201" s="80">
        <v>4.0999999999999996</v>
      </c>
      <c r="K3201"/>
      <c r="L3201"/>
      <c r="M3201"/>
      <c r="N3201"/>
      <c r="O3201" s="62" t="str">
        <f>IF(E3201="PA",IF(K3201&lt;&gt;"",ISERROR(VLOOKUP(K3201,ABBR!A:D,1,FALSE)),ISERROR(VLOOKUP(C3201,ABBR!A:D,1,FALSE))),"")</f>
        <v/>
      </c>
      <c r="P3201" t="str">
        <f>VLOOKUP(A3201,Groups!A:L,5,FALSE)</f>
        <v>RESD</v>
      </c>
      <c r="Q3201" s="62" t="str">
        <f>IF(G3201="PA",IF(M3201&lt;&gt;"",ISERROR(VLOOKUP(M3201,ABBR!C:F,1,FALSE)),ISERROR(VLOOKUP(E3201,ABBR!C:F,1,FALSE))),"")</f>
        <v/>
      </c>
    </row>
    <row r="3202" spans="1:17" hidden="1" x14ac:dyDescent="0.25">
      <c r="A3202" s="16" t="s">
        <v>373</v>
      </c>
      <c r="B3202" s="17" t="s">
        <v>594</v>
      </c>
      <c r="C3202" s="16" t="s">
        <v>857</v>
      </c>
      <c r="D3202" s="17"/>
      <c r="E3202" s="17" t="s">
        <v>618</v>
      </c>
      <c r="F3202" s="18" t="s">
        <v>858</v>
      </c>
      <c r="G3202" s="49" t="s">
        <v>859</v>
      </c>
      <c r="H3202" s="17">
        <v>4</v>
      </c>
      <c r="I3202" s="30" t="s">
        <v>955</v>
      </c>
      <c r="J3202" s="80">
        <v>4.0999999999999996</v>
      </c>
      <c r="O3202" s="62" t="b">
        <f>IF(E3202="PA",IF(K3202&lt;&gt;"",ISERROR(VLOOKUP(K3202,ABBR!A:D,1,FALSE)),ISERROR(VLOOKUP(C3202,ABBR!A:D,1,FALSE))),"")</f>
        <v>0</v>
      </c>
      <c r="P3202" t="str">
        <f>VLOOKUP(A3202,Groups!A:L,5,FALSE)</f>
        <v>RESD</v>
      </c>
      <c r="Q3202" s="62" t="str">
        <f>IF(G3202="PA",IF(M3202&lt;&gt;"",ISERROR(VLOOKUP(M3202,ABBR!C:F,1,FALSE)),ISERROR(VLOOKUP(E3202,ABBR!C:F,1,FALSE))),"")</f>
        <v/>
      </c>
    </row>
    <row r="3203" spans="1:17" s="62" customFormat="1" hidden="1" x14ac:dyDescent="0.25">
      <c r="A3203" s="16" t="s">
        <v>373</v>
      </c>
      <c r="B3203" s="17" t="s">
        <v>594</v>
      </c>
      <c r="C3203" s="16" t="s">
        <v>860</v>
      </c>
      <c r="D3203" s="17"/>
      <c r="E3203" s="17" t="s">
        <v>596</v>
      </c>
      <c r="F3203" s="18" t="s">
        <v>942</v>
      </c>
      <c r="G3203" s="49" t="s">
        <v>5114</v>
      </c>
      <c r="H3203" s="17">
        <v>5</v>
      </c>
      <c r="I3203" s="30" t="s">
        <v>955</v>
      </c>
      <c r="J3203" s="80">
        <v>4.0999999999999996</v>
      </c>
      <c r="K3203"/>
      <c r="L3203"/>
      <c r="M3203"/>
      <c r="N3203"/>
      <c r="O3203" s="62" t="str">
        <f>IF(E3203="PA",IF(K3203&lt;&gt;"",ISERROR(VLOOKUP(K3203,ABBR!A:D,1,FALSE)),ISERROR(VLOOKUP(C3203,ABBR!A:D,1,FALSE))),"")</f>
        <v/>
      </c>
      <c r="P3203" t="str">
        <f>VLOOKUP(A3203,Groups!A:L,5,FALSE)</f>
        <v>RESD</v>
      </c>
      <c r="Q3203" s="62" t="str">
        <f>IF(G3203="PA",IF(M3203&lt;&gt;"",ISERROR(VLOOKUP(M3203,ABBR!C:F,1,FALSE)),ISERROR(VLOOKUP(E3203,ABBR!C:F,1,FALSE))),"")</f>
        <v/>
      </c>
    </row>
    <row r="3204" spans="1:17" s="62" customFormat="1" hidden="1" x14ac:dyDescent="0.25">
      <c r="A3204" s="16" t="s">
        <v>373</v>
      </c>
      <c r="B3204" s="17" t="s">
        <v>594</v>
      </c>
      <c r="C3204" s="16" t="s">
        <v>863</v>
      </c>
      <c r="D3204" s="17"/>
      <c r="E3204" s="17" t="s">
        <v>608</v>
      </c>
      <c r="F3204" s="18" t="s">
        <v>864</v>
      </c>
      <c r="G3204" s="49" t="s">
        <v>5115</v>
      </c>
      <c r="H3204" s="17">
        <v>6</v>
      </c>
      <c r="I3204" s="30" t="s">
        <v>955</v>
      </c>
      <c r="J3204" s="80">
        <v>4.0999999999999996</v>
      </c>
      <c r="K3204"/>
      <c r="L3204"/>
      <c r="M3204"/>
      <c r="N3204"/>
      <c r="O3204" s="62" t="str">
        <f>IF(E3204="PA",IF(K3204&lt;&gt;"",ISERROR(VLOOKUP(K3204,ABBR!A:D,1,FALSE)),ISERROR(VLOOKUP(C3204,ABBR!A:D,1,FALSE))),"")</f>
        <v/>
      </c>
      <c r="P3204" t="str">
        <f>VLOOKUP(A3204,Groups!A:L,5,FALSE)</f>
        <v>RESD</v>
      </c>
      <c r="Q3204" s="62" t="str">
        <f>IF(G3204="PA",IF(M3204&lt;&gt;"",ISERROR(VLOOKUP(M3204,ABBR!C:F,1,FALSE)),ISERROR(VLOOKUP(E3204,ABBR!C:F,1,FALSE))),"")</f>
        <v/>
      </c>
    </row>
    <row r="3205" spans="1:17" s="62" customFormat="1" hidden="1" x14ac:dyDescent="0.25">
      <c r="A3205" s="16" t="s">
        <v>373</v>
      </c>
      <c r="B3205" s="17" t="s">
        <v>594</v>
      </c>
      <c r="C3205" s="16" t="s">
        <v>866</v>
      </c>
      <c r="D3205" s="17" t="s">
        <v>600</v>
      </c>
      <c r="E3205" s="17" t="s">
        <v>601</v>
      </c>
      <c r="F3205" s="18" t="s">
        <v>867</v>
      </c>
      <c r="G3205" s="49" t="s">
        <v>2112</v>
      </c>
      <c r="H3205" s="17">
        <v>7</v>
      </c>
      <c r="I3205" s="30" t="s">
        <v>955</v>
      </c>
      <c r="J3205" s="80">
        <v>4.0999999999999996</v>
      </c>
      <c r="K3205"/>
      <c r="L3205"/>
      <c r="M3205"/>
      <c r="N3205"/>
      <c r="O3205" s="62" t="str">
        <f>IF(E3205="PA",IF(K3205&lt;&gt;"",ISERROR(VLOOKUP(K3205,ABBR!A:D,1,FALSE)),ISERROR(VLOOKUP(C3205,ABBR!A:D,1,FALSE))),"")</f>
        <v/>
      </c>
      <c r="P3205" t="str">
        <f>VLOOKUP(A3205,Groups!A:L,5,FALSE)</f>
        <v>RESD</v>
      </c>
      <c r="Q3205" s="62" t="str">
        <f>IF(G3205="PA",IF(M3205&lt;&gt;"",ISERROR(VLOOKUP(M3205,ABBR!C:F,1,FALSE)),ISERROR(VLOOKUP(E3205,ABBR!C:F,1,FALSE))),"")</f>
        <v/>
      </c>
    </row>
    <row r="3206" spans="1:17" s="62" customFormat="1" hidden="1" x14ac:dyDescent="0.25">
      <c r="A3206" s="16" t="s">
        <v>373</v>
      </c>
      <c r="B3206" s="17" t="s">
        <v>594</v>
      </c>
      <c r="C3206" s="16" t="s">
        <v>5175</v>
      </c>
      <c r="D3206" s="46"/>
      <c r="E3206" s="46" t="s">
        <v>608</v>
      </c>
      <c r="F3206" s="9" t="s">
        <v>1617</v>
      </c>
      <c r="G3206" s="47">
        <v>2</v>
      </c>
      <c r="H3206" s="17">
        <v>8</v>
      </c>
      <c r="I3206" s="30" t="s">
        <v>955</v>
      </c>
      <c r="J3206" s="80">
        <v>4.0999999999999996</v>
      </c>
      <c r="K3206"/>
      <c r="L3206"/>
      <c r="M3206"/>
      <c r="N3206"/>
      <c r="O3206" s="62" t="str">
        <f>IF(E3206="PA",IF(K3206&lt;&gt;"",ISERROR(VLOOKUP(K3206,ABBR!A:D,1,FALSE)),ISERROR(VLOOKUP(C3206,ABBR!A:D,1,FALSE))),"")</f>
        <v/>
      </c>
      <c r="P3206" t="str">
        <f>VLOOKUP(A3206,Groups!A:L,5,FALSE)</f>
        <v>RESD</v>
      </c>
      <c r="Q3206" s="62" t="str">
        <f>IF(G3206="PA",IF(M3206&lt;&gt;"",ISERROR(VLOOKUP(M3206,ABBR!C:F,1,FALSE)),ISERROR(VLOOKUP(E3206,ABBR!C:F,1,FALSE))),"")</f>
        <v/>
      </c>
    </row>
    <row r="3207" spans="1:17" s="62" customFormat="1" hidden="1" x14ac:dyDescent="0.25">
      <c r="A3207" s="16" t="s">
        <v>373</v>
      </c>
      <c r="B3207" s="17" t="s">
        <v>594</v>
      </c>
      <c r="C3207" s="9" t="s">
        <v>5176</v>
      </c>
      <c r="D3207" s="46"/>
      <c r="E3207" s="46" t="s">
        <v>608</v>
      </c>
      <c r="F3207" s="9" t="s">
        <v>5177</v>
      </c>
      <c r="G3207" s="47">
        <v>3</v>
      </c>
      <c r="H3207" s="17">
        <v>9</v>
      </c>
      <c r="I3207" s="30" t="s">
        <v>955</v>
      </c>
      <c r="J3207" s="80">
        <v>4.0999999999999996</v>
      </c>
      <c r="K3207"/>
      <c r="L3207"/>
      <c r="M3207"/>
      <c r="N3207"/>
      <c r="O3207" s="62" t="str">
        <f>IF(E3207="PA",IF(K3207&lt;&gt;"",ISERROR(VLOOKUP(K3207,ABBR!A:D,1,FALSE)),ISERROR(VLOOKUP(C3207,ABBR!A:D,1,FALSE))),"")</f>
        <v/>
      </c>
      <c r="P3207" t="str">
        <f>VLOOKUP(A3207,Groups!A:L,5,FALSE)</f>
        <v>RESD</v>
      </c>
      <c r="Q3207" s="62" t="str">
        <f>IF(G3207="PA",IF(M3207&lt;&gt;"",ISERROR(VLOOKUP(M3207,ABBR!C:F,1,FALSE)),ISERROR(VLOOKUP(E3207,ABBR!C:F,1,FALSE))),"")</f>
        <v/>
      </c>
    </row>
    <row r="3208" spans="1:17" s="62" customFormat="1" hidden="1" x14ac:dyDescent="0.25">
      <c r="A3208" s="16" t="s">
        <v>373</v>
      </c>
      <c r="B3208" s="46"/>
      <c r="C3208" s="9" t="s">
        <v>5276</v>
      </c>
      <c r="D3208" s="46"/>
      <c r="E3208" s="46" t="s">
        <v>608</v>
      </c>
      <c r="F3208" s="9" t="s">
        <v>5277</v>
      </c>
      <c r="G3208" s="47" t="s">
        <v>5278</v>
      </c>
      <c r="H3208" s="17">
        <v>10</v>
      </c>
      <c r="I3208" s="30" t="s">
        <v>955</v>
      </c>
      <c r="J3208" s="80">
        <v>4.0999999999999996</v>
      </c>
      <c r="K3208"/>
      <c r="L3208"/>
      <c r="M3208"/>
      <c r="N3208"/>
      <c r="O3208" s="62" t="str">
        <f>IF(E3208="PA",IF(K3208&lt;&gt;"",ISERROR(VLOOKUP(K3208,ABBR!A:D,1,FALSE)),ISERROR(VLOOKUP(C3208,ABBR!A:D,1,FALSE))),"")</f>
        <v/>
      </c>
      <c r="P3208" t="str">
        <f>VLOOKUP(A3208,Groups!A:L,5,FALSE)</f>
        <v>RESD</v>
      </c>
      <c r="Q3208" s="62" t="str">
        <f>IF(G3208="PA",IF(M3208&lt;&gt;"",ISERROR(VLOOKUP(M3208,ABBR!C:F,1,FALSE)),ISERROR(VLOOKUP(E3208,ABBR!C:F,1,FALSE))),"")</f>
        <v/>
      </c>
    </row>
    <row r="3209" spans="1:17" s="62" customFormat="1" hidden="1" x14ac:dyDescent="0.25">
      <c r="A3209" s="16" t="s">
        <v>373</v>
      </c>
      <c r="B3209" s="46"/>
      <c r="C3209" s="9" t="s">
        <v>5279</v>
      </c>
      <c r="D3209" s="46"/>
      <c r="E3209" s="46" t="s">
        <v>767</v>
      </c>
      <c r="F3209" s="9" t="s">
        <v>5280</v>
      </c>
      <c r="G3209" s="47">
        <v>3</v>
      </c>
      <c r="H3209" s="17">
        <v>11</v>
      </c>
      <c r="I3209" s="30" t="s">
        <v>955</v>
      </c>
      <c r="J3209" s="80">
        <v>4.0999999999999996</v>
      </c>
      <c r="K3209"/>
      <c r="L3209"/>
      <c r="M3209"/>
      <c r="N3209"/>
      <c r="O3209" s="62" t="str">
        <f>IF(E3209="PA",IF(K3209&lt;&gt;"",ISERROR(VLOOKUP(K3209,ABBR!A:D,1,FALSE)),ISERROR(VLOOKUP(C3209,ABBR!A:D,1,FALSE))),"")</f>
        <v/>
      </c>
      <c r="P3209" t="str">
        <f>VLOOKUP(A3209,Groups!A:L,5,FALSE)</f>
        <v>RESD</v>
      </c>
      <c r="Q3209" s="62" t="str">
        <f>IF(G3209="PA",IF(M3209&lt;&gt;"",ISERROR(VLOOKUP(M3209,ABBR!C:F,1,FALSE)),ISERROR(VLOOKUP(E3209,ABBR!C:F,1,FALSE))),"")</f>
        <v/>
      </c>
    </row>
    <row r="3210" spans="1:17" s="62" customFormat="1" hidden="1" x14ac:dyDescent="0.25">
      <c r="A3210" s="16" t="s">
        <v>373</v>
      </c>
      <c r="B3210" s="46"/>
      <c r="C3210" s="9" t="s">
        <v>5281</v>
      </c>
      <c r="D3210" s="46" t="s">
        <v>1345</v>
      </c>
      <c r="E3210" s="46" t="s">
        <v>723</v>
      </c>
      <c r="F3210" s="9" t="s">
        <v>5282</v>
      </c>
      <c r="G3210" s="47">
        <v>600.5</v>
      </c>
      <c r="H3210" s="17">
        <v>12</v>
      </c>
      <c r="I3210" s="30" t="s">
        <v>955</v>
      </c>
      <c r="J3210" s="80">
        <v>4.0999999999999996</v>
      </c>
      <c r="K3210"/>
      <c r="L3210"/>
      <c r="M3210"/>
      <c r="N3210"/>
      <c r="O3210" s="62" t="str">
        <f>IF(E3210="PA",IF(K3210&lt;&gt;"",ISERROR(VLOOKUP(K3210,ABBR!A:D,1,FALSE)),ISERROR(VLOOKUP(C3210,ABBR!A:D,1,FALSE))),"")</f>
        <v/>
      </c>
      <c r="P3210" t="str">
        <f>VLOOKUP(A3210,Groups!A:L,5,FALSE)</f>
        <v>RESD</v>
      </c>
      <c r="Q3210" s="62" t="str">
        <f>IF(G3210="PA",IF(M3210&lt;&gt;"",ISERROR(VLOOKUP(M3210,ABBR!C:F,1,FALSE)),ISERROR(VLOOKUP(E3210,ABBR!C:F,1,FALSE))),"")</f>
        <v/>
      </c>
    </row>
    <row r="3211" spans="1:17" s="62" customFormat="1" hidden="1" x14ac:dyDescent="0.25">
      <c r="A3211" s="16" t="s">
        <v>373</v>
      </c>
      <c r="B3211" s="46"/>
      <c r="C3211" s="9" t="s">
        <v>5283</v>
      </c>
      <c r="D3211" s="46" t="s">
        <v>1345</v>
      </c>
      <c r="E3211" s="46" t="s">
        <v>723</v>
      </c>
      <c r="F3211" s="9" t="s">
        <v>5284</v>
      </c>
      <c r="G3211" s="47">
        <v>530.5</v>
      </c>
      <c r="H3211" s="17">
        <v>13</v>
      </c>
      <c r="I3211" s="30" t="s">
        <v>955</v>
      </c>
      <c r="J3211" s="80">
        <v>4.0999999999999996</v>
      </c>
      <c r="K3211"/>
      <c r="L3211"/>
      <c r="M3211"/>
      <c r="N3211"/>
      <c r="O3211" s="62" t="str">
        <f>IF(E3211="PA",IF(K3211&lt;&gt;"",ISERROR(VLOOKUP(K3211,ABBR!A:D,1,FALSE)),ISERROR(VLOOKUP(C3211,ABBR!A:D,1,FALSE))),"")</f>
        <v/>
      </c>
      <c r="P3211" t="str">
        <f>VLOOKUP(A3211,Groups!A:L,5,FALSE)</f>
        <v>RESD</v>
      </c>
      <c r="Q3211" s="62" t="str">
        <f>IF(G3211="PA",IF(M3211&lt;&gt;"",ISERROR(VLOOKUP(M3211,ABBR!C:F,1,FALSE)),ISERROR(VLOOKUP(E3211,ABBR!C:F,1,FALSE))),"")</f>
        <v/>
      </c>
    </row>
    <row r="3212" spans="1:17" s="62" customFormat="1" hidden="1" x14ac:dyDescent="0.25">
      <c r="A3212" s="16" t="s">
        <v>373</v>
      </c>
      <c r="B3212" s="46"/>
      <c r="C3212" s="9" t="s">
        <v>5285</v>
      </c>
      <c r="D3212" s="46" t="s">
        <v>1345</v>
      </c>
      <c r="E3212" s="46" t="s">
        <v>723</v>
      </c>
      <c r="F3212" s="9" t="s">
        <v>5286</v>
      </c>
      <c r="G3212" s="47">
        <v>40.4</v>
      </c>
      <c r="H3212" s="17">
        <v>14</v>
      </c>
      <c r="I3212" s="30" t="s">
        <v>955</v>
      </c>
      <c r="J3212" s="80">
        <v>4.0999999999999996</v>
      </c>
      <c r="K3212"/>
      <c r="L3212"/>
      <c r="M3212"/>
      <c r="N3212"/>
      <c r="O3212" s="62" t="str">
        <f>IF(E3212="PA",IF(K3212&lt;&gt;"",ISERROR(VLOOKUP(K3212,ABBR!A:D,1,FALSE)),ISERROR(VLOOKUP(C3212,ABBR!A:D,1,FALSE))),"")</f>
        <v/>
      </c>
      <c r="P3212" t="str">
        <f>VLOOKUP(A3212,Groups!A:L,5,FALSE)</f>
        <v>RESD</v>
      </c>
      <c r="Q3212" s="62" t="str">
        <f>IF(G3212="PA",IF(M3212&lt;&gt;"",ISERROR(VLOOKUP(M3212,ABBR!C:F,1,FALSE)),ISERROR(VLOOKUP(E3212,ABBR!C:F,1,FALSE))),"")</f>
        <v/>
      </c>
    </row>
    <row r="3213" spans="1:17" s="62" customFormat="1" hidden="1" x14ac:dyDescent="0.25">
      <c r="A3213" s="16" t="s">
        <v>373</v>
      </c>
      <c r="B3213" s="46"/>
      <c r="C3213" s="9" t="s">
        <v>5287</v>
      </c>
      <c r="D3213" s="46" t="s">
        <v>1345</v>
      </c>
      <c r="E3213" s="46" t="s">
        <v>723</v>
      </c>
      <c r="F3213" s="9" t="s">
        <v>5288</v>
      </c>
      <c r="G3213" s="47">
        <v>32.299999999999997</v>
      </c>
      <c r="H3213" s="17">
        <v>15</v>
      </c>
      <c r="I3213" s="30" t="s">
        <v>955</v>
      </c>
      <c r="J3213" s="80">
        <v>4.0999999999999996</v>
      </c>
      <c r="K3213"/>
      <c r="L3213"/>
      <c r="M3213"/>
      <c r="N3213"/>
      <c r="O3213" s="62" t="str">
        <f>IF(E3213="PA",IF(K3213&lt;&gt;"",ISERROR(VLOOKUP(K3213,ABBR!A:D,1,FALSE)),ISERROR(VLOOKUP(C3213,ABBR!A:D,1,FALSE))),"")</f>
        <v/>
      </c>
      <c r="P3213" t="str">
        <f>VLOOKUP(A3213,Groups!A:L,5,FALSE)</f>
        <v>RESD</v>
      </c>
      <c r="Q3213" s="62" t="str">
        <f>IF(G3213="PA",IF(M3213&lt;&gt;"",ISERROR(VLOOKUP(M3213,ABBR!C:F,1,FALSE)),ISERROR(VLOOKUP(E3213,ABBR!C:F,1,FALSE))),"")</f>
        <v/>
      </c>
    </row>
    <row r="3214" spans="1:17" s="62" customFormat="1" ht="25" hidden="1" x14ac:dyDescent="0.25">
      <c r="A3214" s="16" t="s">
        <v>373</v>
      </c>
      <c r="B3214" s="46"/>
      <c r="C3214" s="9" t="s">
        <v>5289</v>
      </c>
      <c r="D3214" s="46" t="s">
        <v>1345</v>
      </c>
      <c r="E3214" s="46" t="s">
        <v>723</v>
      </c>
      <c r="F3214" s="9" t="s">
        <v>5290</v>
      </c>
      <c r="G3214" s="47">
        <v>-8.5</v>
      </c>
      <c r="H3214" s="17">
        <v>16</v>
      </c>
      <c r="I3214" s="30" t="s">
        <v>955</v>
      </c>
      <c r="J3214" s="80">
        <v>4.0999999999999996</v>
      </c>
      <c r="K3214"/>
      <c r="L3214"/>
      <c r="M3214"/>
      <c r="N3214"/>
      <c r="O3214" s="62" t="str">
        <f>IF(E3214="PA",IF(K3214&lt;&gt;"",ISERROR(VLOOKUP(K3214,ABBR!A:D,1,FALSE)),ISERROR(VLOOKUP(C3214,ABBR!A:D,1,FALSE))),"")</f>
        <v/>
      </c>
      <c r="P3214" t="str">
        <f>VLOOKUP(A3214,Groups!A:L,5,FALSE)</f>
        <v>RESD</v>
      </c>
      <c r="Q3214" s="62" t="str">
        <f>IF(G3214="PA",IF(M3214&lt;&gt;"",ISERROR(VLOOKUP(M3214,ABBR!C:F,1,FALSE)),ISERROR(VLOOKUP(E3214,ABBR!C:F,1,FALSE))),"")</f>
        <v/>
      </c>
    </row>
    <row r="3215" spans="1:17" s="62" customFormat="1" ht="25" hidden="1" x14ac:dyDescent="0.25">
      <c r="A3215" s="16" t="s">
        <v>373</v>
      </c>
      <c r="B3215" s="46"/>
      <c r="C3215" s="9" t="s">
        <v>5291</v>
      </c>
      <c r="D3215" s="46" t="s">
        <v>766</v>
      </c>
      <c r="E3215" s="46" t="s">
        <v>1321</v>
      </c>
      <c r="F3215" s="9" t="s">
        <v>5292</v>
      </c>
      <c r="G3215" s="47">
        <v>3.081</v>
      </c>
      <c r="H3215" s="17">
        <v>17</v>
      </c>
      <c r="I3215" s="30" t="s">
        <v>955</v>
      </c>
      <c r="J3215" s="80">
        <v>4.0999999999999996</v>
      </c>
      <c r="K3215"/>
      <c r="L3215"/>
      <c r="M3215"/>
      <c r="N3215"/>
      <c r="O3215" s="62" t="str">
        <f>IF(E3215="PA",IF(K3215&lt;&gt;"",ISERROR(VLOOKUP(K3215,ABBR!A:D,1,FALSE)),ISERROR(VLOOKUP(C3215,ABBR!A:D,1,FALSE))),"")</f>
        <v/>
      </c>
      <c r="P3215" t="str">
        <f>VLOOKUP(A3215,Groups!A:L,5,FALSE)</f>
        <v>RESD</v>
      </c>
      <c r="Q3215" s="62" t="str">
        <f>IF(G3215="PA",IF(M3215&lt;&gt;"",ISERROR(VLOOKUP(M3215,ABBR!C:F,1,FALSE)),ISERROR(VLOOKUP(E3215,ABBR!C:F,1,FALSE))),"")</f>
        <v/>
      </c>
    </row>
    <row r="3216" spans="1:17" s="62" customFormat="1" hidden="1" x14ac:dyDescent="0.25">
      <c r="A3216" s="16" t="s">
        <v>373</v>
      </c>
      <c r="B3216" s="46"/>
      <c r="C3216" s="9" t="s">
        <v>5293</v>
      </c>
      <c r="D3216" s="46" t="s">
        <v>766</v>
      </c>
      <c r="E3216" s="46" t="s">
        <v>1321</v>
      </c>
      <c r="F3216" s="9" t="s">
        <v>5294</v>
      </c>
      <c r="G3216" s="47">
        <v>9.2119999999999997</v>
      </c>
      <c r="H3216" s="17">
        <v>18</v>
      </c>
      <c r="I3216" s="30" t="s">
        <v>955</v>
      </c>
      <c r="J3216" s="80">
        <v>4.0999999999999996</v>
      </c>
      <c r="K3216"/>
      <c r="L3216"/>
      <c r="M3216"/>
      <c r="N3216"/>
      <c r="O3216" s="62" t="str">
        <f>IF(E3216="PA",IF(K3216&lt;&gt;"",ISERROR(VLOOKUP(K3216,ABBR!A:D,1,FALSE)),ISERROR(VLOOKUP(C3216,ABBR!A:D,1,FALSE))),"")</f>
        <v/>
      </c>
      <c r="P3216" t="str">
        <f>VLOOKUP(A3216,Groups!A:L,5,FALSE)</f>
        <v>RESD</v>
      </c>
      <c r="Q3216" s="62" t="str">
        <f>IF(G3216="PA",IF(M3216&lt;&gt;"",ISERROR(VLOOKUP(M3216,ABBR!C:F,1,FALSE)),ISERROR(VLOOKUP(E3216,ABBR!C:F,1,FALSE))),"")</f>
        <v/>
      </c>
    </row>
    <row r="3217" spans="1:17" s="62" customFormat="1" hidden="1" x14ac:dyDescent="0.25">
      <c r="A3217" s="16" t="s">
        <v>373</v>
      </c>
      <c r="B3217" s="46"/>
      <c r="C3217" s="16" t="s">
        <v>5295</v>
      </c>
      <c r="D3217" s="46" t="s">
        <v>1710</v>
      </c>
      <c r="E3217" s="46" t="s">
        <v>601</v>
      </c>
      <c r="F3217" s="9" t="s">
        <v>5296</v>
      </c>
      <c r="G3217" s="47">
        <v>29.31</v>
      </c>
      <c r="H3217" s="17">
        <v>19</v>
      </c>
      <c r="I3217" s="30" t="s">
        <v>955</v>
      </c>
      <c r="J3217" s="80">
        <v>4.0999999999999996</v>
      </c>
      <c r="K3217"/>
      <c r="L3217"/>
      <c r="M3217"/>
      <c r="N3217"/>
      <c r="O3217" s="62" t="str">
        <f>IF(E3217="PA",IF(K3217&lt;&gt;"",ISERROR(VLOOKUP(K3217,ABBR!A:D,1,FALSE)),ISERROR(VLOOKUP(C3217,ABBR!A:D,1,FALSE))),"")</f>
        <v/>
      </c>
      <c r="P3217" t="str">
        <f>VLOOKUP(A3217,Groups!A:L,5,FALSE)</f>
        <v>RESD</v>
      </c>
      <c r="Q3217" s="62" t="str">
        <f>IF(G3217="PA",IF(M3217&lt;&gt;"",ISERROR(VLOOKUP(M3217,ABBR!C:F,1,FALSE)),ISERROR(VLOOKUP(E3217,ABBR!C:F,1,FALSE))),"")</f>
        <v/>
      </c>
    </row>
    <row r="3218" spans="1:17" s="62" customFormat="1" hidden="1" x14ac:dyDescent="0.25">
      <c r="A3218" s="16" t="s">
        <v>373</v>
      </c>
      <c r="B3218" s="46"/>
      <c r="C3218" s="16" t="s">
        <v>5297</v>
      </c>
      <c r="D3218" s="46" t="s">
        <v>1345</v>
      </c>
      <c r="E3218" s="46" t="s">
        <v>723</v>
      </c>
      <c r="F3218" s="9" t="s">
        <v>5211</v>
      </c>
      <c r="G3218" s="47">
        <v>200.1</v>
      </c>
      <c r="H3218" s="17">
        <v>20</v>
      </c>
      <c r="I3218" s="30" t="s">
        <v>955</v>
      </c>
      <c r="J3218" s="80">
        <v>4.0999999999999996</v>
      </c>
      <c r="K3218"/>
      <c r="L3218"/>
      <c r="M3218"/>
      <c r="N3218"/>
      <c r="O3218" s="62" t="str">
        <f>IF(E3218="PA",IF(K3218&lt;&gt;"",ISERROR(VLOOKUP(K3218,ABBR!A:D,1,FALSE)),ISERROR(VLOOKUP(C3218,ABBR!A:D,1,FALSE))),"")</f>
        <v/>
      </c>
      <c r="P3218" t="str">
        <f>VLOOKUP(A3218,Groups!A:L,5,FALSE)</f>
        <v>RESD</v>
      </c>
      <c r="Q3218" s="62" t="str">
        <f>IF(G3218="PA",IF(M3218&lt;&gt;"",ISERROR(VLOOKUP(M3218,ABBR!C:F,1,FALSE)),ISERROR(VLOOKUP(E3218,ABBR!C:F,1,FALSE))),"")</f>
        <v/>
      </c>
    </row>
    <row r="3219" spans="1:17" s="62" customFormat="1" hidden="1" x14ac:dyDescent="0.25">
      <c r="A3219" s="16" t="s">
        <v>373</v>
      </c>
      <c r="B3219" s="46"/>
      <c r="C3219" s="16" t="s">
        <v>5298</v>
      </c>
      <c r="D3219" s="46" t="s">
        <v>766</v>
      </c>
      <c r="E3219" s="46" t="s">
        <v>1699</v>
      </c>
      <c r="F3219" s="9" t="s">
        <v>5299</v>
      </c>
      <c r="G3219" s="47">
        <v>1.3581000000000001</v>
      </c>
      <c r="H3219" s="17">
        <v>21</v>
      </c>
      <c r="I3219" s="30" t="s">
        <v>955</v>
      </c>
      <c r="J3219" s="80">
        <v>4.0999999999999996</v>
      </c>
      <c r="K3219"/>
      <c r="L3219"/>
      <c r="M3219"/>
      <c r="N3219"/>
      <c r="O3219" s="62" t="str">
        <f>IF(E3219="PA",IF(K3219&lt;&gt;"",ISERROR(VLOOKUP(K3219,ABBR!A:D,1,FALSE)),ISERROR(VLOOKUP(C3219,ABBR!A:D,1,FALSE))),"")</f>
        <v/>
      </c>
      <c r="P3219" t="str">
        <f>VLOOKUP(A3219,Groups!A:L,5,FALSE)</f>
        <v>RESD</v>
      </c>
      <c r="Q3219" s="62" t="str">
        <f>IF(G3219="PA",IF(M3219&lt;&gt;"",ISERROR(VLOOKUP(M3219,ABBR!C:F,1,FALSE)),ISERROR(VLOOKUP(E3219,ABBR!C:F,1,FALSE))),"")</f>
        <v/>
      </c>
    </row>
    <row r="3220" spans="1:17" s="62" customFormat="1" ht="25" hidden="1" x14ac:dyDescent="0.25">
      <c r="A3220" s="16" t="s">
        <v>373</v>
      </c>
      <c r="B3220" s="46"/>
      <c r="C3220" s="16" t="s">
        <v>5300</v>
      </c>
      <c r="D3220" s="46"/>
      <c r="E3220" s="46" t="s">
        <v>601</v>
      </c>
      <c r="F3220" s="9" t="s">
        <v>5301</v>
      </c>
      <c r="G3220" s="47">
        <v>0.75</v>
      </c>
      <c r="H3220" s="17">
        <v>22</v>
      </c>
      <c r="I3220" s="30" t="s">
        <v>955</v>
      </c>
      <c r="J3220" s="80">
        <v>4.0999999999999996</v>
      </c>
      <c r="K3220"/>
      <c r="L3220"/>
      <c r="M3220"/>
      <c r="N3220"/>
      <c r="O3220" s="62" t="str">
        <f>IF(E3220="PA",IF(K3220&lt;&gt;"",ISERROR(VLOOKUP(K3220,ABBR!A:D,1,FALSE)),ISERROR(VLOOKUP(C3220,ABBR!A:D,1,FALSE))),"")</f>
        <v/>
      </c>
      <c r="P3220" t="str">
        <f>VLOOKUP(A3220,Groups!A:L,5,FALSE)</f>
        <v>RESD</v>
      </c>
      <c r="Q3220" s="62" t="str">
        <f>IF(G3220="PA",IF(M3220&lt;&gt;"",ISERROR(VLOOKUP(M3220,ABBR!C:F,1,FALSE)),ISERROR(VLOOKUP(E3220,ABBR!C:F,1,FALSE))),"")</f>
        <v/>
      </c>
    </row>
    <row r="3221" spans="1:17" s="62" customFormat="1" hidden="1" x14ac:dyDescent="0.25">
      <c r="A3221" s="16" t="s">
        <v>373</v>
      </c>
      <c r="B3221" s="46"/>
      <c r="C3221" s="16" t="s">
        <v>5302</v>
      </c>
      <c r="D3221" s="46"/>
      <c r="E3221" s="46" t="s">
        <v>601</v>
      </c>
      <c r="F3221" s="9" t="s">
        <v>5303</v>
      </c>
      <c r="G3221" s="47">
        <v>0.21</v>
      </c>
      <c r="H3221" s="17">
        <v>23</v>
      </c>
      <c r="I3221" s="30" t="s">
        <v>955</v>
      </c>
      <c r="J3221" s="80">
        <v>4.0999999999999996</v>
      </c>
      <c r="K3221"/>
      <c r="L3221"/>
      <c r="M3221"/>
      <c r="N3221"/>
      <c r="O3221" s="62" t="str">
        <f>IF(E3221="PA",IF(K3221&lt;&gt;"",ISERROR(VLOOKUP(K3221,ABBR!A:D,1,FALSE)),ISERROR(VLOOKUP(C3221,ABBR!A:D,1,FALSE))),"")</f>
        <v/>
      </c>
      <c r="P3221" t="str">
        <f>VLOOKUP(A3221,Groups!A:L,5,FALSE)</f>
        <v>RESD</v>
      </c>
      <c r="Q3221" s="62" t="str">
        <f>IF(G3221="PA",IF(M3221&lt;&gt;"",ISERROR(VLOOKUP(M3221,ABBR!C:F,1,FALSE)),ISERROR(VLOOKUP(E3221,ABBR!C:F,1,FALSE))),"")</f>
        <v/>
      </c>
    </row>
    <row r="3222" spans="1:17" s="62" customFormat="1" hidden="1" x14ac:dyDescent="0.25">
      <c r="A3222" s="16" t="s">
        <v>373</v>
      </c>
      <c r="B3222" s="46"/>
      <c r="C3222" s="16" t="s">
        <v>5304</v>
      </c>
      <c r="D3222" s="46"/>
      <c r="E3222" s="46" t="s">
        <v>608</v>
      </c>
      <c r="F3222" s="9" t="s">
        <v>642</v>
      </c>
      <c r="G3222" s="49" t="s">
        <v>16</v>
      </c>
      <c r="H3222" s="17">
        <v>24</v>
      </c>
      <c r="I3222" s="30" t="s">
        <v>955</v>
      </c>
      <c r="J3222" s="80">
        <v>4.0999999999999996</v>
      </c>
      <c r="K3222"/>
      <c r="L3222"/>
      <c r="M3222" s="101"/>
      <c r="N3222"/>
      <c r="O3222" s="62" t="str">
        <f>IF(E3222="PA",IF(K3222&lt;&gt;"",ISERROR(VLOOKUP(K3222,ABBR!A:D,1,FALSE)),ISERROR(VLOOKUP(C3222,ABBR!A:D,1,FALSE))),"")</f>
        <v/>
      </c>
      <c r="P3222" t="str">
        <f>VLOOKUP(A3222,Groups!A:L,5,FALSE)</f>
        <v>RESD</v>
      </c>
      <c r="Q3222" s="62" t="str">
        <f>IF(G3222="PA",IF(M3222&lt;&gt;"",ISERROR(VLOOKUP(M3222,ABBR!C:F,1,FALSE)),ISERROR(VLOOKUP(E3222,ABBR!C:F,1,FALSE))),"")</f>
        <v/>
      </c>
    </row>
    <row r="3223" spans="1:17" s="62" customFormat="1" hidden="1" x14ac:dyDescent="0.25">
      <c r="A3223" s="16" t="s">
        <v>373</v>
      </c>
      <c r="B3223" s="46"/>
      <c r="C3223" s="16" t="s">
        <v>643</v>
      </c>
      <c r="D3223" s="46"/>
      <c r="E3223" s="46" t="s">
        <v>608</v>
      </c>
      <c r="F3223" s="9" t="s">
        <v>1714</v>
      </c>
      <c r="G3223" s="47" t="s">
        <v>940</v>
      </c>
      <c r="H3223" s="17">
        <v>25</v>
      </c>
      <c r="I3223" s="30" t="s">
        <v>955</v>
      </c>
      <c r="J3223" s="80">
        <v>4.0999999999999996</v>
      </c>
      <c r="K3223"/>
      <c r="L3223"/>
      <c r="M3223"/>
      <c r="N3223"/>
      <c r="O3223" s="62" t="str">
        <f>IF(E3223="PA",IF(K3223&lt;&gt;"",ISERROR(VLOOKUP(K3223,ABBR!A:D,1,FALSE)),ISERROR(VLOOKUP(C3223,ABBR!A:D,1,FALSE))),"")</f>
        <v/>
      </c>
      <c r="P3223" t="str">
        <f>VLOOKUP(A3223,Groups!A:L,5,FALSE)</f>
        <v>RESD</v>
      </c>
      <c r="Q3223" s="62" t="str">
        <f>IF(G3223="PA",IF(M3223&lt;&gt;"",ISERROR(VLOOKUP(M3223,ABBR!C:F,1,FALSE)),ISERROR(VLOOKUP(E3223,ABBR!C:F,1,FALSE))),"")</f>
        <v/>
      </c>
    </row>
    <row r="3224" spans="1:17" s="62" customFormat="1" hidden="1" x14ac:dyDescent="0.25">
      <c r="A3224" s="16" t="s">
        <v>378</v>
      </c>
      <c r="B3224" s="17" t="s">
        <v>594</v>
      </c>
      <c r="C3224" s="16" t="s">
        <v>595</v>
      </c>
      <c r="D3224" s="17"/>
      <c r="E3224" s="17" t="s">
        <v>596</v>
      </c>
      <c r="F3224" s="18" t="s">
        <v>597</v>
      </c>
      <c r="G3224" s="49" t="s">
        <v>5111</v>
      </c>
      <c r="H3224" s="17">
        <v>1</v>
      </c>
      <c r="I3224" s="30" t="s">
        <v>955</v>
      </c>
      <c r="J3224" s="80">
        <v>4.0999999999999996</v>
      </c>
      <c r="K3224"/>
      <c r="L3224"/>
      <c r="M3224"/>
      <c r="N3224"/>
      <c r="O3224" s="62" t="str">
        <f>IF(E3224="PA",IF(K3224&lt;&gt;"",ISERROR(VLOOKUP(K3224,ABBR!A:D,1,FALSE)),ISERROR(VLOOKUP(C3224,ABBR!A:D,1,FALSE))),"")</f>
        <v/>
      </c>
      <c r="P3224" t="str">
        <f>VLOOKUP(A3224,Groups!A:L,5,FALSE)</f>
        <v>RESG</v>
      </c>
      <c r="Q3224" s="62" t="str">
        <f>IF(G3224="PA",IF(M3224&lt;&gt;"",ISERROR(VLOOKUP(M3224,ABBR!C:F,1,FALSE)),ISERROR(VLOOKUP(E3224,ABBR!C:F,1,FALSE))),"")</f>
        <v/>
      </c>
    </row>
    <row r="3225" spans="1:17" s="62" customFormat="1" hidden="1" x14ac:dyDescent="0.25">
      <c r="A3225" s="16" t="s">
        <v>378</v>
      </c>
      <c r="B3225" s="17" t="s">
        <v>594</v>
      </c>
      <c r="C3225" s="16" t="s">
        <v>851</v>
      </c>
      <c r="D3225" s="17" t="s">
        <v>600</v>
      </c>
      <c r="E3225" s="17" t="s">
        <v>601</v>
      </c>
      <c r="F3225" s="18" t="s">
        <v>852</v>
      </c>
      <c r="G3225" s="49" t="s">
        <v>910</v>
      </c>
      <c r="H3225" s="17">
        <v>2</v>
      </c>
      <c r="I3225" s="30" t="s">
        <v>955</v>
      </c>
      <c r="J3225" s="80">
        <v>4.0999999999999996</v>
      </c>
      <c r="K3225"/>
      <c r="L3225"/>
      <c r="M3225"/>
      <c r="N3225"/>
      <c r="O3225" s="62" t="str">
        <f>IF(E3225="PA",IF(K3225&lt;&gt;"",ISERROR(VLOOKUP(K3225,ABBR!A:D,1,FALSE)),ISERROR(VLOOKUP(C3225,ABBR!A:D,1,FALSE))),"")</f>
        <v/>
      </c>
      <c r="P3225" t="str">
        <f>VLOOKUP(A3225,Groups!A:L,5,FALSE)</f>
        <v>RESG</v>
      </c>
      <c r="Q3225" s="62" t="str">
        <f>IF(G3225="PA",IF(M3225&lt;&gt;"",ISERROR(VLOOKUP(M3225,ABBR!C:F,1,FALSE)),ISERROR(VLOOKUP(E3225,ABBR!C:F,1,FALSE))),"")</f>
        <v/>
      </c>
    </row>
    <row r="3226" spans="1:17" s="62" customFormat="1" hidden="1" x14ac:dyDescent="0.25">
      <c r="A3226" s="16" t="s">
        <v>378</v>
      </c>
      <c r="B3226" s="17" t="s">
        <v>594</v>
      </c>
      <c r="C3226" s="16" t="s">
        <v>854</v>
      </c>
      <c r="D3226" s="17"/>
      <c r="E3226" s="17" t="s">
        <v>608</v>
      </c>
      <c r="F3226" s="18" t="s">
        <v>855</v>
      </c>
      <c r="G3226" s="49" t="s">
        <v>5113</v>
      </c>
      <c r="H3226" s="17">
        <v>3</v>
      </c>
      <c r="I3226" s="30" t="s">
        <v>955</v>
      </c>
      <c r="J3226" s="80">
        <v>4.0999999999999996</v>
      </c>
      <c r="K3226"/>
      <c r="L3226"/>
      <c r="M3226"/>
      <c r="N3226"/>
      <c r="O3226" s="62" t="str">
        <f>IF(E3226="PA",IF(K3226&lt;&gt;"",ISERROR(VLOOKUP(K3226,ABBR!A:D,1,FALSE)),ISERROR(VLOOKUP(C3226,ABBR!A:D,1,FALSE))),"")</f>
        <v/>
      </c>
      <c r="P3226" t="str">
        <f>VLOOKUP(A3226,Groups!A:L,5,FALSE)</f>
        <v>RESG</v>
      </c>
      <c r="Q3226" s="62" t="str">
        <f>IF(G3226="PA",IF(M3226&lt;&gt;"",ISERROR(VLOOKUP(M3226,ABBR!C:F,1,FALSE)),ISERROR(VLOOKUP(E3226,ABBR!C:F,1,FALSE))),"")</f>
        <v/>
      </c>
    </row>
    <row r="3227" spans="1:17" s="62" customFormat="1" hidden="1" x14ac:dyDescent="0.25">
      <c r="A3227" s="16" t="s">
        <v>378</v>
      </c>
      <c r="B3227" s="17" t="s">
        <v>594</v>
      </c>
      <c r="C3227" s="16" t="s">
        <v>857</v>
      </c>
      <c r="D3227" s="17"/>
      <c r="E3227" s="17" t="s">
        <v>618</v>
      </c>
      <c r="F3227" s="18" t="s">
        <v>858</v>
      </c>
      <c r="G3227" s="49" t="s">
        <v>859</v>
      </c>
      <c r="H3227" s="17">
        <v>4</v>
      </c>
      <c r="I3227" s="30" t="s">
        <v>955</v>
      </c>
      <c r="J3227" s="80">
        <v>4.0999999999999996</v>
      </c>
      <c r="K3227"/>
      <c r="L3227"/>
      <c r="M3227"/>
      <c r="N3227"/>
      <c r="O3227" s="62" t="b">
        <f>IF(E3227="PA",IF(K3227&lt;&gt;"",ISERROR(VLOOKUP(K3227,ABBR!A:D,1,FALSE)),ISERROR(VLOOKUP(C3227,ABBR!A:D,1,FALSE))),"")</f>
        <v>0</v>
      </c>
      <c r="P3227" t="str">
        <f>VLOOKUP(A3227,Groups!A:L,5,FALSE)</f>
        <v>RESG</v>
      </c>
      <c r="Q3227" s="62" t="str">
        <f>IF(G3227="PA",IF(M3227&lt;&gt;"",ISERROR(VLOOKUP(M3227,ABBR!C:F,1,FALSE)),ISERROR(VLOOKUP(E3227,ABBR!C:F,1,FALSE))),"")</f>
        <v/>
      </c>
    </row>
    <row r="3228" spans="1:17" s="62" customFormat="1" hidden="1" x14ac:dyDescent="0.25">
      <c r="A3228" s="16" t="s">
        <v>378</v>
      </c>
      <c r="B3228" s="17" t="s">
        <v>594</v>
      </c>
      <c r="C3228" s="16" t="s">
        <v>860</v>
      </c>
      <c r="D3228" s="17"/>
      <c r="E3228" s="17" t="s">
        <v>596</v>
      </c>
      <c r="F3228" s="18" t="s">
        <v>942</v>
      </c>
      <c r="G3228" s="49" t="s">
        <v>5114</v>
      </c>
      <c r="H3228" s="17">
        <v>5</v>
      </c>
      <c r="I3228" s="30" t="s">
        <v>955</v>
      </c>
      <c r="J3228" s="80">
        <v>4.0999999999999996</v>
      </c>
      <c r="K3228"/>
      <c r="L3228"/>
      <c r="M3228"/>
      <c r="N3228"/>
      <c r="O3228" s="62" t="str">
        <f>IF(E3228="PA",IF(K3228&lt;&gt;"",ISERROR(VLOOKUP(K3228,ABBR!A:D,1,FALSE)),ISERROR(VLOOKUP(C3228,ABBR!A:D,1,FALSE))),"")</f>
        <v/>
      </c>
      <c r="P3228" t="str">
        <f>VLOOKUP(A3228,Groups!A:L,5,FALSE)</f>
        <v>RESG</v>
      </c>
      <c r="Q3228" s="62" t="str">
        <f>IF(G3228="PA",IF(M3228&lt;&gt;"",ISERROR(VLOOKUP(M3228,ABBR!C:F,1,FALSE)),ISERROR(VLOOKUP(E3228,ABBR!C:F,1,FALSE))),"")</f>
        <v/>
      </c>
    </row>
    <row r="3229" spans="1:17" s="62" customFormat="1" hidden="1" x14ac:dyDescent="0.25">
      <c r="A3229" s="16" t="s">
        <v>378</v>
      </c>
      <c r="B3229" s="17" t="s">
        <v>594</v>
      </c>
      <c r="C3229" s="16" t="s">
        <v>863</v>
      </c>
      <c r="D3229" s="17"/>
      <c r="E3229" s="17" t="s">
        <v>608</v>
      </c>
      <c r="F3229" s="18" t="s">
        <v>864</v>
      </c>
      <c r="G3229" s="49" t="s">
        <v>5115</v>
      </c>
      <c r="H3229" s="17">
        <v>6</v>
      </c>
      <c r="I3229" s="30" t="s">
        <v>955</v>
      </c>
      <c r="J3229" s="80">
        <v>4.0999999999999996</v>
      </c>
      <c r="K3229"/>
      <c r="L3229"/>
      <c r="M3229"/>
      <c r="N3229"/>
      <c r="O3229" s="62" t="str">
        <f>IF(E3229="PA",IF(K3229&lt;&gt;"",ISERROR(VLOOKUP(K3229,ABBR!A:D,1,FALSE)),ISERROR(VLOOKUP(C3229,ABBR!A:D,1,FALSE))),"")</f>
        <v/>
      </c>
      <c r="P3229" t="str">
        <f>VLOOKUP(A3229,Groups!A:L,5,FALSE)</f>
        <v>RESG</v>
      </c>
      <c r="Q3229" s="62" t="str">
        <f>IF(G3229="PA",IF(M3229&lt;&gt;"",ISERROR(VLOOKUP(M3229,ABBR!C:F,1,FALSE)),ISERROR(VLOOKUP(E3229,ABBR!C:F,1,FALSE))),"")</f>
        <v/>
      </c>
    </row>
    <row r="3230" spans="1:17" s="62" customFormat="1" hidden="1" x14ac:dyDescent="0.25">
      <c r="A3230" s="16" t="s">
        <v>378</v>
      </c>
      <c r="B3230" s="17" t="s">
        <v>594</v>
      </c>
      <c r="C3230" s="16" t="s">
        <v>866</v>
      </c>
      <c r="D3230" s="17" t="s">
        <v>600</v>
      </c>
      <c r="E3230" s="17" t="s">
        <v>601</v>
      </c>
      <c r="F3230" s="18" t="s">
        <v>867</v>
      </c>
      <c r="G3230" s="49" t="s">
        <v>2112</v>
      </c>
      <c r="H3230" s="17">
        <v>7</v>
      </c>
      <c r="I3230" s="30" t="s">
        <v>955</v>
      </c>
      <c r="J3230" s="80">
        <v>4.0999999999999996</v>
      </c>
      <c r="K3230"/>
      <c r="L3230"/>
      <c r="M3230"/>
      <c r="N3230"/>
      <c r="O3230" s="62" t="str">
        <f>IF(E3230="PA",IF(K3230&lt;&gt;"",ISERROR(VLOOKUP(K3230,ABBR!A:D,1,FALSE)),ISERROR(VLOOKUP(C3230,ABBR!A:D,1,FALSE))),"")</f>
        <v/>
      </c>
      <c r="P3230" t="str">
        <f>VLOOKUP(A3230,Groups!A:L,5,FALSE)</f>
        <v>RESG</v>
      </c>
      <c r="Q3230" s="62" t="str">
        <f>IF(G3230="PA",IF(M3230&lt;&gt;"",ISERROR(VLOOKUP(M3230,ABBR!C:F,1,FALSE)),ISERROR(VLOOKUP(E3230,ABBR!C:F,1,FALSE))),"")</f>
        <v/>
      </c>
    </row>
    <row r="3231" spans="1:17" s="62" customFormat="1" hidden="1" x14ac:dyDescent="0.25">
      <c r="A3231" s="16" t="s">
        <v>378</v>
      </c>
      <c r="B3231" s="46" t="s">
        <v>594</v>
      </c>
      <c r="C3231" s="16" t="s">
        <v>5305</v>
      </c>
      <c r="D3231" s="46"/>
      <c r="E3231" s="46" t="s">
        <v>608</v>
      </c>
      <c r="F3231" s="9" t="s">
        <v>1617</v>
      </c>
      <c r="G3231" s="47">
        <v>3</v>
      </c>
      <c r="H3231" s="17">
        <v>8</v>
      </c>
      <c r="I3231" s="30" t="s">
        <v>955</v>
      </c>
      <c r="J3231" s="80">
        <v>4.0999999999999996</v>
      </c>
      <c r="K3231"/>
      <c r="L3231"/>
      <c r="M3231"/>
      <c r="N3231"/>
      <c r="O3231" s="62" t="str">
        <f>IF(E3231="PA",IF(K3231&lt;&gt;"",ISERROR(VLOOKUP(K3231,ABBR!A:D,1,FALSE)),ISERROR(VLOOKUP(C3231,ABBR!A:D,1,FALSE))),"")</f>
        <v/>
      </c>
      <c r="P3231" t="str">
        <f>VLOOKUP(A3231,Groups!A:L,5,FALSE)</f>
        <v>RESG</v>
      </c>
      <c r="Q3231" s="62" t="str">
        <f>IF(G3231="PA",IF(M3231&lt;&gt;"",ISERROR(VLOOKUP(M3231,ABBR!C:F,1,FALSE)),ISERROR(VLOOKUP(E3231,ABBR!C:F,1,FALSE))),"")</f>
        <v/>
      </c>
    </row>
    <row r="3232" spans="1:17" s="62" customFormat="1" hidden="1" x14ac:dyDescent="0.25">
      <c r="A3232" s="16" t="s">
        <v>378</v>
      </c>
      <c r="B3232" s="46"/>
      <c r="C3232" s="16" t="s">
        <v>5306</v>
      </c>
      <c r="D3232" s="46" t="s">
        <v>1345</v>
      </c>
      <c r="E3232" s="46" t="s">
        <v>723</v>
      </c>
      <c r="F3232" s="9" t="s">
        <v>5307</v>
      </c>
      <c r="G3232" s="47">
        <v>10.1</v>
      </c>
      <c r="H3232" s="17">
        <v>9</v>
      </c>
      <c r="I3232" s="30" t="s">
        <v>955</v>
      </c>
      <c r="J3232" s="80">
        <v>4.0999999999999996</v>
      </c>
      <c r="K3232"/>
      <c r="L3232"/>
      <c r="M3232"/>
      <c r="N3232"/>
      <c r="O3232" s="62" t="str">
        <f>IF(E3232="PA",IF(K3232&lt;&gt;"",ISERROR(VLOOKUP(K3232,ABBR!A:D,1,FALSE)),ISERROR(VLOOKUP(C3232,ABBR!A:D,1,FALSE))),"")</f>
        <v/>
      </c>
      <c r="P3232" t="str">
        <f>VLOOKUP(A3232,Groups!A:L,5,FALSE)</f>
        <v>RESG</v>
      </c>
      <c r="Q3232" s="62" t="str">
        <f>IF(G3232="PA",IF(M3232&lt;&gt;"",ISERROR(VLOOKUP(M3232,ABBR!C:F,1,FALSE)),ISERROR(VLOOKUP(E3232,ABBR!C:F,1,FALSE))),"")</f>
        <v/>
      </c>
    </row>
    <row r="3233" spans="1:17" s="62" customFormat="1" hidden="1" x14ac:dyDescent="0.25">
      <c r="A3233" s="16" t="s">
        <v>378</v>
      </c>
      <c r="B3233" s="46"/>
      <c r="C3233" s="16" t="s">
        <v>5308</v>
      </c>
      <c r="D3233" s="46" t="s">
        <v>1345</v>
      </c>
      <c r="E3233" s="46" t="s">
        <v>723</v>
      </c>
      <c r="F3233" s="9" t="s">
        <v>5309</v>
      </c>
      <c r="G3233" s="47">
        <v>20.2</v>
      </c>
      <c r="H3233" s="17">
        <v>10</v>
      </c>
      <c r="I3233" s="30" t="s">
        <v>955</v>
      </c>
      <c r="J3233" s="80">
        <v>4.0999999999999996</v>
      </c>
      <c r="K3233"/>
      <c r="L3233"/>
      <c r="M3233"/>
      <c r="N3233"/>
      <c r="O3233" s="62" t="str">
        <f>IF(E3233="PA",IF(K3233&lt;&gt;"",ISERROR(VLOOKUP(K3233,ABBR!A:D,1,FALSE)),ISERROR(VLOOKUP(C3233,ABBR!A:D,1,FALSE))),"")</f>
        <v/>
      </c>
      <c r="P3233" t="str">
        <f>VLOOKUP(A3233,Groups!A:L,5,FALSE)</f>
        <v>RESG</v>
      </c>
      <c r="Q3233" s="62" t="str">
        <f>IF(G3233="PA",IF(M3233&lt;&gt;"",ISERROR(VLOOKUP(M3233,ABBR!C:F,1,FALSE)),ISERROR(VLOOKUP(E3233,ABBR!C:F,1,FALSE))),"")</f>
        <v/>
      </c>
    </row>
    <row r="3234" spans="1:17" s="62" customFormat="1" hidden="1" x14ac:dyDescent="0.25">
      <c r="A3234" s="16" t="s">
        <v>378</v>
      </c>
      <c r="B3234" s="46"/>
      <c r="C3234" s="16" t="s">
        <v>5310</v>
      </c>
      <c r="D3234" s="46" t="s">
        <v>1345</v>
      </c>
      <c r="E3234" s="46" t="s">
        <v>723</v>
      </c>
      <c r="F3234" s="9" t="s">
        <v>1619</v>
      </c>
      <c r="G3234" s="47">
        <v>200.5</v>
      </c>
      <c r="H3234" s="17">
        <v>11</v>
      </c>
      <c r="I3234" s="30" t="s">
        <v>955</v>
      </c>
      <c r="J3234" s="80">
        <v>4.0999999999999996</v>
      </c>
      <c r="K3234"/>
      <c r="L3234"/>
      <c r="M3234"/>
      <c r="N3234"/>
      <c r="O3234" s="62" t="str">
        <f>IF(E3234="PA",IF(K3234&lt;&gt;"",ISERROR(VLOOKUP(K3234,ABBR!A:D,1,FALSE)),ISERROR(VLOOKUP(C3234,ABBR!A:D,1,FALSE))),"")</f>
        <v/>
      </c>
      <c r="P3234" t="str">
        <f>VLOOKUP(A3234,Groups!A:L,5,FALSE)</f>
        <v>RESG</v>
      </c>
      <c r="Q3234" s="62" t="str">
        <f>IF(G3234="PA",IF(M3234&lt;&gt;"",ISERROR(VLOOKUP(M3234,ABBR!C:F,1,FALSE)),ISERROR(VLOOKUP(E3234,ABBR!C:F,1,FALSE))),"")</f>
        <v/>
      </c>
    </row>
    <row r="3235" spans="1:17" s="62" customFormat="1" hidden="1" x14ac:dyDescent="0.25">
      <c r="A3235" s="16" t="s">
        <v>378</v>
      </c>
      <c r="B3235" s="46"/>
      <c r="C3235" s="16" t="s">
        <v>5311</v>
      </c>
      <c r="D3235" s="46" t="s">
        <v>1345</v>
      </c>
      <c r="E3235" s="46" t="s">
        <v>723</v>
      </c>
      <c r="F3235" s="9" t="s">
        <v>5312</v>
      </c>
      <c r="G3235" s="47">
        <v>200.4</v>
      </c>
      <c r="H3235" s="17">
        <v>12</v>
      </c>
      <c r="I3235" s="30" t="s">
        <v>955</v>
      </c>
      <c r="J3235" s="80">
        <v>4.0999999999999996</v>
      </c>
      <c r="K3235"/>
      <c r="L3235"/>
      <c r="M3235"/>
      <c r="N3235"/>
      <c r="O3235" s="62" t="str">
        <f>IF(E3235="PA",IF(K3235&lt;&gt;"",ISERROR(VLOOKUP(K3235,ABBR!A:D,1,FALSE)),ISERROR(VLOOKUP(C3235,ABBR!A:D,1,FALSE))),"")</f>
        <v/>
      </c>
      <c r="P3235" t="str">
        <f>VLOOKUP(A3235,Groups!A:L,5,FALSE)</f>
        <v>RESG</v>
      </c>
      <c r="Q3235" s="62" t="str">
        <f>IF(G3235="PA",IF(M3235&lt;&gt;"",ISERROR(VLOOKUP(M3235,ABBR!C:F,1,FALSE)),ISERROR(VLOOKUP(E3235,ABBR!C:F,1,FALSE))),"")</f>
        <v/>
      </c>
    </row>
    <row r="3236" spans="1:17" s="62" customFormat="1" hidden="1" x14ac:dyDescent="0.25">
      <c r="A3236" s="16" t="s">
        <v>378</v>
      </c>
      <c r="B3236" s="46"/>
      <c r="C3236" s="16" t="s">
        <v>5313</v>
      </c>
      <c r="D3236" s="46" t="s">
        <v>766</v>
      </c>
      <c r="E3236" s="46" t="s">
        <v>1321</v>
      </c>
      <c r="F3236" s="9" t="s">
        <v>5314</v>
      </c>
      <c r="G3236" s="47">
        <v>1.256</v>
      </c>
      <c r="H3236" s="17">
        <v>13</v>
      </c>
      <c r="I3236" s="30" t="s">
        <v>955</v>
      </c>
      <c r="J3236" s="80">
        <v>4.0999999999999996</v>
      </c>
      <c r="K3236"/>
      <c r="L3236"/>
      <c r="M3236"/>
      <c r="N3236"/>
      <c r="O3236" s="62" t="str">
        <f>IF(E3236="PA",IF(K3236&lt;&gt;"",ISERROR(VLOOKUP(K3236,ABBR!A:D,1,FALSE)),ISERROR(VLOOKUP(C3236,ABBR!A:D,1,FALSE))),"")</f>
        <v/>
      </c>
      <c r="P3236" t="str">
        <f>VLOOKUP(A3236,Groups!A:L,5,FALSE)</f>
        <v>RESG</v>
      </c>
      <c r="Q3236" s="62" t="str">
        <f>IF(G3236="PA",IF(M3236&lt;&gt;"",ISERROR(VLOOKUP(M3236,ABBR!C:F,1,FALSE)),ISERROR(VLOOKUP(E3236,ABBR!C:F,1,FALSE))),"")</f>
        <v/>
      </c>
    </row>
    <row r="3237" spans="1:17" s="62" customFormat="1" hidden="1" x14ac:dyDescent="0.25">
      <c r="A3237" s="16" t="s">
        <v>378</v>
      </c>
      <c r="B3237" s="46"/>
      <c r="C3237" s="16" t="s">
        <v>5315</v>
      </c>
      <c r="D3237" s="46" t="s">
        <v>766</v>
      </c>
      <c r="E3237" s="46" t="s">
        <v>608</v>
      </c>
      <c r="F3237" s="9" t="s">
        <v>5316</v>
      </c>
      <c r="G3237" s="47">
        <v>20</v>
      </c>
      <c r="H3237" s="17">
        <v>14</v>
      </c>
      <c r="I3237" s="30" t="s">
        <v>955</v>
      </c>
      <c r="J3237" s="80">
        <v>4.0999999999999996</v>
      </c>
      <c r="K3237"/>
      <c r="L3237"/>
      <c r="M3237"/>
      <c r="N3237"/>
      <c r="O3237" s="62" t="str">
        <f>IF(E3237="PA",IF(K3237&lt;&gt;"",ISERROR(VLOOKUP(K3237,ABBR!A:D,1,FALSE)),ISERROR(VLOOKUP(C3237,ABBR!A:D,1,FALSE))),"")</f>
        <v/>
      </c>
      <c r="P3237" t="str">
        <f>VLOOKUP(A3237,Groups!A:L,5,FALSE)</f>
        <v>RESG</v>
      </c>
      <c r="Q3237" s="62" t="str">
        <f>IF(G3237="PA",IF(M3237&lt;&gt;"",ISERROR(VLOOKUP(M3237,ABBR!C:F,1,FALSE)),ISERROR(VLOOKUP(E3237,ABBR!C:F,1,FALSE))),"")</f>
        <v/>
      </c>
    </row>
    <row r="3238" spans="1:17" s="62" customFormat="1" hidden="1" x14ac:dyDescent="0.25">
      <c r="A3238" s="16" t="s">
        <v>378</v>
      </c>
      <c r="B3238" s="46"/>
      <c r="C3238" s="16" t="s">
        <v>5317</v>
      </c>
      <c r="D3238" s="46" t="s">
        <v>1077</v>
      </c>
      <c r="E3238" s="46" t="s">
        <v>601</v>
      </c>
      <c r="F3238" s="9" t="s">
        <v>2564</v>
      </c>
      <c r="G3238" s="47">
        <v>1.79</v>
      </c>
      <c r="H3238" s="17">
        <v>15</v>
      </c>
      <c r="I3238" s="30" t="s">
        <v>955</v>
      </c>
      <c r="J3238" s="80">
        <v>4.0999999999999996</v>
      </c>
      <c r="K3238"/>
      <c r="L3238"/>
      <c r="M3238"/>
      <c r="N3238"/>
      <c r="O3238" s="62" t="str">
        <f>IF(E3238="PA",IF(K3238&lt;&gt;"",ISERROR(VLOOKUP(K3238,ABBR!A:D,1,FALSE)),ISERROR(VLOOKUP(C3238,ABBR!A:D,1,FALSE))),"")</f>
        <v/>
      </c>
      <c r="P3238" t="str">
        <f>VLOOKUP(A3238,Groups!A:L,5,FALSE)</f>
        <v>RESG</v>
      </c>
      <c r="Q3238" s="62" t="str">
        <f>IF(G3238="PA",IF(M3238&lt;&gt;"",ISERROR(VLOOKUP(M3238,ABBR!C:F,1,FALSE)),ISERROR(VLOOKUP(E3238,ABBR!C:F,1,FALSE))),"")</f>
        <v/>
      </c>
    </row>
    <row r="3239" spans="1:17" s="62" customFormat="1" hidden="1" x14ac:dyDescent="0.25">
      <c r="A3239" s="16" t="s">
        <v>378</v>
      </c>
      <c r="B3239" s="46"/>
      <c r="C3239" s="16" t="s">
        <v>5318</v>
      </c>
      <c r="D3239" s="46" t="s">
        <v>1077</v>
      </c>
      <c r="E3239" s="46" t="s">
        <v>601</v>
      </c>
      <c r="F3239" s="9" t="s">
        <v>5319</v>
      </c>
      <c r="G3239" s="47">
        <v>1.66</v>
      </c>
      <c r="H3239" s="17">
        <v>16</v>
      </c>
      <c r="I3239" s="30" t="s">
        <v>955</v>
      </c>
      <c r="J3239" s="80">
        <v>4.0999999999999996</v>
      </c>
      <c r="K3239"/>
      <c r="L3239"/>
      <c r="M3239"/>
      <c r="N3239"/>
      <c r="O3239" s="62" t="str">
        <f>IF(E3239="PA",IF(K3239&lt;&gt;"",ISERROR(VLOOKUP(K3239,ABBR!A:D,1,FALSE)),ISERROR(VLOOKUP(C3239,ABBR!A:D,1,FALSE))),"")</f>
        <v/>
      </c>
      <c r="P3239" t="str">
        <f>VLOOKUP(A3239,Groups!A:L,5,FALSE)</f>
        <v>RESG</v>
      </c>
      <c r="Q3239" s="62" t="str">
        <f>IF(G3239="PA",IF(M3239&lt;&gt;"",ISERROR(VLOOKUP(M3239,ABBR!C:F,1,FALSE)),ISERROR(VLOOKUP(E3239,ABBR!C:F,1,FALSE))),"")</f>
        <v/>
      </c>
    </row>
    <row r="3240" spans="1:17" s="62" customFormat="1" hidden="1" x14ac:dyDescent="0.25">
      <c r="A3240" s="16" t="s">
        <v>378</v>
      </c>
      <c r="B3240" s="46"/>
      <c r="C3240" s="16" t="s">
        <v>5320</v>
      </c>
      <c r="D3240" s="46"/>
      <c r="E3240" s="46" t="s">
        <v>1321</v>
      </c>
      <c r="F3240" s="9" t="s">
        <v>1876</v>
      </c>
      <c r="G3240" s="47">
        <v>0.97599999999999998</v>
      </c>
      <c r="H3240" s="17">
        <v>17</v>
      </c>
      <c r="I3240" s="30" t="s">
        <v>955</v>
      </c>
      <c r="J3240" s="80">
        <v>4.0999999999999996</v>
      </c>
      <c r="K3240"/>
      <c r="L3240"/>
      <c r="M3240"/>
      <c r="N3240"/>
      <c r="O3240" s="62" t="str">
        <f>IF(E3240="PA",IF(K3240&lt;&gt;"",ISERROR(VLOOKUP(K3240,ABBR!A:D,1,FALSE)),ISERROR(VLOOKUP(C3240,ABBR!A:D,1,FALSE))),"")</f>
        <v/>
      </c>
      <c r="P3240" t="str">
        <f>VLOOKUP(A3240,Groups!A:L,5,FALSE)</f>
        <v>RESG</v>
      </c>
      <c r="Q3240" s="62" t="str">
        <f>IF(G3240="PA",IF(M3240&lt;&gt;"",ISERROR(VLOOKUP(M3240,ABBR!C:F,1,FALSE)),ISERROR(VLOOKUP(E3240,ABBR!C:F,1,FALSE))),"")</f>
        <v/>
      </c>
    </row>
    <row r="3241" spans="1:17" s="62" customFormat="1" hidden="1" x14ac:dyDescent="0.25">
      <c r="A3241" s="16" t="s">
        <v>378</v>
      </c>
      <c r="B3241" s="46"/>
      <c r="C3241" s="16" t="s">
        <v>5321</v>
      </c>
      <c r="D3241" s="46" t="s">
        <v>766</v>
      </c>
      <c r="E3241" s="46" t="s">
        <v>767</v>
      </c>
      <c r="F3241" s="9" t="s">
        <v>5322</v>
      </c>
      <c r="G3241" s="47">
        <v>100</v>
      </c>
      <c r="H3241" s="17">
        <v>18</v>
      </c>
      <c r="I3241" s="30" t="s">
        <v>955</v>
      </c>
      <c r="J3241" s="80">
        <v>4.0999999999999996</v>
      </c>
      <c r="K3241"/>
      <c r="L3241"/>
      <c r="M3241"/>
      <c r="N3241"/>
      <c r="O3241" s="62" t="str">
        <f>IF(E3241="PA",IF(K3241&lt;&gt;"",ISERROR(VLOOKUP(K3241,ABBR!A:D,1,FALSE)),ISERROR(VLOOKUP(C3241,ABBR!A:D,1,FALSE))),"")</f>
        <v/>
      </c>
      <c r="P3241" t="str">
        <f>VLOOKUP(A3241,Groups!A:L,5,FALSE)</f>
        <v>RESG</v>
      </c>
      <c r="Q3241" s="62" t="str">
        <f>IF(G3241="PA",IF(M3241&lt;&gt;"",ISERROR(VLOOKUP(M3241,ABBR!C:F,1,FALSE)),ISERROR(VLOOKUP(E3241,ABBR!C:F,1,FALSE))),"")</f>
        <v/>
      </c>
    </row>
    <row r="3242" spans="1:17" s="62" customFormat="1" hidden="1" x14ac:dyDescent="0.25">
      <c r="A3242" s="16" t="s">
        <v>378</v>
      </c>
      <c r="B3242" s="46"/>
      <c r="C3242" s="16" t="s">
        <v>5323</v>
      </c>
      <c r="D3242" s="46"/>
      <c r="E3242" s="46" t="s">
        <v>601</v>
      </c>
      <c r="F3242" s="9" t="s">
        <v>5324</v>
      </c>
      <c r="G3242" s="47">
        <v>0.96</v>
      </c>
      <c r="H3242" s="17">
        <v>19</v>
      </c>
      <c r="I3242" s="30" t="s">
        <v>955</v>
      </c>
      <c r="J3242" s="80">
        <v>4.0999999999999996</v>
      </c>
      <c r="K3242"/>
      <c r="L3242"/>
      <c r="M3242"/>
      <c r="N3242"/>
      <c r="O3242" s="62" t="str">
        <f>IF(E3242="PA",IF(K3242&lt;&gt;"",ISERROR(VLOOKUP(K3242,ABBR!A:D,1,FALSE)),ISERROR(VLOOKUP(C3242,ABBR!A:D,1,FALSE))),"")</f>
        <v/>
      </c>
      <c r="P3242" t="str">
        <f>VLOOKUP(A3242,Groups!A:L,5,FALSE)</f>
        <v>RESG</v>
      </c>
      <c r="Q3242" s="62" t="str">
        <f>IF(G3242="PA",IF(M3242&lt;&gt;"",ISERROR(VLOOKUP(M3242,ABBR!C:F,1,FALSE)),ISERROR(VLOOKUP(E3242,ABBR!C:F,1,FALSE))),"")</f>
        <v/>
      </c>
    </row>
    <row r="3243" spans="1:17" s="62" customFormat="1" hidden="1" x14ac:dyDescent="0.25">
      <c r="A3243" s="16" t="s">
        <v>378</v>
      </c>
      <c r="B3243" s="46"/>
      <c r="C3243" s="16" t="s">
        <v>5325</v>
      </c>
      <c r="D3243" s="46"/>
      <c r="E3243" s="46" t="s">
        <v>608</v>
      </c>
      <c r="F3243" s="9" t="s">
        <v>642</v>
      </c>
      <c r="G3243" s="49" t="s">
        <v>16</v>
      </c>
      <c r="H3243" s="17">
        <v>20</v>
      </c>
      <c r="I3243" s="30" t="s">
        <v>955</v>
      </c>
      <c r="J3243" s="80">
        <v>4.0999999999999996</v>
      </c>
      <c r="K3243"/>
      <c r="L3243"/>
      <c r="M3243" s="101"/>
      <c r="N3243"/>
      <c r="O3243" s="62" t="str">
        <f>IF(E3243="PA",IF(K3243&lt;&gt;"",ISERROR(VLOOKUP(K3243,ABBR!A:D,1,FALSE)),ISERROR(VLOOKUP(C3243,ABBR!A:D,1,FALSE))),"")</f>
        <v/>
      </c>
      <c r="P3243" t="str">
        <f>VLOOKUP(A3243,Groups!A:L,5,FALSE)</f>
        <v>RESG</v>
      </c>
      <c r="Q3243" s="62" t="str">
        <f>IF(G3243="PA",IF(M3243&lt;&gt;"",ISERROR(VLOOKUP(M3243,ABBR!C:F,1,FALSE)),ISERROR(VLOOKUP(E3243,ABBR!C:F,1,FALSE))),"")</f>
        <v/>
      </c>
    </row>
    <row r="3244" spans="1:17" s="62" customFormat="1" hidden="1" x14ac:dyDescent="0.25">
      <c r="A3244" s="16" t="s">
        <v>378</v>
      </c>
      <c r="B3244" s="46"/>
      <c r="C3244" s="16" t="s">
        <v>643</v>
      </c>
      <c r="D3244" s="46"/>
      <c r="E3244" s="46" t="s">
        <v>608</v>
      </c>
      <c r="F3244" s="9" t="s">
        <v>1714</v>
      </c>
      <c r="G3244" s="47" t="s">
        <v>940</v>
      </c>
      <c r="H3244" s="17">
        <v>21</v>
      </c>
      <c r="I3244" s="30" t="s">
        <v>955</v>
      </c>
      <c r="J3244" s="80">
        <v>4.0999999999999996</v>
      </c>
      <c r="K3244"/>
      <c r="L3244"/>
      <c r="M3244"/>
      <c r="N3244"/>
      <c r="O3244" s="62" t="str">
        <f>IF(E3244="PA",IF(K3244&lt;&gt;"",ISERROR(VLOOKUP(K3244,ABBR!A:D,1,FALSE)),ISERROR(VLOOKUP(C3244,ABBR!A:D,1,FALSE))),"")</f>
        <v/>
      </c>
      <c r="P3244" t="str">
        <f>VLOOKUP(A3244,Groups!A:L,5,FALSE)</f>
        <v>RESG</v>
      </c>
      <c r="Q3244" s="62" t="str">
        <f>IF(G3244="PA",IF(M3244&lt;&gt;"",ISERROR(VLOOKUP(M3244,ABBR!C:F,1,FALSE)),ISERROR(VLOOKUP(E3244,ABBR!C:F,1,FALSE))),"")</f>
        <v/>
      </c>
    </row>
    <row r="3245" spans="1:17" s="62" customFormat="1" hidden="1" x14ac:dyDescent="0.25">
      <c r="A3245" s="16" t="s">
        <v>380</v>
      </c>
      <c r="B3245" s="17" t="s">
        <v>594</v>
      </c>
      <c r="C3245" s="16" t="s">
        <v>595</v>
      </c>
      <c r="D3245" s="17"/>
      <c r="E3245" s="17" t="s">
        <v>596</v>
      </c>
      <c r="F3245" s="18" t="s">
        <v>597</v>
      </c>
      <c r="G3245" s="49" t="s">
        <v>598</v>
      </c>
      <c r="H3245" s="17">
        <v>1</v>
      </c>
      <c r="I3245" s="30"/>
      <c r="J3245"/>
      <c r="K3245"/>
      <c r="L3245"/>
      <c r="M3245"/>
      <c r="N3245"/>
      <c r="O3245" s="62" t="str">
        <f>IF(E3245="PA",IF(K3245&lt;&gt;"",ISERROR(VLOOKUP(K3245,ABBR!A:D,1,FALSE)),ISERROR(VLOOKUP(C3245,ABBR!A:D,1,FALSE))),"")</f>
        <v/>
      </c>
      <c r="P3245" t="str">
        <f>VLOOKUP(A3245,Groups!A:L,5,FALSE)</f>
        <v>SAMP</v>
      </c>
      <c r="Q3245" s="62" t="str">
        <f>IF(G3245="PA",IF(M3245&lt;&gt;"",ISERROR(VLOOKUP(M3245,ABBR!C:F,1,FALSE)),ISERROR(VLOOKUP(E3245,ABBR!C:F,1,FALSE))),"")</f>
        <v/>
      </c>
    </row>
    <row r="3246" spans="1:17" s="62" customFormat="1" hidden="1" x14ac:dyDescent="0.25">
      <c r="A3246" s="16" t="s">
        <v>380</v>
      </c>
      <c r="B3246" s="17" t="s">
        <v>594</v>
      </c>
      <c r="C3246" s="16" t="s">
        <v>851</v>
      </c>
      <c r="D3246" s="17" t="s">
        <v>600</v>
      </c>
      <c r="E3246" s="17" t="s">
        <v>601</v>
      </c>
      <c r="F3246" s="18" t="s">
        <v>852</v>
      </c>
      <c r="G3246" s="49" t="s">
        <v>853</v>
      </c>
      <c r="H3246" s="17">
        <v>2</v>
      </c>
      <c r="I3246" s="30"/>
      <c r="J3246"/>
      <c r="K3246"/>
      <c r="L3246"/>
      <c r="M3246"/>
      <c r="N3246"/>
      <c r="O3246" s="62" t="str">
        <f>IF(E3246="PA",IF(K3246&lt;&gt;"",ISERROR(VLOOKUP(K3246,ABBR!A:D,1,FALSE)),ISERROR(VLOOKUP(C3246,ABBR!A:D,1,FALSE))),"")</f>
        <v/>
      </c>
      <c r="P3246" t="str">
        <f>VLOOKUP(A3246,Groups!A:L,5,FALSE)</f>
        <v>SAMP</v>
      </c>
      <c r="Q3246" s="62" t="str">
        <f>IF(G3246="PA",IF(M3246&lt;&gt;"",ISERROR(VLOOKUP(M3246,ABBR!C:F,1,FALSE)),ISERROR(VLOOKUP(E3246,ABBR!C:F,1,FALSE))),"")</f>
        <v/>
      </c>
    </row>
    <row r="3247" spans="1:17" s="62" customFormat="1" hidden="1" x14ac:dyDescent="0.25">
      <c r="A3247" s="16" t="s">
        <v>380</v>
      </c>
      <c r="B3247" s="17" t="s">
        <v>594</v>
      </c>
      <c r="C3247" s="16" t="s">
        <v>854</v>
      </c>
      <c r="D3247" s="17"/>
      <c r="E3247" s="17" t="s">
        <v>608</v>
      </c>
      <c r="F3247" s="18" t="s">
        <v>855</v>
      </c>
      <c r="G3247" s="49" t="s">
        <v>941</v>
      </c>
      <c r="H3247" s="17">
        <v>3</v>
      </c>
      <c r="I3247" s="30"/>
      <c r="J3247"/>
      <c r="K3247"/>
      <c r="L3247"/>
      <c r="M3247"/>
      <c r="N3247"/>
      <c r="O3247" s="62" t="str">
        <f>IF(E3247="PA",IF(K3247&lt;&gt;"",ISERROR(VLOOKUP(K3247,ABBR!A:D,1,FALSE)),ISERROR(VLOOKUP(C3247,ABBR!A:D,1,FALSE))),"")</f>
        <v/>
      </c>
      <c r="P3247" t="str">
        <f>VLOOKUP(A3247,Groups!A:L,5,FALSE)</f>
        <v>SAMP</v>
      </c>
      <c r="Q3247" s="62" t="str">
        <f>IF(G3247="PA",IF(M3247&lt;&gt;"",ISERROR(VLOOKUP(M3247,ABBR!C:F,1,FALSE)),ISERROR(VLOOKUP(E3247,ABBR!C:F,1,FALSE))),"")</f>
        <v/>
      </c>
    </row>
    <row r="3248" spans="1:17" s="62" customFormat="1" hidden="1" x14ac:dyDescent="0.25">
      <c r="A3248" s="16" t="s">
        <v>380</v>
      </c>
      <c r="B3248" s="17" t="s">
        <v>594</v>
      </c>
      <c r="C3248" s="16" t="s">
        <v>857</v>
      </c>
      <c r="D3248" s="17"/>
      <c r="E3248" s="17" t="s">
        <v>618</v>
      </c>
      <c r="F3248" s="18" t="s">
        <v>858</v>
      </c>
      <c r="G3248" s="49" t="s">
        <v>3547</v>
      </c>
      <c r="H3248" s="17">
        <v>4</v>
      </c>
      <c r="I3248" s="30"/>
      <c r="J3248"/>
      <c r="K3248"/>
      <c r="L3248"/>
      <c r="M3248"/>
      <c r="N3248"/>
      <c r="O3248" s="62" t="b">
        <f>IF(E3248="PA",IF(K3248&lt;&gt;"",ISERROR(VLOOKUP(K3248,ABBR!A:D,1,FALSE)),ISERROR(VLOOKUP(C3248,ABBR!A:D,1,FALSE))),"")</f>
        <v>0</v>
      </c>
      <c r="P3248" t="str">
        <f>VLOOKUP(A3248,Groups!A:L,5,FALSE)</f>
        <v>SAMP</v>
      </c>
      <c r="Q3248" s="62" t="str">
        <f>IF(G3248="PA",IF(M3248&lt;&gt;"",ISERROR(VLOOKUP(M3248,ABBR!C:F,1,FALSE)),ISERROR(VLOOKUP(E3248,ABBR!C:F,1,FALSE))),"")</f>
        <v/>
      </c>
    </row>
    <row r="3249" spans="1:17" s="62" customFormat="1" hidden="1" x14ac:dyDescent="0.25">
      <c r="A3249" s="16" t="s">
        <v>380</v>
      </c>
      <c r="B3249" s="17" t="s">
        <v>594</v>
      </c>
      <c r="C3249" s="16" t="s">
        <v>860</v>
      </c>
      <c r="D3249" s="17"/>
      <c r="E3249" s="17" t="s">
        <v>596</v>
      </c>
      <c r="F3249" s="18" t="s">
        <v>942</v>
      </c>
      <c r="G3249" s="49" t="s">
        <v>862</v>
      </c>
      <c r="H3249" s="17">
        <v>5</v>
      </c>
      <c r="I3249" s="30"/>
      <c r="J3249"/>
      <c r="K3249"/>
      <c r="L3249"/>
      <c r="M3249"/>
      <c r="N3249"/>
      <c r="O3249" s="62" t="str">
        <f>IF(E3249="PA",IF(K3249&lt;&gt;"",ISERROR(VLOOKUP(K3249,ABBR!A:D,1,FALSE)),ISERROR(VLOOKUP(C3249,ABBR!A:D,1,FALSE))),"")</f>
        <v/>
      </c>
      <c r="P3249" t="str">
        <f>VLOOKUP(A3249,Groups!A:L,5,FALSE)</f>
        <v>SAMP</v>
      </c>
      <c r="Q3249" s="62" t="str">
        <f>IF(G3249="PA",IF(M3249&lt;&gt;"",ISERROR(VLOOKUP(M3249,ABBR!C:F,1,FALSE)),ISERROR(VLOOKUP(E3249,ABBR!C:F,1,FALSE))),"")</f>
        <v/>
      </c>
    </row>
    <row r="3250" spans="1:17" s="62" customFormat="1" hidden="1" x14ac:dyDescent="0.25">
      <c r="A3250" s="16" t="s">
        <v>380</v>
      </c>
      <c r="B3250" s="17" t="s">
        <v>594</v>
      </c>
      <c r="C3250" s="16" t="s">
        <v>863</v>
      </c>
      <c r="D3250" s="17"/>
      <c r="E3250" s="17" t="s">
        <v>608</v>
      </c>
      <c r="F3250" s="18" t="s">
        <v>864</v>
      </c>
      <c r="G3250" s="49" t="s">
        <v>865</v>
      </c>
      <c r="H3250" s="17">
        <v>6</v>
      </c>
      <c r="I3250" s="30"/>
      <c r="J3250"/>
      <c r="K3250"/>
      <c r="L3250"/>
      <c r="M3250"/>
      <c r="N3250"/>
      <c r="O3250" s="62" t="str">
        <f>IF(E3250="PA",IF(K3250&lt;&gt;"",ISERROR(VLOOKUP(K3250,ABBR!A:D,1,FALSE)),ISERROR(VLOOKUP(C3250,ABBR!A:D,1,FALSE))),"")</f>
        <v/>
      </c>
      <c r="P3250" t="str">
        <f>VLOOKUP(A3250,Groups!A:L,5,FALSE)</f>
        <v>SAMP</v>
      </c>
      <c r="Q3250" s="62" t="str">
        <f>IF(G3250="PA",IF(M3250&lt;&gt;"",ISERROR(VLOOKUP(M3250,ABBR!C:F,1,FALSE)),ISERROR(VLOOKUP(E3250,ABBR!C:F,1,FALSE))),"")</f>
        <v/>
      </c>
    </row>
    <row r="3251" spans="1:17" s="62" customFormat="1" hidden="1" x14ac:dyDescent="0.25">
      <c r="A3251" s="16" t="s">
        <v>380</v>
      </c>
      <c r="B3251" s="17" t="s">
        <v>594</v>
      </c>
      <c r="C3251" s="16" t="s">
        <v>866</v>
      </c>
      <c r="D3251" s="17" t="s">
        <v>600</v>
      </c>
      <c r="E3251" s="17" t="s">
        <v>601</v>
      </c>
      <c r="F3251" s="18" t="s">
        <v>867</v>
      </c>
      <c r="G3251" s="49" t="s">
        <v>853</v>
      </c>
      <c r="H3251" s="17">
        <v>7</v>
      </c>
      <c r="I3251" s="30"/>
      <c r="J3251"/>
      <c r="K3251"/>
      <c r="L3251"/>
      <c r="M3251"/>
      <c r="N3251"/>
      <c r="O3251" s="62" t="str">
        <f>IF(E3251="PA",IF(K3251&lt;&gt;"",ISERROR(VLOOKUP(K3251,ABBR!A:D,1,FALSE)),ISERROR(VLOOKUP(C3251,ABBR!A:D,1,FALSE))),"")</f>
        <v/>
      </c>
      <c r="P3251" t="str">
        <f>VLOOKUP(A3251,Groups!A:L,5,FALSE)</f>
        <v>SAMP</v>
      </c>
      <c r="Q3251" s="62" t="str">
        <f>IF(G3251="PA",IF(M3251&lt;&gt;"",ISERROR(VLOOKUP(M3251,ABBR!C:F,1,FALSE)),ISERROR(VLOOKUP(E3251,ABBR!C:F,1,FALSE))),"")</f>
        <v/>
      </c>
    </row>
    <row r="3252" spans="1:17" s="62" customFormat="1" hidden="1" x14ac:dyDescent="0.25">
      <c r="A3252" s="16" t="s">
        <v>380</v>
      </c>
      <c r="B3252" s="17"/>
      <c r="C3252" s="16" t="s">
        <v>868</v>
      </c>
      <c r="D3252" s="17"/>
      <c r="E3252" s="17" t="s">
        <v>608</v>
      </c>
      <c r="F3252" s="18" t="s">
        <v>869</v>
      </c>
      <c r="G3252" s="51" t="s">
        <v>3265</v>
      </c>
      <c r="H3252" s="17">
        <v>8</v>
      </c>
      <c r="I3252" s="30"/>
      <c r="J3252"/>
      <c r="K3252"/>
      <c r="L3252"/>
      <c r="M3252"/>
      <c r="N3252"/>
      <c r="O3252" s="62" t="str">
        <f>IF(E3252="PA",IF(K3252&lt;&gt;"",ISERROR(VLOOKUP(K3252,ABBR!A:D,1,FALSE)),ISERROR(VLOOKUP(C3252,ABBR!A:D,1,FALSE))),"")</f>
        <v/>
      </c>
      <c r="P3252" t="str">
        <f>VLOOKUP(A3252,Groups!A:L,5,FALSE)</f>
        <v>SAMP</v>
      </c>
      <c r="Q3252" s="62" t="str">
        <f>IF(G3252="PA",IF(M3252&lt;&gt;"",ISERROR(VLOOKUP(M3252,ABBR!C:F,1,FALSE)),ISERROR(VLOOKUP(E3252,ABBR!C:F,1,FALSE))),"")</f>
        <v/>
      </c>
    </row>
    <row r="3253" spans="1:17" s="62" customFormat="1" ht="25" hidden="1" x14ac:dyDescent="0.25">
      <c r="A3253" s="16" t="s">
        <v>380</v>
      </c>
      <c r="B3253" s="17"/>
      <c r="C3253" s="16" t="s">
        <v>871</v>
      </c>
      <c r="D3253" s="17"/>
      <c r="E3253" s="17" t="s">
        <v>608</v>
      </c>
      <c r="F3253" s="18" t="s">
        <v>872</v>
      </c>
      <c r="G3253" s="49" t="s">
        <v>873</v>
      </c>
      <c r="H3253" s="17">
        <v>9</v>
      </c>
      <c r="I3253" s="30"/>
      <c r="J3253"/>
      <c r="K3253"/>
      <c r="L3253"/>
      <c r="M3253"/>
      <c r="N3253"/>
      <c r="O3253" s="62" t="str">
        <f>IF(E3253="PA",IF(K3253&lt;&gt;"",ISERROR(VLOOKUP(K3253,ABBR!A:D,1,FALSE)),ISERROR(VLOOKUP(C3253,ABBR!A:D,1,FALSE))),"")</f>
        <v/>
      </c>
      <c r="P3253" t="str">
        <f>VLOOKUP(A3253,Groups!A:L,5,FALSE)</f>
        <v>SAMP</v>
      </c>
      <c r="Q3253" s="62" t="str">
        <f>IF(G3253="PA",IF(M3253&lt;&gt;"",ISERROR(VLOOKUP(M3253,ABBR!C:F,1,FALSE)),ISERROR(VLOOKUP(E3253,ABBR!C:F,1,FALSE))),"")</f>
        <v/>
      </c>
    </row>
    <row r="3254" spans="1:17" s="62" customFormat="1" hidden="1" x14ac:dyDescent="0.25">
      <c r="A3254" s="16" t="s">
        <v>380</v>
      </c>
      <c r="B3254" s="17"/>
      <c r="C3254" s="16" t="s">
        <v>5326</v>
      </c>
      <c r="D3254" s="17" t="s">
        <v>1710</v>
      </c>
      <c r="E3254" s="17" t="s">
        <v>882</v>
      </c>
      <c r="F3254" s="18" t="s">
        <v>3274</v>
      </c>
      <c r="G3254" s="49" t="s">
        <v>3275</v>
      </c>
      <c r="H3254" s="17">
        <v>10</v>
      </c>
      <c r="I3254" s="30" t="s">
        <v>5327</v>
      </c>
      <c r="J3254" s="96" t="s">
        <v>1279</v>
      </c>
      <c r="K3254"/>
      <c r="L3254"/>
      <c r="M3254"/>
      <c r="N3254"/>
      <c r="O3254" s="62" t="str">
        <f>IF(E3254="PA",IF(K3254&lt;&gt;"",ISERROR(VLOOKUP(K3254,ABBR!A:D,1,FALSE)),ISERROR(VLOOKUP(C3254,ABBR!A:D,1,FALSE))),"")</f>
        <v/>
      </c>
      <c r="P3254" t="str">
        <f>VLOOKUP(A3254,Groups!A:L,5,FALSE)</f>
        <v>SAMP</v>
      </c>
      <c r="Q3254" s="62" t="str">
        <f>IF(G3254="PA",IF(M3254&lt;&gt;"",ISERROR(VLOOKUP(M3254,ABBR!C:F,1,FALSE)),ISERROR(VLOOKUP(E3254,ABBR!C:F,1,FALSE))),"")</f>
        <v/>
      </c>
    </row>
    <row r="3255" spans="1:17" s="62" customFormat="1" hidden="1" x14ac:dyDescent="0.25">
      <c r="A3255" s="16" t="s">
        <v>380</v>
      </c>
      <c r="B3255" s="17"/>
      <c r="C3255" s="16" t="s">
        <v>5328</v>
      </c>
      <c r="D3255" s="17" t="s">
        <v>1710</v>
      </c>
      <c r="E3255" s="17" t="s">
        <v>882</v>
      </c>
      <c r="F3255" s="18" t="s">
        <v>3277</v>
      </c>
      <c r="G3255" s="49" t="s">
        <v>3098</v>
      </c>
      <c r="H3255" s="17">
        <v>11</v>
      </c>
      <c r="I3255" s="30" t="s">
        <v>5327</v>
      </c>
      <c r="J3255" s="96" t="s">
        <v>1279</v>
      </c>
      <c r="K3255"/>
      <c r="L3255"/>
      <c r="M3255"/>
      <c r="N3255"/>
      <c r="O3255" s="62" t="str">
        <f>IF(E3255="PA",IF(K3255&lt;&gt;"",ISERROR(VLOOKUP(K3255,ABBR!A:D,1,FALSE)),ISERROR(VLOOKUP(C3255,ABBR!A:D,1,FALSE))),"")</f>
        <v/>
      </c>
      <c r="P3255" t="str">
        <f>VLOOKUP(A3255,Groups!A:L,5,FALSE)</f>
        <v>SAMP</v>
      </c>
      <c r="Q3255" s="62" t="str">
        <f>IF(G3255="PA",IF(M3255&lt;&gt;"",ISERROR(VLOOKUP(M3255,ABBR!C:F,1,FALSE)),ISERROR(VLOOKUP(E3255,ABBR!C:F,1,FALSE))),"")</f>
        <v/>
      </c>
    </row>
    <row r="3256" spans="1:17" s="62" customFormat="1" hidden="1" x14ac:dyDescent="0.25">
      <c r="A3256" s="16" t="s">
        <v>380</v>
      </c>
      <c r="B3256" s="17"/>
      <c r="C3256" s="16" t="s">
        <v>5329</v>
      </c>
      <c r="D3256" s="17"/>
      <c r="E3256" s="17" t="s">
        <v>618</v>
      </c>
      <c r="F3256" s="18" t="s">
        <v>3271</v>
      </c>
      <c r="G3256" s="49" t="s">
        <v>3272</v>
      </c>
      <c r="H3256" s="17">
        <v>12</v>
      </c>
      <c r="I3256" s="30"/>
      <c r="J3256"/>
      <c r="K3256"/>
      <c r="L3256"/>
      <c r="M3256"/>
      <c r="N3256"/>
      <c r="O3256" s="62" t="b">
        <f>IF(E3256="PA",IF(K3256&lt;&gt;"",ISERROR(VLOOKUP(K3256,ABBR!A:D,1,FALSE)),ISERROR(VLOOKUP(C3256,ABBR!A:D,1,FALSE))),"")</f>
        <v>0</v>
      </c>
      <c r="P3256" t="str">
        <f>VLOOKUP(A3256,Groups!A:L,5,FALSE)</f>
        <v>SAMP</v>
      </c>
      <c r="Q3256" s="62" t="str">
        <f>IF(G3256="PA",IF(M3256&lt;&gt;"",ISERROR(VLOOKUP(M3256,ABBR!C:F,1,FALSE)),ISERROR(VLOOKUP(E3256,ABBR!C:F,1,FALSE))),"")</f>
        <v/>
      </c>
    </row>
    <row r="3257" spans="1:17" s="62" customFormat="1" hidden="1" x14ac:dyDescent="0.25">
      <c r="A3257" s="16" t="s">
        <v>380</v>
      </c>
      <c r="B3257" s="17"/>
      <c r="C3257" s="16" t="s">
        <v>5330</v>
      </c>
      <c r="D3257" s="17" t="s">
        <v>766</v>
      </c>
      <c r="E3257" s="17" t="s">
        <v>723</v>
      </c>
      <c r="F3257" s="18" t="s">
        <v>5331</v>
      </c>
      <c r="G3257" s="49" t="s">
        <v>1489</v>
      </c>
      <c r="H3257" s="17">
        <v>13</v>
      </c>
      <c r="I3257" s="30"/>
      <c r="J3257"/>
      <c r="K3257"/>
      <c r="L3257"/>
      <c r="M3257"/>
      <c r="N3257"/>
      <c r="O3257" s="62" t="str">
        <f>IF(E3257="PA",IF(K3257&lt;&gt;"",ISERROR(VLOOKUP(K3257,ABBR!A:D,1,FALSE)),ISERROR(VLOOKUP(C3257,ABBR!A:D,1,FALSE))),"")</f>
        <v/>
      </c>
      <c r="P3257" t="str">
        <f>VLOOKUP(A3257,Groups!A:L,5,FALSE)</f>
        <v>SAMP</v>
      </c>
      <c r="Q3257" s="62" t="str">
        <f>IF(G3257="PA",IF(M3257&lt;&gt;"",ISERROR(VLOOKUP(M3257,ABBR!C:F,1,FALSE)),ISERROR(VLOOKUP(E3257,ABBR!C:F,1,FALSE))),"")</f>
        <v/>
      </c>
    </row>
    <row r="3258" spans="1:17" s="62" customFormat="1" hidden="1" x14ac:dyDescent="0.25">
      <c r="A3258" s="16" t="s">
        <v>380</v>
      </c>
      <c r="B3258" s="17"/>
      <c r="C3258" s="16" t="s">
        <v>5332</v>
      </c>
      <c r="D3258" s="17"/>
      <c r="E3258" s="17" t="s">
        <v>608</v>
      </c>
      <c r="F3258" s="18" t="s">
        <v>642</v>
      </c>
      <c r="G3258" s="49" t="s">
        <v>3281</v>
      </c>
      <c r="H3258" s="17">
        <v>14</v>
      </c>
      <c r="I3258" s="30"/>
      <c r="J3258"/>
      <c r="K3258"/>
      <c r="L3258"/>
      <c r="M3258"/>
      <c r="N3258"/>
      <c r="O3258" s="62" t="str">
        <f>IF(E3258="PA",IF(K3258&lt;&gt;"",ISERROR(VLOOKUP(K3258,ABBR!A:D,1,FALSE)),ISERROR(VLOOKUP(C3258,ABBR!A:D,1,FALSE))),"")</f>
        <v/>
      </c>
      <c r="P3258" t="str">
        <f>VLOOKUP(A3258,Groups!A:L,5,FALSE)</f>
        <v>SAMP</v>
      </c>
      <c r="Q3258" s="62" t="str">
        <f>IF(G3258="PA",IF(M3258&lt;&gt;"",ISERROR(VLOOKUP(M3258,ABBR!C:F,1,FALSE)),ISERROR(VLOOKUP(E3258,ABBR!C:F,1,FALSE))),"")</f>
        <v/>
      </c>
    </row>
    <row r="3259" spans="1:17" s="62" customFormat="1" ht="87.5" hidden="1" x14ac:dyDescent="0.25">
      <c r="A3259" s="16" t="s">
        <v>380</v>
      </c>
      <c r="B3259" s="17"/>
      <c r="C3259" s="16" t="s">
        <v>5333</v>
      </c>
      <c r="D3259" s="17"/>
      <c r="E3259" s="17" t="s">
        <v>608</v>
      </c>
      <c r="F3259" s="18" t="s">
        <v>918</v>
      </c>
      <c r="G3259" s="49" t="s">
        <v>3283</v>
      </c>
      <c r="H3259" s="17">
        <v>15</v>
      </c>
      <c r="I3259" s="30"/>
      <c r="J3259"/>
      <c r="K3259"/>
      <c r="L3259"/>
      <c r="M3259"/>
      <c r="N3259"/>
      <c r="O3259" s="62" t="str">
        <f>IF(E3259="PA",IF(K3259&lt;&gt;"",ISERROR(VLOOKUP(K3259,ABBR!A:D,1,FALSE)),ISERROR(VLOOKUP(C3259,ABBR!A:D,1,FALSE))),"")</f>
        <v/>
      </c>
      <c r="P3259" t="str">
        <f>VLOOKUP(A3259,Groups!A:L,5,FALSE)</f>
        <v>SAMP</v>
      </c>
      <c r="Q3259" s="62" t="str">
        <f>IF(G3259="PA",IF(M3259&lt;&gt;"",ISERROR(VLOOKUP(M3259,ABBR!C:F,1,FALSE)),ISERROR(VLOOKUP(E3259,ABBR!C:F,1,FALSE))),"")</f>
        <v/>
      </c>
    </row>
    <row r="3260" spans="1:17" s="62" customFormat="1" hidden="1" x14ac:dyDescent="0.25">
      <c r="A3260" s="16" t="s">
        <v>380</v>
      </c>
      <c r="B3260" s="17"/>
      <c r="C3260" s="16" t="s">
        <v>5334</v>
      </c>
      <c r="D3260" s="17"/>
      <c r="E3260" s="17" t="s">
        <v>608</v>
      </c>
      <c r="F3260" s="18" t="s">
        <v>950</v>
      </c>
      <c r="G3260" s="27" t="s">
        <v>951</v>
      </c>
      <c r="H3260" s="17">
        <v>16</v>
      </c>
      <c r="I3260" s="30"/>
      <c r="J3260"/>
      <c r="K3260"/>
      <c r="L3260"/>
      <c r="M3260"/>
      <c r="N3260"/>
      <c r="O3260" s="62" t="str">
        <f>IF(E3260="PA",IF(K3260&lt;&gt;"",ISERROR(VLOOKUP(K3260,ABBR!A:D,1,FALSE)),ISERROR(VLOOKUP(C3260,ABBR!A:D,1,FALSE))),"")</f>
        <v/>
      </c>
      <c r="P3260" t="str">
        <f>VLOOKUP(A3260,Groups!A:L,5,FALSE)</f>
        <v>SAMP</v>
      </c>
      <c r="Q3260" s="62" t="str">
        <f>IF(G3260="PA",IF(M3260&lt;&gt;"",ISERROR(VLOOKUP(M3260,ABBR!C:F,1,FALSE)),ISERROR(VLOOKUP(E3260,ABBR!C:F,1,FALSE))),"")</f>
        <v/>
      </c>
    </row>
    <row r="3261" spans="1:17" s="62" customFormat="1" ht="25" hidden="1" x14ac:dyDescent="0.25">
      <c r="A3261" s="16" t="s">
        <v>380</v>
      </c>
      <c r="B3261" s="17"/>
      <c r="C3261" s="16" t="s">
        <v>5335</v>
      </c>
      <c r="D3261" s="17"/>
      <c r="E3261" s="17" t="s">
        <v>608</v>
      </c>
      <c r="F3261" s="18" t="s">
        <v>934</v>
      </c>
      <c r="G3261" s="49" t="s">
        <v>953</v>
      </c>
      <c r="H3261" s="17">
        <v>17</v>
      </c>
      <c r="I3261" s="30"/>
      <c r="J3261"/>
      <c r="K3261"/>
      <c r="L3261"/>
      <c r="M3261"/>
      <c r="N3261"/>
      <c r="O3261" s="62" t="str">
        <f>IF(E3261="PA",IF(K3261&lt;&gt;"",ISERROR(VLOOKUP(K3261,ABBR!A:D,1,FALSE)),ISERROR(VLOOKUP(C3261,ABBR!A:D,1,FALSE))),"")</f>
        <v/>
      </c>
      <c r="P3261" t="str">
        <f>VLOOKUP(A3261,Groups!A:L,5,FALSE)</f>
        <v>SAMP</v>
      </c>
      <c r="Q3261" s="62" t="str">
        <f>IF(G3261="PA",IF(M3261&lt;&gt;"",ISERROR(VLOOKUP(M3261,ABBR!C:F,1,FALSE)),ISERROR(VLOOKUP(E3261,ABBR!C:F,1,FALSE))),"")</f>
        <v/>
      </c>
    </row>
    <row r="3262" spans="1:17" s="62" customFormat="1" hidden="1" x14ac:dyDescent="0.25">
      <c r="A3262" s="16" t="s">
        <v>380</v>
      </c>
      <c r="B3262" s="17"/>
      <c r="C3262" s="16" t="s">
        <v>936</v>
      </c>
      <c r="D3262" s="17"/>
      <c r="E3262" s="22" t="s">
        <v>608</v>
      </c>
      <c r="F3262" s="18" t="s">
        <v>937</v>
      </c>
      <c r="G3262" s="49" t="s">
        <v>938</v>
      </c>
      <c r="H3262" s="17">
        <v>18</v>
      </c>
      <c r="I3262" s="30"/>
      <c r="J3262"/>
      <c r="K3262"/>
      <c r="L3262"/>
      <c r="M3262"/>
      <c r="N3262"/>
      <c r="O3262" s="62" t="str">
        <f>IF(E3262="PA",IF(K3262&lt;&gt;"",ISERROR(VLOOKUP(K3262,ABBR!A:D,1,FALSE)),ISERROR(VLOOKUP(C3262,ABBR!A:D,1,FALSE))),"")</f>
        <v/>
      </c>
      <c r="P3262" t="str">
        <f>VLOOKUP(A3262,Groups!A:L,5,FALSE)</f>
        <v>SAMP</v>
      </c>
      <c r="Q3262" s="62" t="str">
        <f>IF(G3262="PA",IF(M3262&lt;&gt;"",ISERROR(VLOOKUP(M3262,ABBR!C:F,1,FALSE)),ISERROR(VLOOKUP(E3262,ABBR!C:F,1,FALSE))),"")</f>
        <v/>
      </c>
    </row>
    <row r="3263" spans="1:17" s="62" customFormat="1" hidden="1" x14ac:dyDescent="0.25">
      <c r="A3263" s="16" t="s">
        <v>380</v>
      </c>
      <c r="B3263" s="17"/>
      <c r="C3263" s="16" t="s">
        <v>643</v>
      </c>
      <c r="D3263" s="17"/>
      <c r="E3263" s="17" t="s">
        <v>608</v>
      </c>
      <c r="F3263" s="18" t="s">
        <v>954</v>
      </c>
      <c r="G3263" s="49" t="s">
        <v>940</v>
      </c>
      <c r="H3263" s="17">
        <v>19</v>
      </c>
      <c r="I3263" s="30"/>
      <c r="J3263"/>
      <c r="K3263"/>
      <c r="L3263"/>
      <c r="M3263"/>
      <c r="N3263"/>
      <c r="O3263" s="62" t="str">
        <f>IF(E3263="PA",IF(K3263&lt;&gt;"",ISERROR(VLOOKUP(K3263,ABBR!A:D,1,FALSE)),ISERROR(VLOOKUP(C3263,ABBR!A:D,1,FALSE))),"")</f>
        <v/>
      </c>
      <c r="P3263" t="str">
        <f>VLOOKUP(A3263,Groups!A:L,5,FALSE)</f>
        <v>SAMP</v>
      </c>
      <c r="Q3263" s="62" t="str">
        <f>IF(G3263="PA",IF(M3263&lt;&gt;"",ISERROR(VLOOKUP(M3263,ABBR!C:F,1,FALSE)),ISERROR(VLOOKUP(E3263,ABBR!C:F,1,FALSE))),"")</f>
        <v/>
      </c>
    </row>
    <row r="3264" spans="1:17" s="62" customFormat="1" hidden="1" x14ac:dyDescent="0.25">
      <c r="A3264" s="16" t="s">
        <v>380</v>
      </c>
      <c r="B3264" s="17"/>
      <c r="C3264" s="16" t="s">
        <v>877</v>
      </c>
      <c r="D3264" s="17" t="s">
        <v>600</v>
      </c>
      <c r="E3264" s="17" t="s">
        <v>601</v>
      </c>
      <c r="F3264" s="18" t="s">
        <v>878</v>
      </c>
      <c r="G3264" s="49" t="s">
        <v>879</v>
      </c>
      <c r="H3264" s="17">
        <v>20</v>
      </c>
      <c r="I3264" s="30" t="s">
        <v>955</v>
      </c>
      <c r="J3264" s="80">
        <v>4.0999999999999996</v>
      </c>
      <c r="K3264"/>
      <c r="L3264"/>
      <c r="M3264"/>
      <c r="N3264"/>
      <c r="O3264" s="62" t="str">
        <f>IF(E3264="PA",IF(K3264&lt;&gt;"",ISERROR(VLOOKUP(K3264,ABBR!A:D,1,FALSE)),ISERROR(VLOOKUP(C3264,ABBR!A:D,1,FALSE))),"")</f>
        <v/>
      </c>
      <c r="P3264" t="str">
        <f>VLOOKUP(A3264,Groups!A:L,5,FALSE)</f>
        <v>SAMP</v>
      </c>
      <c r="Q3264" s="62" t="str">
        <f>IF(G3264="PA",IF(M3264&lt;&gt;"",ISERROR(VLOOKUP(M3264,ABBR!C:F,1,FALSE)),ISERROR(VLOOKUP(E3264,ABBR!C:F,1,FALSE))),"")</f>
        <v/>
      </c>
    </row>
    <row r="3265" spans="1:17" s="62" customFormat="1" hidden="1" x14ac:dyDescent="0.25">
      <c r="A3265" s="16" t="s">
        <v>380</v>
      </c>
      <c r="B3265" s="17"/>
      <c r="C3265" s="16" t="s">
        <v>5336</v>
      </c>
      <c r="D3265" s="17"/>
      <c r="E3265" s="17" t="s">
        <v>608</v>
      </c>
      <c r="F3265" s="18" t="s">
        <v>921</v>
      </c>
      <c r="G3265" s="94" t="s">
        <v>922</v>
      </c>
      <c r="H3265" s="17">
        <v>21</v>
      </c>
      <c r="I3265" s="30" t="s">
        <v>955</v>
      </c>
      <c r="J3265" s="80">
        <v>4.0999999999999996</v>
      </c>
      <c r="K3265"/>
      <c r="L3265"/>
      <c r="M3265" s="101"/>
      <c r="N3265"/>
      <c r="O3265" s="62" t="str">
        <f>IF(E3265="PA",IF(K3265&lt;&gt;"",ISERROR(VLOOKUP(K3265,ABBR!A:D,1,FALSE)),ISERROR(VLOOKUP(C3265,ABBR!A:D,1,FALSE))),"")</f>
        <v/>
      </c>
      <c r="P3265" t="str">
        <f>VLOOKUP(A3265,Groups!A:L,5,FALSE)</f>
        <v>SAMP</v>
      </c>
      <c r="Q3265" s="62" t="str">
        <f>IF(G3265="PA",IF(M3265&lt;&gt;"",ISERROR(VLOOKUP(M3265,ABBR!C:F,1,FALSE)),ISERROR(VLOOKUP(E3265,ABBR!C:F,1,FALSE))),"")</f>
        <v/>
      </c>
    </row>
    <row r="3266" spans="1:17" s="62" customFormat="1" hidden="1" x14ac:dyDescent="0.25">
      <c r="A3266" s="16" t="s">
        <v>380</v>
      </c>
      <c r="B3266" s="17"/>
      <c r="C3266" s="16" t="s">
        <v>5337</v>
      </c>
      <c r="D3266" s="17"/>
      <c r="E3266" s="17" t="s">
        <v>618</v>
      </c>
      <c r="F3266" s="18" t="s">
        <v>3268</v>
      </c>
      <c r="G3266" s="49" t="s">
        <v>3269</v>
      </c>
      <c r="H3266" s="17">
        <v>22</v>
      </c>
      <c r="I3266" s="30"/>
      <c r="J3266" s="62" t="s">
        <v>473</v>
      </c>
      <c r="O3266" s="62" t="b">
        <f>IF(E3266="PA",IF(K3266&lt;&gt;"",ISERROR(VLOOKUP(K3266,ABBR!A:D,1,FALSE)),ISERROR(VLOOKUP(C3266,ABBR!A:D,1,FALSE))),"")</f>
        <v>0</v>
      </c>
      <c r="P3266" t="str">
        <f>VLOOKUP(A3266,Groups!A:L,5,FALSE)</f>
        <v>SAMP</v>
      </c>
      <c r="Q3266" s="62" t="str">
        <f>IF(G3266="PA",IF(M3266&lt;&gt;"",ISERROR(VLOOKUP(M3266,ABBR!C:F,1,FALSE)),ISERROR(VLOOKUP(E3266,ABBR!C:F,1,FALSE))),"")</f>
        <v/>
      </c>
    </row>
    <row r="3267" spans="1:17" s="62" customFormat="1" hidden="1" x14ac:dyDescent="0.25">
      <c r="A3267" s="16" t="s">
        <v>380</v>
      </c>
      <c r="B3267" s="17"/>
      <c r="C3267" s="16" t="s">
        <v>5338</v>
      </c>
      <c r="D3267" s="17" t="s">
        <v>924</v>
      </c>
      <c r="E3267" s="17" t="s">
        <v>925</v>
      </c>
      <c r="F3267" s="18" t="s">
        <v>926</v>
      </c>
      <c r="G3267" s="49" t="s">
        <v>927</v>
      </c>
      <c r="H3267" s="17">
        <v>23</v>
      </c>
      <c r="I3267" s="30"/>
      <c r="J3267" s="62" t="s">
        <v>473</v>
      </c>
      <c r="O3267" s="62" t="str">
        <f>IF(E3267="PA",IF(K3267&lt;&gt;"",ISERROR(VLOOKUP(K3267,ABBR!A:D,1,FALSE)),ISERROR(VLOOKUP(C3267,ABBR!A:D,1,FALSE))),"")</f>
        <v/>
      </c>
      <c r="P3267" t="str">
        <f>VLOOKUP(A3267,Groups!A:L,5,FALSE)</f>
        <v>SAMP</v>
      </c>
      <c r="Q3267" s="62" t="str">
        <f>IF(G3267="PA",IF(M3267&lt;&gt;"",ISERROR(VLOOKUP(M3267,ABBR!C:F,1,FALSE)),ISERROR(VLOOKUP(E3267,ABBR!C:F,1,FALSE))),"")</f>
        <v/>
      </c>
    </row>
    <row r="3268" spans="1:17" s="62" customFormat="1" hidden="1" x14ac:dyDescent="0.25">
      <c r="A3268" s="16" t="s">
        <v>380</v>
      </c>
      <c r="B3268" s="17"/>
      <c r="C3268" s="16" t="s">
        <v>5339</v>
      </c>
      <c r="D3268" s="17"/>
      <c r="E3268" s="17" t="s">
        <v>608</v>
      </c>
      <c r="F3268" s="18" t="s">
        <v>875</v>
      </c>
      <c r="G3268" s="49" t="s">
        <v>876</v>
      </c>
      <c r="H3268" s="17">
        <v>24</v>
      </c>
      <c r="I3268" s="30"/>
      <c r="J3268" s="80" t="s">
        <v>473</v>
      </c>
      <c r="O3268" s="62" t="str">
        <f>IF(E3268="PA",IF(K3268&lt;&gt;"",ISERROR(VLOOKUP(K3268,ABBR!A:D,1,FALSE)),ISERROR(VLOOKUP(C3268,ABBR!A:D,1,FALSE))),"")</f>
        <v/>
      </c>
      <c r="P3268" t="str">
        <f>VLOOKUP(A3268,Groups!A:L,5,FALSE)</f>
        <v>SAMP</v>
      </c>
      <c r="Q3268" s="62" t="str">
        <f>IF(G3268="PA",IF(M3268&lt;&gt;"",ISERROR(VLOOKUP(M3268,ABBR!C:F,1,FALSE)),ISERROR(VLOOKUP(E3268,ABBR!C:F,1,FALSE))),"")</f>
        <v/>
      </c>
    </row>
    <row r="3269" spans="1:17" s="62" customFormat="1" hidden="1" x14ac:dyDescent="0.25">
      <c r="A3269" s="16" t="s">
        <v>380</v>
      </c>
      <c r="B3269" s="17"/>
      <c r="C3269" s="16" t="s">
        <v>5340</v>
      </c>
      <c r="D3269" s="17"/>
      <c r="E3269" s="17" t="s">
        <v>608</v>
      </c>
      <c r="F3269" s="18" t="s">
        <v>929</v>
      </c>
      <c r="G3269" s="49" t="s">
        <v>876</v>
      </c>
      <c r="H3269" s="17">
        <v>25</v>
      </c>
      <c r="I3269" s="30"/>
      <c r="J3269" s="80" t="s">
        <v>473</v>
      </c>
      <c r="O3269" s="62" t="str">
        <f>IF(E3269="PA",IF(K3269&lt;&gt;"",ISERROR(VLOOKUP(K3269,ABBR!A:D,1,FALSE)),ISERROR(VLOOKUP(C3269,ABBR!A:D,1,FALSE))),"")</f>
        <v/>
      </c>
      <c r="P3269" t="str">
        <f>VLOOKUP(A3269,Groups!A:L,5,FALSE)</f>
        <v>SAMP</v>
      </c>
      <c r="Q3269" s="62" t="str">
        <f>IF(G3269="PA",IF(M3269&lt;&gt;"",ISERROR(VLOOKUP(M3269,ABBR!C:F,1,FALSE)),ISERROR(VLOOKUP(E3269,ABBR!C:F,1,FALSE))),"")</f>
        <v/>
      </c>
    </row>
    <row r="3270" spans="1:17" s="62" customFormat="1" hidden="1" x14ac:dyDescent="0.25">
      <c r="A3270" s="16" t="s">
        <v>380</v>
      </c>
      <c r="B3270" s="17"/>
      <c r="C3270" s="16" t="s">
        <v>5341</v>
      </c>
      <c r="D3270" s="17"/>
      <c r="E3270" s="17" t="s">
        <v>767</v>
      </c>
      <c r="F3270" s="18" t="s">
        <v>3279</v>
      </c>
      <c r="G3270" s="49" t="s">
        <v>897</v>
      </c>
      <c r="H3270" s="17">
        <v>26</v>
      </c>
      <c r="I3270" s="30"/>
      <c r="J3270" s="80" t="s">
        <v>473</v>
      </c>
      <c r="K3270"/>
      <c r="L3270"/>
      <c r="M3270"/>
      <c r="N3270"/>
      <c r="O3270" s="62" t="str">
        <f>IF(E3270="PA",IF(K3270&lt;&gt;"",ISERROR(VLOOKUP(K3270,ABBR!A:D,1,FALSE)),ISERROR(VLOOKUP(C3270,ABBR!A:D,1,FALSE))),"")</f>
        <v/>
      </c>
      <c r="P3270" t="str">
        <f>VLOOKUP(A3270,Groups!A:L,5,FALSE)</f>
        <v>SAMP</v>
      </c>
      <c r="Q3270" s="62" t="str">
        <f>IF(G3270="PA",IF(M3270&lt;&gt;"",ISERROR(VLOOKUP(M3270,ABBR!C:F,1,FALSE)),ISERROR(VLOOKUP(E3270,ABBR!C:F,1,FALSE))),"")</f>
        <v/>
      </c>
    </row>
    <row r="3271" spans="1:17" s="62" customFormat="1" hidden="1" x14ac:dyDescent="0.25">
      <c r="A3271" s="16" t="s">
        <v>384</v>
      </c>
      <c r="B3271" s="17" t="s">
        <v>594</v>
      </c>
      <c r="C3271" s="16" t="s">
        <v>595</v>
      </c>
      <c r="D3271" s="17"/>
      <c r="E3271" s="17" t="s">
        <v>596</v>
      </c>
      <c r="F3271" s="18" t="s">
        <v>597</v>
      </c>
      <c r="G3271" s="49" t="s">
        <v>598</v>
      </c>
      <c r="H3271" s="17">
        <v>1</v>
      </c>
      <c r="I3271" s="30"/>
      <c r="J3271"/>
      <c r="K3271"/>
      <c r="L3271"/>
      <c r="M3271"/>
      <c r="N3271"/>
      <c r="O3271" s="62" t="str">
        <f>IF(E3271="PA",IF(K3271&lt;&gt;"",ISERROR(VLOOKUP(K3271,ABBR!A:D,1,FALSE)),ISERROR(VLOOKUP(C3271,ABBR!A:D,1,FALSE))),"")</f>
        <v/>
      </c>
      <c r="P3271" t="str">
        <f>VLOOKUP(A3271,Groups!A:L,5,FALSE)</f>
        <v>SAMP</v>
      </c>
      <c r="Q3271" s="62" t="str">
        <f>IF(G3271="PA",IF(M3271&lt;&gt;"",ISERROR(VLOOKUP(M3271,ABBR!C:F,1,FALSE)),ISERROR(VLOOKUP(E3271,ABBR!C:F,1,FALSE))),"")</f>
        <v/>
      </c>
    </row>
    <row r="3272" spans="1:17" s="62" customFormat="1" hidden="1" x14ac:dyDescent="0.25">
      <c r="A3272" s="16" t="s">
        <v>384</v>
      </c>
      <c r="B3272" s="17" t="s">
        <v>594</v>
      </c>
      <c r="C3272" s="16" t="s">
        <v>851</v>
      </c>
      <c r="D3272" s="17" t="s">
        <v>600</v>
      </c>
      <c r="E3272" s="17" t="s">
        <v>601</v>
      </c>
      <c r="F3272" s="18" t="s">
        <v>852</v>
      </c>
      <c r="G3272" s="49" t="s">
        <v>853</v>
      </c>
      <c r="H3272" s="17">
        <v>2</v>
      </c>
      <c r="I3272" s="30"/>
      <c r="J3272"/>
      <c r="K3272"/>
      <c r="L3272"/>
      <c r="M3272"/>
      <c r="N3272"/>
      <c r="O3272" s="62" t="str">
        <f>IF(E3272="PA",IF(K3272&lt;&gt;"",ISERROR(VLOOKUP(K3272,ABBR!A:D,1,FALSE)),ISERROR(VLOOKUP(C3272,ABBR!A:D,1,FALSE))),"")</f>
        <v/>
      </c>
      <c r="P3272" t="str">
        <f>VLOOKUP(A3272,Groups!A:L,5,FALSE)</f>
        <v>SAMP</v>
      </c>
      <c r="Q3272" s="62" t="str">
        <f>IF(G3272="PA",IF(M3272&lt;&gt;"",ISERROR(VLOOKUP(M3272,ABBR!C:F,1,FALSE)),ISERROR(VLOOKUP(E3272,ABBR!C:F,1,FALSE))),"")</f>
        <v/>
      </c>
    </row>
    <row r="3273" spans="1:17" s="62" customFormat="1" hidden="1" x14ac:dyDescent="0.25">
      <c r="A3273" s="16" t="s">
        <v>384</v>
      </c>
      <c r="B3273" s="17" t="s">
        <v>594</v>
      </c>
      <c r="C3273" s="16" t="s">
        <v>854</v>
      </c>
      <c r="D3273" s="17"/>
      <c r="E3273" s="17" t="s">
        <v>608</v>
      </c>
      <c r="F3273" s="18" t="s">
        <v>855</v>
      </c>
      <c r="G3273" s="49" t="s">
        <v>941</v>
      </c>
      <c r="H3273" s="17">
        <v>3</v>
      </c>
      <c r="I3273" s="30"/>
      <c r="J3273"/>
      <c r="K3273"/>
      <c r="L3273"/>
      <c r="M3273"/>
      <c r="N3273"/>
      <c r="O3273" s="62" t="str">
        <f>IF(E3273="PA",IF(K3273&lt;&gt;"",ISERROR(VLOOKUP(K3273,ABBR!A:D,1,FALSE)),ISERROR(VLOOKUP(C3273,ABBR!A:D,1,FALSE))),"")</f>
        <v/>
      </c>
      <c r="P3273" t="str">
        <f>VLOOKUP(A3273,Groups!A:L,5,FALSE)</f>
        <v>SAMP</v>
      </c>
      <c r="Q3273" s="62" t="str">
        <f>IF(G3273="PA",IF(M3273&lt;&gt;"",ISERROR(VLOOKUP(M3273,ABBR!C:F,1,FALSE)),ISERROR(VLOOKUP(E3273,ABBR!C:F,1,FALSE))),"")</f>
        <v/>
      </c>
    </row>
    <row r="3274" spans="1:17" s="62" customFormat="1" hidden="1" x14ac:dyDescent="0.25">
      <c r="A3274" s="16" t="s">
        <v>384</v>
      </c>
      <c r="B3274" s="17" t="s">
        <v>594</v>
      </c>
      <c r="C3274" s="16" t="s">
        <v>857</v>
      </c>
      <c r="D3274" s="17"/>
      <c r="E3274" s="17" t="s">
        <v>618</v>
      </c>
      <c r="F3274" s="18" t="s">
        <v>858</v>
      </c>
      <c r="G3274" s="49" t="s">
        <v>3547</v>
      </c>
      <c r="H3274" s="17">
        <v>4</v>
      </c>
      <c r="I3274" s="30"/>
      <c r="J3274"/>
      <c r="K3274"/>
      <c r="L3274"/>
      <c r="M3274"/>
      <c r="N3274"/>
      <c r="O3274" s="62" t="b">
        <f>IF(E3274="PA",IF(K3274&lt;&gt;"",ISERROR(VLOOKUP(K3274,ABBR!A:D,1,FALSE)),ISERROR(VLOOKUP(C3274,ABBR!A:D,1,FALSE))),"")</f>
        <v>0</v>
      </c>
      <c r="P3274" t="str">
        <f>VLOOKUP(A3274,Groups!A:L,5,FALSE)</f>
        <v>SAMP</v>
      </c>
      <c r="Q3274" s="62" t="str">
        <f>IF(G3274="PA",IF(M3274&lt;&gt;"",ISERROR(VLOOKUP(M3274,ABBR!C:F,1,FALSE)),ISERROR(VLOOKUP(E3274,ABBR!C:F,1,FALSE))),"")</f>
        <v/>
      </c>
    </row>
    <row r="3275" spans="1:17" s="62" customFormat="1" hidden="1" x14ac:dyDescent="0.25">
      <c r="A3275" s="16" t="s">
        <v>384</v>
      </c>
      <c r="B3275" s="17" t="s">
        <v>594</v>
      </c>
      <c r="C3275" s="16" t="s">
        <v>860</v>
      </c>
      <c r="D3275" s="17"/>
      <c r="E3275" s="17" t="s">
        <v>596</v>
      </c>
      <c r="F3275" s="18" t="s">
        <v>942</v>
      </c>
      <c r="G3275" s="49" t="s">
        <v>862</v>
      </c>
      <c r="H3275" s="17">
        <v>5</v>
      </c>
      <c r="I3275" s="30"/>
      <c r="J3275"/>
      <c r="K3275"/>
      <c r="L3275"/>
      <c r="M3275"/>
      <c r="N3275"/>
      <c r="O3275" s="62" t="str">
        <f>IF(E3275="PA",IF(K3275&lt;&gt;"",ISERROR(VLOOKUP(K3275,ABBR!A:D,1,FALSE)),ISERROR(VLOOKUP(C3275,ABBR!A:D,1,FALSE))),"")</f>
        <v/>
      </c>
      <c r="P3275" t="str">
        <f>VLOOKUP(A3275,Groups!A:L,5,FALSE)</f>
        <v>SAMP</v>
      </c>
      <c r="Q3275" s="62" t="str">
        <f>IF(G3275="PA",IF(M3275&lt;&gt;"",ISERROR(VLOOKUP(M3275,ABBR!C:F,1,FALSE)),ISERROR(VLOOKUP(E3275,ABBR!C:F,1,FALSE))),"")</f>
        <v/>
      </c>
    </row>
    <row r="3276" spans="1:17" s="62" customFormat="1" hidden="1" x14ac:dyDescent="0.25">
      <c r="A3276" s="16" t="s">
        <v>384</v>
      </c>
      <c r="B3276" s="17" t="s">
        <v>594</v>
      </c>
      <c r="C3276" s="16" t="s">
        <v>863</v>
      </c>
      <c r="D3276" s="17"/>
      <c r="E3276" s="17" t="s">
        <v>608</v>
      </c>
      <c r="F3276" s="18" t="s">
        <v>864</v>
      </c>
      <c r="G3276" s="49" t="s">
        <v>865</v>
      </c>
      <c r="H3276" s="17">
        <v>6</v>
      </c>
      <c r="I3276" s="30"/>
      <c r="J3276"/>
      <c r="K3276"/>
      <c r="L3276"/>
      <c r="M3276"/>
      <c r="N3276"/>
      <c r="O3276" s="62" t="str">
        <f>IF(E3276="PA",IF(K3276&lt;&gt;"",ISERROR(VLOOKUP(K3276,ABBR!A:D,1,FALSE)),ISERROR(VLOOKUP(C3276,ABBR!A:D,1,FALSE))),"")</f>
        <v/>
      </c>
      <c r="P3276" t="str">
        <f>VLOOKUP(A3276,Groups!A:L,5,FALSE)</f>
        <v>SAMP</v>
      </c>
      <c r="Q3276" s="62" t="str">
        <f>IF(G3276="PA",IF(M3276&lt;&gt;"",ISERROR(VLOOKUP(M3276,ABBR!C:F,1,FALSE)),ISERROR(VLOOKUP(E3276,ABBR!C:F,1,FALSE))),"")</f>
        <v/>
      </c>
    </row>
    <row r="3277" spans="1:17" s="62" customFormat="1" hidden="1" x14ac:dyDescent="0.25">
      <c r="A3277" s="16" t="s">
        <v>384</v>
      </c>
      <c r="B3277" s="17" t="s">
        <v>594</v>
      </c>
      <c r="C3277" s="16" t="s">
        <v>866</v>
      </c>
      <c r="D3277" s="17" t="s">
        <v>600</v>
      </c>
      <c r="E3277" s="17" t="s">
        <v>601</v>
      </c>
      <c r="F3277" s="18" t="s">
        <v>867</v>
      </c>
      <c r="G3277" s="49" t="s">
        <v>853</v>
      </c>
      <c r="H3277" s="17">
        <v>7</v>
      </c>
      <c r="I3277" s="30"/>
      <c r="J3277"/>
      <c r="K3277"/>
      <c r="L3277"/>
      <c r="M3277"/>
      <c r="N3277"/>
      <c r="O3277" s="62" t="str">
        <f>IF(E3277="PA",IF(K3277&lt;&gt;"",ISERROR(VLOOKUP(K3277,ABBR!A:D,1,FALSE)),ISERROR(VLOOKUP(C3277,ABBR!A:D,1,FALSE))),"")</f>
        <v/>
      </c>
      <c r="P3277" t="str">
        <f>VLOOKUP(A3277,Groups!A:L,5,FALSE)</f>
        <v>SAMP</v>
      </c>
      <c r="Q3277" s="62" t="str">
        <f>IF(G3277="PA",IF(M3277&lt;&gt;"",ISERROR(VLOOKUP(M3277,ABBR!C:F,1,FALSE)),ISERROR(VLOOKUP(E3277,ABBR!C:F,1,FALSE))),"")</f>
        <v/>
      </c>
    </row>
    <row r="3278" spans="1:17" s="62" customFormat="1" hidden="1" x14ac:dyDescent="0.25">
      <c r="A3278" s="16" t="s">
        <v>384</v>
      </c>
      <c r="B3278" s="17"/>
      <c r="C3278" s="16" t="s">
        <v>868</v>
      </c>
      <c r="D3278" s="17"/>
      <c r="E3278" s="17" t="s">
        <v>608</v>
      </c>
      <c r="F3278" s="18" t="s">
        <v>869</v>
      </c>
      <c r="G3278" s="51" t="s">
        <v>3265</v>
      </c>
      <c r="H3278" s="17">
        <v>8</v>
      </c>
      <c r="I3278" s="30"/>
      <c r="J3278"/>
      <c r="K3278"/>
      <c r="L3278"/>
      <c r="M3278"/>
      <c r="N3278"/>
      <c r="O3278" s="62" t="str">
        <f>IF(E3278="PA",IF(K3278&lt;&gt;"",ISERROR(VLOOKUP(K3278,ABBR!A:D,1,FALSE)),ISERROR(VLOOKUP(C3278,ABBR!A:D,1,FALSE))),"")</f>
        <v/>
      </c>
      <c r="P3278" t="str">
        <f>VLOOKUP(A3278,Groups!A:L,5,FALSE)</f>
        <v>SAMP</v>
      </c>
      <c r="Q3278" s="62" t="str">
        <f>IF(G3278="PA",IF(M3278&lt;&gt;"",ISERROR(VLOOKUP(M3278,ABBR!C:F,1,FALSE)),ISERROR(VLOOKUP(E3278,ABBR!C:F,1,FALSE))),"")</f>
        <v/>
      </c>
    </row>
    <row r="3279" spans="1:17" s="62" customFormat="1" ht="25" hidden="1" x14ac:dyDescent="0.25">
      <c r="A3279" s="16" t="s">
        <v>384</v>
      </c>
      <c r="B3279" s="17"/>
      <c r="C3279" s="16" t="s">
        <v>871</v>
      </c>
      <c r="D3279" s="17"/>
      <c r="E3279" s="17" t="s">
        <v>608</v>
      </c>
      <c r="F3279" s="18" t="s">
        <v>872</v>
      </c>
      <c r="G3279" s="49" t="s">
        <v>873</v>
      </c>
      <c r="H3279" s="17">
        <v>9</v>
      </c>
      <c r="I3279" s="30"/>
      <c r="J3279"/>
      <c r="K3279"/>
      <c r="L3279"/>
      <c r="M3279"/>
      <c r="N3279"/>
      <c r="O3279" s="62" t="str">
        <f>IF(E3279="PA",IF(K3279&lt;&gt;"",ISERROR(VLOOKUP(K3279,ABBR!A:D,1,FALSE)),ISERROR(VLOOKUP(C3279,ABBR!A:D,1,FALSE))),"")</f>
        <v/>
      </c>
      <c r="P3279" t="str">
        <f>VLOOKUP(A3279,Groups!A:L,5,FALSE)</f>
        <v>SAMP</v>
      </c>
      <c r="Q3279" s="62" t="str">
        <f>IF(G3279="PA",IF(M3279&lt;&gt;"",ISERROR(VLOOKUP(M3279,ABBR!C:F,1,FALSE)),ISERROR(VLOOKUP(E3279,ABBR!C:F,1,FALSE))),"")</f>
        <v/>
      </c>
    </row>
    <row r="3280" spans="1:17" s="62" customFormat="1" hidden="1" x14ac:dyDescent="0.25">
      <c r="A3280" s="16" t="s">
        <v>384</v>
      </c>
      <c r="B3280" s="17"/>
      <c r="C3280" s="16" t="s">
        <v>5342</v>
      </c>
      <c r="D3280" s="17"/>
      <c r="E3280" s="17" t="s">
        <v>767</v>
      </c>
      <c r="F3280" s="18" t="s">
        <v>5343</v>
      </c>
      <c r="G3280" s="49" t="s">
        <v>1197</v>
      </c>
      <c r="H3280" s="17">
        <v>10</v>
      </c>
      <c r="I3280" s="30"/>
      <c r="J3280"/>
      <c r="K3280"/>
      <c r="L3280"/>
      <c r="M3280"/>
      <c r="N3280"/>
      <c r="O3280" s="62" t="str">
        <f>IF(E3280="PA",IF(K3280&lt;&gt;"",ISERROR(VLOOKUP(K3280,ABBR!A:D,1,FALSE)),ISERROR(VLOOKUP(C3280,ABBR!A:D,1,FALSE))),"")</f>
        <v/>
      </c>
      <c r="P3280" t="str">
        <f>VLOOKUP(A3280,Groups!A:L,5,FALSE)</f>
        <v>SAMP</v>
      </c>
      <c r="Q3280" s="62" t="str">
        <f>IF(G3280="PA",IF(M3280&lt;&gt;"",ISERROR(VLOOKUP(M3280,ABBR!C:F,1,FALSE)),ISERROR(VLOOKUP(E3280,ABBR!C:F,1,FALSE))),"")</f>
        <v/>
      </c>
    </row>
    <row r="3281" spans="1:17" s="62" customFormat="1" ht="37.5" hidden="1" x14ac:dyDescent="0.25">
      <c r="A3281" s="16" t="s">
        <v>384</v>
      </c>
      <c r="B3281" s="17"/>
      <c r="C3281" s="16" t="s">
        <v>5344</v>
      </c>
      <c r="D3281" s="17"/>
      <c r="E3281" s="17" t="s">
        <v>608</v>
      </c>
      <c r="F3281" s="18" t="s">
        <v>5345</v>
      </c>
      <c r="G3281" s="49"/>
      <c r="H3281" s="17">
        <v>11</v>
      </c>
      <c r="I3281" s="30"/>
      <c r="J3281"/>
      <c r="K3281"/>
      <c r="L3281"/>
      <c r="M3281" s="101" t="s">
        <v>1044</v>
      </c>
      <c r="N3281"/>
      <c r="O3281" s="62" t="str">
        <f>IF(E3281="PA",IF(K3281&lt;&gt;"",ISERROR(VLOOKUP(K3281,ABBR!A:D,1,FALSE)),ISERROR(VLOOKUP(C3281,ABBR!A:D,1,FALSE))),"")</f>
        <v/>
      </c>
      <c r="P3281" t="str">
        <f>VLOOKUP(A3281,Groups!A:L,5,FALSE)</f>
        <v>SAMP</v>
      </c>
      <c r="Q3281" s="62" t="str">
        <f>IF(G3281="PA",IF(M3281&lt;&gt;"",ISERROR(VLOOKUP(M3281,ABBR!C:F,1,FALSE)),ISERROR(VLOOKUP(E3281,ABBR!C:F,1,FALSE))),"")</f>
        <v/>
      </c>
    </row>
    <row r="3282" spans="1:17" s="62" customFormat="1" hidden="1" x14ac:dyDescent="0.25">
      <c r="A3282" s="16" t="s">
        <v>384</v>
      </c>
      <c r="B3282" s="17"/>
      <c r="C3282" s="16" t="s">
        <v>5346</v>
      </c>
      <c r="D3282" s="17"/>
      <c r="E3282" s="17" t="s">
        <v>608</v>
      </c>
      <c r="F3282" s="18" t="s">
        <v>5347</v>
      </c>
      <c r="G3282" s="49" t="s">
        <v>5348</v>
      </c>
      <c r="H3282" s="17">
        <v>12</v>
      </c>
      <c r="I3282" s="30"/>
      <c r="J3282"/>
      <c r="K3282"/>
      <c r="L3282"/>
      <c r="M3282"/>
      <c r="N3282"/>
      <c r="O3282" s="62" t="str">
        <f>IF(E3282="PA",IF(K3282&lt;&gt;"",ISERROR(VLOOKUP(K3282,ABBR!A:D,1,FALSE)),ISERROR(VLOOKUP(C3282,ABBR!A:D,1,FALSE))),"")</f>
        <v/>
      </c>
      <c r="P3282" t="str">
        <f>VLOOKUP(A3282,Groups!A:L,5,FALSE)</f>
        <v>SAMP</v>
      </c>
      <c r="Q3282" s="62" t="str">
        <f>IF(G3282="PA",IF(M3282&lt;&gt;"",ISERROR(VLOOKUP(M3282,ABBR!C:F,1,FALSE)),ISERROR(VLOOKUP(E3282,ABBR!C:F,1,FALSE))),"")</f>
        <v/>
      </c>
    </row>
    <row r="3283" spans="1:17" s="62" customFormat="1" hidden="1" x14ac:dyDescent="0.25">
      <c r="A3283" s="16" t="s">
        <v>384</v>
      </c>
      <c r="B3283" s="17"/>
      <c r="C3283" s="16" t="s">
        <v>5349</v>
      </c>
      <c r="D3283" s="17"/>
      <c r="E3283" s="17" t="s">
        <v>608</v>
      </c>
      <c r="F3283" s="18" t="s">
        <v>642</v>
      </c>
      <c r="G3283" s="49" t="s">
        <v>16</v>
      </c>
      <c r="H3283" s="17">
        <v>13</v>
      </c>
      <c r="I3283" s="30"/>
      <c r="J3283"/>
      <c r="K3283"/>
      <c r="L3283"/>
      <c r="M3283" s="101"/>
      <c r="N3283"/>
      <c r="O3283" s="62" t="str">
        <f>IF(E3283="PA",IF(K3283&lt;&gt;"",ISERROR(VLOOKUP(K3283,ABBR!A:D,1,FALSE)),ISERROR(VLOOKUP(C3283,ABBR!A:D,1,FALSE))),"")</f>
        <v/>
      </c>
      <c r="P3283" t="str">
        <f>VLOOKUP(A3283,Groups!A:L,5,FALSE)</f>
        <v>SAMP</v>
      </c>
      <c r="Q3283" s="62" t="str">
        <f>IF(G3283="PA",IF(M3283&lt;&gt;"",ISERROR(VLOOKUP(M3283,ABBR!C:F,1,FALSE)),ISERROR(VLOOKUP(E3283,ABBR!C:F,1,FALSE))),"")</f>
        <v/>
      </c>
    </row>
    <row r="3284" spans="1:17" s="62" customFormat="1" ht="62.5" hidden="1" x14ac:dyDescent="0.25">
      <c r="A3284" s="16" t="s">
        <v>384</v>
      </c>
      <c r="B3284" s="17"/>
      <c r="C3284" s="16" t="s">
        <v>5350</v>
      </c>
      <c r="D3284" s="17"/>
      <c r="E3284" s="17" t="s">
        <v>608</v>
      </c>
      <c r="F3284" s="18" t="s">
        <v>918</v>
      </c>
      <c r="G3284" s="49" t="s">
        <v>5351</v>
      </c>
      <c r="H3284" s="17">
        <v>14</v>
      </c>
      <c r="I3284" s="30"/>
      <c r="J3284"/>
      <c r="K3284"/>
      <c r="L3284"/>
      <c r="M3284"/>
      <c r="N3284"/>
      <c r="O3284" s="62" t="str">
        <f>IF(E3284="PA",IF(K3284&lt;&gt;"",ISERROR(VLOOKUP(K3284,ABBR!A:D,1,FALSE)),ISERROR(VLOOKUP(C3284,ABBR!A:D,1,FALSE))),"")</f>
        <v/>
      </c>
      <c r="P3284" t="str">
        <f>VLOOKUP(A3284,Groups!A:L,5,FALSE)</f>
        <v>SAMP</v>
      </c>
      <c r="Q3284" s="62" t="str">
        <f>IF(G3284="PA",IF(M3284&lt;&gt;"",ISERROR(VLOOKUP(M3284,ABBR!C:F,1,FALSE)),ISERROR(VLOOKUP(E3284,ABBR!C:F,1,FALSE))),"")</f>
        <v/>
      </c>
    </row>
    <row r="3285" spans="1:17" s="62" customFormat="1" hidden="1" x14ac:dyDescent="0.25">
      <c r="A3285" s="16" t="s">
        <v>384</v>
      </c>
      <c r="B3285" s="17"/>
      <c r="C3285" s="16" t="s">
        <v>5352</v>
      </c>
      <c r="D3285" s="17"/>
      <c r="E3285" s="17" t="s">
        <v>608</v>
      </c>
      <c r="F3285" s="18" t="s">
        <v>950</v>
      </c>
      <c r="G3285" s="27" t="s">
        <v>951</v>
      </c>
      <c r="H3285" s="17">
        <v>15</v>
      </c>
      <c r="I3285" s="30"/>
      <c r="J3285"/>
      <c r="K3285"/>
      <c r="L3285"/>
      <c r="M3285"/>
      <c r="N3285"/>
      <c r="O3285" s="62" t="str">
        <f>IF(E3285="PA",IF(K3285&lt;&gt;"",ISERROR(VLOOKUP(K3285,ABBR!A:D,1,FALSE)),ISERROR(VLOOKUP(C3285,ABBR!A:D,1,FALSE))),"")</f>
        <v/>
      </c>
      <c r="P3285" t="str">
        <f>VLOOKUP(A3285,Groups!A:L,5,FALSE)</f>
        <v>SAMP</v>
      </c>
      <c r="Q3285" s="62" t="str">
        <f>IF(G3285="PA",IF(M3285&lt;&gt;"",ISERROR(VLOOKUP(M3285,ABBR!C:F,1,FALSE)),ISERROR(VLOOKUP(E3285,ABBR!C:F,1,FALSE))),"")</f>
        <v/>
      </c>
    </row>
    <row r="3286" spans="1:17" s="62" customFormat="1" ht="25" hidden="1" x14ac:dyDescent="0.25">
      <c r="A3286" s="16" t="s">
        <v>384</v>
      </c>
      <c r="B3286" s="17"/>
      <c r="C3286" s="16" t="s">
        <v>5353</v>
      </c>
      <c r="D3286" s="17"/>
      <c r="E3286" s="17" t="s">
        <v>608</v>
      </c>
      <c r="F3286" s="18" t="s">
        <v>934</v>
      </c>
      <c r="G3286" s="49" t="s">
        <v>953</v>
      </c>
      <c r="H3286" s="17">
        <v>16</v>
      </c>
      <c r="I3286" s="30"/>
      <c r="J3286"/>
      <c r="K3286"/>
      <c r="L3286"/>
      <c r="M3286"/>
      <c r="N3286"/>
      <c r="O3286" s="62" t="str">
        <f>IF(E3286="PA",IF(K3286&lt;&gt;"",ISERROR(VLOOKUP(K3286,ABBR!A:D,1,FALSE)),ISERROR(VLOOKUP(C3286,ABBR!A:D,1,FALSE))),"")</f>
        <v/>
      </c>
      <c r="P3286" t="str">
        <f>VLOOKUP(A3286,Groups!A:L,5,FALSE)</f>
        <v>SAMP</v>
      </c>
      <c r="Q3286" s="62" t="str">
        <f>IF(G3286="PA",IF(M3286&lt;&gt;"",ISERROR(VLOOKUP(M3286,ABBR!C:F,1,FALSE)),ISERROR(VLOOKUP(E3286,ABBR!C:F,1,FALSE))),"")</f>
        <v/>
      </c>
    </row>
    <row r="3287" spans="1:17" s="62" customFormat="1" hidden="1" x14ac:dyDescent="0.25">
      <c r="A3287" s="16" t="s">
        <v>384</v>
      </c>
      <c r="B3287" s="17"/>
      <c r="C3287" s="16" t="s">
        <v>936</v>
      </c>
      <c r="D3287" s="17"/>
      <c r="E3287" s="22" t="s">
        <v>608</v>
      </c>
      <c r="F3287" s="18" t="s">
        <v>937</v>
      </c>
      <c r="G3287" s="49" t="s">
        <v>938</v>
      </c>
      <c r="H3287" s="17">
        <v>17</v>
      </c>
      <c r="I3287" s="30"/>
      <c r="J3287"/>
      <c r="K3287"/>
      <c r="L3287"/>
      <c r="M3287"/>
      <c r="N3287"/>
      <c r="O3287" s="62" t="str">
        <f>IF(E3287="PA",IF(K3287&lt;&gt;"",ISERROR(VLOOKUP(K3287,ABBR!A:D,1,FALSE)),ISERROR(VLOOKUP(C3287,ABBR!A:D,1,FALSE))),"")</f>
        <v/>
      </c>
      <c r="P3287" t="str">
        <f>VLOOKUP(A3287,Groups!A:L,5,FALSE)</f>
        <v>SAMP</v>
      </c>
      <c r="Q3287" s="62" t="str">
        <f>IF(G3287="PA",IF(M3287&lt;&gt;"",ISERROR(VLOOKUP(M3287,ABBR!C:F,1,FALSE)),ISERROR(VLOOKUP(E3287,ABBR!C:F,1,FALSE))),"")</f>
        <v/>
      </c>
    </row>
    <row r="3288" spans="1:17" s="62" customFormat="1" hidden="1" x14ac:dyDescent="0.25">
      <c r="A3288" s="16" t="s">
        <v>384</v>
      </c>
      <c r="B3288" s="17"/>
      <c r="C3288" s="16" t="s">
        <v>643</v>
      </c>
      <c r="D3288" s="17"/>
      <c r="E3288" s="17" t="s">
        <v>608</v>
      </c>
      <c r="F3288" s="18" t="s">
        <v>954</v>
      </c>
      <c r="G3288" s="49" t="s">
        <v>940</v>
      </c>
      <c r="H3288" s="17">
        <v>18</v>
      </c>
      <c r="I3288" s="30"/>
      <c r="J3288"/>
      <c r="K3288"/>
      <c r="L3288"/>
      <c r="M3288"/>
      <c r="N3288"/>
      <c r="O3288" s="62" t="str">
        <f>IF(E3288="PA",IF(K3288&lt;&gt;"",ISERROR(VLOOKUP(K3288,ABBR!A:D,1,FALSE)),ISERROR(VLOOKUP(C3288,ABBR!A:D,1,FALSE))),"")</f>
        <v/>
      </c>
      <c r="P3288" t="str">
        <f>VLOOKUP(A3288,Groups!A:L,5,FALSE)</f>
        <v>SAMP</v>
      </c>
      <c r="Q3288" s="62" t="str">
        <f>IF(G3288="PA",IF(M3288&lt;&gt;"",ISERROR(VLOOKUP(M3288,ABBR!C:F,1,FALSE)),ISERROR(VLOOKUP(E3288,ABBR!C:F,1,FALSE))),"")</f>
        <v/>
      </c>
    </row>
    <row r="3289" spans="1:17" s="62" customFormat="1" hidden="1" x14ac:dyDescent="0.25">
      <c r="A3289" s="16" t="s">
        <v>384</v>
      </c>
      <c r="B3289" s="17"/>
      <c r="C3289" s="16" t="s">
        <v>877</v>
      </c>
      <c r="D3289" s="17" t="s">
        <v>600</v>
      </c>
      <c r="E3289" s="17" t="s">
        <v>601</v>
      </c>
      <c r="F3289" s="18" t="s">
        <v>878</v>
      </c>
      <c r="G3289" s="49" t="s">
        <v>879</v>
      </c>
      <c r="H3289" s="17">
        <v>19</v>
      </c>
      <c r="I3289" s="30" t="s">
        <v>955</v>
      </c>
      <c r="J3289" s="80">
        <v>4.0999999999999996</v>
      </c>
      <c r="K3289"/>
      <c r="L3289"/>
      <c r="M3289"/>
      <c r="N3289"/>
      <c r="O3289" s="62" t="str">
        <f>IF(E3289="PA",IF(K3289&lt;&gt;"",ISERROR(VLOOKUP(K3289,ABBR!A:D,1,FALSE)),ISERROR(VLOOKUP(C3289,ABBR!A:D,1,FALSE))),"")</f>
        <v/>
      </c>
      <c r="P3289" t="str">
        <f>VLOOKUP(A3289,Groups!A:L,5,FALSE)</f>
        <v>SAMP</v>
      </c>
      <c r="Q3289" s="62" t="str">
        <f>IF(G3289="PA",IF(M3289&lt;&gt;"",ISERROR(VLOOKUP(M3289,ABBR!C:F,1,FALSE)),ISERROR(VLOOKUP(E3289,ABBR!C:F,1,FALSE))),"")</f>
        <v/>
      </c>
    </row>
    <row r="3290" spans="1:17" s="62" customFormat="1" hidden="1" x14ac:dyDescent="0.25">
      <c r="A3290" s="16" t="s">
        <v>384</v>
      </c>
      <c r="B3290" s="17"/>
      <c r="C3290" s="16" t="s">
        <v>5354</v>
      </c>
      <c r="D3290" s="17"/>
      <c r="E3290" s="17" t="s">
        <v>608</v>
      </c>
      <c r="F3290" s="18" t="s">
        <v>921</v>
      </c>
      <c r="G3290" s="94" t="s">
        <v>922</v>
      </c>
      <c r="H3290" s="17">
        <v>20</v>
      </c>
      <c r="I3290" s="30" t="s">
        <v>955</v>
      </c>
      <c r="J3290" s="80">
        <v>4.0999999999999996</v>
      </c>
      <c r="K3290"/>
      <c r="L3290"/>
      <c r="M3290" s="101"/>
      <c r="N3290"/>
      <c r="O3290" s="62" t="str">
        <f>IF(E3290="PA",IF(K3290&lt;&gt;"",ISERROR(VLOOKUP(K3290,ABBR!A:D,1,FALSE)),ISERROR(VLOOKUP(C3290,ABBR!A:D,1,FALSE))),"")</f>
        <v/>
      </c>
      <c r="P3290" t="str">
        <f>VLOOKUP(A3290,Groups!A:L,5,FALSE)</f>
        <v>SAMP</v>
      </c>
      <c r="Q3290" s="62" t="str">
        <f>IF(G3290="PA",IF(M3290&lt;&gt;"",ISERROR(VLOOKUP(M3290,ABBR!C:F,1,FALSE)),ISERROR(VLOOKUP(E3290,ABBR!C:F,1,FALSE))),"")</f>
        <v/>
      </c>
    </row>
    <row r="3291" spans="1:17" s="62" customFormat="1" hidden="1" x14ac:dyDescent="0.25">
      <c r="A3291" s="16" t="s">
        <v>384</v>
      </c>
      <c r="B3291" s="17"/>
      <c r="C3291" s="16" t="s">
        <v>5355</v>
      </c>
      <c r="D3291" s="17"/>
      <c r="E3291" s="17" t="s">
        <v>618</v>
      </c>
      <c r="F3291" s="18" t="s">
        <v>5356</v>
      </c>
      <c r="G3291" s="49" t="s">
        <v>108</v>
      </c>
      <c r="H3291" s="17">
        <v>21</v>
      </c>
      <c r="I3291" s="30" t="s">
        <v>955</v>
      </c>
      <c r="J3291" s="80">
        <v>4.0999999999999996</v>
      </c>
      <c r="K3291"/>
      <c r="L3291"/>
      <c r="M3291"/>
      <c r="N3291"/>
      <c r="O3291" s="62" t="b">
        <f>IF(E3291="PA",IF(K3291&lt;&gt;"",ISERROR(VLOOKUP(K3291,ABBR!A:D,1,FALSE)),ISERROR(VLOOKUP(C3291,ABBR!A:D,1,FALSE))),"")</f>
        <v>0</v>
      </c>
      <c r="P3291" t="str">
        <f>VLOOKUP(A3291,Groups!A:L,5,FALSE)</f>
        <v>SAMP</v>
      </c>
      <c r="Q3291" s="62" t="str">
        <f>IF(G3291="PA",IF(M3291&lt;&gt;"",ISERROR(VLOOKUP(M3291,ABBR!C:F,1,FALSE)),ISERROR(VLOOKUP(E3291,ABBR!C:F,1,FALSE))),"")</f>
        <v/>
      </c>
    </row>
    <row r="3292" spans="1:17" s="62" customFormat="1" hidden="1" x14ac:dyDescent="0.25">
      <c r="A3292" s="16" t="s">
        <v>384</v>
      </c>
      <c r="B3292" s="17"/>
      <c r="C3292" s="16" t="s">
        <v>5357</v>
      </c>
      <c r="D3292" s="17"/>
      <c r="E3292" s="17" t="s">
        <v>618</v>
      </c>
      <c r="F3292" s="18" t="s">
        <v>5358</v>
      </c>
      <c r="G3292" s="49" t="s">
        <v>5359</v>
      </c>
      <c r="H3292" s="17">
        <v>22</v>
      </c>
      <c r="I3292" s="30" t="s">
        <v>955</v>
      </c>
      <c r="J3292" s="80">
        <v>4.0999999999999996</v>
      </c>
      <c r="K3292"/>
      <c r="L3292"/>
      <c r="M3292"/>
      <c r="N3292"/>
      <c r="O3292" s="62" t="b">
        <f>IF(E3292="PA",IF(K3292&lt;&gt;"",ISERROR(VLOOKUP(K3292,ABBR!A:D,1,FALSE)),ISERROR(VLOOKUP(C3292,ABBR!A:D,1,FALSE))),"")</f>
        <v>0</v>
      </c>
      <c r="P3292" t="str">
        <f>VLOOKUP(A3292,Groups!A:L,5,FALSE)</f>
        <v>SAMP</v>
      </c>
      <c r="Q3292" s="62" t="str">
        <f>IF(G3292="PA",IF(M3292&lt;&gt;"",ISERROR(VLOOKUP(M3292,ABBR!C:F,1,FALSE)),ISERROR(VLOOKUP(E3292,ABBR!C:F,1,FALSE))),"")</f>
        <v/>
      </c>
    </row>
    <row r="3293" spans="1:17" s="62" customFormat="1" hidden="1" x14ac:dyDescent="0.25">
      <c r="A3293" s="16" t="s">
        <v>384</v>
      </c>
      <c r="B3293" s="17"/>
      <c r="C3293" s="16" t="s">
        <v>5360</v>
      </c>
      <c r="D3293" s="17" t="s">
        <v>722</v>
      </c>
      <c r="E3293" s="17" t="s">
        <v>723</v>
      </c>
      <c r="F3293" s="18" t="s">
        <v>5361</v>
      </c>
      <c r="G3293" s="49" t="s">
        <v>5362</v>
      </c>
      <c r="H3293" s="17">
        <v>23</v>
      </c>
      <c r="I3293" s="30" t="s">
        <v>955</v>
      </c>
      <c r="J3293" s="80">
        <v>4.0999999999999996</v>
      </c>
      <c r="K3293"/>
      <c r="L3293"/>
      <c r="M3293"/>
      <c r="N3293"/>
      <c r="O3293" s="62" t="str">
        <f>IF(E3293="PA",IF(K3293&lt;&gt;"",ISERROR(VLOOKUP(K3293,ABBR!A:D,1,FALSE)),ISERROR(VLOOKUP(C3293,ABBR!A:D,1,FALSE))),"")</f>
        <v/>
      </c>
      <c r="P3293" t="str">
        <f>VLOOKUP(A3293,Groups!A:L,5,FALSE)</f>
        <v>SAMP</v>
      </c>
      <c r="Q3293" s="62" t="str">
        <f>IF(G3293="PA",IF(M3293&lt;&gt;"",ISERROR(VLOOKUP(M3293,ABBR!C:F,1,FALSE)),ISERROR(VLOOKUP(E3293,ABBR!C:F,1,FALSE))),"")</f>
        <v/>
      </c>
    </row>
    <row r="3294" spans="1:17" s="62" customFormat="1" hidden="1" x14ac:dyDescent="0.25">
      <c r="A3294" s="16" t="s">
        <v>384</v>
      </c>
      <c r="B3294" s="17"/>
      <c r="C3294" s="16" t="s">
        <v>5363</v>
      </c>
      <c r="D3294" s="17" t="s">
        <v>722</v>
      </c>
      <c r="E3294" s="17" t="s">
        <v>723</v>
      </c>
      <c r="F3294" s="18" t="s">
        <v>4357</v>
      </c>
      <c r="G3294" s="49" t="s">
        <v>5364</v>
      </c>
      <c r="H3294" s="17">
        <v>24</v>
      </c>
      <c r="I3294" s="30" t="s">
        <v>955</v>
      </c>
      <c r="J3294" s="80">
        <v>4.0999999999999996</v>
      </c>
      <c r="K3294"/>
      <c r="L3294"/>
      <c r="M3294"/>
      <c r="N3294"/>
      <c r="O3294" s="62" t="str">
        <f>IF(E3294="PA",IF(K3294&lt;&gt;"",ISERROR(VLOOKUP(K3294,ABBR!A:D,1,FALSE)),ISERROR(VLOOKUP(C3294,ABBR!A:D,1,FALSE))),"")</f>
        <v/>
      </c>
      <c r="P3294" t="str">
        <f>VLOOKUP(A3294,Groups!A:L,5,FALSE)</f>
        <v>SAMP</v>
      </c>
      <c r="Q3294" s="62" t="str">
        <f>IF(G3294="PA",IF(M3294&lt;&gt;"",ISERROR(VLOOKUP(M3294,ABBR!C:F,1,FALSE)),ISERROR(VLOOKUP(E3294,ABBR!C:F,1,FALSE))),"")</f>
        <v/>
      </c>
    </row>
    <row r="3295" spans="1:17" s="62" customFormat="1" hidden="1" x14ac:dyDescent="0.25">
      <c r="A3295" s="16" t="s">
        <v>384</v>
      </c>
      <c r="B3295" s="17"/>
      <c r="C3295" s="16" t="s">
        <v>5365</v>
      </c>
      <c r="D3295" s="17" t="s">
        <v>766</v>
      </c>
      <c r="E3295" s="17" t="s">
        <v>723</v>
      </c>
      <c r="F3295" s="18" t="s">
        <v>5366</v>
      </c>
      <c r="G3295" s="49" t="s">
        <v>1489</v>
      </c>
      <c r="H3295" s="17">
        <v>25</v>
      </c>
      <c r="I3295" s="30" t="s">
        <v>955</v>
      </c>
      <c r="J3295" s="80">
        <v>4.0999999999999996</v>
      </c>
      <c r="K3295"/>
      <c r="L3295"/>
      <c r="M3295"/>
      <c r="N3295"/>
      <c r="O3295" s="62" t="str">
        <f>IF(E3295="PA",IF(K3295&lt;&gt;"",ISERROR(VLOOKUP(K3295,ABBR!A:D,1,FALSE)),ISERROR(VLOOKUP(C3295,ABBR!A:D,1,FALSE))),"")</f>
        <v/>
      </c>
      <c r="P3295" t="str">
        <f>VLOOKUP(A3295,Groups!A:L,5,FALSE)</f>
        <v>SAMP</v>
      </c>
      <c r="Q3295" s="62" t="str">
        <f>IF(G3295="PA",IF(M3295&lt;&gt;"",ISERROR(VLOOKUP(M3295,ABBR!C:F,1,FALSE)),ISERROR(VLOOKUP(E3295,ABBR!C:F,1,FALSE))),"")</f>
        <v/>
      </c>
    </row>
    <row r="3296" spans="1:17" s="62" customFormat="1" hidden="1" x14ac:dyDescent="0.25">
      <c r="A3296" s="16" t="s">
        <v>384</v>
      </c>
      <c r="B3296" s="17"/>
      <c r="C3296" s="16" t="s">
        <v>5367</v>
      </c>
      <c r="D3296" s="17"/>
      <c r="E3296" s="17" t="s">
        <v>608</v>
      </c>
      <c r="F3296" s="18" t="s">
        <v>5368</v>
      </c>
      <c r="G3296" s="49" t="s">
        <v>5369</v>
      </c>
      <c r="H3296" s="17">
        <v>26</v>
      </c>
      <c r="I3296" s="30" t="s">
        <v>955</v>
      </c>
      <c r="J3296" s="80">
        <v>4.0999999999999996</v>
      </c>
      <c r="K3296"/>
      <c r="L3296"/>
      <c r="M3296"/>
      <c r="N3296"/>
      <c r="O3296" s="62" t="str">
        <f>IF(E3296="PA",IF(K3296&lt;&gt;"",ISERROR(VLOOKUP(K3296,ABBR!A:D,1,FALSE)),ISERROR(VLOOKUP(C3296,ABBR!A:D,1,FALSE))),"")</f>
        <v/>
      </c>
      <c r="P3296" t="str">
        <f>VLOOKUP(A3296,Groups!A:L,5,FALSE)</f>
        <v>SAMP</v>
      </c>
      <c r="Q3296" s="62" t="str">
        <f>IF(G3296="PA",IF(M3296&lt;&gt;"",ISERROR(VLOOKUP(M3296,ABBR!C:F,1,FALSE)),ISERROR(VLOOKUP(E3296,ABBR!C:F,1,FALSE))),"")</f>
        <v/>
      </c>
    </row>
    <row r="3297" spans="1:17" s="62" customFormat="1" hidden="1" x14ac:dyDescent="0.25">
      <c r="A3297" s="16" t="s">
        <v>384</v>
      </c>
      <c r="B3297" s="17"/>
      <c r="C3297" s="16" t="s">
        <v>5370</v>
      </c>
      <c r="D3297" s="17"/>
      <c r="E3297" s="17" t="s">
        <v>608</v>
      </c>
      <c r="F3297" s="18" t="s">
        <v>5371</v>
      </c>
      <c r="G3297" s="49" t="s">
        <v>5372</v>
      </c>
      <c r="H3297" s="17">
        <v>27</v>
      </c>
      <c r="I3297" s="30" t="s">
        <v>955</v>
      </c>
      <c r="J3297" s="80">
        <v>4.0999999999999996</v>
      </c>
      <c r="K3297"/>
      <c r="L3297"/>
      <c r="M3297"/>
      <c r="N3297"/>
      <c r="O3297" s="62" t="str">
        <f>IF(E3297="PA",IF(K3297&lt;&gt;"",ISERROR(VLOOKUP(K3297,ABBR!A:D,1,FALSE)),ISERROR(VLOOKUP(C3297,ABBR!A:D,1,FALSE))),"")</f>
        <v/>
      </c>
      <c r="P3297" t="str">
        <f>VLOOKUP(A3297,Groups!A:L,5,FALSE)</f>
        <v>SAMP</v>
      </c>
      <c r="Q3297" s="62" t="str">
        <f>IF(G3297="PA",IF(M3297&lt;&gt;"",ISERROR(VLOOKUP(M3297,ABBR!C:F,1,FALSE)),ISERROR(VLOOKUP(E3297,ABBR!C:F,1,FALSE))),"")</f>
        <v/>
      </c>
    </row>
    <row r="3298" spans="1:17" s="62" customFormat="1" ht="37.5" hidden="1" x14ac:dyDescent="0.25">
      <c r="A3298" s="16" t="s">
        <v>384</v>
      </c>
      <c r="B3298" s="17"/>
      <c r="C3298" s="16" t="s">
        <v>5373</v>
      </c>
      <c r="D3298" s="17"/>
      <c r="E3298" s="17"/>
      <c r="F3298" s="18" t="s">
        <v>5374</v>
      </c>
      <c r="G3298" s="49" t="s">
        <v>5375</v>
      </c>
      <c r="H3298" s="17">
        <v>28</v>
      </c>
      <c r="I3298" s="30" t="s">
        <v>955</v>
      </c>
      <c r="J3298" s="80">
        <v>4.0999999999999996</v>
      </c>
      <c r="K3298"/>
      <c r="L3298"/>
      <c r="M3298"/>
      <c r="N3298"/>
      <c r="O3298" s="62" t="str">
        <f>IF(E3298="PA",IF(K3298&lt;&gt;"",ISERROR(VLOOKUP(K3298,ABBR!A:D,1,FALSE)),ISERROR(VLOOKUP(C3298,ABBR!A:D,1,FALSE))),"")</f>
        <v/>
      </c>
      <c r="P3298" t="str">
        <f>VLOOKUP(A3298,Groups!A:L,5,FALSE)</f>
        <v>SAMP</v>
      </c>
      <c r="Q3298" s="62" t="str">
        <f>IF(G3298="PA",IF(M3298&lt;&gt;"",ISERROR(VLOOKUP(M3298,ABBR!C:F,1,FALSE)),ISERROR(VLOOKUP(E3298,ABBR!C:F,1,FALSE))),"")</f>
        <v/>
      </c>
    </row>
    <row r="3299" spans="1:17" s="62" customFormat="1" ht="25" hidden="1" x14ac:dyDescent="0.25">
      <c r="A3299" s="16" t="s">
        <v>384</v>
      </c>
      <c r="B3299" s="17"/>
      <c r="C3299" s="16" t="s">
        <v>5376</v>
      </c>
      <c r="D3299" s="17"/>
      <c r="E3299" s="17" t="s">
        <v>767</v>
      </c>
      <c r="F3299" s="18" t="s">
        <v>5377</v>
      </c>
      <c r="G3299" s="49" t="s">
        <v>1197</v>
      </c>
      <c r="H3299" s="17">
        <v>29</v>
      </c>
      <c r="I3299" s="30" t="s">
        <v>955</v>
      </c>
      <c r="J3299" s="80">
        <v>4.0999999999999996</v>
      </c>
      <c r="K3299"/>
      <c r="L3299"/>
      <c r="M3299"/>
      <c r="N3299"/>
      <c r="O3299" s="62" t="str">
        <f>IF(E3299="PA",IF(K3299&lt;&gt;"",ISERROR(VLOOKUP(K3299,ABBR!A:D,1,FALSE)),ISERROR(VLOOKUP(C3299,ABBR!A:D,1,FALSE))),"")</f>
        <v/>
      </c>
      <c r="P3299" t="str">
        <f>VLOOKUP(A3299,Groups!A:L,5,FALSE)</f>
        <v>SAMP</v>
      </c>
      <c r="Q3299" s="62" t="str">
        <f>IF(G3299="PA",IF(M3299&lt;&gt;"",ISERROR(VLOOKUP(M3299,ABBR!C:F,1,FALSE)),ISERROR(VLOOKUP(E3299,ABBR!C:F,1,FALSE))),"")</f>
        <v/>
      </c>
    </row>
    <row r="3300" spans="1:17" s="62" customFormat="1" ht="25" hidden="1" x14ac:dyDescent="0.25">
      <c r="A3300" s="16" t="s">
        <v>384</v>
      </c>
      <c r="B3300" s="17"/>
      <c r="C3300" s="16" t="s">
        <v>5378</v>
      </c>
      <c r="D3300" s="17"/>
      <c r="E3300" s="17" t="s">
        <v>767</v>
      </c>
      <c r="F3300" s="18" t="s">
        <v>5379</v>
      </c>
      <c r="G3300" s="49" t="s">
        <v>1197</v>
      </c>
      <c r="H3300" s="17">
        <v>30</v>
      </c>
      <c r="I3300" s="30" t="s">
        <v>955</v>
      </c>
      <c r="J3300" s="80">
        <v>4.0999999999999996</v>
      </c>
      <c r="K3300"/>
      <c r="L3300"/>
      <c r="M3300"/>
      <c r="N3300"/>
      <c r="O3300" s="62" t="str">
        <f>IF(E3300="PA",IF(K3300&lt;&gt;"",ISERROR(VLOOKUP(K3300,ABBR!A:D,1,FALSE)),ISERROR(VLOOKUP(C3300,ABBR!A:D,1,FALSE))),"")</f>
        <v/>
      </c>
      <c r="P3300" t="str">
        <f>VLOOKUP(A3300,Groups!A:L,5,FALSE)</f>
        <v>SAMP</v>
      </c>
      <c r="Q3300" s="62" t="str">
        <f>IF(G3300="PA",IF(M3300&lt;&gt;"",ISERROR(VLOOKUP(M3300,ABBR!C:F,1,FALSE)),ISERROR(VLOOKUP(E3300,ABBR!C:F,1,FALSE))),"")</f>
        <v/>
      </c>
    </row>
    <row r="3301" spans="1:17" s="62" customFormat="1" ht="25" hidden="1" x14ac:dyDescent="0.25">
      <c r="A3301" s="16" t="s">
        <v>384</v>
      </c>
      <c r="B3301" s="17"/>
      <c r="C3301" s="16" t="s">
        <v>5380</v>
      </c>
      <c r="D3301" s="17"/>
      <c r="E3301" s="17" t="s">
        <v>767</v>
      </c>
      <c r="F3301" s="18" t="s">
        <v>5381</v>
      </c>
      <c r="G3301" s="49" t="s">
        <v>1197</v>
      </c>
      <c r="H3301" s="17">
        <v>31</v>
      </c>
      <c r="I3301" s="30" t="s">
        <v>955</v>
      </c>
      <c r="J3301" s="80">
        <v>4.0999999999999996</v>
      </c>
      <c r="K3301"/>
      <c r="L3301"/>
      <c r="M3301"/>
      <c r="N3301"/>
      <c r="O3301" s="62" t="str">
        <f>IF(E3301="PA",IF(K3301&lt;&gt;"",ISERROR(VLOOKUP(K3301,ABBR!A:D,1,FALSE)),ISERROR(VLOOKUP(C3301,ABBR!A:D,1,FALSE))),"")</f>
        <v/>
      </c>
      <c r="P3301" t="str">
        <f>VLOOKUP(A3301,Groups!A:L,5,FALSE)</f>
        <v>SAMP</v>
      </c>
      <c r="Q3301" s="62" t="str">
        <f>IF(G3301="PA",IF(M3301&lt;&gt;"",ISERROR(VLOOKUP(M3301,ABBR!C:F,1,FALSE)),ISERROR(VLOOKUP(E3301,ABBR!C:F,1,FALSE))),"")</f>
        <v/>
      </c>
    </row>
    <row r="3302" spans="1:17" s="62" customFormat="1" ht="25" hidden="1" x14ac:dyDescent="0.25">
      <c r="A3302" s="16" t="s">
        <v>384</v>
      </c>
      <c r="B3302" s="17"/>
      <c r="C3302" s="16" t="s">
        <v>5382</v>
      </c>
      <c r="D3302" s="17"/>
      <c r="E3302" s="17" t="s">
        <v>767</v>
      </c>
      <c r="F3302" s="18" t="s">
        <v>5383</v>
      </c>
      <c r="G3302" s="49" t="s">
        <v>1507</v>
      </c>
      <c r="H3302" s="17">
        <v>32</v>
      </c>
      <c r="I3302" s="30" t="s">
        <v>955</v>
      </c>
      <c r="J3302" s="80">
        <v>4.0999999999999996</v>
      </c>
      <c r="K3302"/>
      <c r="L3302"/>
      <c r="M3302"/>
      <c r="N3302"/>
      <c r="O3302" s="62" t="str">
        <f>IF(E3302="PA",IF(K3302&lt;&gt;"",ISERROR(VLOOKUP(K3302,ABBR!A:D,1,FALSE)),ISERROR(VLOOKUP(C3302,ABBR!A:D,1,FALSE))),"")</f>
        <v/>
      </c>
      <c r="P3302" t="str">
        <f>VLOOKUP(A3302,Groups!A:L,5,FALSE)</f>
        <v>SAMP</v>
      </c>
      <c r="Q3302" s="62" t="str">
        <f>IF(G3302="PA",IF(M3302&lt;&gt;"",ISERROR(VLOOKUP(M3302,ABBR!C:F,1,FALSE)),ISERROR(VLOOKUP(E3302,ABBR!C:F,1,FALSE))),"")</f>
        <v/>
      </c>
    </row>
    <row r="3303" spans="1:17" s="62" customFormat="1" ht="50" hidden="1" x14ac:dyDescent="0.25">
      <c r="A3303" s="16" t="s">
        <v>384</v>
      </c>
      <c r="B3303" s="17"/>
      <c r="C3303" s="16" t="s">
        <v>5384</v>
      </c>
      <c r="D3303" s="17"/>
      <c r="E3303" s="17" t="s">
        <v>608</v>
      </c>
      <c r="F3303" s="18" t="s">
        <v>5385</v>
      </c>
      <c r="G3303" s="49" t="s">
        <v>5386</v>
      </c>
      <c r="H3303" s="17">
        <v>33</v>
      </c>
      <c r="I3303" s="30" t="s">
        <v>955</v>
      </c>
      <c r="J3303" s="80">
        <v>4.0999999999999996</v>
      </c>
      <c r="K3303"/>
      <c r="L3303"/>
      <c r="M3303"/>
      <c r="N3303"/>
      <c r="O3303" s="62" t="str">
        <f>IF(E3303="PA",IF(K3303&lt;&gt;"",ISERROR(VLOOKUP(K3303,ABBR!A:D,1,FALSE)),ISERROR(VLOOKUP(C3303,ABBR!A:D,1,FALSE))),"")</f>
        <v/>
      </c>
      <c r="P3303" t="str">
        <f>VLOOKUP(A3303,Groups!A:L,5,FALSE)</f>
        <v>SAMP</v>
      </c>
      <c r="Q3303" s="62" t="str">
        <f>IF(G3303="PA",IF(M3303&lt;&gt;"",ISERROR(VLOOKUP(M3303,ABBR!C:F,1,FALSE)),ISERROR(VLOOKUP(E3303,ABBR!C:F,1,FALSE))),"")</f>
        <v/>
      </c>
    </row>
    <row r="3304" spans="1:17" s="62" customFormat="1" hidden="1" x14ac:dyDescent="0.25">
      <c r="A3304" s="16" t="s">
        <v>384</v>
      </c>
      <c r="B3304" s="17"/>
      <c r="C3304" s="16" t="s">
        <v>5387</v>
      </c>
      <c r="D3304" s="17" t="s">
        <v>924</v>
      </c>
      <c r="E3304" s="17" t="s">
        <v>925</v>
      </c>
      <c r="F3304" s="18" t="s">
        <v>926</v>
      </c>
      <c r="G3304" s="49" t="s">
        <v>927</v>
      </c>
      <c r="H3304" s="17">
        <v>34</v>
      </c>
      <c r="I3304" s="30"/>
      <c r="J3304" s="62" t="s">
        <v>473</v>
      </c>
      <c r="O3304" s="62" t="str">
        <f>IF(E3304="PA",IF(K3304&lt;&gt;"",ISERROR(VLOOKUP(K3304,ABBR!A:D,1,FALSE)),ISERROR(VLOOKUP(C3304,ABBR!A:D,1,FALSE))),"")</f>
        <v/>
      </c>
      <c r="P3304" t="str">
        <f>VLOOKUP(A3304,Groups!A:L,5,FALSE)</f>
        <v>SAMP</v>
      </c>
      <c r="Q3304" s="62" t="str">
        <f>IF(G3304="PA",IF(M3304&lt;&gt;"",ISERROR(VLOOKUP(M3304,ABBR!C:F,1,FALSE)),ISERROR(VLOOKUP(E3304,ABBR!C:F,1,FALSE))),"")</f>
        <v/>
      </c>
    </row>
    <row r="3305" spans="1:17" s="62" customFormat="1" hidden="1" x14ac:dyDescent="0.25">
      <c r="A3305" s="16" t="s">
        <v>384</v>
      </c>
      <c r="B3305" s="17"/>
      <c r="C3305" s="16" t="s">
        <v>5388</v>
      </c>
      <c r="D3305" s="17"/>
      <c r="E3305" s="17" t="s">
        <v>608</v>
      </c>
      <c r="F3305" s="18" t="s">
        <v>875</v>
      </c>
      <c r="G3305" s="49" t="s">
        <v>876</v>
      </c>
      <c r="H3305" s="17">
        <v>35</v>
      </c>
      <c r="I3305" s="30"/>
      <c r="J3305" s="62" t="s">
        <v>473</v>
      </c>
      <c r="O3305" s="62" t="str">
        <f>IF(E3305="PA",IF(K3305&lt;&gt;"",ISERROR(VLOOKUP(K3305,ABBR!A:D,1,FALSE)),ISERROR(VLOOKUP(C3305,ABBR!A:D,1,FALSE))),"")</f>
        <v/>
      </c>
      <c r="P3305" t="str">
        <f>VLOOKUP(A3305,Groups!A:L,5,FALSE)</f>
        <v>SAMP</v>
      </c>
      <c r="Q3305" s="62" t="str">
        <f>IF(G3305="PA",IF(M3305&lt;&gt;"",ISERROR(VLOOKUP(M3305,ABBR!C:F,1,FALSE)),ISERROR(VLOOKUP(E3305,ABBR!C:F,1,FALSE))),"")</f>
        <v/>
      </c>
    </row>
    <row r="3306" spans="1:17" s="62" customFormat="1" hidden="1" x14ac:dyDescent="0.25">
      <c r="A3306" s="16" t="s">
        <v>384</v>
      </c>
      <c r="B3306" s="17"/>
      <c r="C3306" s="16" t="s">
        <v>5389</v>
      </c>
      <c r="D3306" s="17"/>
      <c r="E3306" s="17" t="s">
        <v>608</v>
      </c>
      <c r="F3306" s="18" t="s">
        <v>929</v>
      </c>
      <c r="G3306" s="49" t="s">
        <v>876</v>
      </c>
      <c r="H3306" s="17">
        <v>36</v>
      </c>
      <c r="I3306" s="30"/>
      <c r="J3306" s="62" t="s">
        <v>473</v>
      </c>
      <c r="O3306" s="62" t="str">
        <f>IF(E3306="PA",IF(K3306&lt;&gt;"",ISERROR(VLOOKUP(K3306,ABBR!A:D,1,FALSE)),ISERROR(VLOOKUP(C3306,ABBR!A:D,1,FALSE))),"")</f>
        <v/>
      </c>
      <c r="P3306" t="str">
        <f>VLOOKUP(A3306,Groups!A:L,5,FALSE)</f>
        <v>SAMP</v>
      </c>
      <c r="Q3306" s="62" t="str">
        <f>IF(G3306="PA",IF(M3306&lt;&gt;"",ISERROR(VLOOKUP(M3306,ABBR!C:F,1,FALSE)),ISERROR(VLOOKUP(E3306,ABBR!C:F,1,FALSE))),"")</f>
        <v/>
      </c>
    </row>
    <row r="3307" spans="1:17" s="62" customFormat="1" hidden="1" x14ac:dyDescent="0.25">
      <c r="A3307" s="16" t="s">
        <v>386</v>
      </c>
      <c r="B3307" s="17" t="s">
        <v>594</v>
      </c>
      <c r="C3307" s="16" t="s">
        <v>595</v>
      </c>
      <c r="D3307" s="17"/>
      <c r="E3307" s="17" t="s">
        <v>596</v>
      </c>
      <c r="F3307" s="18" t="s">
        <v>597</v>
      </c>
      <c r="G3307" s="49" t="s">
        <v>598</v>
      </c>
      <c r="H3307" s="17">
        <v>1</v>
      </c>
      <c r="I3307" s="30"/>
      <c r="J3307"/>
      <c r="K3307"/>
      <c r="L3307"/>
      <c r="M3307"/>
      <c r="N3307"/>
      <c r="O3307" s="62" t="str">
        <f>IF(E3307="PA",IF(K3307&lt;&gt;"",ISERROR(VLOOKUP(K3307,ABBR!A:D,1,FALSE)),ISERROR(VLOOKUP(C3307,ABBR!A:D,1,FALSE))),"")</f>
        <v/>
      </c>
      <c r="P3307" t="str">
        <f>VLOOKUP(A3307,Groups!A:L,5,FALSE)</f>
        <v>SAMP</v>
      </c>
      <c r="Q3307" s="62" t="str">
        <f>IF(G3307="PA",IF(M3307&lt;&gt;"",ISERROR(VLOOKUP(M3307,ABBR!C:F,1,FALSE)),ISERROR(VLOOKUP(E3307,ABBR!C:F,1,FALSE))),"")</f>
        <v/>
      </c>
    </row>
    <row r="3308" spans="1:17" s="62" customFormat="1" hidden="1" x14ac:dyDescent="0.25">
      <c r="A3308" s="16" t="s">
        <v>386</v>
      </c>
      <c r="B3308" s="17" t="s">
        <v>594</v>
      </c>
      <c r="C3308" s="16" t="s">
        <v>851</v>
      </c>
      <c r="D3308" s="17" t="s">
        <v>600</v>
      </c>
      <c r="E3308" s="17" t="s">
        <v>601</v>
      </c>
      <c r="F3308" s="18" t="s">
        <v>852</v>
      </c>
      <c r="G3308" s="49" t="s">
        <v>853</v>
      </c>
      <c r="H3308" s="17">
        <v>2</v>
      </c>
      <c r="I3308" s="30"/>
      <c r="J3308"/>
      <c r="K3308"/>
      <c r="L3308"/>
      <c r="M3308"/>
      <c r="N3308"/>
      <c r="O3308" s="62" t="str">
        <f>IF(E3308="PA",IF(K3308&lt;&gt;"",ISERROR(VLOOKUP(K3308,ABBR!A:D,1,FALSE)),ISERROR(VLOOKUP(C3308,ABBR!A:D,1,FALSE))),"")</f>
        <v/>
      </c>
      <c r="P3308" t="str">
        <f>VLOOKUP(A3308,Groups!A:L,5,FALSE)</f>
        <v>SAMP</v>
      </c>
      <c r="Q3308" s="62" t="str">
        <f>IF(G3308="PA",IF(M3308&lt;&gt;"",ISERROR(VLOOKUP(M3308,ABBR!C:F,1,FALSE)),ISERROR(VLOOKUP(E3308,ABBR!C:F,1,FALSE))),"")</f>
        <v/>
      </c>
    </row>
    <row r="3309" spans="1:17" s="62" customFormat="1" hidden="1" x14ac:dyDescent="0.25">
      <c r="A3309" s="16" t="s">
        <v>386</v>
      </c>
      <c r="B3309" s="17" t="s">
        <v>594</v>
      </c>
      <c r="C3309" s="16" t="s">
        <v>854</v>
      </c>
      <c r="D3309" s="17"/>
      <c r="E3309" s="17" t="s">
        <v>608</v>
      </c>
      <c r="F3309" s="18" t="s">
        <v>855</v>
      </c>
      <c r="G3309" s="49" t="s">
        <v>941</v>
      </c>
      <c r="H3309" s="17">
        <v>3</v>
      </c>
      <c r="I3309" s="30"/>
      <c r="J3309"/>
      <c r="K3309"/>
      <c r="L3309"/>
      <c r="M3309"/>
      <c r="N3309"/>
      <c r="O3309" s="62" t="str">
        <f>IF(E3309="PA",IF(K3309&lt;&gt;"",ISERROR(VLOOKUP(K3309,ABBR!A:D,1,FALSE)),ISERROR(VLOOKUP(C3309,ABBR!A:D,1,FALSE))),"")</f>
        <v/>
      </c>
      <c r="P3309" t="str">
        <f>VLOOKUP(A3309,Groups!A:L,5,FALSE)</f>
        <v>SAMP</v>
      </c>
      <c r="Q3309" s="62" t="str">
        <f>IF(G3309="PA",IF(M3309&lt;&gt;"",ISERROR(VLOOKUP(M3309,ABBR!C:F,1,FALSE)),ISERROR(VLOOKUP(E3309,ABBR!C:F,1,FALSE))),"")</f>
        <v/>
      </c>
    </row>
    <row r="3310" spans="1:17" s="62" customFormat="1" hidden="1" x14ac:dyDescent="0.25">
      <c r="A3310" s="16" t="s">
        <v>386</v>
      </c>
      <c r="B3310" s="17" t="s">
        <v>594</v>
      </c>
      <c r="C3310" s="16" t="s">
        <v>857</v>
      </c>
      <c r="D3310" s="17"/>
      <c r="E3310" s="17" t="s">
        <v>618</v>
      </c>
      <c r="F3310" s="18" t="s">
        <v>858</v>
      </c>
      <c r="G3310" s="49" t="s">
        <v>3547</v>
      </c>
      <c r="H3310" s="17">
        <v>4</v>
      </c>
      <c r="I3310" s="30"/>
      <c r="J3310"/>
      <c r="K3310"/>
      <c r="L3310"/>
      <c r="M3310"/>
      <c r="N3310"/>
      <c r="O3310" s="62" t="b">
        <f>IF(E3310="PA",IF(K3310&lt;&gt;"",ISERROR(VLOOKUP(K3310,ABBR!A:D,1,FALSE)),ISERROR(VLOOKUP(C3310,ABBR!A:D,1,FALSE))),"")</f>
        <v>0</v>
      </c>
      <c r="P3310" t="str">
        <f>VLOOKUP(A3310,Groups!A:L,5,FALSE)</f>
        <v>SAMP</v>
      </c>
      <c r="Q3310" s="62" t="str">
        <f>IF(G3310="PA",IF(M3310&lt;&gt;"",ISERROR(VLOOKUP(M3310,ABBR!C:F,1,FALSE)),ISERROR(VLOOKUP(E3310,ABBR!C:F,1,FALSE))),"")</f>
        <v/>
      </c>
    </row>
    <row r="3311" spans="1:17" s="62" customFormat="1" hidden="1" x14ac:dyDescent="0.25">
      <c r="A3311" s="16" t="s">
        <v>386</v>
      </c>
      <c r="B3311" s="17" t="s">
        <v>594</v>
      </c>
      <c r="C3311" s="16" t="s">
        <v>860</v>
      </c>
      <c r="D3311" s="17"/>
      <c r="E3311" s="17" t="s">
        <v>596</v>
      </c>
      <c r="F3311" s="18" t="s">
        <v>942</v>
      </c>
      <c r="G3311" s="49" t="s">
        <v>862</v>
      </c>
      <c r="H3311" s="17">
        <v>5</v>
      </c>
      <c r="I3311" s="30"/>
      <c r="J3311"/>
      <c r="K3311"/>
      <c r="L3311"/>
      <c r="M3311"/>
      <c r="N3311"/>
      <c r="O3311" s="62" t="str">
        <f>IF(E3311="PA",IF(K3311&lt;&gt;"",ISERROR(VLOOKUP(K3311,ABBR!A:D,1,FALSE)),ISERROR(VLOOKUP(C3311,ABBR!A:D,1,FALSE))),"")</f>
        <v/>
      </c>
      <c r="P3311" t="str">
        <f>VLOOKUP(A3311,Groups!A:L,5,FALSE)</f>
        <v>SAMP</v>
      </c>
      <c r="Q3311" s="62" t="str">
        <f>IF(G3311="PA",IF(M3311&lt;&gt;"",ISERROR(VLOOKUP(M3311,ABBR!C:F,1,FALSE)),ISERROR(VLOOKUP(E3311,ABBR!C:F,1,FALSE))),"")</f>
        <v/>
      </c>
    </row>
    <row r="3312" spans="1:17" s="62" customFormat="1" hidden="1" x14ac:dyDescent="0.25">
      <c r="A3312" s="16" t="s">
        <v>386</v>
      </c>
      <c r="B3312" s="17" t="s">
        <v>594</v>
      </c>
      <c r="C3312" s="16" t="s">
        <v>863</v>
      </c>
      <c r="D3312" s="17"/>
      <c r="E3312" s="17" t="s">
        <v>608</v>
      </c>
      <c r="F3312" s="18" t="s">
        <v>864</v>
      </c>
      <c r="G3312" s="49" t="s">
        <v>865</v>
      </c>
      <c r="H3312" s="17">
        <v>6</v>
      </c>
      <c r="I3312" s="30"/>
      <c r="J3312"/>
      <c r="K3312"/>
      <c r="L3312"/>
      <c r="M3312"/>
      <c r="N3312"/>
      <c r="O3312" s="62" t="str">
        <f>IF(E3312="PA",IF(K3312&lt;&gt;"",ISERROR(VLOOKUP(K3312,ABBR!A:D,1,FALSE)),ISERROR(VLOOKUP(C3312,ABBR!A:D,1,FALSE))),"")</f>
        <v/>
      </c>
      <c r="P3312" t="str">
        <f>VLOOKUP(A3312,Groups!A:L,5,FALSE)</f>
        <v>SAMP</v>
      </c>
      <c r="Q3312" s="62" t="str">
        <f>IF(G3312="PA",IF(M3312&lt;&gt;"",ISERROR(VLOOKUP(M3312,ABBR!C:F,1,FALSE)),ISERROR(VLOOKUP(E3312,ABBR!C:F,1,FALSE))),"")</f>
        <v/>
      </c>
    </row>
    <row r="3313" spans="1:17" s="62" customFormat="1" hidden="1" x14ac:dyDescent="0.25">
      <c r="A3313" s="16" t="s">
        <v>386</v>
      </c>
      <c r="B3313" s="17" t="s">
        <v>594</v>
      </c>
      <c r="C3313" s="16" t="s">
        <v>866</v>
      </c>
      <c r="D3313" s="17" t="s">
        <v>600</v>
      </c>
      <c r="E3313" s="17" t="s">
        <v>601</v>
      </c>
      <c r="F3313" s="18" t="s">
        <v>867</v>
      </c>
      <c r="G3313" s="49" t="s">
        <v>853</v>
      </c>
      <c r="H3313" s="17">
        <v>7</v>
      </c>
      <c r="I3313" s="30"/>
      <c r="J3313"/>
      <c r="K3313"/>
      <c r="L3313"/>
      <c r="M3313"/>
      <c r="N3313"/>
      <c r="O3313" s="62" t="str">
        <f>IF(E3313="PA",IF(K3313&lt;&gt;"",ISERROR(VLOOKUP(K3313,ABBR!A:D,1,FALSE)),ISERROR(VLOOKUP(C3313,ABBR!A:D,1,FALSE))),"")</f>
        <v/>
      </c>
      <c r="P3313" t="str">
        <f>VLOOKUP(A3313,Groups!A:L,5,FALSE)</f>
        <v>SAMP</v>
      </c>
      <c r="Q3313" s="62" t="str">
        <f>IF(G3313="PA",IF(M3313&lt;&gt;"",ISERROR(VLOOKUP(M3313,ABBR!C:F,1,FALSE)),ISERROR(VLOOKUP(E3313,ABBR!C:F,1,FALSE))),"")</f>
        <v/>
      </c>
    </row>
    <row r="3314" spans="1:17" s="62" customFormat="1" hidden="1" x14ac:dyDescent="0.25">
      <c r="A3314" s="16" t="s">
        <v>386</v>
      </c>
      <c r="B3314" s="17"/>
      <c r="C3314" s="16" t="s">
        <v>868</v>
      </c>
      <c r="D3314" s="17"/>
      <c r="E3314" s="17" t="s">
        <v>608</v>
      </c>
      <c r="F3314" s="18" t="s">
        <v>869</v>
      </c>
      <c r="G3314" s="51" t="s">
        <v>3265</v>
      </c>
      <c r="H3314" s="17">
        <v>8</v>
      </c>
      <c r="I3314" s="30"/>
      <c r="J3314"/>
      <c r="K3314"/>
      <c r="L3314"/>
      <c r="M3314"/>
      <c r="N3314"/>
      <c r="O3314" s="62" t="str">
        <f>IF(E3314="PA",IF(K3314&lt;&gt;"",ISERROR(VLOOKUP(K3314,ABBR!A:D,1,FALSE)),ISERROR(VLOOKUP(C3314,ABBR!A:D,1,FALSE))),"")</f>
        <v/>
      </c>
      <c r="P3314" t="str">
        <f>VLOOKUP(A3314,Groups!A:L,5,FALSE)</f>
        <v>SAMP</v>
      </c>
      <c r="Q3314" s="62" t="str">
        <f>IF(G3314="PA",IF(M3314&lt;&gt;"",ISERROR(VLOOKUP(M3314,ABBR!C:F,1,FALSE)),ISERROR(VLOOKUP(E3314,ABBR!C:F,1,FALSE))),"")</f>
        <v/>
      </c>
    </row>
    <row r="3315" spans="1:17" s="62" customFormat="1" ht="25" hidden="1" x14ac:dyDescent="0.25">
      <c r="A3315" s="16" t="s">
        <v>386</v>
      </c>
      <c r="B3315" s="17"/>
      <c r="C3315" s="16" t="s">
        <v>871</v>
      </c>
      <c r="D3315" s="17"/>
      <c r="E3315" s="17" t="s">
        <v>608</v>
      </c>
      <c r="F3315" s="18" t="s">
        <v>872</v>
      </c>
      <c r="G3315" s="49" t="s">
        <v>873</v>
      </c>
      <c r="H3315" s="17">
        <v>9</v>
      </c>
      <c r="I3315" s="30"/>
      <c r="J3315"/>
      <c r="K3315"/>
      <c r="L3315"/>
      <c r="M3315"/>
      <c r="N3315"/>
      <c r="O3315" s="62" t="str">
        <f>IF(E3315="PA",IF(K3315&lt;&gt;"",ISERROR(VLOOKUP(K3315,ABBR!A:D,1,FALSE)),ISERROR(VLOOKUP(C3315,ABBR!A:D,1,FALSE))),"")</f>
        <v/>
      </c>
      <c r="P3315" t="str">
        <f>VLOOKUP(A3315,Groups!A:L,5,FALSE)</f>
        <v>SAMP</v>
      </c>
      <c r="Q3315" s="62" t="str">
        <f>IF(G3315="PA",IF(M3315&lt;&gt;"",ISERROR(VLOOKUP(M3315,ABBR!C:F,1,FALSE)),ISERROR(VLOOKUP(E3315,ABBR!C:F,1,FALSE))),"")</f>
        <v/>
      </c>
    </row>
    <row r="3316" spans="1:17" s="62" customFormat="1" hidden="1" x14ac:dyDescent="0.25">
      <c r="A3316" s="16" t="s">
        <v>386</v>
      </c>
      <c r="B3316" s="17"/>
      <c r="C3316" s="16" t="s">
        <v>5390</v>
      </c>
      <c r="D3316" s="17"/>
      <c r="E3316" s="17" t="s">
        <v>723</v>
      </c>
      <c r="F3316" s="18" t="s">
        <v>5391</v>
      </c>
      <c r="G3316" s="49" t="s">
        <v>5392</v>
      </c>
      <c r="H3316" s="17">
        <v>10</v>
      </c>
      <c r="I3316" s="30"/>
      <c r="J3316"/>
      <c r="K3316"/>
      <c r="L3316"/>
      <c r="M3316"/>
      <c r="N3316"/>
      <c r="O3316" s="62" t="str">
        <f>IF(E3316="PA",IF(K3316&lt;&gt;"",ISERROR(VLOOKUP(K3316,ABBR!A:D,1,FALSE)),ISERROR(VLOOKUP(C3316,ABBR!A:D,1,FALSE))),"")</f>
        <v/>
      </c>
      <c r="P3316" t="str">
        <f>VLOOKUP(A3316,Groups!A:L,5,FALSE)</f>
        <v>SAMP</v>
      </c>
      <c r="Q3316" s="62" t="str">
        <f>IF(G3316="PA",IF(M3316&lt;&gt;"",ISERROR(VLOOKUP(M3316,ABBR!C:F,1,FALSE)),ISERROR(VLOOKUP(E3316,ABBR!C:F,1,FALSE))),"")</f>
        <v/>
      </c>
    </row>
    <row r="3317" spans="1:17" s="62" customFormat="1" hidden="1" x14ac:dyDescent="0.25">
      <c r="A3317" s="16" t="s">
        <v>386</v>
      </c>
      <c r="B3317" s="17"/>
      <c r="C3317" s="16" t="s">
        <v>5393</v>
      </c>
      <c r="D3317" s="17"/>
      <c r="E3317" s="17" t="s">
        <v>608</v>
      </c>
      <c r="F3317" s="18" t="s">
        <v>5394</v>
      </c>
      <c r="G3317" s="49"/>
      <c r="H3317" s="17">
        <v>11</v>
      </c>
      <c r="I3317" s="30"/>
      <c r="J3317"/>
      <c r="K3317"/>
      <c r="L3317"/>
      <c r="M3317" s="101" t="s">
        <v>1044</v>
      </c>
      <c r="N3317"/>
      <c r="O3317" s="62" t="str">
        <f>IF(E3317="PA",IF(K3317&lt;&gt;"",ISERROR(VLOOKUP(K3317,ABBR!A:D,1,FALSE)),ISERROR(VLOOKUP(C3317,ABBR!A:D,1,FALSE))),"")</f>
        <v/>
      </c>
      <c r="P3317" t="str">
        <f>VLOOKUP(A3317,Groups!A:L,5,FALSE)</f>
        <v>SAMP</v>
      </c>
      <c r="Q3317" s="62" t="str">
        <f>IF(G3317="PA",IF(M3317&lt;&gt;"",ISERROR(VLOOKUP(M3317,ABBR!C:F,1,FALSE)),ISERROR(VLOOKUP(E3317,ABBR!C:F,1,FALSE))),"")</f>
        <v/>
      </c>
    </row>
    <row r="3318" spans="1:17" s="62" customFormat="1" hidden="1" x14ac:dyDescent="0.25">
      <c r="A3318" s="16" t="s">
        <v>386</v>
      </c>
      <c r="B3318" s="17"/>
      <c r="C3318" s="16" t="s">
        <v>5395</v>
      </c>
      <c r="D3318" s="17"/>
      <c r="E3318" s="17" t="s">
        <v>767</v>
      </c>
      <c r="F3318" s="18" t="s">
        <v>5396</v>
      </c>
      <c r="G3318" s="49" t="s">
        <v>897</v>
      </c>
      <c r="H3318" s="17">
        <v>12</v>
      </c>
      <c r="I3318" s="30"/>
      <c r="J3318"/>
      <c r="K3318"/>
      <c r="L3318"/>
      <c r="M3318"/>
      <c r="N3318"/>
      <c r="O3318" s="62" t="str">
        <f>IF(E3318="PA",IF(K3318&lt;&gt;"",ISERROR(VLOOKUP(K3318,ABBR!A:D,1,FALSE)),ISERROR(VLOOKUP(C3318,ABBR!A:D,1,FALSE))),"")</f>
        <v/>
      </c>
      <c r="P3318" t="str">
        <f>VLOOKUP(A3318,Groups!A:L,5,FALSE)</f>
        <v>SAMP</v>
      </c>
      <c r="Q3318" s="62" t="str">
        <f>IF(G3318="PA",IF(M3318&lt;&gt;"",ISERROR(VLOOKUP(M3318,ABBR!C:F,1,FALSE)),ISERROR(VLOOKUP(E3318,ABBR!C:F,1,FALSE))),"")</f>
        <v/>
      </c>
    </row>
    <row r="3319" spans="1:17" s="62" customFormat="1" hidden="1" x14ac:dyDescent="0.25">
      <c r="A3319" s="16" t="s">
        <v>386</v>
      </c>
      <c r="B3319" s="17"/>
      <c r="C3319" s="16" t="s">
        <v>5397</v>
      </c>
      <c r="D3319" s="17"/>
      <c r="E3319" s="17" t="s">
        <v>608</v>
      </c>
      <c r="F3319" s="18" t="s">
        <v>642</v>
      </c>
      <c r="G3319" s="49" t="s">
        <v>16</v>
      </c>
      <c r="H3319" s="17">
        <v>13</v>
      </c>
      <c r="I3319" s="30"/>
      <c r="J3319"/>
      <c r="K3319"/>
      <c r="L3319"/>
      <c r="M3319" s="101"/>
      <c r="N3319"/>
      <c r="O3319" s="62" t="str">
        <f>IF(E3319="PA",IF(K3319&lt;&gt;"",ISERROR(VLOOKUP(K3319,ABBR!A:D,1,FALSE)),ISERROR(VLOOKUP(C3319,ABBR!A:D,1,FALSE))),"")</f>
        <v/>
      </c>
      <c r="P3319" t="str">
        <f>VLOOKUP(A3319,Groups!A:L,5,FALSE)</f>
        <v>SAMP</v>
      </c>
      <c r="Q3319" s="62" t="str">
        <f>IF(G3319="PA",IF(M3319&lt;&gt;"",ISERROR(VLOOKUP(M3319,ABBR!C:F,1,FALSE)),ISERROR(VLOOKUP(E3319,ABBR!C:F,1,FALSE))),"")</f>
        <v/>
      </c>
    </row>
    <row r="3320" spans="1:17" s="62" customFormat="1" ht="50" hidden="1" x14ac:dyDescent="0.25">
      <c r="A3320" s="16" t="s">
        <v>386</v>
      </c>
      <c r="B3320" s="17"/>
      <c r="C3320" s="16" t="s">
        <v>5398</v>
      </c>
      <c r="D3320" s="17"/>
      <c r="E3320" s="17" t="s">
        <v>608</v>
      </c>
      <c r="F3320" s="18" t="s">
        <v>918</v>
      </c>
      <c r="G3320" s="49" t="s">
        <v>5399</v>
      </c>
      <c r="H3320" s="17">
        <v>14</v>
      </c>
      <c r="I3320" s="30"/>
      <c r="J3320"/>
      <c r="K3320"/>
      <c r="L3320"/>
      <c r="M3320"/>
      <c r="N3320"/>
      <c r="O3320" s="62" t="str">
        <f>IF(E3320="PA",IF(K3320&lt;&gt;"",ISERROR(VLOOKUP(K3320,ABBR!A:D,1,FALSE)),ISERROR(VLOOKUP(C3320,ABBR!A:D,1,FALSE))),"")</f>
        <v/>
      </c>
      <c r="P3320" t="str">
        <f>VLOOKUP(A3320,Groups!A:L,5,FALSE)</f>
        <v>SAMP</v>
      </c>
      <c r="Q3320" s="62" t="str">
        <f>IF(G3320="PA",IF(M3320&lt;&gt;"",ISERROR(VLOOKUP(M3320,ABBR!C:F,1,FALSE)),ISERROR(VLOOKUP(E3320,ABBR!C:F,1,FALSE))),"")</f>
        <v/>
      </c>
    </row>
    <row r="3321" spans="1:17" s="62" customFormat="1" hidden="1" x14ac:dyDescent="0.25">
      <c r="A3321" s="16" t="s">
        <v>386</v>
      </c>
      <c r="B3321" s="17"/>
      <c r="C3321" s="16" t="s">
        <v>5400</v>
      </c>
      <c r="D3321" s="17"/>
      <c r="E3321" s="17" t="s">
        <v>608</v>
      </c>
      <c r="F3321" s="18" t="s">
        <v>950</v>
      </c>
      <c r="G3321" s="27" t="s">
        <v>951</v>
      </c>
      <c r="H3321" s="17">
        <v>15</v>
      </c>
      <c r="I3321" s="30"/>
      <c r="J3321"/>
      <c r="K3321"/>
      <c r="L3321"/>
      <c r="M3321"/>
      <c r="N3321"/>
      <c r="O3321" s="62" t="str">
        <f>IF(E3321="PA",IF(K3321&lt;&gt;"",ISERROR(VLOOKUP(K3321,ABBR!A:D,1,FALSE)),ISERROR(VLOOKUP(C3321,ABBR!A:D,1,FALSE))),"")</f>
        <v/>
      </c>
      <c r="P3321" t="str">
        <f>VLOOKUP(A3321,Groups!A:L,5,FALSE)</f>
        <v>SAMP</v>
      </c>
      <c r="Q3321" s="62" t="str">
        <f>IF(G3321="PA",IF(M3321&lt;&gt;"",ISERROR(VLOOKUP(M3321,ABBR!C:F,1,FALSE)),ISERROR(VLOOKUP(E3321,ABBR!C:F,1,FALSE))),"")</f>
        <v/>
      </c>
    </row>
    <row r="3322" spans="1:17" s="62" customFormat="1" ht="25" hidden="1" x14ac:dyDescent="0.25">
      <c r="A3322" s="16" t="s">
        <v>386</v>
      </c>
      <c r="B3322" s="17"/>
      <c r="C3322" s="16" t="s">
        <v>5401</v>
      </c>
      <c r="D3322" s="17"/>
      <c r="E3322" s="17" t="s">
        <v>608</v>
      </c>
      <c r="F3322" s="18" t="s">
        <v>934</v>
      </c>
      <c r="G3322" s="49" t="s">
        <v>953</v>
      </c>
      <c r="H3322" s="17">
        <v>16</v>
      </c>
      <c r="I3322" s="30"/>
      <c r="J3322"/>
      <c r="K3322"/>
      <c r="L3322"/>
      <c r="M3322"/>
      <c r="N3322"/>
      <c r="O3322" s="62" t="str">
        <f>IF(E3322="PA",IF(K3322&lt;&gt;"",ISERROR(VLOOKUP(K3322,ABBR!A:D,1,FALSE)),ISERROR(VLOOKUP(C3322,ABBR!A:D,1,FALSE))),"")</f>
        <v/>
      </c>
      <c r="P3322" t="str">
        <f>VLOOKUP(A3322,Groups!A:L,5,FALSE)</f>
        <v>SAMP</v>
      </c>
      <c r="Q3322" s="62" t="str">
        <f>IF(G3322="PA",IF(M3322&lt;&gt;"",ISERROR(VLOOKUP(M3322,ABBR!C:F,1,FALSE)),ISERROR(VLOOKUP(E3322,ABBR!C:F,1,FALSE))),"")</f>
        <v/>
      </c>
    </row>
    <row r="3323" spans="1:17" s="62" customFormat="1" hidden="1" x14ac:dyDescent="0.25">
      <c r="A3323" s="16" t="s">
        <v>386</v>
      </c>
      <c r="B3323" s="17"/>
      <c r="C3323" s="16" t="s">
        <v>936</v>
      </c>
      <c r="D3323" s="17"/>
      <c r="E3323" s="22" t="s">
        <v>608</v>
      </c>
      <c r="F3323" s="18" t="s">
        <v>937</v>
      </c>
      <c r="G3323" s="49" t="s">
        <v>938</v>
      </c>
      <c r="H3323" s="17">
        <v>17</v>
      </c>
      <c r="I3323" s="30"/>
      <c r="J3323"/>
      <c r="K3323"/>
      <c r="L3323"/>
      <c r="M3323"/>
      <c r="N3323"/>
      <c r="O3323" s="62" t="str">
        <f>IF(E3323="PA",IF(K3323&lt;&gt;"",ISERROR(VLOOKUP(K3323,ABBR!A:D,1,FALSE)),ISERROR(VLOOKUP(C3323,ABBR!A:D,1,FALSE))),"")</f>
        <v/>
      </c>
      <c r="P3323" t="str">
        <f>VLOOKUP(A3323,Groups!A:L,5,FALSE)</f>
        <v>SAMP</v>
      </c>
      <c r="Q3323" s="62" t="str">
        <f>IF(G3323="PA",IF(M3323&lt;&gt;"",ISERROR(VLOOKUP(M3323,ABBR!C:F,1,FALSE)),ISERROR(VLOOKUP(E3323,ABBR!C:F,1,FALSE))),"")</f>
        <v/>
      </c>
    </row>
    <row r="3324" spans="1:17" s="62" customFormat="1" hidden="1" x14ac:dyDescent="0.25">
      <c r="A3324" s="16" t="s">
        <v>386</v>
      </c>
      <c r="B3324" s="17"/>
      <c r="C3324" s="16" t="s">
        <v>643</v>
      </c>
      <c r="D3324" s="17"/>
      <c r="E3324" s="17" t="s">
        <v>608</v>
      </c>
      <c r="F3324" s="18" t="s">
        <v>954</v>
      </c>
      <c r="G3324" s="49" t="s">
        <v>940</v>
      </c>
      <c r="H3324" s="17">
        <v>18</v>
      </c>
      <c r="I3324" s="30"/>
      <c r="J3324"/>
      <c r="K3324"/>
      <c r="L3324"/>
      <c r="M3324"/>
      <c r="N3324"/>
      <c r="O3324" s="62" t="str">
        <f>IF(E3324="PA",IF(K3324&lt;&gt;"",ISERROR(VLOOKUP(K3324,ABBR!A:D,1,FALSE)),ISERROR(VLOOKUP(C3324,ABBR!A:D,1,FALSE))),"")</f>
        <v/>
      </c>
      <c r="P3324" t="str">
        <f>VLOOKUP(A3324,Groups!A:L,5,FALSE)</f>
        <v>SAMP</v>
      </c>
      <c r="Q3324" s="62" t="str">
        <f>IF(G3324="PA",IF(M3324&lt;&gt;"",ISERROR(VLOOKUP(M3324,ABBR!C:F,1,FALSE)),ISERROR(VLOOKUP(E3324,ABBR!C:F,1,FALSE))),"")</f>
        <v/>
      </c>
    </row>
    <row r="3325" spans="1:17" s="62" customFormat="1" hidden="1" x14ac:dyDescent="0.25">
      <c r="A3325" s="16" t="s">
        <v>386</v>
      </c>
      <c r="B3325" s="17"/>
      <c r="C3325" s="16" t="s">
        <v>877</v>
      </c>
      <c r="D3325" s="17" t="s">
        <v>600</v>
      </c>
      <c r="E3325" s="17" t="s">
        <v>601</v>
      </c>
      <c r="F3325" s="18" t="s">
        <v>878</v>
      </c>
      <c r="G3325" s="49" t="s">
        <v>879</v>
      </c>
      <c r="H3325" s="17">
        <v>19</v>
      </c>
      <c r="I3325" s="30" t="s">
        <v>955</v>
      </c>
      <c r="J3325" s="80">
        <v>4.0999999999999996</v>
      </c>
      <c r="K3325"/>
      <c r="L3325"/>
      <c r="M3325"/>
      <c r="N3325"/>
      <c r="O3325" s="62" t="str">
        <f>IF(E3325="PA",IF(K3325&lt;&gt;"",ISERROR(VLOOKUP(K3325,ABBR!A:D,1,FALSE)),ISERROR(VLOOKUP(C3325,ABBR!A:D,1,FALSE))),"")</f>
        <v/>
      </c>
      <c r="P3325" t="str">
        <f>VLOOKUP(A3325,Groups!A:L,5,FALSE)</f>
        <v>SAMP</v>
      </c>
      <c r="Q3325" s="62" t="str">
        <f>IF(G3325="PA",IF(M3325&lt;&gt;"",ISERROR(VLOOKUP(M3325,ABBR!C:F,1,FALSE)),ISERROR(VLOOKUP(E3325,ABBR!C:F,1,FALSE))),"")</f>
        <v/>
      </c>
    </row>
    <row r="3326" spans="1:17" s="62" customFormat="1" hidden="1" x14ac:dyDescent="0.25">
      <c r="A3326" s="16" t="s">
        <v>386</v>
      </c>
      <c r="B3326" s="17"/>
      <c r="C3326" s="16" t="s">
        <v>5402</v>
      </c>
      <c r="D3326" s="17"/>
      <c r="E3326" s="17" t="s">
        <v>608</v>
      </c>
      <c r="F3326" s="18" t="s">
        <v>921</v>
      </c>
      <c r="G3326" s="94" t="s">
        <v>922</v>
      </c>
      <c r="H3326" s="17">
        <v>20</v>
      </c>
      <c r="I3326" s="30" t="s">
        <v>955</v>
      </c>
      <c r="J3326" s="80">
        <v>4.0999999999999996</v>
      </c>
      <c r="K3326"/>
      <c r="L3326"/>
      <c r="M3326" s="101"/>
      <c r="N3326"/>
      <c r="O3326" s="62" t="str">
        <f>IF(E3326="PA",IF(K3326&lt;&gt;"",ISERROR(VLOOKUP(K3326,ABBR!A:D,1,FALSE)),ISERROR(VLOOKUP(C3326,ABBR!A:D,1,FALSE))),"")</f>
        <v/>
      </c>
      <c r="P3326" t="str">
        <f>VLOOKUP(A3326,Groups!A:L,5,FALSE)</f>
        <v>SAMP</v>
      </c>
      <c r="Q3326" s="62" t="str">
        <f>IF(G3326="PA",IF(M3326&lt;&gt;"",ISERROR(VLOOKUP(M3326,ABBR!C:F,1,FALSE)),ISERROR(VLOOKUP(E3326,ABBR!C:F,1,FALSE))),"")</f>
        <v/>
      </c>
    </row>
    <row r="3327" spans="1:17" s="62" customFormat="1" hidden="1" x14ac:dyDescent="0.25">
      <c r="A3327" s="16" t="s">
        <v>386</v>
      </c>
      <c r="B3327" s="17"/>
      <c r="C3327" s="16" t="s">
        <v>5403</v>
      </c>
      <c r="D3327" s="17" t="s">
        <v>924</v>
      </c>
      <c r="E3327" s="17" t="s">
        <v>925</v>
      </c>
      <c r="F3327" s="18" t="s">
        <v>4338</v>
      </c>
      <c r="G3327" s="49" t="s">
        <v>927</v>
      </c>
      <c r="H3327" s="17">
        <v>21</v>
      </c>
      <c r="I3327" s="30"/>
      <c r="J3327" s="62" t="s">
        <v>473</v>
      </c>
      <c r="K3327"/>
      <c r="L3327"/>
      <c r="M3327" s="101"/>
      <c r="N3327"/>
      <c r="O3327" s="62" t="str">
        <f>IF(E3327="PA",IF(K3327&lt;&gt;"",ISERROR(VLOOKUP(K3327,ABBR!A:D,1,FALSE)),ISERROR(VLOOKUP(C3327,ABBR!A:D,1,FALSE))),"")</f>
        <v/>
      </c>
      <c r="P3327" t="str">
        <f>VLOOKUP(A3327,Groups!A:L,5,FALSE)</f>
        <v>SAMP</v>
      </c>
      <c r="Q3327" s="62" t="str">
        <f>IF(G3327="PA",IF(M3327&lt;&gt;"",ISERROR(VLOOKUP(M3327,ABBR!C:F,1,FALSE)),ISERROR(VLOOKUP(E3327,ABBR!C:F,1,FALSE))),"")</f>
        <v/>
      </c>
    </row>
    <row r="3328" spans="1:17" s="62" customFormat="1" hidden="1" x14ac:dyDescent="0.25">
      <c r="A3328" s="16" t="s">
        <v>386</v>
      </c>
      <c r="B3328" s="17"/>
      <c r="C3328" s="16" t="s">
        <v>5404</v>
      </c>
      <c r="D3328" s="17"/>
      <c r="E3328" s="17"/>
      <c r="F3328" s="18" t="s">
        <v>875</v>
      </c>
      <c r="G3328" s="49" t="s">
        <v>876</v>
      </c>
      <c r="H3328" s="17">
        <v>22</v>
      </c>
      <c r="I3328" s="30"/>
      <c r="J3328" s="62" t="s">
        <v>473</v>
      </c>
      <c r="K3328"/>
      <c r="L3328"/>
      <c r="M3328" s="101"/>
      <c r="N3328"/>
      <c r="O3328" s="62" t="str">
        <f>IF(E3328="PA",IF(K3328&lt;&gt;"",ISERROR(VLOOKUP(K3328,ABBR!A:D,1,FALSE)),ISERROR(VLOOKUP(C3328,ABBR!A:D,1,FALSE))),"")</f>
        <v/>
      </c>
      <c r="P3328" t="str">
        <f>VLOOKUP(A3328,Groups!A:L,5,FALSE)</f>
        <v>SAMP</v>
      </c>
      <c r="Q3328" s="62" t="str">
        <f>IF(G3328="PA",IF(M3328&lt;&gt;"",ISERROR(VLOOKUP(M3328,ABBR!C:F,1,FALSE)),ISERROR(VLOOKUP(E3328,ABBR!C:F,1,FALSE))),"")</f>
        <v/>
      </c>
    </row>
    <row r="3329" spans="1:17" s="62" customFormat="1" hidden="1" x14ac:dyDescent="0.25">
      <c r="A3329" s="16" t="s">
        <v>386</v>
      </c>
      <c r="B3329" s="17"/>
      <c r="C3329" s="16" t="s">
        <v>5405</v>
      </c>
      <c r="D3329" s="17"/>
      <c r="E3329" s="17"/>
      <c r="F3329" s="18" t="s">
        <v>929</v>
      </c>
      <c r="G3329" s="49" t="s">
        <v>876</v>
      </c>
      <c r="H3329" s="17">
        <v>23</v>
      </c>
      <c r="I3329" s="30"/>
      <c r="J3329" s="62" t="s">
        <v>473</v>
      </c>
      <c r="K3329"/>
      <c r="L3329"/>
      <c r="M3329" s="101"/>
      <c r="N3329"/>
      <c r="O3329" s="62" t="str">
        <f>IF(E3329="PA",IF(K3329&lt;&gt;"",ISERROR(VLOOKUP(K3329,ABBR!A:D,1,FALSE)),ISERROR(VLOOKUP(C3329,ABBR!A:D,1,FALSE))),"")</f>
        <v/>
      </c>
      <c r="P3329" t="str">
        <f>VLOOKUP(A3329,Groups!A:L,5,FALSE)</f>
        <v>SAMP</v>
      </c>
      <c r="Q3329" s="62" t="str">
        <f>IF(G3329="PA",IF(M3329&lt;&gt;"",ISERROR(VLOOKUP(M3329,ABBR!C:F,1,FALSE)),ISERROR(VLOOKUP(E3329,ABBR!C:F,1,FALSE))),"")</f>
        <v/>
      </c>
    </row>
    <row r="3330" spans="1:17" s="62" customFormat="1" hidden="1" x14ac:dyDescent="0.25">
      <c r="A3330" s="16" t="s">
        <v>550</v>
      </c>
      <c r="B3330" s="17" t="s">
        <v>594</v>
      </c>
      <c r="C3330" s="16" t="s">
        <v>595</v>
      </c>
      <c r="D3330" s="17"/>
      <c r="E3330" s="17" t="s">
        <v>596</v>
      </c>
      <c r="F3330" s="18" t="s">
        <v>597</v>
      </c>
      <c r="G3330" s="49" t="s">
        <v>598</v>
      </c>
      <c r="H3330" s="17">
        <v>1</v>
      </c>
      <c r="I3330" s="30"/>
      <c r="J3330" s="62" t="s">
        <v>532</v>
      </c>
      <c r="O3330" s="62" t="str">
        <f>IF(E3330="PA",IF(K3330&lt;&gt;"",ISERROR(VLOOKUP(K3330,ABBR!A:D,1,FALSE)),ISERROR(VLOOKUP(C3330,ABBR!A:D,1,FALSE))),"")</f>
        <v/>
      </c>
      <c r="P3330" t="str">
        <f>VLOOKUP(A3330,Groups!A:L,5,FALSE)</f>
        <v>SAMP</v>
      </c>
      <c r="Q3330" s="62" t="str">
        <f>IF(G3330="PA",IF(M3330&lt;&gt;"",ISERROR(VLOOKUP(M3330,ABBR!C:F,1,FALSE)),ISERROR(VLOOKUP(E3330,ABBR!C:F,1,FALSE))),"")</f>
        <v/>
      </c>
    </row>
    <row r="3331" spans="1:17" s="62" customFormat="1" hidden="1" x14ac:dyDescent="0.25">
      <c r="A3331" s="16" t="s">
        <v>550</v>
      </c>
      <c r="B3331" s="17" t="s">
        <v>594</v>
      </c>
      <c r="C3331" s="16" t="s">
        <v>851</v>
      </c>
      <c r="D3331" s="17" t="s">
        <v>600</v>
      </c>
      <c r="E3331" s="17" t="s">
        <v>601</v>
      </c>
      <c r="F3331" s="18" t="s">
        <v>852</v>
      </c>
      <c r="G3331" s="49" t="s">
        <v>853</v>
      </c>
      <c r="H3331" s="17">
        <f t="shared" ref="H3331:H3370" si="22">H3330+1</f>
        <v>2</v>
      </c>
      <c r="I3331" s="30"/>
      <c r="J3331" s="62" t="s">
        <v>532</v>
      </c>
      <c r="O3331" s="62" t="str">
        <f>IF(E3331="PA",IF(K3331&lt;&gt;"",ISERROR(VLOOKUP(K3331,ABBR!A:D,1,FALSE)),ISERROR(VLOOKUP(C3331,ABBR!A:D,1,FALSE))),"")</f>
        <v/>
      </c>
      <c r="P3331" t="str">
        <f>VLOOKUP(A3331,Groups!A:L,5,FALSE)</f>
        <v>SAMP</v>
      </c>
      <c r="Q3331" s="62" t="str">
        <f>IF(G3331="PA",IF(M3331&lt;&gt;"",ISERROR(VLOOKUP(M3331,ABBR!C:F,1,FALSE)),ISERROR(VLOOKUP(E3331,ABBR!C:F,1,FALSE))),"")</f>
        <v/>
      </c>
    </row>
    <row r="3332" spans="1:17" s="62" customFormat="1" hidden="1" x14ac:dyDescent="0.25">
      <c r="A3332" s="16" t="s">
        <v>550</v>
      </c>
      <c r="B3332" s="17" t="s">
        <v>594</v>
      </c>
      <c r="C3332" s="16" t="s">
        <v>854</v>
      </c>
      <c r="D3332" s="17"/>
      <c r="E3332" s="17" t="s">
        <v>608</v>
      </c>
      <c r="F3332" s="18" t="s">
        <v>855</v>
      </c>
      <c r="G3332" s="49" t="s">
        <v>856</v>
      </c>
      <c r="H3332" s="17">
        <f t="shared" si="22"/>
        <v>3</v>
      </c>
      <c r="I3332" s="30"/>
      <c r="J3332" s="62" t="s">
        <v>532</v>
      </c>
      <c r="O3332" s="62" t="str">
        <f>IF(E3332="PA",IF(K3332&lt;&gt;"",ISERROR(VLOOKUP(K3332,ABBR!A:D,1,FALSE)),ISERROR(VLOOKUP(C3332,ABBR!A:D,1,FALSE))),"")</f>
        <v/>
      </c>
      <c r="P3332" t="str">
        <f>VLOOKUP(A3332,Groups!A:L,5,FALSE)</f>
        <v>SAMP</v>
      </c>
      <c r="Q3332" s="62" t="str">
        <f>IF(G3332="PA",IF(M3332&lt;&gt;"",ISERROR(VLOOKUP(M3332,ABBR!C:F,1,FALSE)),ISERROR(VLOOKUP(E3332,ABBR!C:F,1,FALSE))),"")</f>
        <v/>
      </c>
    </row>
    <row r="3333" spans="1:17" s="62" customFormat="1" hidden="1" x14ac:dyDescent="0.25">
      <c r="A3333" s="16" t="s">
        <v>550</v>
      </c>
      <c r="B3333" s="17" t="s">
        <v>594</v>
      </c>
      <c r="C3333" s="16" t="s">
        <v>857</v>
      </c>
      <c r="D3333" s="17"/>
      <c r="E3333" s="17" t="s">
        <v>618</v>
      </c>
      <c r="F3333" s="18" t="s">
        <v>858</v>
      </c>
      <c r="G3333" s="49" t="s">
        <v>859</v>
      </c>
      <c r="H3333" s="17">
        <f t="shared" si="22"/>
        <v>4</v>
      </c>
      <c r="I3333" s="30"/>
      <c r="J3333" s="62" t="s">
        <v>532</v>
      </c>
      <c r="O3333" s="62" t="b">
        <f>IF(E3333="PA",IF(K3333&lt;&gt;"",ISERROR(VLOOKUP(K3333,ABBR!A:D,1,FALSE)),ISERROR(VLOOKUP(C3333,ABBR!A:D,1,FALSE))),"")</f>
        <v>0</v>
      </c>
      <c r="P3333" t="str">
        <f>VLOOKUP(A3333,Groups!A:L,5,FALSE)</f>
        <v>SAMP</v>
      </c>
      <c r="Q3333" s="62" t="str">
        <f>IF(G3333="PA",IF(M3333&lt;&gt;"",ISERROR(VLOOKUP(M3333,ABBR!C:F,1,FALSE)),ISERROR(VLOOKUP(E3333,ABBR!C:F,1,FALSE))),"")</f>
        <v/>
      </c>
    </row>
    <row r="3334" spans="1:17" s="62" customFormat="1" hidden="1" x14ac:dyDescent="0.25">
      <c r="A3334" s="16" t="s">
        <v>550</v>
      </c>
      <c r="B3334" s="17" t="s">
        <v>594</v>
      </c>
      <c r="C3334" s="16" t="s">
        <v>860</v>
      </c>
      <c r="D3334" s="17"/>
      <c r="E3334" s="17" t="s">
        <v>596</v>
      </c>
      <c r="F3334" s="18" t="s">
        <v>861</v>
      </c>
      <c r="G3334" s="49" t="s">
        <v>862</v>
      </c>
      <c r="H3334" s="17">
        <f t="shared" si="22"/>
        <v>5</v>
      </c>
      <c r="I3334" s="30"/>
      <c r="J3334" s="62" t="s">
        <v>532</v>
      </c>
      <c r="O3334" s="62" t="str">
        <f>IF(E3334="PA",IF(K3334&lt;&gt;"",ISERROR(VLOOKUP(K3334,ABBR!A:D,1,FALSE)),ISERROR(VLOOKUP(C3334,ABBR!A:D,1,FALSE))),"")</f>
        <v/>
      </c>
      <c r="P3334" t="str">
        <f>VLOOKUP(A3334,Groups!A:L,5,FALSE)</f>
        <v>SAMP</v>
      </c>
      <c r="Q3334" s="62" t="str">
        <f>IF(G3334="PA",IF(M3334&lt;&gt;"",ISERROR(VLOOKUP(M3334,ABBR!C:F,1,FALSE)),ISERROR(VLOOKUP(E3334,ABBR!C:F,1,FALSE))),"")</f>
        <v/>
      </c>
    </row>
    <row r="3335" spans="1:17" s="62" customFormat="1" hidden="1" x14ac:dyDescent="0.25">
      <c r="A3335" s="16" t="s">
        <v>550</v>
      </c>
      <c r="B3335" s="17" t="s">
        <v>594</v>
      </c>
      <c r="C3335" s="16" t="s">
        <v>863</v>
      </c>
      <c r="D3335" s="17"/>
      <c r="E3335" s="17" t="s">
        <v>608</v>
      </c>
      <c r="F3335" s="18" t="s">
        <v>864</v>
      </c>
      <c r="G3335" s="49" t="s">
        <v>865</v>
      </c>
      <c r="H3335" s="17">
        <f t="shared" si="22"/>
        <v>6</v>
      </c>
      <c r="I3335" s="30"/>
      <c r="J3335" s="62" t="s">
        <v>532</v>
      </c>
      <c r="O3335" s="62" t="str">
        <f>IF(E3335="PA",IF(K3335&lt;&gt;"",ISERROR(VLOOKUP(K3335,ABBR!A:D,1,FALSE)),ISERROR(VLOOKUP(C3335,ABBR!A:D,1,FALSE))),"")</f>
        <v/>
      </c>
      <c r="P3335" t="str">
        <f>VLOOKUP(A3335,Groups!A:L,5,FALSE)</f>
        <v>SAMP</v>
      </c>
      <c r="Q3335" s="62" t="str">
        <f>IF(G3335="PA",IF(M3335&lt;&gt;"",ISERROR(VLOOKUP(M3335,ABBR!C:F,1,FALSE)),ISERROR(VLOOKUP(E3335,ABBR!C:F,1,FALSE))),"")</f>
        <v/>
      </c>
    </row>
    <row r="3336" spans="1:17" s="62" customFormat="1" hidden="1" x14ac:dyDescent="0.25">
      <c r="A3336" s="16" t="s">
        <v>550</v>
      </c>
      <c r="B3336" s="17" t="s">
        <v>594</v>
      </c>
      <c r="C3336" s="16" t="s">
        <v>866</v>
      </c>
      <c r="D3336" s="17" t="s">
        <v>600</v>
      </c>
      <c r="E3336" s="17" t="s">
        <v>601</v>
      </c>
      <c r="F3336" s="18" t="s">
        <v>867</v>
      </c>
      <c r="G3336" s="49" t="s">
        <v>853</v>
      </c>
      <c r="H3336" s="17">
        <f t="shared" si="22"/>
        <v>7</v>
      </c>
      <c r="I3336" s="30"/>
      <c r="J3336" s="62" t="s">
        <v>532</v>
      </c>
      <c r="O3336" s="62" t="str">
        <f>IF(E3336="PA",IF(K3336&lt;&gt;"",ISERROR(VLOOKUP(K3336,ABBR!A:D,1,FALSE)),ISERROR(VLOOKUP(C3336,ABBR!A:D,1,FALSE))),"")</f>
        <v/>
      </c>
      <c r="P3336" t="str">
        <f>VLOOKUP(A3336,Groups!A:L,5,FALSE)</f>
        <v>SAMP</v>
      </c>
      <c r="Q3336" s="62" t="str">
        <f>IF(G3336="PA",IF(M3336&lt;&gt;"",ISERROR(VLOOKUP(M3336,ABBR!C:F,1,FALSE)),ISERROR(VLOOKUP(E3336,ABBR!C:F,1,FALSE))),"")</f>
        <v/>
      </c>
    </row>
    <row r="3337" spans="1:17" s="62" customFormat="1" ht="25" hidden="1" x14ac:dyDescent="0.25">
      <c r="A3337" s="16" t="s">
        <v>550</v>
      </c>
      <c r="B3337" s="17"/>
      <c r="C3337" s="16" t="s">
        <v>868</v>
      </c>
      <c r="D3337" s="17"/>
      <c r="E3337" s="17" t="s">
        <v>608</v>
      </c>
      <c r="F3337" s="18" t="s">
        <v>869</v>
      </c>
      <c r="G3337" s="49" t="s">
        <v>870</v>
      </c>
      <c r="H3337" s="17">
        <f t="shared" si="22"/>
        <v>8</v>
      </c>
      <c r="I3337" s="30"/>
      <c r="J3337" s="62" t="s">
        <v>532</v>
      </c>
      <c r="O3337" s="62" t="str">
        <f>IF(E3337="PA",IF(K3337&lt;&gt;"",ISERROR(VLOOKUP(K3337,ABBR!A:D,1,FALSE)),ISERROR(VLOOKUP(C3337,ABBR!A:D,1,FALSE))),"")</f>
        <v/>
      </c>
      <c r="P3337" t="str">
        <f>VLOOKUP(A3337,Groups!A:L,5,FALSE)</f>
        <v>SAMP</v>
      </c>
      <c r="Q3337" s="62" t="str">
        <f>IF(G3337="PA",IF(M3337&lt;&gt;"",ISERROR(VLOOKUP(M3337,ABBR!C:F,1,FALSE)),ISERROR(VLOOKUP(E3337,ABBR!C:F,1,FALSE))),"")</f>
        <v/>
      </c>
    </row>
    <row r="3338" spans="1:17" s="62" customFormat="1" ht="25" hidden="1" x14ac:dyDescent="0.25">
      <c r="A3338" s="16" t="s">
        <v>550</v>
      </c>
      <c r="B3338" s="17"/>
      <c r="C3338" s="16" t="s">
        <v>871</v>
      </c>
      <c r="D3338" s="17"/>
      <c r="E3338" s="17" t="s">
        <v>608</v>
      </c>
      <c r="F3338" s="18" t="s">
        <v>872</v>
      </c>
      <c r="G3338" s="49" t="s">
        <v>873</v>
      </c>
      <c r="H3338" s="17">
        <f t="shared" si="22"/>
        <v>9</v>
      </c>
      <c r="I3338" s="30"/>
      <c r="J3338" s="62" t="s">
        <v>532</v>
      </c>
      <c r="O3338" s="62" t="str">
        <f>IF(E3338="PA",IF(K3338&lt;&gt;"",ISERROR(VLOOKUP(K3338,ABBR!A:D,1,FALSE)),ISERROR(VLOOKUP(C3338,ABBR!A:D,1,FALSE))),"")</f>
        <v/>
      </c>
      <c r="P3338" t="str">
        <f>VLOOKUP(A3338,Groups!A:L,5,FALSE)</f>
        <v>SAMP</v>
      </c>
      <c r="Q3338" s="62" t="str">
        <f>IF(G3338="PA",IF(M3338&lt;&gt;"",ISERROR(VLOOKUP(M3338,ABBR!C:F,1,FALSE)),ISERROR(VLOOKUP(E3338,ABBR!C:F,1,FALSE))),"")</f>
        <v/>
      </c>
    </row>
    <row r="3339" spans="1:17" s="62" customFormat="1" hidden="1" x14ac:dyDescent="0.25">
      <c r="A3339" s="16" t="s">
        <v>550</v>
      </c>
      <c r="B3339" s="17"/>
      <c r="C3339" s="16" t="s">
        <v>5406</v>
      </c>
      <c r="D3339" s="17"/>
      <c r="E3339" s="17" t="s">
        <v>608</v>
      </c>
      <c r="F3339" s="18" t="s">
        <v>875</v>
      </c>
      <c r="G3339" s="49" t="s">
        <v>876</v>
      </c>
      <c r="H3339" s="17">
        <f t="shared" si="22"/>
        <v>10</v>
      </c>
      <c r="I3339" s="30"/>
      <c r="J3339" s="62" t="s">
        <v>473</v>
      </c>
      <c r="O3339" s="62" t="str">
        <f>IF(E3339="PA",IF(K3339&lt;&gt;"",ISERROR(VLOOKUP(K3339,ABBR!A:D,1,FALSE)),ISERROR(VLOOKUP(C3339,ABBR!A:D,1,FALSE))),"")</f>
        <v/>
      </c>
      <c r="P3339" t="str">
        <f>VLOOKUP(A3339,Groups!A:L,5,FALSE)</f>
        <v>SAMP</v>
      </c>
      <c r="Q3339" s="62" t="str">
        <f>IF(G3339="PA",IF(M3339&lt;&gt;"",ISERROR(VLOOKUP(M3339,ABBR!C:F,1,FALSE)),ISERROR(VLOOKUP(E3339,ABBR!C:F,1,FALSE))),"")</f>
        <v/>
      </c>
    </row>
    <row r="3340" spans="1:17" s="62" customFormat="1" hidden="1" x14ac:dyDescent="0.25">
      <c r="A3340" s="16" t="s">
        <v>550</v>
      </c>
      <c r="B3340" s="17"/>
      <c r="C3340" s="16" t="s">
        <v>877</v>
      </c>
      <c r="D3340" s="17" t="s">
        <v>600</v>
      </c>
      <c r="E3340" s="17" t="s">
        <v>601</v>
      </c>
      <c r="F3340" s="18" t="s">
        <v>878</v>
      </c>
      <c r="G3340" s="49" t="s">
        <v>879</v>
      </c>
      <c r="H3340" s="17">
        <f t="shared" si="22"/>
        <v>11</v>
      </c>
      <c r="I3340" s="30"/>
      <c r="J3340" s="62" t="s">
        <v>473</v>
      </c>
      <c r="K3340"/>
      <c r="L3340"/>
      <c r="M3340"/>
      <c r="N3340"/>
      <c r="O3340" s="62" t="str">
        <f>IF(E3340="PA",IF(K3340&lt;&gt;"",ISERROR(VLOOKUP(K3340,ABBR!A:D,1,FALSE)),ISERROR(VLOOKUP(C3340,ABBR!A:D,1,FALSE))),"")</f>
        <v/>
      </c>
      <c r="P3340" t="str">
        <f>VLOOKUP(A3340,Groups!A:L,5,FALSE)</f>
        <v>SAMP</v>
      </c>
      <c r="Q3340" s="62" t="str">
        <f>IF(G3340="PA",IF(M3340&lt;&gt;"",ISERROR(VLOOKUP(M3340,ABBR!C:F,1,FALSE)),ISERROR(VLOOKUP(E3340,ABBR!C:F,1,FALSE))),"")</f>
        <v/>
      </c>
    </row>
    <row r="3341" spans="1:17" s="62" customFormat="1" hidden="1" x14ac:dyDescent="0.25">
      <c r="A3341" s="16" t="s">
        <v>550</v>
      </c>
      <c r="B3341" s="17"/>
      <c r="C3341" s="16" t="s">
        <v>5407</v>
      </c>
      <c r="D3341" s="17"/>
      <c r="E3341" s="17" t="s">
        <v>608</v>
      </c>
      <c r="F3341" s="18" t="s">
        <v>5408</v>
      </c>
      <c r="G3341" s="49" t="s">
        <v>5409</v>
      </c>
      <c r="H3341" s="17">
        <f t="shared" si="22"/>
        <v>12</v>
      </c>
      <c r="I3341" s="30"/>
      <c r="J3341" s="62" t="s">
        <v>532</v>
      </c>
      <c r="O3341" s="62" t="str">
        <f>IF(E3341="PA",IF(K3341&lt;&gt;"",ISERROR(VLOOKUP(K3341,ABBR!A:D,1,FALSE)),ISERROR(VLOOKUP(C3341,ABBR!A:D,1,FALSE))),"")</f>
        <v/>
      </c>
      <c r="P3341" t="str">
        <f>VLOOKUP(A3341,Groups!A:L,5,FALSE)</f>
        <v>SAMP</v>
      </c>
      <c r="Q3341" s="62" t="str">
        <f>IF(G3341="PA",IF(M3341&lt;&gt;"",ISERROR(VLOOKUP(M3341,ABBR!C:F,1,FALSE)),ISERROR(VLOOKUP(E3341,ABBR!C:F,1,FALSE))),"")</f>
        <v/>
      </c>
    </row>
    <row r="3342" spans="1:17" s="62" customFormat="1" hidden="1" x14ac:dyDescent="0.25">
      <c r="A3342" s="16" t="s">
        <v>550</v>
      </c>
      <c r="B3342" s="17"/>
      <c r="C3342" s="16" t="s">
        <v>5410</v>
      </c>
      <c r="D3342" s="17"/>
      <c r="E3342" s="17" t="s">
        <v>767</v>
      </c>
      <c r="F3342" s="18" t="s">
        <v>5411</v>
      </c>
      <c r="G3342" s="49" t="s">
        <v>5412</v>
      </c>
      <c r="H3342" s="17">
        <f t="shared" si="22"/>
        <v>13</v>
      </c>
      <c r="I3342" s="30"/>
      <c r="J3342" s="62" t="s">
        <v>532</v>
      </c>
      <c r="O3342" s="62" t="str">
        <f>IF(E3342="PA",IF(K3342&lt;&gt;"",ISERROR(VLOOKUP(K3342,ABBR!A:D,1,FALSE)),ISERROR(VLOOKUP(C3342,ABBR!A:D,1,FALSE))),"")</f>
        <v/>
      </c>
      <c r="P3342" t="str">
        <f>VLOOKUP(A3342,Groups!A:L,5,FALSE)</f>
        <v>SAMP</v>
      </c>
      <c r="Q3342" s="62" t="str">
        <f>IF(G3342="PA",IF(M3342&lt;&gt;"",ISERROR(VLOOKUP(M3342,ABBR!C:F,1,FALSE)),ISERROR(VLOOKUP(E3342,ABBR!C:F,1,FALSE))),"")</f>
        <v/>
      </c>
    </row>
    <row r="3343" spans="1:17" s="62" customFormat="1" hidden="1" x14ac:dyDescent="0.25">
      <c r="A3343" s="16" t="s">
        <v>550</v>
      </c>
      <c r="B3343" s="17"/>
      <c r="C3343" s="16" t="s">
        <v>5413</v>
      </c>
      <c r="D3343" s="17"/>
      <c r="E3343" s="17" t="s">
        <v>608</v>
      </c>
      <c r="F3343" s="18" t="s">
        <v>5414</v>
      </c>
      <c r="G3343" s="49" t="s">
        <v>5409</v>
      </c>
      <c r="H3343" s="17">
        <f t="shared" si="22"/>
        <v>14</v>
      </c>
      <c r="I3343" s="30"/>
      <c r="J3343" s="62" t="s">
        <v>532</v>
      </c>
      <c r="O3343" s="62" t="str">
        <f>IF(E3343="PA",IF(K3343&lt;&gt;"",ISERROR(VLOOKUP(K3343,ABBR!A:D,1,FALSE)),ISERROR(VLOOKUP(C3343,ABBR!A:D,1,FALSE))),"")</f>
        <v/>
      </c>
      <c r="P3343" t="str">
        <f>VLOOKUP(A3343,Groups!A:L,5,FALSE)</f>
        <v>SAMP</v>
      </c>
      <c r="Q3343" s="62" t="str">
        <f>IF(G3343="PA",IF(M3343&lt;&gt;"",ISERROR(VLOOKUP(M3343,ABBR!C:F,1,FALSE)),ISERROR(VLOOKUP(E3343,ABBR!C:F,1,FALSE))),"")</f>
        <v/>
      </c>
    </row>
    <row r="3344" spans="1:17" s="62" customFormat="1" hidden="1" x14ac:dyDescent="0.25">
      <c r="A3344" s="16" t="s">
        <v>550</v>
      </c>
      <c r="B3344" s="17"/>
      <c r="C3344" s="16" t="s">
        <v>5415</v>
      </c>
      <c r="D3344" s="17"/>
      <c r="E3344" s="17" t="s">
        <v>723</v>
      </c>
      <c r="F3344" s="18" t="s">
        <v>5416</v>
      </c>
      <c r="G3344" s="49" t="s">
        <v>5417</v>
      </c>
      <c r="H3344" s="17">
        <f t="shared" si="22"/>
        <v>15</v>
      </c>
      <c r="I3344" s="30"/>
      <c r="J3344" s="62" t="s">
        <v>532</v>
      </c>
      <c r="O3344" s="62" t="str">
        <f>IF(E3344="PA",IF(K3344&lt;&gt;"",ISERROR(VLOOKUP(K3344,ABBR!A:D,1,FALSE)),ISERROR(VLOOKUP(C3344,ABBR!A:D,1,FALSE))),"")</f>
        <v/>
      </c>
      <c r="P3344" t="str">
        <f>VLOOKUP(A3344,Groups!A:L,5,FALSE)</f>
        <v>SAMP</v>
      </c>
      <c r="Q3344" s="62" t="str">
        <f>IF(G3344="PA",IF(M3344&lt;&gt;"",ISERROR(VLOOKUP(M3344,ABBR!C:F,1,FALSE)),ISERROR(VLOOKUP(E3344,ABBR!C:F,1,FALSE))),"")</f>
        <v/>
      </c>
    </row>
    <row r="3345" spans="1:17" s="62" customFormat="1" hidden="1" x14ac:dyDescent="0.25">
      <c r="A3345" s="16" t="s">
        <v>550</v>
      </c>
      <c r="B3345" s="17"/>
      <c r="C3345" s="16" t="s">
        <v>5418</v>
      </c>
      <c r="D3345" s="17"/>
      <c r="E3345" s="17" t="s">
        <v>608</v>
      </c>
      <c r="F3345" s="18" t="s">
        <v>5419</v>
      </c>
      <c r="G3345" s="49" t="s">
        <v>5420</v>
      </c>
      <c r="H3345" s="17">
        <f t="shared" si="22"/>
        <v>16</v>
      </c>
      <c r="I3345" s="30"/>
      <c r="J3345" s="62" t="s">
        <v>532</v>
      </c>
      <c r="O3345" s="62" t="str">
        <f>IF(E3345="PA",IF(K3345&lt;&gt;"",ISERROR(VLOOKUP(K3345,ABBR!A:D,1,FALSE)),ISERROR(VLOOKUP(C3345,ABBR!A:D,1,FALSE))),"")</f>
        <v/>
      </c>
      <c r="P3345" t="str">
        <f>VLOOKUP(A3345,Groups!A:L,5,FALSE)</f>
        <v>SAMP</v>
      </c>
      <c r="Q3345" s="62" t="str">
        <f>IF(G3345="PA",IF(M3345&lt;&gt;"",ISERROR(VLOOKUP(M3345,ABBR!C:F,1,FALSE)),ISERROR(VLOOKUP(E3345,ABBR!C:F,1,FALSE))),"")</f>
        <v/>
      </c>
    </row>
    <row r="3346" spans="1:17" s="62" customFormat="1" hidden="1" x14ac:dyDescent="0.25">
      <c r="A3346" s="16" t="s">
        <v>550</v>
      </c>
      <c r="B3346" s="17"/>
      <c r="C3346" s="16" t="s">
        <v>5421</v>
      </c>
      <c r="D3346" s="17"/>
      <c r="E3346" s="17" t="s">
        <v>723</v>
      </c>
      <c r="F3346" s="18" t="s">
        <v>5422</v>
      </c>
      <c r="G3346" s="49" t="s">
        <v>5423</v>
      </c>
      <c r="H3346" s="17">
        <f t="shared" si="22"/>
        <v>17</v>
      </c>
      <c r="I3346" s="30"/>
      <c r="J3346" s="62" t="s">
        <v>532</v>
      </c>
      <c r="O3346" s="62" t="str">
        <f>IF(E3346="PA",IF(K3346&lt;&gt;"",ISERROR(VLOOKUP(K3346,ABBR!A:D,1,FALSE)),ISERROR(VLOOKUP(C3346,ABBR!A:D,1,FALSE))),"")</f>
        <v/>
      </c>
      <c r="P3346" t="str">
        <f>VLOOKUP(A3346,Groups!A:L,5,FALSE)</f>
        <v>SAMP</v>
      </c>
      <c r="Q3346" s="62" t="str">
        <f>IF(G3346="PA",IF(M3346&lt;&gt;"",ISERROR(VLOOKUP(M3346,ABBR!C:F,1,FALSE)),ISERROR(VLOOKUP(E3346,ABBR!C:F,1,FALSE))),"")</f>
        <v/>
      </c>
    </row>
    <row r="3347" spans="1:17" s="62" customFormat="1" hidden="1" x14ac:dyDescent="0.25">
      <c r="A3347" s="16" t="s">
        <v>550</v>
      </c>
      <c r="B3347" s="17"/>
      <c r="C3347" s="16" t="s">
        <v>5424</v>
      </c>
      <c r="D3347" s="17"/>
      <c r="E3347" s="17" t="s">
        <v>608</v>
      </c>
      <c r="F3347" s="18" t="s">
        <v>5425</v>
      </c>
      <c r="G3347" s="49" t="s">
        <v>1114</v>
      </c>
      <c r="H3347" s="17">
        <f t="shared" si="22"/>
        <v>18</v>
      </c>
      <c r="I3347" s="30"/>
      <c r="J3347" s="62" t="s">
        <v>532</v>
      </c>
      <c r="M3347" s="101" t="s">
        <v>1044</v>
      </c>
      <c r="O3347" s="62" t="str">
        <f>IF(E3347="PA",IF(K3347&lt;&gt;"",ISERROR(VLOOKUP(K3347,ABBR!A:D,1,FALSE)),ISERROR(VLOOKUP(C3347,ABBR!A:D,1,FALSE))),"")</f>
        <v/>
      </c>
      <c r="P3347" t="str">
        <f>VLOOKUP(A3347,Groups!A:L,5,FALSE)</f>
        <v>SAMP</v>
      </c>
      <c r="Q3347" s="62" t="str">
        <f>IF(G3347="PA",IF(M3347&lt;&gt;"",ISERROR(VLOOKUP(M3347,ABBR!C:F,1,FALSE)),ISERROR(VLOOKUP(E3347,ABBR!C:F,1,FALSE))),"")</f>
        <v/>
      </c>
    </row>
    <row r="3348" spans="1:17" s="62" customFormat="1" hidden="1" x14ac:dyDescent="0.25">
      <c r="A3348" s="16" t="s">
        <v>550</v>
      </c>
      <c r="B3348" s="17"/>
      <c r="C3348" s="16" t="s">
        <v>5426</v>
      </c>
      <c r="D3348" s="17"/>
      <c r="E3348" s="17" t="s">
        <v>608</v>
      </c>
      <c r="F3348" s="18" t="s">
        <v>5427</v>
      </c>
      <c r="G3348" s="49" t="s">
        <v>5428</v>
      </c>
      <c r="H3348" s="17">
        <f t="shared" si="22"/>
        <v>19</v>
      </c>
      <c r="I3348" s="30"/>
      <c r="J3348" s="62" t="s">
        <v>532</v>
      </c>
      <c r="O3348" s="62" t="str">
        <f>IF(E3348="PA",IF(K3348&lt;&gt;"",ISERROR(VLOOKUP(K3348,ABBR!A:D,1,FALSE)),ISERROR(VLOOKUP(C3348,ABBR!A:D,1,FALSE))),"")</f>
        <v/>
      </c>
      <c r="P3348" t="str">
        <f>VLOOKUP(A3348,Groups!A:L,5,FALSE)</f>
        <v>SAMP</v>
      </c>
      <c r="Q3348" s="62" t="str">
        <f>IF(G3348="PA",IF(M3348&lt;&gt;"",ISERROR(VLOOKUP(M3348,ABBR!C:F,1,FALSE)),ISERROR(VLOOKUP(E3348,ABBR!C:F,1,FALSE))),"")</f>
        <v/>
      </c>
    </row>
    <row r="3349" spans="1:17" s="62" customFormat="1" hidden="1" x14ac:dyDescent="0.25">
      <c r="A3349" s="16" t="s">
        <v>550</v>
      </c>
      <c r="B3349" s="17"/>
      <c r="C3349" s="16" t="s">
        <v>5429</v>
      </c>
      <c r="D3349" s="17"/>
      <c r="E3349" s="17" t="s">
        <v>608</v>
      </c>
      <c r="F3349" s="18" t="s">
        <v>5430</v>
      </c>
      <c r="G3349" s="49" t="s">
        <v>1197</v>
      </c>
      <c r="H3349" s="17">
        <f t="shared" si="22"/>
        <v>20</v>
      </c>
      <c r="I3349" s="30"/>
      <c r="J3349" s="62" t="s">
        <v>532</v>
      </c>
      <c r="M3349" s="102"/>
      <c r="O3349" s="62" t="str">
        <f>IF(E3349="PA",IF(K3349&lt;&gt;"",ISERROR(VLOOKUP(K3349,ABBR!A:D,1,FALSE)),ISERROR(VLOOKUP(C3349,ABBR!A:D,1,FALSE))),"")</f>
        <v/>
      </c>
      <c r="P3349" t="str">
        <f>VLOOKUP(A3349,Groups!A:L,5,FALSE)</f>
        <v>SAMP</v>
      </c>
      <c r="Q3349" s="62" t="str">
        <f>IF(G3349="PA",IF(M3349&lt;&gt;"",ISERROR(VLOOKUP(M3349,ABBR!C:F,1,FALSE)),ISERROR(VLOOKUP(E3349,ABBR!C:F,1,FALSE))),"")</f>
        <v/>
      </c>
    </row>
    <row r="3350" spans="1:17" s="62" customFormat="1" hidden="1" x14ac:dyDescent="0.25">
      <c r="A3350" s="16" t="s">
        <v>550</v>
      </c>
      <c r="B3350" s="17"/>
      <c r="C3350" s="16" t="s">
        <v>5431</v>
      </c>
      <c r="D3350" s="17"/>
      <c r="E3350" s="17" t="s">
        <v>608</v>
      </c>
      <c r="F3350" s="18" t="s">
        <v>5432</v>
      </c>
      <c r="G3350" s="49" t="s">
        <v>1282</v>
      </c>
      <c r="H3350" s="17">
        <f t="shared" si="22"/>
        <v>21</v>
      </c>
      <c r="I3350" s="30"/>
      <c r="J3350" s="62" t="s">
        <v>532</v>
      </c>
      <c r="M3350" s="102"/>
      <c r="O3350" s="62" t="str">
        <f>IF(E3350="PA",IF(K3350&lt;&gt;"",ISERROR(VLOOKUP(K3350,ABBR!A:D,1,FALSE)),ISERROR(VLOOKUP(C3350,ABBR!A:D,1,FALSE))),"")</f>
        <v/>
      </c>
      <c r="P3350" t="str">
        <f>VLOOKUP(A3350,Groups!A:L,5,FALSE)</f>
        <v>SAMP</v>
      </c>
      <c r="Q3350" s="62" t="str">
        <f>IF(G3350="PA",IF(M3350&lt;&gt;"",ISERROR(VLOOKUP(M3350,ABBR!C:F,1,FALSE)),ISERROR(VLOOKUP(E3350,ABBR!C:F,1,FALSE))),"")</f>
        <v/>
      </c>
    </row>
    <row r="3351" spans="1:17" s="62" customFormat="1" hidden="1" x14ac:dyDescent="0.25">
      <c r="A3351" s="16" t="s">
        <v>550</v>
      </c>
      <c r="B3351" s="17"/>
      <c r="C3351" s="16" t="s">
        <v>5433</v>
      </c>
      <c r="D3351" s="17"/>
      <c r="E3351" s="17" t="s">
        <v>608</v>
      </c>
      <c r="F3351" s="18" t="s">
        <v>5434</v>
      </c>
      <c r="G3351" s="49" t="s">
        <v>5435</v>
      </c>
      <c r="H3351" s="17">
        <f t="shared" si="22"/>
        <v>22</v>
      </c>
      <c r="I3351" s="30"/>
      <c r="J3351" s="62" t="s">
        <v>532</v>
      </c>
      <c r="M3351" s="102"/>
      <c r="O3351" s="62" t="str">
        <f>IF(E3351="PA",IF(K3351&lt;&gt;"",ISERROR(VLOOKUP(K3351,ABBR!A:D,1,FALSE)),ISERROR(VLOOKUP(C3351,ABBR!A:D,1,FALSE))),"")</f>
        <v/>
      </c>
      <c r="P3351" t="str">
        <f>VLOOKUP(A3351,Groups!A:L,5,FALSE)</f>
        <v>SAMP</v>
      </c>
      <c r="Q3351" s="62" t="str">
        <f>IF(G3351="PA",IF(M3351&lt;&gt;"",ISERROR(VLOOKUP(M3351,ABBR!C:F,1,FALSE)),ISERROR(VLOOKUP(E3351,ABBR!C:F,1,FALSE))),"")</f>
        <v/>
      </c>
    </row>
    <row r="3352" spans="1:17" s="62" customFormat="1" hidden="1" x14ac:dyDescent="0.25">
      <c r="A3352" s="16" t="s">
        <v>550</v>
      </c>
      <c r="B3352" s="17"/>
      <c r="C3352" s="16" t="s">
        <v>5436</v>
      </c>
      <c r="D3352" s="17"/>
      <c r="E3352" s="17" t="s">
        <v>608</v>
      </c>
      <c r="F3352" s="18" t="s">
        <v>5437</v>
      </c>
      <c r="G3352" s="49" t="s">
        <v>1030</v>
      </c>
      <c r="H3352" s="17">
        <f t="shared" si="22"/>
        <v>23</v>
      </c>
      <c r="I3352" s="30"/>
      <c r="J3352" s="62" t="s">
        <v>532</v>
      </c>
      <c r="M3352" s="102"/>
      <c r="O3352" s="62" t="str">
        <f>IF(E3352="PA",IF(K3352&lt;&gt;"",ISERROR(VLOOKUP(K3352,ABBR!A:D,1,FALSE)),ISERROR(VLOOKUP(C3352,ABBR!A:D,1,FALSE))),"")</f>
        <v/>
      </c>
      <c r="P3352" t="str">
        <f>VLOOKUP(A3352,Groups!A:L,5,FALSE)</f>
        <v>SAMP</v>
      </c>
      <c r="Q3352" s="62" t="str">
        <f>IF(G3352="PA",IF(M3352&lt;&gt;"",ISERROR(VLOOKUP(M3352,ABBR!C:F,1,FALSE)),ISERROR(VLOOKUP(E3352,ABBR!C:F,1,FALSE))),"")</f>
        <v/>
      </c>
    </row>
    <row r="3353" spans="1:17" s="62" customFormat="1" hidden="1" x14ac:dyDescent="0.25">
      <c r="A3353" s="16" t="s">
        <v>550</v>
      </c>
      <c r="B3353" s="17"/>
      <c r="C3353" s="16" t="s">
        <v>5438</v>
      </c>
      <c r="D3353" s="17"/>
      <c r="E3353" s="17" t="s">
        <v>608</v>
      </c>
      <c r="F3353" s="18" t="s">
        <v>5439</v>
      </c>
      <c r="G3353" s="49" t="s">
        <v>1282</v>
      </c>
      <c r="H3353" s="17">
        <f t="shared" si="22"/>
        <v>24</v>
      </c>
      <c r="I3353" s="30"/>
      <c r="J3353" s="62" t="s">
        <v>532</v>
      </c>
      <c r="M3353" s="102"/>
      <c r="O3353" s="62" t="str">
        <f>IF(E3353="PA",IF(K3353&lt;&gt;"",ISERROR(VLOOKUP(K3353,ABBR!A:D,1,FALSE)),ISERROR(VLOOKUP(C3353,ABBR!A:D,1,FALSE))),"")</f>
        <v/>
      </c>
      <c r="P3353" t="str">
        <f>VLOOKUP(A3353,Groups!A:L,5,FALSE)</f>
        <v>SAMP</v>
      </c>
      <c r="Q3353" s="62" t="str">
        <f>IF(G3353="PA",IF(M3353&lt;&gt;"",ISERROR(VLOOKUP(M3353,ABBR!C:F,1,FALSE)),ISERROR(VLOOKUP(E3353,ABBR!C:F,1,FALSE))),"")</f>
        <v/>
      </c>
    </row>
    <row r="3354" spans="1:17" s="62" customFormat="1" hidden="1" x14ac:dyDescent="0.25">
      <c r="A3354" s="16" t="s">
        <v>550</v>
      </c>
      <c r="B3354" s="17"/>
      <c r="C3354" s="16" t="s">
        <v>5440</v>
      </c>
      <c r="D3354" s="17"/>
      <c r="E3354" s="17" t="s">
        <v>608</v>
      </c>
      <c r="F3354" s="18" t="s">
        <v>5441</v>
      </c>
      <c r="G3354" s="49" t="s">
        <v>1030</v>
      </c>
      <c r="H3354" s="17">
        <f t="shared" si="22"/>
        <v>25</v>
      </c>
      <c r="I3354" s="30"/>
      <c r="J3354" s="62" t="s">
        <v>532</v>
      </c>
      <c r="M3354" s="102"/>
      <c r="O3354" s="62" t="str">
        <f>IF(E3354="PA",IF(K3354&lt;&gt;"",ISERROR(VLOOKUP(K3354,ABBR!A:D,1,FALSE)),ISERROR(VLOOKUP(C3354,ABBR!A:D,1,FALSE))),"")</f>
        <v/>
      </c>
      <c r="P3354" t="str">
        <f>VLOOKUP(A3354,Groups!A:L,5,FALSE)</f>
        <v>SAMP</v>
      </c>
      <c r="Q3354" s="62" t="str">
        <f>IF(G3354="PA",IF(M3354&lt;&gt;"",ISERROR(VLOOKUP(M3354,ABBR!C:F,1,FALSE)),ISERROR(VLOOKUP(E3354,ABBR!C:F,1,FALSE))),"")</f>
        <v/>
      </c>
    </row>
    <row r="3355" spans="1:17" s="62" customFormat="1" hidden="1" x14ac:dyDescent="0.25">
      <c r="A3355" s="16" t="s">
        <v>550</v>
      </c>
      <c r="B3355" s="17"/>
      <c r="C3355" s="16" t="s">
        <v>5442</v>
      </c>
      <c r="D3355" s="17"/>
      <c r="E3355" s="17" t="s">
        <v>608</v>
      </c>
      <c r="F3355" s="18" t="s">
        <v>5443</v>
      </c>
      <c r="G3355" s="49" t="s">
        <v>3324</v>
      </c>
      <c r="H3355" s="17">
        <f t="shared" si="22"/>
        <v>26</v>
      </c>
      <c r="I3355" s="30"/>
      <c r="J3355" s="62" t="s">
        <v>532</v>
      </c>
      <c r="O3355" s="62" t="str">
        <f>IF(E3355="PA",IF(K3355&lt;&gt;"",ISERROR(VLOOKUP(K3355,ABBR!A:D,1,FALSE)),ISERROR(VLOOKUP(C3355,ABBR!A:D,1,FALSE))),"")</f>
        <v/>
      </c>
      <c r="P3355" t="str">
        <f>VLOOKUP(A3355,Groups!A:L,5,FALSE)</f>
        <v>SAMP</v>
      </c>
      <c r="Q3355" s="62" t="str">
        <f>IF(G3355="PA",IF(M3355&lt;&gt;"",ISERROR(VLOOKUP(M3355,ABBR!C:F,1,FALSE)),ISERROR(VLOOKUP(E3355,ABBR!C:F,1,FALSE))),"")</f>
        <v/>
      </c>
    </row>
    <row r="3356" spans="1:17" s="62" customFormat="1" hidden="1" x14ac:dyDescent="0.25">
      <c r="A3356" s="16" t="s">
        <v>550</v>
      </c>
      <c r="B3356" s="17"/>
      <c r="C3356" s="16" t="s">
        <v>5444</v>
      </c>
      <c r="D3356" s="17"/>
      <c r="E3356" s="17" t="s">
        <v>608</v>
      </c>
      <c r="F3356" s="18" t="s">
        <v>5445</v>
      </c>
      <c r="G3356" s="49" t="s">
        <v>891</v>
      </c>
      <c r="H3356" s="17">
        <f t="shared" si="22"/>
        <v>27</v>
      </c>
      <c r="I3356" s="30"/>
      <c r="J3356" s="62" t="s">
        <v>532</v>
      </c>
      <c r="O3356" s="62" t="str">
        <f>IF(E3356="PA",IF(K3356&lt;&gt;"",ISERROR(VLOOKUP(K3356,ABBR!A:D,1,FALSE)),ISERROR(VLOOKUP(C3356,ABBR!A:D,1,FALSE))),"")</f>
        <v/>
      </c>
      <c r="P3356" t="str">
        <f>VLOOKUP(A3356,Groups!A:L,5,FALSE)</f>
        <v>SAMP</v>
      </c>
      <c r="Q3356" s="62" t="str">
        <f>IF(G3356="PA",IF(M3356&lt;&gt;"",ISERROR(VLOOKUP(M3356,ABBR!C:F,1,FALSE)),ISERROR(VLOOKUP(E3356,ABBR!C:F,1,FALSE))),"")</f>
        <v/>
      </c>
    </row>
    <row r="3357" spans="1:17" s="62" customFormat="1" hidden="1" x14ac:dyDescent="0.25">
      <c r="A3357" s="16" t="s">
        <v>550</v>
      </c>
      <c r="B3357" s="17"/>
      <c r="C3357" s="16" t="s">
        <v>5446</v>
      </c>
      <c r="D3357" s="17"/>
      <c r="E3357" s="17" t="s">
        <v>601</v>
      </c>
      <c r="F3357" s="18" t="s">
        <v>5447</v>
      </c>
      <c r="G3357" s="49" t="s">
        <v>5448</v>
      </c>
      <c r="H3357" s="17">
        <f t="shared" si="22"/>
        <v>28</v>
      </c>
      <c r="I3357" s="30"/>
      <c r="J3357" s="62" t="s">
        <v>532</v>
      </c>
      <c r="O3357" s="62" t="str">
        <f>IF(E3357="PA",IF(K3357&lt;&gt;"",ISERROR(VLOOKUP(K3357,ABBR!A:D,1,FALSE)),ISERROR(VLOOKUP(C3357,ABBR!A:D,1,FALSE))),"")</f>
        <v/>
      </c>
      <c r="P3357" t="str">
        <f>VLOOKUP(A3357,Groups!A:L,5,FALSE)</f>
        <v>SAMP</v>
      </c>
      <c r="Q3357" s="62" t="str">
        <f>IF(G3357="PA",IF(M3357&lt;&gt;"",ISERROR(VLOOKUP(M3357,ABBR!C:F,1,FALSE)),ISERROR(VLOOKUP(E3357,ABBR!C:F,1,FALSE))),"")</f>
        <v/>
      </c>
    </row>
    <row r="3358" spans="1:17" s="62" customFormat="1" ht="25" hidden="1" x14ac:dyDescent="0.25">
      <c r="A3358" s="16" t="s">
        <v>550</v>
      </c>
      <c r="B3358" s="17"/>
      <c r="C3358" s="16" t="s">
        <v>5449</v>
      </c>
      <c r="D3358" s="17" t="s">
        <v>2337</v>
      </c>
      <c r="E3358" s="17" t="s">
        <v>608</v>
      </c>
      <c r="F3358" s="18" t="s">
        <v>5450</v>
      </c>
      <c r="G3358" s="49" t="s">
        <v>5451</v>
      </c>
      <c r="H3358" s="17">
        <f t="shared" si="22"/>
        <v>29</v>
      </c>
      <c r="I3358" s="30"/>
      <c r="J3358" s="62" t="s">
        <v>532</v>
      </c>
      <c r="O3358" s="62" t="str">
        <f>IF(E3358="PA",IF(K3358&lt;&gt;"",ISERROR(VLOOKUP(K3358,ABBR!A:D,1,FALSE)),ISERROR(VLOOKUP(C3358,ABBR!A:D,1,FALSE))),"")</f>
        <v/>
      </c>
      <c r="P3358" t="str">
        <f>VLOOKUP(A3358,Groups!A:L,5,FALSE)</f>
        <v>SAMP</v>
      </c>
      <c r="Q3358" s="62" t="str">
        <f>IF(G3358="PA",IF(M3358&lt;&gt;"",ISERROR(VLOOKUP(M3358,ABBR!C:F,1,FALSE)),ISERROR(VLOOKUP(E3358,ABBR!C:F,1,FALSE))),"")</f>
        <v/>
      </c>
    </row>
    <row r="3359" spans="1:17" s="62" customFormat="1" ht="25" hidden="1" x14ac:dyDescent="0.25">
      <c r="A3359" s="16" t="s">
        <v>550</v>
      </c>
      <c r="B3359" s="17"/>
      <c r="C3359" s="16" t="s">
        <v>5452</v>
      </c>
      <c r="D3359" s="17" t="s">
        <v>5453</v>
      </c>
      <c r="E3359" s="17" t="s">
        <v>767</v>
      </c>
      <c r="F3359" s="18" t="s">
        <v>5454</v>
      </c>
      <c r="G3359" s="49" t="s">
        <v>5455</v>
      </c>
      <c r="H3359" s="17">
        <f t="shared" si="22"/>
        <v>30</v>
      </c>
      <c r="I3359" s="30"/>
      <c r="J3359" s="62" t="s">
        <v>532</v>
      </c>
      <c r="O3359" s="62" t="str">
        <f>IF(E3359="PA",IF(K3359&lt;&gt;"",ISERROR(VLOOKUP(K3359,ABBR!A:D,1,FALSE)),ISERROR(VLOOKUP(C3359,ABBR!A:D,1,FALSE))),"")</f>
        <v/>
      </c>
      <c r="P3359" t="str">
        <f>VLOOKUP(A3359,Groups!A:L,5,FALSE)</f>
        <v>SAMP</v>
      </c>
      <c r="Q3359" s="62" t="str">
        <f>IF(G3359="PA",IF(M3359&lt;&gt;"",ISERROR(VLOOKUP(M3359,ABBR!C:F,1,FALSE)),ISERROR(VLOOKUP(E3359,ABBR!C:F,1,FALSE))),"")</f>
        <v/>
      </c>
    </row>
    <row r="3360" spans="1:17" s="62" customFormat="1" ht="25" hidden="1" x14ac:dyDescent="0.25">
      <c r="A3360" s="16" t="s">
        <v>550</v>
      </c>
      <c r="B3360" s="17"/>
      <c r="C3360" s="16" t="s">
        <v>5456</v>
      </c>
      <c r="D3360" s="17" t="s">
        <v>5453</v>
      </c>
      <c r="E3360" s="17" t="s">
        <v>767</v>
      </c>
      <c r="F3360" s="18" t="s">
        <v>5457</v>
      </c>
      <c r="G3360" s="49" t="s">
        <v>5458</v>
      </c>
      <c r="H3360" s="17">
        <f t="shared" si="22"/>
        <v>31</v>
      </c>
      <c r="I3360" s="30"/>
      <c r="J3360" s="62" t="s">
        <v>532</v>
      </c>
      <c r="O3360" s="62" t="str">
        <f>IF(E3360="PA",IF(K3360&lt;&gt;"",ISERROR(VLOOKUP(K3360,ABBR!A:D,1,FALSE)),ISERROR(VLOOKUP(C3360,ABBR!A:D,1,FALSE))),"")</f>
        <v/>
      </c>
      <c r="P3360" t="str">
        <f>VLOOKUP(A3360,Groups!A:L,5,FALSE)</f>
        <v>SAMP</v>
      </c>
      <c r="Q3360" s="62" t="str">
        <f>IF(G3360="PA",IF(M3360&lt;&gt;"",ISERROR(VLOOKUP(M3360,ABBR!C:F,1,FALSE)),ISERROR(VLOOKUP(E3360,ABBR!C:F,1,FALSE))),"")</f>
        <v/>
      </c>
    </row>
    <row r="3361" spans="1:17" s="62" customFormat="1" hidden="1" x14ac:dyDescent="0.25">
      <c r="A3361" s="16" t="s">
        <v>550</v>
      </c>
      <c r="B3361" s="17"/>
      <c r="C3361" s="16" t="s">
        <v>5459</v>
      </c>
      <c r="D3361" s="17"/>
      <c r="E3361" s="17" t="s">
        <v>608</v>
      </c>
      <c r="F3361" s="18" t="s">
        <v>5460</v>
      </c>
      <c r="G3361" s="49" t="s">
        <v>891</v>
      </c>
      <c r="H3361" s="17">
        <f t="shared" si="22"/>
        <v>32</v>
      </c>
      <c r="I3361" s="30"/>
      <c r="J3361" s="62" t="s">
        <v>532</v>
      </c>
      <c r="O3361" s="62" t="str">
        <f>IF(E3361="PA",IF(K3361&lt;&gt;"",ISERROR(VLOOKUP(K3361,ABBR!A:D,1,FALSE)),ISERROR(VLOOKUP(C3361,ABBR!A:D,1,FALSE))),"")</f>
        <v/>
      </c>
      <c r="P3361" t="str">
        <f>VLOOKUP(A3361,Groups!A:L,5,FALSE)</f>
        <v>SAMP</v>
      </c>
      <c r="Q3361" s="62" t="str">
        <f>IF(G3361="PA",IF(M3361&lt;&gt;"",ISERROR(VLOOKUP(M3361,ABBR!C:F,1,FALSE)),ISERROR(VLOOKUP(E3361,ABBR!C:F,1,FALSE))),"")</f>
        <v/>
      </c>
    </row>
    <row r="3362" spans="1:17" s="62" customFormat="1" hidden="1" x14ac:dyDescent="0.25">
      <c r="A3362" s="16" t="s">
        <v>550</v>
      </c>
      <c r="B3362" s="17"/>
      <c r="C3362" s="16" t="s">
        <v>5461</v>
      </c>
      <c r="D3362" s="17"/>
      <c r="E3362" s="17" t="s">
        <v>608</v>
      </c>
      <c r="F3362" s="18" t="s">
        <v>5462</v>
      </c>
      <c r="G3362" s="49" t="s">
        <v>3275</v>
      </c>
      <c r="H3362" s="17">
        <f t="shared" si="22"/>
        <v>33</v>
      </c>
      <c r="I3362" s="30"/>
      <c r="J3362" s="62" t="s">
        <v>532</v>
      </c>
      <c r="M3362" s="101" t="s">
        <v>1044</v>
      </c>
      <c r="O3362" s="62" t="str">
        <f>IF(E3362="PA",IF(K3362&lt;&gt;"",ISERROR(VLOOKUP(K3362,ABBR!A:D,1,FALSE)),ISERROR(VLOOKUP(C3362,ABBR!A:D,1,FALSE))),"")</f>
        <v/>
      </c>
      <c r="P3362" t="str">
        <f>VLOOKUP(A3362,Groups!A:L,5,FALSE)</f>
        <v>SAMP</v>
      </c>
      <c r="Q3362" s="62" t="str">
        <f>IF(G3362="PA",IF(M3362&lt;&gt;"",ISERROR(VLOOKUP(M3362,ABBR!C:F,1,FALSE)),ISERROR(VLOOKUP(E3362,ABBR!C:F,1,FALSE))),"")</f>
        <v/>
      </c>
    </row>
    <row r="3363" spans="1:17" s="62" customFormat="1" ht="37.5" hidden="1" x14ac:dyDescent="0.25">
      <c r="A3363" s="16" t="s">
        <v>550</v>
      </c>
      <c r="B3363" s="17"/>
      <c r="C3363" s="16" t="s">
        <v>5463</v>
      </c>
      <c r="D3363" s="17"/>
      <c r="E3363" s="17" t="s">
        <v>608</v>
      </c>
      <c r="F3363" s="18" t="s">
        <v>642</v>
      </c>
      <c r="G3363" s="49" t="s">
        <v>5081</v>
      </c>
      <c r="H3363" s="17">
        <f t="shared" si="22"/>
        <v>34</v>
      </c>
      <c r="I3363" s="30"/>
      <c r="J3363" s="62" t="s">
        <v>532</v>
      </c>
      <c r="O3363" s="62" t="str">
        <f>IF(E3363="PA",IF(K3363&lt;&gt;"",ISERROR(VLOOKUP(K3363,ABBR!A:D,1,FALSE)),ISERROR(VLOOKUP(C3363,ABBR!A:D,1,FALSE))),"")</f>
        <v/>
      </c>
      <c r="P3363" t="str">
        <f>VLOOKUP(A3363,Groups!A:L,5,FALSE)</f>
        <v>SAMP</v>
      </c>
      <c r="Q3363" s="62" t="str">
        <f>IF(G3363="PA",IF(M3363&lt;&gt;"",ISERROR(VLOOKUP(M3363,ABBR!C:F,1,FALSE)),ISERROR(VLOOKUP(E3363,ABBR!C:F,1,FALSE))),"")</f>
        <v/>
      </c>
    </row>
    <row r="3364" spans="1:17" s="62" customFormat="1" hidden="1" x14ac:dyDescent="0.25">
      <c r="A3364" s="16" t="s">
        <v>550</v>
      </c>
      <c r="B3364" s="17"/>
      <c r="C3364" s="16" t="s">
        <v>5464</v>
      </c>
      <c r="D3364" s="17"/>
      <c r="E3364" s="17" t="s">
        <v>608</v>
      </c>
      <c r="F3364" s="18" t="s">
        <v>918</v>
      </c>
      <c r="G3364" s="49" t="s">
        <v>5062</v>
      </c>
      <c r="H3364" s="17">
        <f t="shared" si="22"/>
        <v>35</v>
      </c>
      <c r="I3364" s="30"/>
      <c r="J3364" s="62" t="s">
        <v>532</v>
      </c>
      <c r="O3364" s="62" t="str">
        <f>IF(E3364="PA",IF(K3364&lt;&gt;"",ISERROR(VLOOKUP(K3364,ABBR!A:D,1,FALSE)),ISERROR(VLOOKUP(C3364,ABBR!A:D,1,FALSE))),"")</f>
        <v/>
      </c>
      <c r="P3364" t="str">
        <f>VLOOKUP(A3364,Groups!A:L,5,FALSE)</f>
        <v>SAMP</v>
      </c>
      <c r="Q3364" s="62" t="str">
        <f>IF(G3364="PA",IF(M3364&lt;&gt;"",ISERROR(VLOOKUP(M3364,ABBR!C:F,1,FALSE)),ISERROR(VLOOKUP(E3364,ABBR!C:F,1,FALSE))),"")</f>
        <v/>
      </c>
    </row>
    <row r="3365" spans="1:17" s="62" customFormat="1" hidden="1" x14ac:dyDescent="0.25">
      <c r="A3365" s="16" t="s">
        <v>550</v>
      </c>
      <c r="B3365" s="17"/>
      <c r="C3365" s="16" t="s">
        <v>5465</v>
      </c>
      <c r="D3365" s="17"/>
      <c r="E3365" s="17" t="s">
        <v>608</v>
      </c>
      <c r="F3365" s="18" t="s">
        <v>921</v>
      </c>
      <c r="G3365" s="94" t="s">
        <v>922</v>
      </c>
      <c r="H3365" s="17">
        <f t="shared" si="22"/>
        <v>36</v>
      </c>
      <c r="I3365" s="30" t="s">
        <v>955</v>
      </c>
      <c r="J3365" s="80">
        <v>4.0999999999999996</v>
      </c>
      <c r="K3365"/>
      <c r="L3365"/>
      <c r="M3365" s="101"/>
      <c r="N3365"/>
      <c r="O3365" s="62" t="str">
        <f>IF(E3365="PA",IF(K3365&lt;&gt;"",ISERROR(VLOOKUP(K3365,ABBR!A:D,1,FALSE)),ISERROR(VLOOKUP(C3365,ABBR!A:D,1,FALSE))),"")</f>
        <v/>
      </c>
      <c r="P3365" t="str">
        <f>VLOOKUP(A3365,Groups!A:L,5,FALSE)</f>
        <v>SAMP</v>
      </c>
      <c r="Q3365" s="62" t="str">
        <f>IF(G3365="PA",IF(M3365&lt;&gt;"",ISERROR(VLOOKUP(M3365,ABBR!C:F,1,FALSE)),ISERROR(VLOOKUP(E3365,ABBR!C:F,1,FALSE))),"")</f>
        <v/>
      </c>
    </row>
    <row r="3366" spans="1:17" s="62" customFormat="1" hidden="1" x14ac:dyDescent="0.25">
      <c r="A3366" s="16" t="s">
        <v>550</v>
      </c>
      <c r="B3366" s="17"/>
      <c r="C3366" s="16" t="s">
        <v>5466</v>
      </c>
      <c r="D3366" s="17"/>
      <c r="E3366" s="17" t="s">
        <v>608</v>
      </c>
      <c r="F3366" s="18" t="s">
        <v>929</v>
      </c>
      <c r="G3366" s="49" t="s">
        <v>876</v>
      </c>
      <c r="H3366" s="17">
        <f t="shared" si="22"/>
        <v>37</v>
      </c>
      <c r="I3366" s="30"/>
      <c r="J3366" s="62" t="s">
        <v>532</v>
      </c>
      <c r="O3366" s="62" t="str">
        <f>IF(E3366="PA",IF(K3366&lt;&gt;"",ISERROR(VLOOKUP(K3366,ABBR!A:D,1,FALSE)),ISERROR(VLOOKUP(C3366,ABBR!A:D,1,FALSE))),"")</f>
        <v/>
      </c>
      <c r="P3366" t="str">
        <f>VLOOKUP(A3366,Groups!A:L,5,FALSE)</f>
        <v>SAMP</v>
      </c>
      <c r="Q3366" s="62" t="str">
        <f>IF(G3366="PA",IF(M3366&lt;&gt;"",ISERROR(VLOOKUP(M3366,ABBR!C:F,1,FALSE)),ISERROR(VLOOKUP(E3366,ABBR!C:F,1,FALSE))),"")</f>
        <v/>
      </c>
    </row>
    <row r="3367" spans="1:17" s="62" customFormat="1" hidden="1" x14ac:dyDescent="0.25">
      <c r="A3367" s="16" t="s">
        <v>550</v>
      </c>
      <c r="B3367" s="17"/>
      <c r="C3367" s="16" t="s">
        <v>5467</v>
      </c>
      <c r="D3367" s="17" t="s">
        <v>924</v>
      </c>
      <c r="E3367" s="17" t="s">
        <v>925</v>
      </c>
      <c r="F3367" s="18" t="s">
        <v>4338</v>
      </c>
      <c r="G3367" s="49" t="s">
        <v>927</v>
      </c>
      <c r="H3367" s="17">
        <f t="shared" si="22"/>
        <v>38</v>
      </c>
      <c r="I3367" s="30"/>
      <c r="J3367" s="62" t="s">
        <v>532</v>
      </c>
      <c r="O3367" s="62" t="str">
        <f>IF(E3367="PA",IF(K3367&lt;&gt;"",ISERROR(VLOOKUP(K3367,ABBR!A:D,1,FALSE)),ISERROR(VLOOKUP(C3367,ABBR!A:D,1,FALSE))),"")</f>
        <v/>
      </c>
      <c r="P3367" t="str">
        <f>VLOOKUP(A3367,Groups!A:L,5,FALSE)</f>
        <v>SAMP</v>
      </c>
      <c r="Q3367" s="62" t="str">
        <f>IF(G3367="PA",IF(M3367&lt;&gt;"",ISERROR(VLOOKUP(M3367,ABBR!C:F,1,FALSE)),ISERROR(VLOOKUP(E3367,ABBR!C:F,1,FALSE))),"")</f>
        <v/>
      </c>
    </row>
    <row r="3368" spans="1:17" s="62" customFormat="1" ht="25" hidden="1" x14ac:dyDescent="0.25">
      <c r="A3368" s="16" t="s">
        <v>550</v>
      </c>
      <c r="B3368" s="17"/>
      <c r="C3368" s="16" t="s">
        <v>5468</v>
      </c>
      <c r="D3368" s="17"/>
      <c r="E3368" s="17" t="s">
        <v>608</v>
      </c>
      <c r="F3368" s="18" t="s">
        <v>934</v>
      </c>
      <c r="G3368" s="49" t="s">
        <v>935</v>
      </c>
      <c r="H3368" s="17">
        <f t="shared" si="22"/>
        <v>39</v>
      </c>
      <c r="I3368" s="30"/>
      <c r="J3368" s="62" t="s">
        <v>532</v>
      </c>
      <c r="O3368" s="62" t="str">
        <f>IF(E3368="PA",IF(K3368&lt;&gt;"",ISERROR(VLOOKUP(K3368,ABBR!A:D,1,FALSE)),ISERROR(VLOOKUP(C3368,ABBR!A:D,1,FALSE))),"")</f>
        <v/>
      </c>
      <c r="P3368" t="str">
        <f>VLOOKUP(A3368,Groups!A:L,5,FALSE)</f>
        <v>SAMP</v>
      </c>
      <c r="Q3368" s="62" t="str">
        <f>IF(G3368="PA",IF(M3368&lt;&gt;"",ISERROR(VLOOKUP(M3368,ABBR!C:F,1,FALSE)),ISERROR(VLOOKUP(E3368,ABBR!C:F,1,FALSE))),"")</f>
        <v/>
      </c>
    </row>
    <row r="3369" spans="1:17" s="62" customFormat="1" hidden="1" x14ac:dyDescent="0.25">
      <c r="A3369" s="16" t="s">
        <v>550</v>
      </c>
      <c r="B3369" s="17"/>
      <c r="C3369" s="16" t="s">
        <v>936</v>
      </c>
      <c r="D3369" s="17"/>
      <c r="E3369" s="17" t="s">
        <v>608</v>
      </c>
      <c r="F3369" s="18" t="s">
        <v>937</v>
      </c>
      <c r="G3369" s="49" t="s">
        <v>938</v>
      </c>
      <c r="H3369" s="17">
        <f t="shared" si="22"/>
        <v>40</v>
      </c>
      <c r="I3369" s="30"/>
      <c r="J3369" s="62" t="s">
        <v>532</v>
      </c>
      <c r="O3369" s="62" t="str">
        <f>IF(E3369="PA",IF(K3369&lt;&gt;"",ISERROR(VLOOKUP(K3369,ABBR!A:D,1,FALSE)),ISERROR(VLOOKUP(C3369,ABBR!A:D,1,FALSE))),"")</f>
        <v/>
      </c>
      <c r="P3369" t="str">
        <f>VLOOKUP(A3369,Groups!A:L,5,FALSE)</f>
        <v>SAMP</v>
      </c>
      <c r="Q3369" s="62" t="str">
        <f>IF(G3369="PA",IF(M3369&lt;&gt;"",ISERROR(VLOOKUP(M3369,ABBR!C:F,1,FALSE)),ISERROR(VLOOKUP(E3369,ABBR!C:F,1,FALSE))),"")</f>
        <v/>
      </c>
    </row>
    <row r="3370" spans="1:17" s="62" customFormat="1" hidden="1" x14ac:dyDescent="0.25">
      <c r="A3370" s="16" t="s">
        <v>550</v>
      </c>
      <c r="B3370" s="17"/>
      <c r="C3370" s="16" t="s">
        <v>643</v>
      </c>
      <c r="D3370" s="17"/>
      <c r="E3370" s="17" t="s">
        <v>608</v>
      </c>
      <c r="F3370" s="18" t="s">
        <v>1714</v>
      </c>
      <c r="G3370" s="49" t="s">
        <v>4090</v>
      </c>
      <c r="H3370" s="17">
        <f t="shared" si="22"/>
        <v>41</v>
      </c>
      <c r="I3370" s="30"/>
      <c r="J3370" s="62" t="s">
        <v>532</v>
      </c>
      <c r="O3370" s="62" t="str">
        <f>IF(E3370="PA",IF(K3370&lt;&gt;"",ISERROR(VLOOKUP(K3370,ABBR!A:D,1,FALSE)),ISERROR(VLOOKUP(C3370,ABBR!A:D,1,FALSE))),"")</f>
        <v/>
      </c>
      <c r="P3370" t="str">
        <f>VLOOKUP(A3370,Groups!A:L,5,FALSE)</f>
        <v>SAMP</v>
      </c>
      <c r="Q3370" s="62" t="str">
        <f>IF(G3370="PA",IF(M3370&lt;&gt;"",ISERROR(VLOOKUP(M3370,ABBR!C:F,1,FALSE)),ISERROR(VLOOKUP(E3370,ABBR!C:F,1,FALSE))),"")</f>
        <v/>
      </c>
    </row>
    <row r="3371" spans="1:17" s="62" customFormat="1" hidden="1" x14ac:dyDescent="0.25">
      <c r="A3371" s="16" t="s">
        <v>388</v>
      </c>
      <c r="B3371" s="17" t="s">
        <v>594</v>
      </c>
      <c r="C3371" s="16" t="s">
        <v>595</v>
      </c>
      <c r="D3371" s="17"/>
      <c r="E3371" s="17" t="s">
        <v>596</v>
      </c>
      <c r="F3371" s="18" t="s">
        <v>597</v>
      </c>
      <c r="G3371" s="49" t="s">
        <v>598</v>
      </c>
      <c r="H3371" s="17">
        <v>1</v>
      </c>
      <c r="I3371" s="30"/>
      <c r="J3371"/>
      <c r="K3371"/>
      <c r="L3371"/>
      <c r="M3371"/>
      <c r="N3371"/>
      <c r="O3371" s="62" t="str">
        <f>IF(E3371="PA",IF(K3371&lt;&gt;"",ISERROR(VLOOKUP(K3371,ABBR!A:D,1,FALSE)),ISERROR(VLOOKUP(C3371,ABBR!A:D,1,FALSE))),"")</f>
        <v/>
      </c>
      <c r="P3371" t="str">
        <f>VLOOKUP(A3371,Groups!A:L,5,FALSE)</f>
        <v>SAMP</v>
      </c>
      <c r="Q3371" s="62" t="str">
        <f>IF(G3371="PA",IF(M3371&lt;&gt;"",ISERROR(VLOOKUP(M3371,ABBR!C:F,1,FALSE)),ISERROR(VLOOKUP(E3371,ABBR!C:F,1,FALSE))),"")</f>
        <v/>
      </c>
    </row>
    <row r="3372" spans="1:17" s="62" customFormat="1" hidden="1" x14ac:dyDescent="0.25">
      <c r="A3372" s="16" t="s">
        <v>388</v>
      </c>
      <c r="B3372" s="17" t="s">
        <v>594</v>
      </c>
      <c r="C3372" s="16" t="s">
        <v>851</v>
      </c>
      <c r="D3372" s="17" t="s">
        <v>600</v>
      </c>
      <c r="E3372" s="17" t="s">
        <v>601</v>
      </c>
      <c r="F3372" s="18" t="s">
        <v>852</v>
      </c>
      <c r="G3372" s="49" t="s">
        <v>853</v>
      </c>
      <c r="H3372" s="17">
        <v>2</v>
      </c>
      <c r="I3372" s="30"/>
      <c r="J3372"/>
      <c r="K3372"/>
      <c r="L3372"/>
      <c r="M3372"/>
      <c r="N3372"/>
      <c r="O3372" s="62" t="str">
        <f>IF(E3372="PA",IF(K3372&lt;&gt;"",ISERROR(VLOOKUP(K3372,ABBR!A:D,1,FALSE)),ISERROR(VLOOKUP(C3372,ABBR!A:D,1,FALSE))),"")</f>
        <v/>
      </c>
      <c r="P3372" t="str">
        <f>VLOOKUP(A3372,Groups!A:L,5,FALSE)</f>
        <v>SAMP</v>
      </c>
      <c r="Q3372" s="62" t="str">
        <f>IF(G3372="PA",IF(M3372&lt;&gt;"",ISERROR(VLOOKUP(M3372,ABBR!C:F,1,FALSE)),ISERROR(VLOOKUP(E3372,ABBR!C:F,1,FALSE))),"")</f>
        <v/>
      </c>
    </row>
    <row r="3373" spans="1:17" s="62" customFormat="1" hidden="1" x14ac:dyDescent="0.25">
      <c r="A3373" s="16" t="s">
        <v>388</v>
      </c>
      <c r="B3373" s="17" t="s">
        <v>594</v>
      </c>
      <c r="C3373" s="16" t="s">
        <v>854</v>
      </c>
      <c r="D3373" s="17"/>
      <c r="E3373" s="17" t="s">
        <v>608</v>
      </c>
      <c r="F3373" s="18" t="s">
        <v>855</v>
      </c>
      <c r="G3373" s="49" t="s">
        <v>941</v>
      </c>
      <c r="H3373" s="17">
        <v>3</v>
      </c>
      <c r="I3373" s="30"/>
      <c r="J3373"/>
      <c r="K3373"/>
      <c r="L3373"/>
      <c r="M3373"/>
      <c r="N3373"/>
      <c r="O3373" s="62" t="str">
        <f>IF(E3373="PA",IF(K3373&lt;&gt;"",ISERROR(VLOOKUP(K3373,ABBR!A:D,1,FALSE)),ISERROR(VLOOKUP(C3373,ABBR!A:D,1,FALSE))),"")</f>
        <v/>
      </c>
      <c r="P3373" t="str">
        <f>VLOOKUP(A3373,Groups!A:L,5,FALSE)</f>
        <v>SAMP</v>
      </c>
      <c r="Q3373" s="62" t="str">
        <f>IF(G3373="PA",IF(M3373&lt;&gt;"",ISERROR(VLOOKUP(M3373,ABBR!C:F,1,FALSE)),ISERROR(VLOOKUP(E3373,ABBR!C:F,1,FALSE))),"")</f>
        <v/>
      </c>
    </row>
    <row r="3374" spans="1:17" s="62" customFormat="1" hidden="1" x14ac:dyDescent="0.25">
      <c r="A3374" s="16" t="s">
        <v>388</v>
      </c>
      <c r="B3374" s="17" t="s">
        <v>594</v>
      </c>
      <c r="C3374" s="16" t="s">
        <v>857</v>
      </c>
      <c r="D3374" s="17"/>
      <c r="E3374" s="17" t="s">
        <v>618</v>
      </c>
      <c r="F3374" s="18" t="s">
        <v>858</v>
      </c>
      <c r="G3374" s="49" t="s">
        <v>859</v>
      </c>
      <c r="H3374" s="17">
        <v>4</v>
      </c>
      <c r="I3374" s="30"/>
      <c r="J3374"/>
      <c r="K3374"/>
      <c r="L3374"/>
      <c r="M3374"/>
      <c r="N3374"/>
      <c r="O3374" s="62" t="b">
        <f>IF(E3374="PA",IF(K3374&lt;&gt;"",ISERROR(VLOOKUP(K3374,ABBR!A:D,1,FALSE)),ISERROR(VLOOKUP(C3374,ABBR!A:D,1,FALSE))),"")</f>
        <v>0</v>
      </c>
      <c r="P3374" t="str">
        <f>VLOOKUP(A3374,Groups!A:L,5,FALSE)</f>
        <v>SAMP</v>
      </c>
      <c r="Q3374" s="62" t="str">
        <f>IF(G3374="PA",IF(M3374&lt;&gt;"",ISERROR(VLOOKUP(M3374,ABBR!C:F,1,FALSE)),ISERROR(VLOOKUP(E3374,ABBR!C:F,1,FALSE))),"")</f>
        <v/>
      </c>
    </row>
    <row r="3375" spans="1:17" s="62" customFormat="1" hidden="1" x14ac:dyDescent="0.25">
      <c r="A3375" s="16" t="s">
        <v>388</v>
      </c>
      <c r="B3375" s="17" t="s">
        <v>594</v>
      </c>
      <c r="C3375" s="16" t="s">
        <v>860</v>
      </c>
      <c r="D3375" s="17"/>
      <c r="E3375" s="17" t="s">
        <v>596</v>
      </c>
      <c r="F3375" s="18" t="s">
        <v>942</v>
      </c>
      <c r="G3375" s="49" t="s">
        <v>862</v>
      </c>
      <c r="H3375" s="17">
        <v>5</v>
      </c>
      <c r="I3375" s="30"/>
      <c r="J3375"/>
      <c r="K3375"/>
      <c r="L3375"/>
      <c r="M3375"/>
      <c r="N3375"/>
      <c r="O3375" s="62" t="str">
        <f>IF(E3375="PA",IF(K3375&lt;&gt;"",ISERROR(VLOOKUP(K3375,ABBR!A:D,1,FALSE)),ISERROR(VLOOKUP(C3375,ABBR!A:D,1,FALSE))),"")</f>
        <v/>
      </c>
      <c r="P3375" t="str">
        <f>VLOOKUP(A3375,Groups!A:L,5,FALSE)</f>
        <v>SAMP</v>
      </c>
      <c r="Q3375" s="62" t="str">
        <f>IF(G3375="PA",IF(M3375&lt;&gt;"",ISERROR(VLOOKUP(M3375,ABBR!C:F,1,FALSE)),ISERROR(VLOOKUP(E3375,ABBR!C:F,1,FALSE))),"")</f>
        <v/>
      </c>
    </row>
    <row r="3376" spans="1:17" s="62" customFormat="1" hidden="1" x14ac:dyDescent="0.25">
      <c r="A3376" s="16" t="s">
        <v>388</v>
      </c>
      <c r="B3376" s="17" t="s">
        <v>594</v>
      </c>
      <c r="C3376" s="16" t="s">
        <v>863</v>
      </c>
      <c r="D3376" s="17"/>
      <c r="E3376" s="17" t="s">
        <v>608</v>
      </c>
      <c r="F3376" s="18" t="s">
        <v>864</v>
      </c>
      <c r="G3376" s="49" t="s">
        <v>865</v>
      </c>
      <c r="H3376" s="17">
        <v>6</v>
      </c>
      <c r="I3376" s="30"/>
      <c r="J3376"/>
      <c r="K3376"/>
      <c r="L3376"/>
      <c r="M3376"/>
      <c r="N3376"/>
      <c r="O3376" s="62" t="str">
        <f>IF(E3376="PA",IF(K3376&lt;&gt;"",ISERROR(VLOOKUP(K3376,ABBR!A:D,1,FALSE)),ISERROR(VLOOKUP(C3376,ABBR!A:D,1,FALSE))),"")</f>
        <v/>
      </c>
      <c r="P3376" t="str">
        <f>VLOOKUP(A3376,Groups!A:L,5,FALSE)</f>
        <v>SAMP</v>
      </c>
      <c r="Q3376" s="62" t="str">
        <f>IF(G3376="PA",IF(M3376&lt;&gt;"",ISERROR(VLOOKUP(M3376,ABBR!C:F,1,FALSE)),ISERROR(VLOOKUP(E3376,ABBR!C:F,1,FALSE))),"")</f>
        <v/>
      </c>
    </row>
    <row r="3377" spans="1:17" s="62" customFormat="1" hidden="1" x14ac:dyDescent="0.25">
      <c r="A3377" s="16" t="s">
        <v>388</v>
      </c>
      <c r="B3377" s="17" t="s">
        <v>594</v>
      </c>
      <c r="C3377" s="16" t="s">
        <v>866</v>
      </c>
      <c r="D3377" s="17" t="s">
        <v>600</v>
      </c>
      <c r="E3377" s="17" t="s">
        <v>601</v>
      </c>
      <c r="F3377" s="18" t="s">
        <v>867</v>
      </c>
      <c r="G3377" s="49" t="s">
        <v>853</v>
      </c>
      <c r="H3377" s="17">
        <v>7</v>
      </c>
      <c r="I3377" s="30"/>
      <c r="J3377"/>
      <c r="K3377"/>
      <c r="L3377"/>
      <c r="M3377"/>
      <c r="N3377"/>
      <c r="O3377" s="62" t="str">
        <f>IF(E3377="PA",IF(K3377&lt;&gt;"",ISERROR(VLOOKUP(K3377,ABBR!A:D,1,FALSE)),ISERROR(VLOOKUP(C3377,ABBR!A:D,1,FALSE))),"")</f>
        <v/>
      </c>
      <c r="P3377" t="str">
        <f>VLOOKUP(A3377,Groups!A:L,5,FALSE)</f>
        <v>SAMP</v>
      </c>
      <c r="Q3377" s="62" t="str">
        <f>IF(G3377="PA",IF(M3377&lt;&gt;"",ISERROR(VLOOKUP(M3377,ABBR!C:F,1,FALSE)),ISERROR(VLOOKUP(E3377,ABBR!C:F,1,FALSE))),"")</f>
        <v/>
      </c>
    </row>
    <row r="3378" spans="1:17" s="62" customFormat="1" hidden="1" x14ac:dyDescent="0.25">
      <c r="A3378" s="16" t="s">
        <v>388</v>
      </c>
      <c r="B3378" s="17"/>
      <c r="C3378" s="16" t="s">
        <v>868</v>
      </c>
      <c r="D3378" s="17"/>
      <c r="E3378" s="17" t="s">
        <v>608</v>
      </c>
      <c r="F3378" s="18" t="s">
        <v>869</v>
      </c>
      <c r="G3378" s="51" t="s">
        <v>3265</v>
      </c>
      <c r="H3378" s="17">
        <v>8</v>
      </c>
      <c r="I3378" s="30"/>
      <c r="J3378"/>
      <c r="K3378"/>
      <c r="L3378"/>
      <c r="M3378"/>
      <c r="N3378"/>
      <c r="O3378" s="62" t="str">
        <f>IF(E3378="PA",IF(K3378&lt;&gt;"",ISERROR(VLOOKUP(K3378,ABBR!A:D,1,FALSE)),ISERROR(VLOOKUP(C3378,ABBR!A:D,1,FALSE))),"")</f>
        <v/>
      </c>
      <c r="P3378" t="str">
        <f>VLOOKUP(A3378,Groups!A:L,5,FALSE)</f>
        <v>SAMP</v>
      </c>
      <c r="Q3378" s="62" t="str">
        <f>IF(G3378="PA",IF(M3378&lt;&gt;"",ISERROR(VLOOKUP(M3378,ABBR!C:F,1,FALSE)),ISERROR(VLOOKUP(E3378,ABBR!C:F,1,FALSE))),"")</f>
        <v/>
      </c>
    </row>
    <row r="3379" spans="1:17" s="62" customFormat="1" ht="25" hidden="1" x14ac:dyDescent="0.25">
      <c r="A3379" s="16" t="s">
        <v>388</v>
      </c>
      <c r="B3379" s="17"/>
      <c r="C3379" s="16" t="s">
        <v>871</v>
      </c>
      <c r="D3379" s="17"/>
      <c r="E3379" s="17" t="s">
        <v>608</v>
      </c>
      <c r="F3379" s="18" t="s">
        <v>872</v>
      </c>
      <c r="G3379" s="49" t="s">
        <v>873</v>
      </c>
      <c r="H3379" s="17">
        <v>9</v>
      </c>
      <c r="I3379" s="30"/>
      <c r="J3379"/>
      <c r="K3379"/>
      <c r="L3379"/>
      <c r="M3379"/>
      <c r="N3379"/>
      <c r="O3379" s="62" t="str">
        <f>IF(E3379="PA",IF(K3379&lt;&gt;"",ISERROR(VLOOKUP(K3379,ABBR!A:D,1,FALSE)),ISERROR(VLOOKUP(C3379,ABBR!A:D,1,FALSE))),"")</f>
        <v/>
      </c>
      <c r="P3379" t="str">
        <f>VLOOKUP(A3379,Groups!A:L,5,FALSE)</f>
        <v>SAMP</v>
      </c>
      <c r="Q3379" s="62" t="str">
        <f>IF(G3379="PA",IF(M3379&lt;&gt;"",ISERROR(VLOOKUP(M3379,ABBR!C:F,1,FALSE)),ISERROR(VLOOKUP(E3379,ABBR!C:F,1,FALSE))),"")</f>
        <v/>
      </c>
    </row>
    <row r="3380" spans="1:17" s="62" customFormat="1" hidden="1" x14ac:dyDescent="0.25">
      <c r="A3380" s="16" t="s">
        <v>388</v>
      </c>
      <c r="B3380" s="17"/>
      <c r="C3380" s="16" t="s">
        <v>5469</v>
      </c>
      <c r="D3380" s="17" t="s">
        <v>722</v>
      </c>
      <c r="E3380" s="17" t="s">
        <v>723</v>
      </c>
      <c r="F3380" s="18" t="s">
        <v>1725</v>
      </c>
      <c r="G3380" s="49" t="s">
        <v>5470</v>
      </c>
      <c r="H3380" s="17">
        <v>10</v>
      </c>
      <c r="I3380" s="30"/>
      <c r="J3380"/>
      <c r="K3380"/>
      <c r="L3380"/>
      <c r="M3380"/>
      <c r="N3380"/>
      <c r="O3380" s="62" t="str">
        <f>IF(E3380="PA",IF(K3380&lt;&gt;"",ISERROR(VLOOKUP(K3380,ABBR!A:D,1,FALSE)),ISERROR(VLOOKUP(C3380,ABBR!A:D,1,FALSE))),"")</f>
        <v/>
      </c>
      <c r="P3380" t="str">
        <f>VLOOKUP(A3380,Groups!A:L,5,FALSE)</f>
        <v>SAMP</v>
      </c>
      <c r="Q3380" s="62" t="str">
        <f>IF(G3380="PA",IF(M3380&lt;&gt;"",ISERROR(VLOOKUP(M3380,ABBR!C:F,1,FALSE)),ISERROR(VLOOKUP(E3380,ABBR!C:F,1,FALSE))),"")</f>
        <v/>
      </c>
    </row>
    <row r="3381" spans="1:17" s="62" customFormat="1" hidden="1" x14ac:dyDescent="0.25">
      <c r="A3381" s="16" t="s">
        <v>388</v>
      </c>
      <c r="B3381" s="17"/>
      <c r="C3381" s="16" t="s">
        <v>5471</v>
      </c>
      <c r="D3381" s="17" t="s">
        <v>722</v>
      </c>
      <c r="E3381" s="17" t="s">
        <v>723</v>
      </c>
      <c r="F3381" s="18" t="s">
        <v>4273</v>
      </c>
      <c r="G3381" s="49" t="s">
        <v>5472</v>
      </c>
      <c r="H3381" s="17">
        <v>11</v>
      </c>
      <c r="I3381" s="30"/>
      <c r="J3381"/>
      <c r="K3381"/>
      <c r="L3381"/>
      <c r="M3381"/>
      <c r="N3381"/>
      <c r="O3381" s="62" t="str">
        <f>IF(E3381="PA",IF(K3381&lt;&gt;"",ISERROR(VLOOKUP(K3381,ABBR!A:D,1,FALSE)),ISERROR(VLOOKUP(C3381,ABBR!A:D,1,FALSE))),"")</f>
        <v/>
      </c>
      <c r="P3381" t="str">
        <f>VLOOKUP(A3381,Groups!A:L,5,FALSE)</f>
        <v>SAMP</v>
      </c>
      <c r="Q3381" s="62" t="str">
        <f>IF(G3381="PA",IF(M3381&lt;&gt;"",ISERROR(VLOOKUP(M3381,ABBR!C:F,1,FALSE)),ISERROR(VLOOKUP(E3381,ABBR!C:F,1,FALSE))),"")</f>
        <v/>
      </c>
    </row>
    <row r="3382" spans="1:17" s="62" customFormat="1" hidden="1" x14ac:dyDescent="0.25">
      <c r="A3382" s="16" t="s">
        <v>388</v>
      </c>
      <c r="B3382" s="17"/>
      <c r="C3382" s="16" t="s">
        <v>5473</v>
      </c>
      <c r="D3382" s="17" t="s">
        <v>766</v>
      </c>
      <c r="E3382" s="17" t="s">
        <v>723</v>
      </c>
      <c r="F3382" s="18" t="s">
        <v>5474</v>
      </c>
      <c r="G3382" s="49" t="s">
        <v>5475</v>
      </c>
      <c r="H3382" s="17">
        <v>12</v>
      </c>
      <c r="I3382" s="30"/>
      <c r="J3382"/>
      <c r="K3382"/>
      <c r="L3382"/>
      <c r="M3382"/>
      <c r="N3382"/>
      <c r="O3382" s="62" t="str">
        <f>IF(E3382="PA",IF(K3382&lt;&gt;"",ISERROR(VLOOKUP(K3382,ABBR!A:D,1,FALSE)),ISERROR(VLOOKUP(C3382,ABBR!A:D,1,FALSE))),"")</f>
        <v/>
      </c>
      <c r="P3382" t="str">
        <f>VLOOKUP(A3382,Groups!A:L,5,FALSE)</f>
        <v>SAMP</v>
      </c>
      <c r="Q3382" s="62" t="str">
        <f>IF(G3382="PA",IF(M3382&lt;&gt;"",ISERROR(VLOOKUP(M3382,ABBR!C:F,1,FALSE)),ISERROR(VLOOKUP(E3382,ABBR!C:F,1,FALSE))),"")</f>
        <v/>
      </c>
    </row>
    <row r="3383" spans="1:17" s="62" customFormat="1" ht="25" hidden="1" x14ac:dyDescent="0.25">
      <c r="A3383" s="16" t="s">
        <v>388</v>
      </c>
      <c r="B3383" s="17"/>
      <c r="C3383" s="16" t="s">
        <v>5476</v>
      </c>
      <c r="D3383" s="17"/>
      <c r="E3383" s="17" t="s">
        <v>608</v>
      </c>
      <c r="F3383" s="18" t="s">
        <v>5477</v>
      </c>
      <c r="G3383" s="49" t="s">
        <v>5478</v>
      </c>
      <c r="H3383" s="17">
        <v>13</v>
      </c>
      <c r="I3383" s="30"/>
      <c r="J3383"/>
      <c r="K3383"/>
      <c r="L3383"/>
      <c r="M3383"/>
      <c r="N3383"/>
      <c r="O3383" s="62" t="str">
        <f>IF(E3383="PA",IF(K3383&lt;&gt;"",ISERROR(VLOOKUP(K3383,ABBR!A:D,1,FALSE)),ISERROR(VLOOKUP(C3383,ABBR!A:D,1,FALSE))),"")</f>
        <v/>
      </c>
      <c r="P3383" t="str">
        <f>VLOOKUP(A3383,Groups!A:L,5,FALSE)</f>
        <v>SAMP</v>
      </c>
      <c r="Q3383" s="62" t="str">
        <f>IF(G3383="PA",IF(M3383&lt;&gt;"",ISERROR(VLOOKUP(M3383,ABBR!C:F,1,FALSE)),ISERROR(VLOOKUP(E3383,ABBR!C:F,1,FALSE))),"")</f>
        <v/>
      </c>
    </row>
    <row r="3384" spans="1:17" s="62" customFormat="1" hidden="1" x14ac:dyDescent="0.25">
      <c r="A3384" s="16" t="s">
        <v>388</v>
      </c>
      <c r="B3384" s="17"/>
      <c r="C3384" s="16" t="s">
        <v>5479</v>
      </c>
      <c r="D3384" s="17" t="s">
        <v>5480</v>
      </c>
      <c r="E3384" s="17" t="s">
        <v>1417</v>
      </c>
      <c r="F3384" s="18" t="s">
        <v>3339</v>
      </c>
      <c r="G3384" s="49" t="s">
        <v>5481</v>
      </c>
      <c r="H3384" s="17">
        <v>14</v>
      </c>
      <c r="I3384" s="30"/>
      <c r="J3384"/>
      <c r="K3384"/>
      <c r="L3384"/>
      <c r="M3384"/>
      <c r="N3384"/>
      <c r="O3384" s="62" t="str">
        <f>IF(E3384="PA",IF(K3384&lt;&gt;"",ISERROR(VLOOKUP(K3384,ABBR!A:D,1,FALSE)),ISERROR(VLOOKUP(C3384,ABBR!A:D,1,FALSE))),"")</f>
        <v/>
      </c>
      <c r="P3384" t="str">
        <f>VLOOKUP(A3384,Groups!A:L,5,FALSE)</f>
        <v>SAMP</v>
      </c>
      <c r="Q3384" s="62" t="str">
        <f>IF(G3384="PA",IF(M3384&lt;&gt;"",ISERROR(VLOOKUP(M3384,ABBR!C:F,1,FALSE)),ISERROR(VLOOKUP(E3384,ABBR!C:F,1,FALSE))),"")</f>
        <v/>
      </c>
    </row>
    <row r="3385" spans="1:17" s="62" customFormat="1" hidden="1" x14ac:dyDescent="0.25">
      <c r="A3385" s="16" t="s">
        <v>388</v>
      </c>
      <c r="B3385" s="17"/>
      <c r="C3385" s="16" t="s">
        <v>5482</v>
      </c>
      <c r="D3385" s="17" t="s">
        <v>5483</v>
      </c>
      <c r="E3385" s="17" t="s">
        <v>767</v>
      </c>
      <c r="F3385" s="18" t="s">
        <v>5484</v>
      </c>
      <c r="G3385" s="49" t="s">
        <v>1403</v>
      </c>
      <c r="H3385" s="17">
        <v>15</v>
      </c>
      <c r="I3385" s="30"/>
      <c r="J3385"/>
      <c r="K3385"/>
      <c r="L3385"/>
      <c r="M3385"/>
      <c r="N3385"/>
      <c r="O3385" s="62" t="str">
        <f>IF(E3385="PA",IF(K3385&lt;&gt;"",ISERROR(VLOOKUP(K3385,ABBR!A:D,1,FALSE)),ISERROR(VLOOKUP(C3385,ABBR!A:D,1,FALSE))),"")</f>
        <v/>
      </c>
      <c r="P3385" t="str">
        <f>VLOOKUP(A3385,Groups!A:L,5,FALSE)</f>
        <v>SAMP</v>
      </c>
      <c r="Q3385" s="62" t="str">
        <f>IF(G3385="PA",IF(M3385&lt;&gt;"",ISERROR(VLOOKUP(M3385,ABBR!C:F,1,FALSE)),ISERROR(VLOOKUP(E3385,ABBR!C:F,1,FALSE))),"")</f>
        <v/>
      </c>
    </row>
    <row r="3386" spans="1:17" s="62" customFormat="1" hidden="1" x14ac:dyDescent="0.25">
      <c r="A3386" s="16" t="s">
        <v>388</v>
      </c>
      <c r="B3386" s="17"/>
      <c r="C3386" s="16" t="s">
        <v>5485</v>
      </c>
      <c r="D3386" s="17" t="s">
        <v>1710</v>
      </c>
      <c r="E3386" s="17" t="s">
        <v>2966</v>
      </c>
      <c r="F3386" s="18" t="s">
        <v>5486</v>
      </c>
      <c r="G3386" s="49" t="s">
        <v>4274</v>
      </c>
      <c r="H3386" s="17">
        <v>16</v>
      </c>
      <c r="I3386" s="30"/>
      <c r="J3386"/>
      <c r="K3386"/>
      <c r="L3386"/>
      <c r="M3386"/>
      <c r="N3386"/>
      <c r="O3386" s="62" t="str">
        <f>IF(E3386="PA",IF(K3386&lt;&gt;"",ISERROR(VLOOKUP(K3386,ABBR!A:D,1,FALSE)),ISERROR(VLOOKUP(C3386,ABBR!A:D,1,FALSE))),"")</f>
        <v/>
      </c>
      <c r="P3386" t="str">
        <f>VLOOKUP(A3386,Groups!A:L,5,FALSE)</f>
        <v>SAMP</v>
      </c>
      <c r="Q3386" s="62" t="str">
        <f>IF(G3386="PA",IF(M3386&lt;&gt;"",ISERROR(VLOOKUP(M3386,ABBR!C:F,1,FALSE)),ISERROR(VLOOKUP(E3386,ABBR!C:F,1,FALSE))),"")</f>
        <v/>
      </c>
    </row>
    <row r="3387" spans="1:17" s="62" customFormat="1" hidden="1" x14ac:dyDescent="0.25">
      <c r="A3387" s="16" t="s">
        <v>388</v>
      </c>
      <c r="B3387" s="17"/>
      <c r="C3387" s="16" t="s">
        <v>5487</v>
      </c>
      <c r="D3387" s="17"/>
      <c r="E3387" s="17" t="s">
        <v>618</v>
      </c>
      <c r="F3387" s="18" t="s">
        <v>1891</v>
      </c>
      <c r="G3387" s="49" t="s">
        <v>5488</v>
      </c>
      <c r="H3387" s="17">
        <v>17</v>
      </c>
      <c r="I3387" s="30" t="s">
        <v>3008</v>
      </c>
      <c r="J3387"/>
      <c r="K3387"/>
      <c r="L3387"/>
      <c r="M3387"/>
      <c r="N3387"/>
      <c r="O3387" s="62" t="b">
        <f>IF(E3387="PA",IF(K3387&lt;&gt;"",ISERROR(VLOOKUP(K3387,ABBR!A:D,1,FALSE)),ISERROR(VLOOKUP(C3387,ABBR!A:D,1,FALSE))),"")</f>
        <v>0</v>
      </c>
      <c r="P3387" t="str">
        <f>VLOOKUP(A3387,Groups!A:L,5,FALSE)</f>
        <v>SAMP</v>
      </c>
      <c r="Q3387" s="62" t="str">
        <f>IF(G3387="PA",IF(M3387&lt;&gt;"",ISERROR(VLOOKUP(M3387,ABBR!C:F,1,FALSE)),ISERROR(VLOOKUP(E3387,ABBR!C:F,1,FALSE))),"")</f>
        <v/>
      </c>
    </row>
    <row r="3388" spans="1:17" s="62" customFormat="1" hidden="1" x14ac:dyDescent="0.25">
      <c r="A3388" s="16" t="s">
        <v>388</v>
      </c>
      <c r="B3388" s="17"/>
      <c r="C3388" s="16" t="s">
        <v>5489</v>
      </c>
      <c r="D3388" s="17"/>
      <c r="E3388" s="17" t="s">
        <v>608</v>
      </c>
      <c r="F3388" s="18" t="s">
        <v>5490</v>
      </c>
      <c r="G3388" s="49" t="s">
        <v>5491</v>
      </c>
      <c r="H3388" s="17">
        <v>18</v>
      </c>
      <c r="I3388" s="30"/>
      <c r="J3388"/>
      <c r="K3388"/>
      <c r="L3388"/>
      <c r="M3388"/>
      <c r="N3388"/>
      <c r="O3388" s="62" t="str">
        <f>IF(E3388="PA",IF(K3388&lt;&gt;"",ISERROR(VLOOKUP(K3388,ABBR!A:D,1,FALSE)),ISERROR(VLOOKUP(C3388,ABBR!A:D,1,FALSE))),"")</f>
        <v/>
      </c>
      <c r="P3388" t="str">
        <f>VLOOKUP(A3388,Groups!A:L,5,FALSE)</f>
        <v>SAMP</v>
      </c>
      <c r="Q3388" s="62" t="str">
        <f>IF(G3388="PA",IF(M3388&lt;&gt;"",ISERROR(VLOOKUP(M3388,ABBR!C:F,1,FALSE)),ISERROR(VLOOKUP(E3388,ABBR!C:F,1,FALSE))),"")</f>
        <v/>
      </c>
    </row>
    <row r="3389" spans="1:17" s="62" customFormat="1" ht="37.5" hidden="1" x14ac:dyDescent="0.25">
      <c r="A3389" s="16" t="s">
        <v>388</v>
      </c>
      <c r="B3389" s="17"/>
      <c r="C3389" s="16" t="s">
        <v>5492</v>
      </c>
      <c r="D3389" s="17"/>
      <c r="E3389" s="17" t="s">
        <v>608</v>
      </c>
      <c r="F3389" s="18" t="s">
        <v>642</v>
      </c>
      <c r="G3389" s="49" t="s">
        <v>5493</v>
      </c>
      <c r="H3389" s="17">
        <v>19</v>
      </c>
      <c r="I3389" s="30"/>
      <c r="J3389"/>
      <c r="K3389"/>
      <c r="L3389"/>
      <c r="M3389"/>
      <c r="N3389"/>
      <c r="O3389" s="62" t="str">
        <f>IF(E3389="PA",IF(K3389&lt;&gt;"",ISERROR(VLOOKUP(K3389,ABBR!A:D,1,FALSE)),ISERROR(VLOOKUP(C3389,ABBR!A:D,1,FALSE))),"")</f>
        <v/>
      </c>
      <c r="P3389" t="str">
        <f>VLOOKUP(A3389,Groups!A:L,5,FALSE)</f>
        <v>SAMP</v>
      </c>
      <c r="Q3389" s="62" t="str">
        <f>IF(G3389="PA",IF(M3389&lt;&gt;"",ISERROR(VLOOKUP(M3389,ABBR!C:F,1,FALSE)),ISERROR(VLOOKUP(E3389,ABBR!C:F,1,FALSE))),"")</f>
        <v/>
      </c>
    </row>
    <row r="3390" spans="1:17" s="62" customFormat="1" ht="75" hidden="1" x14ac:dyDescent="0.25">
      <c r="A3390" s="16" t="s">
        <v>388</v>
      </c>
      <c r="B3390" s="17"/>
      <c r="C3390" s="16" t="s">
        <v>5494</v>
      </c>
      <c r="D3390" s="17"/>
      <c r="E3390" s="17" t="s">
        <v>608</v>
      </c>
      <c r="F3390" s="18" t="s">
        <v>918</v>
      </c>
      <c r="G3390" s="49" t="s">
        <v>5495</v>
      </c>
      <c r="H3390" s="17">
        <v>20</v>
      </c>
      <c r="I3390" s="30"/>
      <c r="J3390"/>
      <c r="K3390"/>
      <c r="L3390"/>
      <c r="M3390"/>
      <c r="N3390"/>
      <c r="O3390" s="62" t="str">
        <f>IF(E3390="PA",IF(K3390&lt;&gt;"",ISERROR(VLOOKUP(K3390,ABBR!A:D,1,FALSE)),ISERROR(VLOOKUP(C3390,ABBR!A:D,1,FALSE))),"")</f>
        <v/>
      </c>
      <c r="P3390" t="str">
        <f>VLOOKUP(A3390,Groups!A:L,5,FALSE)</f>
        <v>SAMP</v>
      </c>
      <c r="Q3390" s="62" t="str">
        <f>IF(G3390="PA",IF(M3390&lt;&gt;"",ISERROR(VLOOKUP(M3390,ABBR!C:F,1,FALSE)),ISERROR(VLOOKUP(E3390,ABBR!C:F,1,FALSE))),"")</f>
        <v/>
      </c>
    </row>
    <row r="3391" spans="1:17" s="62" customFormat="1" hidden="1" x14ac:dyDescent="0.25">
      <c r="A3391" s="16" t="s">
        <v>388</v>
      </c>
      <c r="B3391" s="17"/>
      <c r="C3391" s="16" t="s">
        <v>5496</v>
      </c>
      <c r="D3391" s="17"/>
      <c r="E3391" s="17" t="s">
        <v>608</v>
      </c>
      <c r="F3391" s="18" t="s">
        <v>950</v>
      </c>
      <c r="G3391" s="27" t="s">
        <v>951</v>
      </c>
      <c r="H3391" s="17">
        <v>21</v>
      </c>
      <c r="I3391" s="30"/>
      <c r="J3391"/>
      <c r="K3391"/>
      <c r="L3391"/>
      <c r="M3391"/>
      <c r="N3391"/>
      <c r="O3391" s="62" t="str">
        <f>IF(E3391="PA",IF(K3391&lt;&gt;"",ISERROR(VLOOKUP(K3391,ABBR!A:D,1,FALSE)),ISERROR(VLOOKUP(C3391,ABBR!A:D,1,FALSE))),"")</f>
        <v/>
      </c>
      <c r="P3391" t="str">
        <f>VLOOKUP(A3391,Groups!A:L,5,FALSE)</f>
        <v>SAMP</v>
      </c>
      <c r="Q3391" s="62" t="str">
        <f>IF(G3391="PA",IF(M3391&lt;&gt;"",ISERROR(VLOOKUP(M3391,ABBR!C:F,1,FALSE)),ISERROR(VLOOKUP(E3391,ABBR!C:F,1,FALSE))),"")</f>
        <v/>
      </c>
    </row>
    <row r="3392" spans="1:17" s="62" customFormat="1" ht="25" hidden="1" x14ac:dyDescent="0.25">
      <c r="A3392" s="16" t="s">
        <v>388</v>
      </c>
      <c r="B3392" s="17"/>
      <c r="C3392" s="16" t="s">
        <v>5497</v>
      </c>
      <c r="D3392" s="17"/>
      <c r="E3392" s="17" t="s">
        <v>608</v>
      </c>
      <c r="F3392" s="18" t="s">
        <v>934</v>
      </c>
      <c r="G3392" s="49" t="s">
        <v>953</v>
      </c>
      <c r="H3392" s="17">
        <v>22</v>
      </c>
      <c r="I3392" s="30"/>
      <c r="J3392"/>
      <c r="K3392"/>
      <c r="L3392"/>
      <c r="M3392"/>
      <c r="N3392"/>
      <c r="O3392" s="62" t="str">
        <f>IF(E3392="PA",IF(K3392&lt;&gt;"",ISERROR(VLOOKUP(K3392,ABBR!A:D,1,FALSE)),ISERROR(VLOOKUP(C3392,ABBR!A:D,1,FALSE))),"")</f>
        <v/>
      </c>
      <c r="P3392" t="str">
        <f>VLOOKUP(A3392,Groups!A:L,5,FALSE)</f>
        <v>SAMP</v>
      </c>
      <c r="Q3392" s="62" t="str">
        <f>IF(G3392="PA",IF(M3392&lt;&gt;"",ISERROR(VLOOKUP(M3392,ABBR!C:F,1,FALSE)),ISERROR(VLOOKUP(E3392,ABBR!C:F,1,FALSE))),"")</f>
        <v/>
      </c>
    </row>
    <row r="3393" spans="1:17" s="62" customFormat="1" hidden="1" x14ac:dyDescent="0.25">
      <c r="A3393" s="16" t="s">
        <v>388</v>
      </c>
      <c r="B3393" s="17"/>
      <c r="C3393" s="16" t="s">
        <v>936</v>
      </c>
      <c r="D3393" s="17"/>
      <c r="E3393" s="22" t="s">
        <v>608</v>
      </c>
      <c r="F3393" s="18" t="s">
        <v>937</v>
      </c>
      <c r="G3393" s="49" t="s">
        <v>938</v>
      </c>
      <c r="H3393" s="17">
        <v>23</v>
      </c>
      <c r="I3393" s="30"/>
      <c r="J3393"/>
      <c r="K3393"/>
      <c r="L3393"/>
      <c r="M3393"/>
      <c r="N3393"/>
      <c r="O3393" s="62" t="str">
        <f>IF(E3393="PA",IF(K3393&lt;&gt;"",ISERROR(VLOOKUP(K3393,ABBR!A:D,1,FALSE)),ISERROR(VLOOKUP(C3393,ABBR!A:D,1,FALSE))),"")</f>
        <v/>
      </c>
      <c r="P3393" t="str">
        <f>VLOOKUP(A3393,Groups!A:L,5,FALSE)</f>
        <v>SAMP</v>
      </c>
      <c r="Q3393" s="62" t="str">
        <f>IF(G3393="PA",IF(M3393&lt;&gt;"",ISERROR(VLOOKUP(M3393,ABBR!C:F,1,FALSE)),ISERROR(VLOOKUP(E3393,ABBR!C:F,1,FALSE))),"")</f>
        <v/>
      </c>
    </row>
    <row r="3394" spans="1:17" s="62" customFormat="1" hidden="1" x14ac:dyDescent="0.25">
      <c r="A3394" s="16" t="s">
        <v>388</v>
      </c>
      <c r="B3394" s="17"/>
      <c r="C3394" s="16" t="s">
        <v>643</v>
      </c>
      <c r="D3394" s="17"/>
      <c r="E3394" s="17" t="s">
        <v>608</v>
      </c>
      <c r="F3394" s="18" t="s">
        <v>954</v>
      </c>
      <c r="G3394" s="49" t="s">
        <v>940</v>
      </c>
      <c r="H3394" s="17">
        <v>24</v>
      </c>
      <c r="I3394" s="30"/>
      <c r="J3394"/>
      <c r="K3394"/>
      <c r="L3394"/>
      <c r="M3394"/>
      <c r="N3394"/>
      <c r="O3394" s="62" t="str">
        <f>IF(E3394="PA",IF(K3394&lt;&gt;"",ISERROR(VLOOKUP(K3394,ABBR!A:D,1,FALSE)),ISERROR(VLOOKUP(C3394,ABBR!A:D,1,FALSE))),"")</f>
        <v/>
      </c>
      <c r="P3394" t="str">
        <f>VLOOKUP(A3394,Groups!A:L,5,FALSE)</f>
        <v>SAMP</v>
      </c>
      <c r="Q3394" s="62" t="str">
        <f>IF(G3394="PA",IF(M3394&lt;&gt;"",ISERROR(VLOOKUP(M3394,ABBR!C:F,1,FALSE)),ISERROR(VLOOKUP(E3394,ABBR!C:F,1,FALSE))),"")</f>
        <v/>
      </c>
    </row>
    <row r="3395" spans="1:17" s="62" customFormat="1" hidden="1" x14ac:dyDescent="0.25">
      <c r="A3395" s="16" t="s">
        <v>388</v>
      </c>
      <c r="B3395" s="17"/>
      <c r="C3395" s="16" t="s">
        <v>877</v>
      </c>
      <c r="D3395" s="17" t="s">
        <v>600</v>
      </c>
      <c r="E3395" s="17" t="s">
        <v>601</v>
      </c>
      <c r="F3395" s="18" t="s">
        <v>878</v>
      </c>
      <c r="G3395" s="49" t="s">
        <v>879</v>
      </c>
      <c r="H3395" s="17">
        <v>25</v>
      </c>
      <c r="I3395" s="30" t="s">
        <v>955</v>
      </c>
      <c r="J3395" s="80">
        <v>4.0999999999999996</v>
      </c>
      <c r="K3395"/>
      <c r="L3395"/>
      <c r="M3395"/>
      <c r="N3395"/>
      <c r="O3395" s="62" t="str">
        <f>IF(E3395="PA",IF(K3395&lt;&gt;"",ISERROR(VLOOKUP(K3395,ABBR!A:D,1,FALSE)),ISERROR(VLOOKUP(C3395,ABBR!A:D,1,FALSE))),"")</f>
        <v/>
      </c>
      <c r="P3395" t="str">
        <f>VLOOKUP(A3395,Groups!A:L,5,FALSE)</f>
        <v>SAMP</v>
      </c>
      <c r="Q3395" s="62" t="str">
        <f>IF(G3395="PA",IF(M3395&lt;&gt;"",ISERROR(VLOOKUP(M3395,ABBR!C:F,1,FALSE)),ISERROR(VLOOKUP(E3395,ABBR!C:F,1,FALSE))),"")</f>
        <v/>
      </c>
    </row>
    <row r="3396" spans="1:17" s="62" customFormat="1" hidden="1" x14ac:dyDescent="0.25">
      <c r="A3396" s="16" t="s">
        <v>388</v>
      </c>
      <c r="B3396" s="17"/>
      <c r="C3396" s="16" t="s">
        <v>5498</v>
      </c>
      <c r="D3396" s="17"/>
      <c r="E3396" s="17" t="s">
        <v>608</v>
      </c>
      <c r="F3396" s="18" t="s">
        <v>921</v>
      </c>
      <c r="G3396" s="94" t="s">
        <v>922</v>
      </c>
      <c r="H3396" s="17">
        <v>26</v>
      </c>
      <c r="I3396" s="30" t="s">
        <v>955</v>
      </c>
      <c r="J3396" s="80">
        <v>4.0999999999999996</v>
      </c>
      <c r="K3396"/>
      <c r="L3396"/>
      <c r="M3396" s="101"/>
      <c r="N3396"/>
      <c r="O3396" s="62" t="str">
        <f>IF(E3396="PA",IF(K3396&lt;&gt;"",ISERROR(VLOOKUP(K3396,ABBR!A:D,1,FALSE)),ISERROR(VLOOKUP(C3396,ABBR!A:D,1,FALSE))),"")</f>
        <v/>
      </c>
      <c r="P3396" t="str">
        <f>VLOOKUP(A3396,Groups!A:L,5,FALSE)</f>
        <v>SAMP</v>
      </c>
      <c r="Q3396" s="62" t="str">
        <f>IF(G3396="PA",IF(M3396&lt;&gt;"",ISERROR(VLOOKUP(M3396,ABBR!C:F,1,FALSE)),ISERROR(VLOOKUP(E3396,ABBR!C:F,1,FALSE))),"")</f>
        <v/>
      </c>
    </row>
    <row r="3397" spans="1:17" s="62" customFormat="1" hidden="1" x14ac:dyDescent="0.25">
      <c r="A3397" s="16" t="s">
        <v>388</v>
      </c>
      <c r="B3397" s="17"/>
      <c r="C3397" s="16" t="s">
        <v>5499</v>
      </c>
      <c r="D3397" s="17" t="s">
        <v>924</v>
      </c>
      <c r="E3397" s="17" t="s">
        <v>925</v>
      </c>
      <c r="F3397" s="18" t="s">
        <v>926</v>
      </c>
      <c r="G3397" s="49" t="s">
        <v>927</v>
      </c>
      <c r="H3397" s="17">
        <v>27</v>
      </c>
      <c r="I3397" s="30"/>
      <c r="J3397" s="62" t="s">
        <v>473</v>
      </c>
      <c r="O3397" s="62" t="str">
        <f>IF(E3397="PA",IF(K3397&lt;&gt;"",ISERROR(VLOOKUP(K3397,ABBR!A:D,1,FALSE)),ISERROR(VLOOKUP(C3397,ABBR!A:D,1,FALSE))),"")</f>
        <v/>
      </c>
      <c r="P3397" t="str">
        <f>VLOOKUP(A3397,Groups!A:L,5,FALSE)</f>
        <v>SAMP</v>
      </c>
      <c r="Q3397" s="62" t="str">
        <f>IF(G3397="PA",IF(M3397&lt;&gt;"",ISERROR(VLOOKUP(M3397,ABBR!C:F,1,FALSE)),ISERROR(VLOOKUP(E3397,ABBR!C:F,1,FALSE))),"")</f>
        <v/>
      </c>
    </row>
    <row r="3398" spans="1:17" s="62" customFormat="1" hidden="1" x14ac:dyDescent="0.25">
      <c r="A3398" s="16" t="s">
        <v>388</v>
      </c>
      <c r="B3398" s="17"/>
      <c r="C3398" s="16" t="s">
        <v>5500</v>
      </c>
      <c r="D3398" s="17"/>
      <c r="E3398" s="17" t="s">
        <v>608</v>
      </c>
      <c r="F3398" s="18" t="s">
        <v>875</v>
      </c>
      <c r="G3398" s="49" t="s">
        <v>876</v>
      </c>
      <c r="H3398" s="17">
        <v>28</v>
      </c>
      <c r="I3398" s="30"/>
      <c r="J3398" s="62" t="s">
        <v>473</v>
      </c>
      <c r="O3398" s="62" t="str">
        <f>IF(E3398="PA",IF(K3398&lt;&gt;"",ISERROR(VLOOKUP(K3398,ABBR!A:D,1,FALSE)),ISERROR(VLOOKUP(C3398,ABBR!A:D,1,FALSE))),"")</f>
        <v/>
      </c>
      <c r="P3398" t="str">
        <f>VLOOKUP(A3398,Groups!A:L,5,FALSE)</f>
        <v>SAMP</v>
      </c>
      <c r="Q3398" s="62" t="str">
        <f>IF(G3398="PA",IF(M3398&lt;&gt;"",ISERROR(VLOOKUP(M3398,ABBR!C:F,1,FALSE)),ISERROR(VLOOKUP(E3398,ABBR!C:F,1,FALSE))),"")</f>
        <v/>
      </c>
    </row>
    <row r="3399" spans="1:17" s="62" customFormat="1" hidden="1" x14ac:dyDescent="0.25">
      <c r="A3399" s="16" t="s">
        <v>388</v>
      </c>
      <c r="B3399" s="17"/>
      <c r="C3399" s="16" t="s">
        <v>5501</v>
      </c>
      <c r="D3399" s="17"/>
      <c r="E3399" s="17" t="s">
        <v>608</v>
      </c>
      <c r="F3399" s="18" t="s">
        <v>929</v>
      </c>
      <c r="G3399" s="49" t="s">
        <v>876</v>
      </c>
      <c r="H3399" s="17">
        <v>29</v>
      </c>
      <c r="I3399" s="30"/>
      <c r="J3399" s="62" t="s">
        <v>473</v>
      </c>
      <c r="O3399" s="62" t="str">
        <f>IF(E3399="PA",IF(K3399&lt;&gt;"",ISERROR(VLOOKUP(K3399,ABBR!A:D,1,FALSE)),ISERROR(VLOOKUP(C3399,ABBR!A:D,1,FALSE))),"")</f>
        <v/>
      </c>
      <c r="P3399" t="str">
        <f>VLOOKUP(A3399,Groups!A:L,5,FALSE)</f>
        <v>SAMP</v>
      </c>
      <c r="Q3399" s="62" t="str">
        <f>IF(G3399="PA",IF(M3399&lt;&gt;"",ISERROR(VLOOKUP(M3399,ABBR!C:F,1,FALSE)),ISERROR(VLOOKUP(E3399,ABBR!C:F,1,FALSE))),"")</f>
        <v/>
      </c>
    </row>
    <row r="3400" spans="1:17" s="62" customFormat="1" hidden="1" x14ac:dyDescent="0.25">
      <c r="A3400" s="16" t="s">
        <v>390</v>
      </c>
      <c r="B3400" s="17" t="s">
        <v>594</v>
      </c>
      <c r="C3400" s="16" t="s">
        <v>595</v>
      </c>
      <c r="D3400" s="17"/>
      <c r="E3400" s="17" t="s">
        <v>596</v>
      </c>
      <c r="F3400" s="18" t="s">
        <v>597</v>
      </c>
      <c r="G3400" s="49" t="s">
        <v>598</v>
      </c>
      <c r="H3400" s="17">
        <v>1</v>
      </c>
      <c r="I3400" s="30"/>
      <c r="J3400"/>
      <c r="K3400"/>
      <c r="L3400"/>
      <c r="M3400"/>
      <c r="N3400"/>
      <c r="O3400" s="62" t="str">
        <f>IF(E3400="PA",IF(K3400&lt;&gt;"",ISERROR(VLOOKUP(K3400,ABBR!A:D,1,FALSE)),ISERROR(VLOOKUP(C3400,ABBR!A:D,1,FALSE))),"")</f>
        <v/>
      </c>
      <c r="P3400" t="str">
        <f>VLOOKUP(A3400,Groups!A:L,5,FALSE)</f>
        <v>SAMP</v>
      </c>
      <c r="Q3400" s="62" t="str">
        <f>IF(G3400="PA",IF(M3400&lt;&gt;"",ISERROR(VLOOKUP(M3400,ABBR!C:F,1,FALSE)),ISERROR(VLOOKUP(E3400,ABBR!C:F,1,FALSE))),"")</f>
        <v/>
      </c>
    </row>
    <row r="3401" spans="1:17" s="62" customFormat="1" hidden="1" x14ac:dyDescent="0.25">
      <c r="A3401" s="16" t="s">
        <v>390</v>
      </c>
      <c r="B3401" s="17" t="s">
        <v>594</v>
      </c>
      <c r="C3401" s="16" t="s">
        <v>851</v>
      </c>
      <c r="D3401" s="17" t="s">
        <v>600</v>
      </c>
      <c r="E3401" s="17" t="s">
        <v>601</v>
      </c>
      <c r="F3401" s="18" t="s">
        <v>852</v>
      </c>
      <c r="G3401" s="49" t="s">
        <v>853</v>
      </c>
      <c r="H3401" s="17">
        <v>2</v>
      </c>
      <c r="I3401" s="30"/>
      <c r="J3401"/>
      <c r="K3401"/>
      <c r="L3401"/>
      <c r="M3401"/>
      <c r="N3401"/>
      <c r="O3401" s="62" t="str">
        <f>IF(E3401="PA",IF(K3401&lt;&gt;"",ISERROR(VLOOKUP(K3401,ABBR!A:D,1,FALSE)),ISERROR(VLOOKUP(C3401,ABBR!A:D,1,FALSE))),"")</f>
        <v/>
      </c>
      <c r="P3401" t="str">
        <f>VLOOKUP(A3401,Groups!A:L,5,FALSE)</f>
        <v>SAMP</v>
      </c>
      <c r="Q3401" s="62" t="str">
        <f>IF(G3401="PA",IF(M3401&lt;&gt;"",ISERROR(VLOOKUP(M3401,ABBR!C:F,1,FALSE)),ISERROR(VLOOKUP(E3401,ABBR!C:F,1,FALSE))),"")</f>
        <v/>
      </c>
    </row>
    <row r="3402" spans="1:17" s="62" customFormat="1" hidden="1" x14ac:dyDescent="0.25">
      <c r="A3402" s="16" t="s">
        <v>390</v>
      </c>
      <c r="B3402" s="17" t="s">
        <v>594</v>
      </c>
      <c r="C3402" s="16" t="s">
        <v>854</v>
      </c>
      <c r="D3402" s="17"/>
      <c r="E3402" s="17" t="s">
        <v>608</v>
      </c>
      <c r="F3402" s="18" t="s">
        <v>855</v>
      </c>
      <c r="G3402" s="49" t="s">
        <v>941</v>
      </c>
      <c r="H3402" s="17">
        <v>3</v>
      </c>
      <c r="I3402" s="30"/>
      <c r="J3402"/>
      <c r="K3402"/>
      <c r="L3402"/>
      <c r="M3402"/>
      <c r="N3402"/>
      <c r="O3402" s="62" t="str">
        <f>IF(E3402="PA",IF(K3402&lt;&gt;"",ISERROR(VLOOKUP(K3402,ABBR!A:D,1,FALSE)),ISERROR(VLOOKUP(C3402,ABBR!A:D,1,FALSE))),"")</f>
        <v/>
      </c>
      <c r="P3402" t="str">
        <f>VLOOKUP(A3402,Groups!A:L,5,FALSE)</f>
        <v>SAMP</v>
      </c>
      <c r="Q3402" s="62" t="str">
        <f>IF(G3402="PA",IF(M3402&lt;&gt;"",ISERROR(VLOOKUP(M3402,ABBR!C:F,1,FALSE)),ISERROR(VLOOKUP(E3402,ABBR!C:F,1,FALSE))),"")</f>
        <v/>
      </c>
    </row>
    <row r="3403" spans="1:17" s="62" customFormat="1" hidden="1" x14ac:dyDescent="0.25">
      <c r="A3403" s="16" t="s">
        <v>390</v>
      </c>
      <c r="B3403" s="17" t="s">
        <v>594</v>
      </c>
      <c r="C3403" s="16" t="s">
        <v>857</v>
      </c>
      <c r="D3403" s="17"/>
      <c r="E3403" s="17" t="s">
        <v>618</v>
      </c>
      <c r="F3403" s="18" t="s">
        <v>858</v>
      </c>
      <c r="G3403" s="49" t="s">
        <v>859</v>
      </c>
      <c r="H3403" s="17">
        <v>4</v>
      </c>
      <c r="I3403" s="30"/>
      <c r="J3403"/>
      <c r="K3403"/>
      <c r="L3403"/>
      <c r="M3403"/>
      <c r="N3403"/>
      <c r="O3403" s="62" t="b">
        <f>IF(E3403="PA",IF(K3403&lt;&gt;"",ISERROR(VLOOKUP(K3403,ABBR!A:D,1,FALSE)),ISERROR(VLOOKUP(C3403,ABBR!A:D,1,FALSE))),"")</f>
        <v>0</v>
      </c>
      <c r="P3403" t="str">
        <f>VLOOKUP(A3403,Groups!A:L,5,FALSE)</f>
        <v>SAMP</v>
      </c>
      <c r="Q3403" s="62" t="str">
        <f>IF(G3403="PA",IF(M3403&lt;&gt;"",ISERROR(VLOOKUP(M3403,ABBR!C:F,1,FALSE)),ISERROR(VLOOKUP(E3403,ABBR!C:F,1,FALSE))),"")</f>
        <v/>
      </c>
    </row>
    <row r="3404" spans="1:17" s="62" customFormat="1" hidden="1" x14ac:dyDescent="0.25">
      <c r="A3404" s="16" t="s">
        <v>390</v>
      </c>
      <c r="B3404" s="17" t="s">
        <v>594</v>
      </c>
      <c r="C3404" s="16" t="s">
        <v>860</v>
      </c>
      <c r="D3404" s="17"/>
      <c r="E3404" s="17" t="s">
        <v>596</v>
      </c>
      <c r="F3404" s="18" t="s">
        <v>942</v>
      </c>
      <c r="G3404" s="49" t="s">
        <v>862</v>
      </c>
      <c r="H3404" s="17">
        <v>5</v>
      </c>
      <c r="I3404" s="30"/>
      <c r="J3404"/>
      <c r="K3404"/>
      <c r="L3404"/>
      <c r="M3404"/>
      <c r="N3404"/>
      <c r="O3404" s="62" t="str">
        <f>IF(E3404="PA",IF(K3404&lt;&gt;"",ISERROR(VLOOKUP(K3404,ABBR!A:D,1,FALSE)),ISERROR(VLOOKUP(C3404,ABBR!A:D,1,FALSE))),"")</f>
        <v/>
      </c>
      <c r="P3404" t="str">
        <f>VLOOKUP(A3404,Groups!A:L,5,FALSE)</f>
        <v>SAMP</v>
      </c>
      <c r="Q3404" s="62" t="str">
        <f>IF(G3404="PA",IF(M3404&lt;&gt;"",ISERROR(VLOOKUP(M3404,ABBR!C:F,1,FALSE)),ISERROR(VLOOKUP(E3404,ABBR!C:F,1,FALSE))),"")</f>
        <v/>
      </c>
    </row>
    <row r="3405" spans="1:17" s="62" customFormat="1" hidden="1" x14ac:dyDescent="0.25">
      <c r="A3405" s="16" t="s">
        <v>390</v>
      </c>
      <c r="B3405" s="17" t="s">
        <v>594</v>
      </c>
      <c r="C3405" s="16" t="s">
        <v>863</v>
      </c>
      <c r="D3405" s="17"/>
      <c r="E3405" s="17" t="s">
        <v>608</v>
      </c>
      <c r="F3405" s="18" t="s">
        <v>864</v>
      </c>
      <c r="G3405" s="49" t="s">
        <v>865</v>
      </c>
      <c r="H3405" s="17">
        <v>6</v>
      </c>
      <c r="I3405" s="30"/>
      <c r="J3405"/>
      <c r="K3405"/>
      <c r="L3405"/>
      <c r="M3405"/>
      <c r="N3405"/>
      <c r="O3405" s="62" t="str">
        <f>IF(E3405="PA",IF(K3405&lt;&gt;"",ISERROR(VLOOKUP(K3405,ABBR!A:D,1,FALSE)),ISERROR(VLOOKUP(C3405,ABBR!A:D,1,FALSE))),"")</f>
        <v/>
      </c>
      <c r="P3405" t="str">
        <f>VLOOKUP(A3405,Groups!A:L,5,FALSE)</f>
        <v>SAMP</v>
      </c>
      <c r="Q3405" s="62" t="str">
        <f>IF(G3405="PA",IF(M3405&lt;&gt;"",ISERROR(VLOOKUP(M3405,ABBR!C:F,1,FALSE)),ISERROR(VLOOKUP(E3405,ABBR!C:F,1,FALSE))),"")</f>
        <v/>
      </c>
    </row>
    <row r="3406" spans="1:17" s="62" customFormat="1" hidden="1" x14ac:dyDescent="0.25">
      <c r="A3406" s="16" t="s">
        <v>390</v>
      </c>
      <c r="B3406" s="17" t="s">
        <v>594</v>
      </c>
      <c r="C3406" s="16" t="s">
        <v>866</v>
      </c>
      <c r="D3406" s="17" t="s">
        <v>600</v>
      </c>
      <c r="E3406" s="17" t="s">
        <v>601</v>
      </c>
      <c r="F3406" s="18" t="s">
        <v>867</v>
      </c>
      <c r="G3406" s="49" t="s">
        <v>853</v>
      </c>
      <c r="H3406" s="17">
        <v>7</v>
      </c>
      <c r="I3406" s="30"/>
      <c r="J3406"/>
      <c r="K3406"/>
      <c r="L3406"/>
      <c r="M3406"/>
      <c r="N3406"/>
      <c r="O3406" s="62" t="str">
        <f>IF(E3406="PA",IF(K3406&lt;&gt;"",ISERROR(VLOOKUP(K3406,ABBR!A:D,1,FALSE)),ISERROR(VLOOKUP(C3406,ABBR!A:D,1,FALSE))),"")</f>
        <v/>
      </c>
      <c r="P3406" t="str">
        <f>VLOOKUP(A3406,Groups!A:L,5,FALSE)</f>
        <v>SAMP</v>
      </c>
      <c r="Q3406" s="62" t="str">
        <f>IF(G3406="PA",IF(M3406&lt;&gt;"",ISERROR(VLOOKUP(M3406,ABBR!C:F,1,FALSE)),ISERROR(VLOOKUP(E3406,ABBR!C:F,1,FALSE))),"")</f>
        <v/>
      </c>
    </row>
    <row r="3407" spans="1:17" s="62" customFormat="1" hidden="1" x14ac:dyDescent="0.25">
      <c r="A3407" s="16" t="s">
        <v>390</v>
      </c>
      <c r="B3407" s="17"/>
      <c r="C3407" s="16" t="s">
        <v>868</v>
      </c>
      <c r="D3407" s="17"/>
      <c r="E3407" s="17" t="s">
        <v>608</v>
      </c>
      <c r="F3407" s="18" t="s">
        <v>869</v>
      </c>
      <c r="G3407" s="51" t="s">
        <v>3265</v>
      </c>
      <c r="H3407" s="17">
        <v>8</v>
      </c>
      <c r="I3407" s="30"/>
      <c r="J3407"/>
      <c r="K3407"/>
      <c r="L3407"/>
      <c r="M3407"/>
      <c r="N3407"/>
      <c r="O3407" s="62" t="str">
        <f>IF(E3407="PA",IF(K3407&lt;&gt;"",ISERROR(VLOOKUP(K3407,ABBR!A:D,1,FALSE)),ISERROR(VLOOKUP(C3407,ABBR!A:D,1,FALSE))),"")</f>
        <v/>
      </c>
      <c r="P3407" t="str">
        <f>VLOOKUP(A3407,Groups!A:L,5,FALSE)</f>
        <v>SAMP</v>
      </c>
      <c r="Q3407" s="62" t="str">
        <f>IF(G3407="PA",IF(M3407&lt;&gt;"",ISERROR(VLOOKUP(M3407,ABBR!C:F,1,FALSE)),ISERROR(VLOOKUP(E3407,ABBR!C:F,1,FALSE))),"")</f>
        <v/>
      </c>
    </row>
    <row r="3408" spans="1:17" s="62" customFormat="1" ht="25" hidden="1" x14ac:dyDescent="0.25">
      <c r="A3408" s="16" t="s">
        <v>390</v>
      </c>
      <c r="B3408" s="17"/>
      <c r="C3408" s="16" t="s">
        <v>871</v>
      </c>
      <c r="D3408" s="17"/>
      <c r="E3408" s="17" t="s">
        <v>608</v>
      </c>
      <c r="F3408" s="18" t="s">
        <v>872</v>
      </c>
      <c r="G3408" s="49" t="s">
        <v>873</v>
      </c>
      <c r="H3408" s="17">
        <v>9</v>
      </c>
      <c r="I3408" s="30"/>
      <c r="J3408"/>
      <c r="K3408"/>
      <c r="L3408"/>
      <c r="M3408"/>
      <c r="N3408"/>
      <c r="O3408" s="62" t="str">
        <f>IF(E3408="PA",IF(K3408&lt;&gt;"",ISERROR(VLOOKUP(K3408,ABBR!A:D,1,FALSE)),ISERROR(VLOOKUP(C3408,ABBR!A:D,1,FALSE))),"")</f>
        <v/>
      </c>
      <c r="P3408" t="str">
        <f>VLOOKUP(A3408,Groups!A:L,5,FALSE)</f>
        <v>SAMP</v>
      </c>
      <c r="Q3408" s="62" t="str">
        <f>IF(G3408="PA",IF(M3408&lt;&gt;"",ISERROR(VLOOKUP(M3408,ABBR!C:F,1,FALSE)),ISERROR(VLOOKUP(E3408,ABBR!C:F,1,FALSE))),"")</f>
        <v/>
      </c>
    </row>
    <row r="3409" spans="1:17" s="62" customFormat="1" hidden="1" x14ac:dyDescent="0.25">
      <c r="A3409" s="16" t="s">
        <v>390</v>
      </c>
      <c r="B3409" s="17"/>
      <c r="C3409" s="16" t="s">
        <v>5502</v>
      </c>
      <c r="D3409" s="17" t="s">
        <v>722</v>
      </c>
      <c r="E3409" s="17" t="s">
        <v>723</v>
      </c>
      <c r="F3409" s="18" t="s">
        <v>1725</v>
      </c>
      <c r="G3409" s="49" t="s">
        <v>5362</v>
      </c>
      <c r="H3409" s="17">
        <v>10</v>
      </c>
      <c r="I3409" s="30"/>
      <c r="J3409"/>
      <c r="K3409"/>
      <c r="L3409"/>
      <c r="M3409"/>
      <c r="N3409"/>
      <c r="O3409" s="62" t="str">
        <f>IF(E3409="PA",IF(K3409&lt;&gt;"",ISERROR(VLOOKUP(K3409,ABBR!A:D,1,FALSE)),ISERROR(VLOOKUP(C3409,ABBR!A:D,1,FALSE))),"")</f>
        <v/>
      </c>
      <c r="P3409" t="str">
        <f>VLOOKUP(A3409,Groups!A:L,5,FALSE)</f>
        <v>SAMP</v>
      </c>
      <c r="Q3409" s="62" t="str">
        <f>IF(G3409="PA",IF(M3409&lt;&gt;"",ISERROR(VLOOKUP(M3409,ABBR!C:F,1,FALSE)),ISERROR(VLOOKUP(E3409,ABBR!C:F,1,FALSE))),"")</f>
        <v/>
      </c>
    </row>
    <row r="3410" spans="1:17" s="62" customFormat="1" hidden="1" x14ac:dyDescent="0.25">
      <c r="A3410" s="16" t="s">
        <v>390</v>
      </c>
      <c r="B3410" s="17"/>
      <c r="C3410" s="16" t="s">
        <v>5503</v>
      </c>
      <c r="D3410" s="17" t="s">
        <v>722</v>
      </c>
      <c r="E3410" s="17" t="s">
        <v>723</v>
      </c>
      <c r="F3410" s="18" t="s">
        <v>4357</v>
      </c>
      <c r="G3410" s="49" t="s">
        <v>5364</v>
      </c>
      <c r="H3410" s="17">
        <v>11</v>
      </c>
      <c r="I3410" s="30"/>
      <c r="J3410"/>
      <c r="K3410"/>
      <c r="L3410"/>
      <c r="M3410"/>
      <c r="N3410"/>
      <c r="O3410" s="62" t="str">
        <f>IF(E3410="PA",IF(K3410&lt;&gt;"",ISERROR(VLOOKUP(K3410,ABBR!A:D,1,FALSE)),ISERROR(VLOOKUP(C3410,ABBR!A:D,1,FALSE))),"")</f>
        <v/>
      </c>
      <c r="P3410" t="str">
        <f>VLOOKUP(A3410,Groups!A:L,5,FALSE)</f>
        <v>SAMP</v>
      </c>
      <c r="Q3410" s="62" t="str">
        <f>IF(G3410="PA",IF(M3410&lt;&gt;"",ISERROR(VLOOKUP(M3410,ABBR!C:F,1,FALSE)),ISERROR(VLOOKUP(E3410,ABBR!C:F,1,FALSE))),"")</f>
        <v/>
      </c>
    </row>
    <row r="3411" spans="1:17" s="62" customFormat="1" hidden="1" x14ac:dyDescent="0.25">
      <c r="A3411" s="16" t="s">
        <v>390</v>
      </c>
      <c r="B3411" s="17"/>
      <c r="C3411" s="16" t="s">
        <v>5504</v>
      </c>
      <c r="D3411" s="17" t="s">
        <v>766</v>
      </c>
      <c r="E3411" s="17" t="s">
        <v>723</v>
      </c>
      <c r="F3411" s="18" t="s">
        <v>4958</v>
      </c>
      <c r="G3411" s="49" t="s">
        <v>5475</v>
      </c>
      <c r="H3411" s="17">
        <v>12</v>
      </c>
      <c r="I3411" s="30"/>
      <c r="J3411"/>
      <c r="K3411"/>
      <c r="L3411"/>
      <c r="M3411"/>
      <c r="N3411"/>
      <c r="O3411" s="62" t="str">
        <f>IF(E3411="PA",IF(K3411&lt;&gt;"",ISERROR(VLOOKUP(K3411,ABBR!A:D,1,FALSE)),ISERROR(VLOOKUP(C3411,ABBR!A:D,1,FALSE))),"")</f>
        <v/>
      </c>
      <c r="P3411" t="str">
        <f>VLOOKUP(A3411,Groups!A:L,5,FALSE)</f>
        <v>SAMP</v>
      </c>
      <c r="Q3411" s="62" t="str">
        <f>IF(G3411="PA",IF(M3411&lt;&gt;"",ISERROR(VLOOKUP(M3411,ABBR!C:F,1,FALSE)),ISERROR(VLOOKUP(E3411,ABBR!C:F,1,FALSE))),"")</f>
        <v/>
      </c>
    </row>
    <row r="3412" spans="1:17" s="62" customFormat="1" ht="25" hidden="1" x14ac:dyDescent="0.25">
      <c r="A3412" s="16" t="s">
        <v>390</v>
      </c>
      <c r="B3412" s="17"/>
      <c r="C3412" s="16" t="s">
        <v>5505</v>
      </c>
      <c r="D3412" s="17"/>
      <c r="E3412" s="17" t="s">
        <v>608</v>
      </c>
      <c r="F3412" s="18" t="s">
        <v>5477</v>
      </c>
      <c r="G3412" s="49" t="s">
        <v>5478</v>
      </c>
      <c r="H3412" s="17">
        <v>13</v>
      </c>
      <c r="I3412" s="30"/>
      <c r="J3412"/>
      <c r="K3412"/>
      <c r="L3412"/>
      <c r="M3412"/>
      <c r="N3412"/>
      <c r="O3412" s="62" t="str">
        <f>IF(E3412="PA",IF(K3412&lt;&gt;"",ISERROR(VLOOKUP(K3412,ABBR!A:D,1,FALSE)),ISERROR(VLOOKUP(C3412,ABBR!A:D,1,FALSE))),"")</f>
        <v/>
      </c>
      <c r="P3412" t="str">
        <f>VLOOKUP(A3412,Groups!A:L,5,FALSE)</f>
        <v>SAMP</v>
      </c>
      <c r="Q3412" s="62" t="str">
        <f>IF(G3412="PA",IF(M3412&lt;&gt;"",ISERROR(VLOOKUP(M3412,ABBR!C:F,1,FALSE)),ISERROR(VLOOKUP(E3412,ABBR!C:F,1,FALSE))),"")</f>
        <v/>
      </c>
    </row>
    <row r="3413" spans="1:17" s="62" customFormat="1" hidden="1" x14ac:dyDescent="0.25">
      <c r="A3413" s="16" t="s">
        <v>390</v>
      </c>
      <c r="B3413" s="17"/>
      <c r="C3413" s="16" t="s">
        <v>5506</v>
      </c>
      <c r="D3413" s="17" t="s">
        <v>5480</v>
      </c>
      <c r="E3413" s="17" t="s">
        <v>1417</v>
      </c>
      <c r="F3413" s="18" t="s">
        <v>3339</v>
      </c>
      <c r="G3413" s="49" t="s">
        <v>5507</v>
      </c>
      <c r="H3413" s="17">
        <v>14</v>
      </c>
      <c r="I3413" s="30"/>
      <c r="J3413"/>
      <c r="K3413"/>
      <c r="L3413"/>
      <c r="M3413"/>
      <c r="N3413"/>
      <c r="O3413" s="62" t="str">
        <f>IF(E3413="PA",IF(K3413&lt;&gt;"",ISERROR(VLOOKUP(K3413,ABBR!A:D,1,FALSE)),ISERROR(VLOOKUP(C3413,ABBR!A:D,1,FALSE))),"")</f>
        <v/>
      </c>
      <c r="P3413" t="str">
        <f>VLOOKUP(A3413,Groups!A:L,5,FALSE)</f>
        <v>SAMP</v>
      </c>
      <c r="Q3413" s="62" t="str">
        <f>IF(G3413="PA",IF(M3413&lt;&gt;"",ISERROR(VLOOKUP(M3413,ABBR!C:F,1,FALSE)),ISERROR(VLOOKUP(E3413,ABBR!C:F,1,FALSE))),"")</f>
        <v/>
      </c>
    </row>
    <row r="3414" spans="1:17" s="62" customFormat="1" hidden="1" x14ac:dyDescent="0.25">
      <c r="A3414" s="16" t="s">
        <v>390</v>
      </c>
      <c r="B3414" s="17"/>
      <c r="C3414" s="16" t="s">
        <v>5508</v>
      </c>
      <c r="D3414" s="17" t="s">
        <v>5509</v>
      </c>
      <c r="E3414" s="17" t="s">
        <v>723</v>
      </c>
      <c r="F3414" s="18" t="s">
        <v>5484</v>
      </c>
      <c r="G3414" s="49" t="s">
        <v>2044</v>
      </c>
      <c r="H3414" s="17">
        <v>15</v>
      </c>
      <c r="I3414" s="30"/>
      <c r="J3414"/>
      <c r="K3414"/>
      <c r="L3414"/>
      <c r="M3414"/>
      <c r="N3414"/>
      <c r="O3414" s="62" t="str">
        <f>IF(E3414="PA",IF(K3414&lt;&gt;"",ISERROR(VLOOKUP(K3414,ABBR!A:D,1,FALSE)),ISERROR(VLOOKUP(C3414,ABBR!A:D,1,FALSE))),"")</f>
        <v/>
      </c>
      <c r="P3414" t="str">
        <f>VLOOKUP(A3414,Groups!A:L,5,FALSE)</f>
        <v>SAMP</v>
      </c>
      <c r="Q3414" s="62" t="str">
        <f>IF(G3414="PA",IF(M3414&lt;&gt;"",ISERROR(VLOOKUP(M3414,ABBR!C:F,1,FALSE)),ISERROR(VLOOKUP(E3414,ABBR!C:F,1,FALSE))),"")</f>
        <v/>
      </c>
    </row>
    <row r="3415" spans="1:17" s="62" customFormat="1" hidden="1" x14ac:dyDescent="0.25">
      <c r="A3415" s="16" t="s">
        <v>390</v>
      </c>
      <c r="B3415" s="17"/>
      <c r="C3415" s="16" t="s">
        <v>5510</v>
      </c>
      <c r="D3415" s="17" t="s">
        <v>1710</v>
      </c>
      <c r="E3415" s="17" t="s">
        <v>2966</v>
      </c>
      <c r="F3415" s="18" t="s">
        <v>5511</v>
      </c>
      <c r="G3415" s="49" t="s">
        <v>5512</v>
      </c>
      <c r="H3415" s="17">
        <v>16</v>
      </c>
      <c r="I3415" s="30"/>
      <c r="J3415"/>
      <c r="K3415"/>
      <c r="L3415"/>
      <c r="M3415"/>
      <c r="N3415"/>
      <c r="O3415" s="62" t="str">
        <f>IF(E3415="PA",IF(K3415&lt;&gt;"",ISERROR(VLOOKUP(K3415,ABBR!A:D,1,FALSE)),ISERROR(VLOOKUP(C3415,ABBR!A:D,1,FALSE))),"")</f>
        <v/>
      </c>
      <c r="P3415" t="str">
        <f>VLOOKUP(A3415,Groups!A:L,5,FALSE)</f>
        <v>SAMP</v>
      </c>
      <c r="Q3415" s="62" t="str">
        <f>IF(G3415="PA",IF(M3415&lt;&gt;"",ISERROR(VLOOKUP(M3415,ABBR!C:F,1,FALSE)),ISERROR(VLOOKUP(E3415,ABBR!C:F,1,FALSE))),"")</f>
        <v/>
      </c>
    </row>
    <row r="3416" spans="1:17" s="62" customFormat="1" hidden="1" x14ac:dyDescent="0.25">
      <c r="A3416" s="16" t="s">
        <v>390</v>
      </c>
      <c r="B3416" s="17"/>
      <c r="C3416" s="16" t="s">
        <v>5513</v>
      </c>
      <c r="D3416" s="17"/>
      <c r="E3416" s="17" t="s">
        <v>618</v>
      </c>
      <c r="F3416" s="18" t="s">
        <v>1891</v>
      </c>
      <c r="G3416" s="49" t="s">
        <v>5488</v>
      </c>
      <c r="H3416" s="17">
        <v>17</v>
      </c>
      <c r="I3416" s="30" t="s">
        <v>3008</v>
      </c>
      <c r="J3416"/>
      <c r="K3416"/>
      <c r="L3416"/>
      <c r="M3416" t="s">
        <v>5239</v>
      </c>
      <c r="N3416"/>
      <c r="O3416" s="62" t="b">
        <f>IF(E3416="PA",IF(K3416&lt;&gt;"",ISERROR(VLOOKUP(K3416,ABBR!A:D,1,FALSE)),ISERROR(VLOOKUP(C3416,ABBR!A:D,1,FALSE))),"")</f>
        <v>0</v>
      </c>
      <c r="P3416" t="str">
        <f>VLOOKUP(A3416,Groups!A:L,5,FALSE)</f>
        <v>SAMP</v>
      </c>
      <c r="Q3416" s="62" t="str">
        <f>IF(G3416="PA",IF(M3416&lt;&gt;"",ISERROR(VLOOKUP(M3416,ABBR!C:F,1,FALSE)),ISERROR(VLOOKUP(E3416,ABBR!C:F,1,FALSE))),"")</f>
        <v/>
      </c>
    </row>
    <row r="3417" spans="1:17" s="62" customFormat="1" hidden="1" x14ac:dyDescent="0.25">
      <c r="A3417" s="16" t="s">
        <v>390</v>
      </c>
      <c r="B3417" s="17"/>
      <c r="C3417" s="16" t="s">
        <v>5514</v>
      </c>
      <c r="D3417" s="17"/>
      <c r="E3417" s="17" t="s">
        <v>608</v>
      </c>
      <c r="F3417" s="18" t="s">
        <v>5515</v>
      </c>
      <c r="G3417" s="49" t="s">
        <v>5491</v>
      </c>
      <c r="H3417" s="17">
        <v>18</v>
      </c>
      <c r="I3417" s="30"/>
      <c r="J3417"/>
      <c r="K3417"/>
      <c r="L3417"/>
      <c r="M3417"/>
      <c r="N3417"/>
      <c r="O3417" s="62" t="str">
        <f>IF(E3417="PA",IF(K3417&lt;&gt;"",ISERROR(VLOOKUP(K3417,ABBR!A:D,1,FALSE)),ISERROR(VLOOKUP(C3417,ABBR!A:D,1,FALSE))),"")</f>
        <v/>
      </c>
      <c r="P3417" t="str">
        <f>VLOOKUP(A3417,Groups!A:L,5,FALSE)</f>
        <v>SAMP</v>
      </c>
      <c r="Q3417" s="62" t="str">
        <f>IF(G3417="PA",IF(M3417&lt;&gt;"",ISERROR(VLOOKUP(M3417,ABBR!C:F,1,FALSE)),ISERROR(VLOOKUP(E3417,ABBR!C:F,1,FALSE))),"")</f>
        <v/>
      </c>
    </row>
    <row r="3418" spans="1:17" s="62" customFormat="1" ht="50" hidden="1" x14ac:dyDescent="0.25">
      <c r="A3418" s="16" t="s">
        <v>390</v>
      </c>
      <c r="B3418" s="17"/>
      <c r="C3418" s="16" t="s">
        <v>5516</v>
      </c>
      <c r="D3418" s="17"/>
      <c r="E3418" s="17" t="s">
        <v>608</v>
      </c>
      <c r="F3418" s="18" t="s">
        <v>642</v>
      </c>
      <c r="G3418" s="49" t="s">
        <v>5517</v>
      </c>
      <c r="H3418" s="17">
        <v>19</v>
      </c>
      <c r="I3418" s="30"/>
      <c r="J3418"/>
      <c r="K3418"/>
      <c r="L3418"/>
      <c r="M3418"/>
      <c r="N3418"/>
      <c r="O3418" s="62" t="str">
        <f>IF(E3418="PA",IF(K3418&lt;&gt;"",ISERROR(VLOOKUP(K3418,ABBR!A:D,1,FALSE)),ISERROR(VLOOKUP(C3418,ABBR!A:D,1,FALSE))),"")</f>
        <v/>
      </c>
      <c r="P3418" t="str">
        <f>VLOOKUP(A3418,Groups!A:L,5,FALSE)</f>
        <v>SAMP</v>
      </c>
      <c r="Q3418" s="62" t="str">
        <f>IF(G3418="PA",IF(M3418&lt;&gt;"",ISERROR(VLOOKUP(M3418,ABBR!C:F,1,FALSE)),ISERROR(VLOOKUP(E3418,ABBR!C:F,1,FALSE))),"")</f>
        <v/>
      </c>
    </row>
    <row r="3419" spans="1:17" s="62" customFormat="1" ht="62.5" hidden="1" x14ac:dyDescent="0.25">
      <c r="A3419" s="16" t="s">
        <v>390</v>
      </c>
      <c r="B3419" s="17"/>
      <c r="C3419" s="16" t="s">
        <v>5518</v>
      </c>
      <c r="D3419" s="17"/>
      <c r="E3419" s="17" t="s">
        <v>608</v>
      </c>
      <c r="F3419" s="18" t="s">
        <v>918</v>
      </c>
      <c r="G3419" s="49" t="s">
        <v>5519</v>
      </c>
      <c r="H3419" s="17">
        <v>20</v>
      </c>
      <c r="I3419" s="30"/>
      <c r="J3419"/>
      <c r="K3419"/>
      <c r="L3419"/>
      <c r="M3419"/>
      <c r="N3419"/>
      <c r="O3419" s="62" t="str">
        <f>IF(E3419="PA",IF(K3419&lt;&gt;"",ISERROR(VLOOKUP(K3419,ABBR!A:D,1,FALSE)),ISERROR(VLOOKUP(C3419,ABBR!A:D,1,FALSE))),"")</f>
        <v/>
      </c>
      <c r="P3419" t="str">
        <f>VLOOKUP(A3419,Groups!A:L,5,FALSE)</f>
        <v>SAMP</v>
      </c>
      <c r="Q3419" s="62" t="str">
        <f>IF(G3419="PA",IF(M3419&lt;&gt;"",ISERROR(VLOOKUP(M3419,ABBR!C:F,1,FALSE)),ISERROR(VLOOKUP(E3419,ABBR!C:F,1,FALSE))),"")</f>
        <v/>
      </c>
    </row>
    <row r="3420" spans="1:17" s="62" customFormat="1" hidden="1" x14ac:dyDescent="0.25">
      <c r="A3420" s="16" t="s">
        <v>390</v>
      </c>
      <c r="B3420" s="17"/>
      <c r="C3420" s="16" t="s">
        <v>5520</v>
      </c>
      <c r="D3420" s="17"/>
      <c r="E3420" s="17" t="s">
        <v>608</v>
      </c>
      <c r="F3420" s="18" t="s">
        <v>950</v>
      </c>
      <c r="G3420" s="27" t="s">
        <v>951</v>
      </c>
      <c r="H3420" s="17">
        <v>21</v>
      </c>
      <c r="I3420" s="30"/>
      <c r="J3420"/>
      <c r="K3420"/>
      <c r="L3420"/>
      <c r="M3420"/>
      <c r="N3420"/>
      <c r="O3420" s="62" t="str">
        <f>IF(E3420="PA",IF(K3420&lt;&gt;"",ISERROR(VLOOKUP(K3420,ABBR!A:D,1,FALSE)),ISERROR(VLOOKUP(C3420,ABBR!A:D,1,FALSE))),"")</f>
        <v/>
      </c>
      <c r="P3420" t="str">
        <f>VLOOKUP(A3420,Groups!A:L,5,FALSE)</f>
        <v>SAMP</v>
      </c>
      <c r="Q3420" s="62" t="str">
        <f>IF(G3420="PA",IF(M3420&lt;&gt;"",ISERROR(VLOOKUP(M3420,ABBR!C:F,1,FALSE)),ISERROR(VLOOKUP(E3420,ABBR!C:F,1,FALSE))),"")</f>
        <v/>
      </c>
    </row>
    <row r="3421" spans="1:17" s="62" customFormat="1" ht="25" hidden="1" x14ac:dyDescent="0.25">
      <c r="A3421" s="16" t="s">
        <v>390</v>
      </c>
      <c r="B3421" s="17"/>
      <c r="C3421" s="16" t="s">
        <v>5521</v>
      </c>
      <c r="D3421" s="17"/>
      <c r="E3421" s="17" t="s">
        <v>608</v>
      </c>
      <c r="F3421" s="18" t="s">
        <v>934</v>
      </c>
      <c r="G3421" s="49" t="s">
        <v>953</v>
      </c>
      <c r="H3421" s="17">
        <v>22</v>
      </c>
      <c r="I3421" s="30"/>
      <c r="J3421"/>
      <c r="K3421"/>
      <c r="L3421"/>
      <c r="M3421"/>
      <c r="N3421"/>
      <c r="O3421" s="62" t="str">
        <f>IF(E3421="PA",IF(K3421&lt;&gt;"",ISERROR(VLOOKUP(K3421,ABBR!A:D,1,FALSE)),ISERROR(VLOOKUP(C3421,ABBR!A:D,1,FALSE))),"")</f>
        <v/>
      </c>
      <c r="P3421" t="str">
        <f>VLOOKUP(A3421,Groups!A:L,5,FALSE)</f>
        <v>SAMP</v>
      </c>
      <c r="Q3421" s="62" t="str">
        <f>IF(G3421="PA",IF(M3421&lt;&gt;"",ISERROR(VLOOKUP(M3421,ABBR!C:F,1,FALSE)),ISERROR(VLOOKUP(E3421,ABBR!C:F,1,FALSE))),"")</f>
        <v/>
      </c>
    </row>
    <row r="3422" spans="1:17" s="62" customFormat="1" hidden="1" x14ac:dyDescent="0.25">
      <c r="A3422" s="16" t="s">
        <v>390</v>
      </c>
      <c r="B3422" s="17"/>
      <c r="C3422" s="16" t="s">
        <v>936</v>
      </c>
      <c r="D3422" s="17"/>
      <c r="E3422" s="22" t="s">
        <v>608</v>
      </c>
      <c r="F3422" s="18" t="s">
        <v>937</v>
      </c>
      <c r="G3422" s="49" t="s">
        <v>938</v>
      </c>
      <c r="H3422" s="17">
        <v>23</v>
      </c>
      <c r="I3422" s="30"/>
      <c r="J3422"/>
      <c r="K3422"/>
      <c r="L3422"/>
      <c r="M3422"/>
      <c r="N3422"/>
      <c r="O3422" s="62" t="str">
        <f>IF(E3422="PA",IF(K3422&lt;&gt;"",ISERROR(VLOOKUP(K3422,ABBR!A:D,1,FALSE)),ISERROR(VLOOKUP(C3422,ABBR!A:D,1,FALSE))),"")</f>
        <v/>
      </c>
      <c r="P3422" t="str">
        <f>VLOOKUP(A3422,Groups!A:L,5,FALSE)</f>
        <v>SAMP</v>
      </c>
      <c r="Q3422" s="62" t="str">
        <f>IF(G3422="PA",IF(M3422&lt;&gt;"",ISERROR(VLOOKUP(M3422,ABBR!C:F,1,FALSE)),ISERROR(VLOOKUP(E3422,ABBR!C:F,1,FALSE))),"")</f>
        <v/>
      </c>
    </row>
    <row r="3423" spans="1:17" s="62" customFormat="1" hidden="1" x14ac:dyDescent="0.25">
      <c r="A3423" s="16" t="s">
        <v>390</v>
      </c>
      <c r="B3423" s="17"/>
      <c r="C3423" s="16" t="s">
        <v>643</v>
      </c>
      <c r="D3423" s="17"/>
      <c r="E3423" s="17" t="s">
        <v>608</v>
      </c>
      <c r="F3423" s="18" t="s">
        <v>954</v>
      </c>
      <c r="G3423" s="49" t="s">
        <v>940</v>
      </c>
      <c r="H3423" s="17">
        <v>24</v>
      </c>
      <c r="I3423" s="30"/>
      <c r="J3423"/>
      <c r="K3423"/>
      <c r="L3423"/>
      <c r="M3423"/>
      <c r="N3423"/>
      <c r="O3423" s="62" t="str">
        <f>IF(E3423="PA",IF(K3423&lt;&gt;"",ISERROR(VLOOKUP(K3423,ABBR!A:D,1,FALSE)),ISERROR(VLOOKUP(C3423,ABBR!A:D,1,FALSE))),"")</f>
        <v/>
      </c>
      <c r="P3423" t="str">
        <f>VLOOKUP(A3423,Groups!A:L,5,FALSE)</f>
        <v>SAMP</v>
      </c>
      <c r="Q3423" s="62" t="str">
        <f>IF(G3423="PA",IF(M3423&lt;&gt;"",ISERROR(VLOOKUP(M3423,ABBR!C:F,1,FALSE)),ISERROR(VLOOKUP(E3423,ABBR!C:F,1,FALSE))),"")</f>
        <v/>
      </c>
    </row>
    <row r="3424" spans="1:17" s="62" customFormat="1" hidden="1" x14ac:dyDescent="0.25">
      <c r="A3424" s="16" t="s">
        <v>390</v>
      </c>
      <c r="B3424" s="17"/>
      <c r="C3424" s="16" t="s">
        <v>877</v>
      </c>
      <c r="D3424" s="17" t="s">
        <v>600</v>
      </c>
      <c r="E3424" s="17" t="s">
        <v>601</v>
      </c>
      <c r="F3424" s="18" t="s">
        <v>878</v>
      </c>
      <c r="G3424" s="49" t="s">
        <v>879</v>
      </c>
      <c r="H3424" s="17">
        <v>25</v>
      </c>
      <c r="I3424" s="30" t="s">
        <v>955</v>
      </c>
      <c r="J3424" s="80">
        <v>4.0999999999999996</v>
      </c>
      <c r="K3424"/>
      <c r="L3424"/>
      <c r="M3424"/>
      <c r="N3424"/>
      <c r="O3424" s="62" t="str">
        <f>IF(E3424="PA",IF(K3424&lt;&gt;"",ISERROR(VLOOKUP(K3424,ABBR!A:D,1,FALSE)),ISERROR(VLOOKUP(C3424,ABBR!A:D,1,FALSE))),"")</f>
        <v/>
      </c>
      <c r="P3424" t="str">
        <f>VLOOKUP(A3424,Groups!A:L,5,FALSE)</f>
        <v>SAMP</v>
      </c>
      <c r="Q3424" s="62" t="str">
        <f>IF(G3424="PA",IF(M3424&lt;&gt;"",ISERROR(VLOOKUP(M3424,ABBR!C:F,1,FALSE)),ISERROR(VLOOKUP(E3424,ABBR!C:F,1,FALSE))),"")</f>
        <v/>
      </c>
    </row>
    <row r="3425" spans="1:17" s="62" customFormat="1" hidden="1" x14ac:dyDescent="0.25">
      <c r="A3425" s="16" t="s">
        <v>390</v>
      </c>
      <c r="B3425" s="17"/>
      <c r="C3425" s="16" t="s">
        <v>5522</v>
      </c>
      <c r="D3425" s="17"/>
      <c r="E3425" s="17" t="s">
        <v>608</v>
      </c>
      <c r="F3425" s="18" t="s">
        <v>921</v>
      </c>
      <c r="G3425" s="94" t="s">
        <v>922</v>
      </c>
      <c r="H3425" s="17">
        <v>26</v>
      </c>
      <c r="I3425" s="30" t="s">
        <v>955</v>
      </c>
      <c r="J3425" s="80">
        <v>4.0999999999999996</v>
      </c>
      <c r="K3425"/>
      <c r="L3425"/>
      <c r="M3425" s="101"/>
      <c r="N3425"/>
      <c r="O3425" s="62" t="str">
        <f>IF(E3425="PA",IF(K3425&lt;&gt;"",ISERROR(VLOOKUP(K3425,ABBR!A:D,1,FALSE)),ISERROR(VLOOKUP(C3425,ABBR!A:D,1,FALSE))),"")</f>
        <v/>
      </c>
      <c r="P3425" t="str">
        <f>VLOOKUP(A3425,Groups!A:L,5,FALSE)</f>
        <v>SAMP</v>
      </c>
      <c r="Q3425" s="62" t="str">
        <f>IF(G3425="PA",IF(M3425&lt;&gt;"",ISERROR(VLOOKUP(M3425,ABBR!C:F,1,FALSE)),ISERROR(VLOOKUP(E3425,ABBR!C:F,1,FALSE))),"")</f>
        <v/>
      </c>
    </row>
    <row r="3426" spans="1:17" s="62" customFormat="1" hidden="1" x14ac:dyDescent="0.25">
      <c r="A3426" s="16" t="s">
        <v>390</v>
      </c>
      <c r="B3426" s="17"/>
      <c r="C3426" s="16" t="s">
        <v>5523</v>
      </c>
      <c r="D3426" s="17" t="s">
        <v>3703</v>
      </c>
      <c r="E3426" s="17" t="s">
        <v>2966</v>
      </c>
      <c r="F3426" s="18" t="s">
        <v>5524</v>
      </c>
      <c r="G3426" s="49" t="s">
        <v>5525</v>
      </c>
      <c r="H3426" s="17">
        <v>27</v>
      </c>
      <c r="I3426" s="30" t="s">
        <v>955</v>
      </c>
      <c r="J3426" s="80">
        <v>4.0999999999999996</v>
      </c>
      <c r="K3426"/>
      <c r="L3426"/>
      <c r="M3426"/>
      <c r="N3426"/>
      <c r="O3426" s="62" t="str">
        <f>IF(E3426="PA",IF(K3426&lt;&gt;"",ISERROR(VLOOKUP(K3426,ABBR!A:D,1,FALSE)),ISERROR(VLOOKUP(C3426,ABBR!A:D,1,FALSE))),"")</f>
        <v/>
      </c>
      <c r="P3426" t="str">
        <f>VLOOKUP(A3426,Groups!A:L,5,FALSE)</f>
        <v>SAMP</v>
      </c>
      <c r="Q3426" s="62" t="str">
        <f>IF(G3426="PA",IF(M3426&lt;&gt;"",ISERROR(VLOOKUP(M3426,ABBR!C:F,1,FALSE)),ISERROR(VLOOKUP(E3426,ABBR!C:F,1,FALSE))),"")</f>
        <v/>
      </c>
    </row>
    <row r="3427" spans="1:17" s="62" customFormat="1" hidden="1" x14ac:dyDescent="0.25">
      <c r="A3427" s="16" t="s">
        <v>390</v>
      </c>
      <c r="B3427" s="17"/>
      <c r="C3427" s="16" t="s">
        <v>5526</v>
      </c>
      <c r="D3427" s="17" t="s">
        <v>3703</v>
      </c>
      <c r="E3427" s="17" t="s">
        <v>2966</v>
      </c>
      <c r="F3427" s="18" t="s">
        <v>5527</v>
      </c>
      <c r="G3427" s="49" t="s">
        <v>5528</v>
      </c>
      <c r="H3427" s="17">
        <v>28</v>
      </c>
      <c r="I3427" s="30" t="s">
        <v>955</v>
      </c>
      <c r="J3427" s="80">
        <v>4.0999999999999996</v>
      </c>
      <c r="K3427"/>
      <c r="L3427"/>
      <c r="M3427"/>
      <c r="N3427"/>
      <c r="O3427" s="62" t="str">
        <f>IF(E3427="PA",IF(K3427&lt;&gt;"",ISERROR(VLOOKUP(K3427,ABBR!A:D,1,FALSE)),ISERROR(VLOOKUP(C3427,ABBR!A:D,1,FALSE))),"")</f>
        <v/>
      </c>
      <c r="P3427" t="str">
        <f>VLOOKUP(A3427,Groups!A:L,5,FALSE)</f>
        <v>SAMP</v>
      </c>
      <c r="Q3427" s="62" t="str">
        <f>IF(G3427="PA",IF(M3427&lt;&gt;"",ISERROR(VLOOKUP(M3427,ABBR!C:F,1,FALSE)),ISERROR(VLOOKUP(E3427,ABBR!C:F,1,FALSE))),"")</f>
        <v/>
      </c>
    </row>
    <row r="3428" spans="1:17" s="62" customFormat="1" hidden="1" x14ac:dyDescent="0.25">
      <c r="A3428" s="16" t="s">
        <v>390</v>
      </c>
      <c r="B3428" s="17"/>
      <c r="C3428" s="16" t="s">
        <v>5529</v>
      </c>
      <c r="D3428" s="17" t="s">
        <v>3703</v>
      </c>
      <c r="E3428" s="17" t="s">
        <v>2966</v>
      </c>
      <c r="F3428" s="18" t="s">
        <v>5530</v>
      </c>
      <c r="G3428" s="49" t="s">
        <v>5531</v>
      </c>
      <c r="H3428" s="17">
        <v>29</v>
      </c>
      <c r="I3428" s="30" t="s">
        <v>955</v>
      </c>
      <c r="J3428" s="80">
        <v>4.0999999999999996</v>
      </c>
      <c r="K3428"/>
      <c r="L3428"/>
      <c r="M3428"/>
      <c r="N3428"/>
      <c r="O3428" s="62" t="str">
        <f>IF(E3428="PA",IF(K3428&lt;&gt;"",ISERROR(VLOOKUP(K3428,ABBR!A:D,1,FALSE)),ISERROR(VLOOKUP(C3428,ABBR!A:D,1,FALSE))),"")</f>
        <v/>
      </c>
      <c r="P3428" t="str">
        <f>VLOOKUP(A3428,Groups!A:L,5,FALSE)</f>
        <v>SAMP</v>
      </c>
      <c r="Q3428" s="62" t="str">
        <f>IF(G3428="PA",IF(M3428&lt;&gt;"",ISERROR(VLOOKUP(M3428,ABBR!C:F,1,FALSE)),ISERROR(VLOOKUP(E3428,ABBR!C:F,1,FALSE))),"")</f>
        <v/>
      </c>
    </row>
    <row r="3429" spans="1:17" s="62" customFormat="1" ht="25" hidden="1" x14ac:dyDescent="0.25">
      <c r="A3429" s="16" t="s">
        <v>390</v>
      </c>
      <c r="B3429" s="17"/>
      <c r="C3429" s="16" t="s">
        <v>5532</v>
      </c>
      <c r="D3429" s="17"/>
      <c r="E3429" s="17" t="s">
        <v>608</v>
      </c>
      <c r="F3429" s="18" t="s">
        <v>5533</v>
      </c>
      <c r="G3429" s="49" t="s">
        <v>5534</v>
      </c>
      <c r="H3429" s="17">
        <v>30</v>
      </c>
      <c r="I3429" s="30" t="s">
        <v>955</v>
      </c>
      <c r="J3429" s="80">
        <v>4.0999999999999996</v>
      </c>
      <c r="K3429"/>
      <c r="L3429"/>
      <c r="M3429"/>
      <c r="N3429"/>
      <c r="O3429" s="62" t="str">
        <f>IF(E3429="PA",IF(K3429&lt;&gt;"",ISERROR(VLOOKUP(K3429,ABBR!A:D,1,FALSE)),ISERROR(VLOOKUP(C3429,ABBR!A:D,1,FALSE))),"")</f>
        <v/>
      </c>
      <c r="P3429" t="str">
        <f>VLOOKUP(A3429,Groups!A:L,5,FALSE)</f>
        <v>SAMP</v>
      </c>
      <c r="Q3429" s="62" t="str">
        <f>IF(G3429="PA",IF(M3429&lt;&gt;"",ISERROR(VLOOKUP(M3429,ABBR!C:F,1,FALSE)),ISERROR(VLOOKUP(E3429,ABBR!C:F,1,FALSE))),"")</f>
        <v/>
      </c>
    </row>
    <row r="3430" spans="1:17" s="62" customFormat="1" ht="25" hidden="1" x14ac:dyDescent="0.25">
      <c r="A3430" s="16" t="s">
        <v>390</v>
      </c>
      <c r="B3430" s="17"/>
      <c r="C3430" s="16" t="s">
        <v>5535</v>
      </c>
      <c r="D3430" s="17"/>
      <c r="E3430" s="17" t="s">
        <v>608</v>
      </c>
      <c r="F3430" s="18" t="s">
        <v>5536</v>
      </c>
      <c r="G3430" s="49" t="s">
        <v>5534</v>
      </c>
      <c r="H3430" s="17">
        <v>31</v>
      </c>
      <c r="I3430" s="30" t="s">
        <v>955</v>
      </c>
      <c r="J3430" s="80">
        <v>4.0999999999999996</v>
      </c>
      <c r="K3430"/>
      <c r="L3430"/>
      <c r="M3430"/>
      <c r="N3430"/>
      <c r="O3430" s="62" t="str">
        <f>IF(E3430="PA",IF(K3430&lt;&gt;"",ISERROR(VLOOKUP(K3430,ABBR!A:D,1,FALSE)),ISERROR(VLOOKUP(C3430,ABBR!A:D,1,FALSE))),"")</f>
        <v/>
      </c>
      <c r="P3430" t="str">
        <f>VLOOKUP(A3430,Groups!A:L,5,FALSE)</f>
        <v>SAMP</v>
      </c>
      <c r="Q3430" s="62" t="str">
        <f>IF(G3430="PA",IF(M3430&lt;&gt;"",ISERROR(VLOOKUP(M3430,ABBR!C:F,1,FALSE)),ISERROR(VLOOKUP(E3430,ABBR!C:F,1,FALSE))),"")</f>
        <v/>
      </c>
    </row>
    <row r="3431" spans="1:17" s="62" customFormat="1" ht="25" hidden="1" x14ac:dyDescent="0.25">
      <c r="A3431" s="16" t="s">
        <v>390</v>
      </c>
      <c r="B3431" s="17"/>
      <c r="C3431" s="16" t="s">
        <v>5537</v>
      </c>
      <c r="D3431" s="17"/>
      <c r="E3431" s="17" t="s">
        <v>608</v>
      </c>
      <c r="F3431" s="18" t="s">
        <v>5538</v>
      </c>
      <c r="G3431" s="49" t="s">
        <v>5539</v>
      </c>
      <c r="H3431" s="17">
        <v>32</v>
      </c>
      <c r="I3431" s="30" t="s">
        <v>955</v>
      </c>
      <c r="J3431" s="80">
        <v>4.0999999999999996</v>
      </c>
      <c r="K3431"/>
      <c r="L3431"/>
      <c r="M3431"/>
      <c r="N3431"/>
      <c r="O3431" s="62" t="str">
        <f>IF(E3431="PA",IF(K3431&lt;&gt;"",ISERROR(VLOOKUP(K3431,ABBR!A:D,1,FALSE)),ISERROR(VLOOKUP(C3431,ABBR!A:D,1,FALSE))),"")</f>
        <v/>
      </c>
      <c r="P3431" t="str">
        <f>VLOOKUP(A3431,Groups!A:L,5,FALSE)</f>
        <v>SAMP</v>
      </c>
      <c r="Q3431" s="62" t="str">
        <f>IF(G3431="PA",IF(M3431&lt;&gt;"",ISERROR(VLOOKUP(M3431,ABBR!C:F,1,FALSE)),ISERROR(VLOOKUP(E3431,ABBR!C:F,1,FALSE))),"")</f>
        <v/>
      </c>
    </row>
    <row r="3432" spans="1:17" s="62" customFormat="1" hidden="1" x14ac:dyDescent="0.25">
      <c r="A3432" s="16" t="s">
        <v>390</v>
      </c>
      <c r="B3432" s="17"/>
      <c r="C3432" s="16" t="s">
        <v>5540</v>
      </c>
      <c r="D3432" s="17"/>
      <c r="E3432" s="17" t="s">
        <v>2966</v>
      </c>
      <c r="F3432" s="18" t="s">
        <v>5541</v>
      </c>
      <c r="G3432" s="49" t="s">
        <v>5542</v>
      </c>
      <c r="H3432" s="17">
        <v>33</v>
      </c>
      <c r="I3432" s="30" t="s">
        <v>955</v>
      </c>
      <c r="J3432" s="80">
        <v>4.0999999999999996</v>
      </c>
      <c r="K3432"/>
      <c r="L3432"/>
      <c r="M3432"/>
      <c r="N3432"/>
      <c r="O3432" s="62" t="str">
        <f>IF(E3432="PA",IF(K3432&lt;&gt;"",ISERROR(VLOOKUP(K3432,ABBR!A:D,1,FALSE)),ISERROR(VLOOKUP(C3432,ABBR!A:D,1,FALSE))),"")</f>
        <v/>
      </c>
      <c r="P3432" t="str">
        <f>VLOOKUP(A3432,Groups!A:L,5,FALSE)</f>
        <v>SAMP</v>
      </c>
      <c r="Q3432" s="62" t="str">
        <f>IF(G3432="PA",IF(M3432&lt;&gt;"",ISERROR(VLOOKUP(M3432,ABBR!C:F,1,FALSE)),ISERROR(VLOOKUP(E3432,ABBR!C:F,1,FALSE))),"")</f>
        <v/>
      </c>
    </row>
    <row r="3433" spans="1:17" s="62" customFormat="1" hidden="1" x14ac:dyDescent="0.25">
      <c r="A3433" s="16" t="s">
        <v>390</v>
      </c>
      <c r="B3433" s="17"/>
      <c r="C3433" s="16" t="s">
        <v>5543</v>
      </c>
      <c r="D3433" s="17"/>
      <c r="E3433" s="17" t="s">
        <v>2966</v>
      </c>
      <c r="F3433" s="18" t="s">
        <v>5544</v>
      </c>
      <c r="G3433" s="49" t="s">
        <v>5545</v>
      </c>
      <c r="H3433" s="17">
        <v>34</v>
      </c>
      <c r="I3433" s="30" t="s">
        <v>955</v>
      </c>
      <c r="J3433" s="80">
        <v>4.0999999999999996</v>
      </c>
      <c r="K3433"/>
      <c r="L3433"/>
      <c r="M3433"/>
      <c r="N3433"/>
      <c r="O3433" s="62" t="str">
        <f>IF(E3433="PA",IF(K3433&lt;&gt;"",ISERROR(VLOOKUP(K3433,ABBR!A:D,1,FALSE)),ISERROR(VLOOKUP(C3433,ABBR!A:D,1,FALSE))),"")</f>
        <v/>
      </c>
      <c r="P3433" t="str">
        <f>VLOOKUP(A3433,Groups!A:L,5,FALSE)</f>
        <v>SAMP</v>
      </c>
      <c r="Q3433" s="62" t="str">
        <f>IF(G3433="PA",IF(M3433&lt;&gt;"",ISERROR(VLOOKUP(M3433,ABBR!C:F,1,FALSE)),ISERROR(VLOOKUP(E3433,ABBR!C:F,1,FALSE))),"")</f>
        <v/>
      </c>
    </row>
    <row r="3434" spans="1:17" s="62" customFormat="1" hidden="1" x14ac:dyDescent="0.25">
      <c r="A3434" s="16" t="s">
        <v>390</v>
      </c>
      <c r="B3434" s="17"/>
      <c r="C3434" s="16" t="s">
        <v>5546</v>
      </c>
      <c r="D3434" s="17"/>
      <c r="E3434" s="17" t="s">
        <v>2966</v>
      </c>
      <c r="F3434" s="18" t="s">
        <v>5547</v>
      </c>
      <c r="G3434" s="49" t="s">
        <v>5548</v>
      </c>
      <c r="H3434" s="17">
        <v>35</v>
      </c>
      <c r="I3434" s="30" t="s">
        <v>955</v>
      </c>
      <c r="J3434" s="80">
        <v>4.0999999999999996</v>
      </c>
      <c r="K3434"/>
      <c r="L3434"/>
      <c r="M3434"/>
      <c r="N3434"/>
      <c r="O3434" s="62" t="str">
        <f>IF(E3434="PA",IF(K3434&lt;&gt;"",ISERROR(VLOOKUP(K3434,ABBR!A:D,1,FALSE)),ISERROR(VLOOKUP(C3434,ABBR!A:D,1,FALSE))),"")</f>
        <v/>
      </c>
      <c r="P3434" t="str">
        <f>VLOOKUP(A3434,Groups!A:L,5,FALSE)</f>
        <v>SAMP</v>
      </c>
      <c r="Q3434" s="62" t="str">
        <f>IF(G3434="PA",IF(M3434&lt;&gt;"",ISERROR(VLOOKUP(M3434,ABBR!C:F,1,FALSE)),ISERROR(VLOOKUP(E3434,ABBR!C:F,1,FALSE))),"")</f>
        <v/>
      </c>
    </row>
    <row r="3435" spans="1:17" s="62" customFormat="1" hidden="1" x14ac:dyDescent="0.25">
      <c r="A3435" s="16" t="s">
        <v>390</v>
      </c>
      <c r="B3435" s="17"/>
      <c r="C3435" s="16" t="s">
        <v>5549</v>
      </c>
      <c r="D3435" s="17" t="s">
        <v>924</v>
      </c>
      <c r="E3435" s="17" t="s">
        <v>925</v>
      </c>
      <c r="F3435" s="18" t="s">
        <v>926</v>
      </c>
      <c r="G3435" s="49" t="s">
        <v>927</v>
      </c>
      <c r="H3435" s="17">
        <v>36</v>
      </c>
      <c r="I3435" s="30"/>
      <c r="J3435" s="62" t="s">
        <v>473</v>
      </c>
      <c r="O3435" s="62" t="str">
        <f>IF(E3435="PA",IF(K3435&lt;&gt;"",ISERROR(VLOOKUP(K3435,ABBR!A:D,1,FALSE)),ISERROR(VLOOKUP(C3435,ABBR!A:D,1,FALSE))),"")</f>
        <v/>
      </c>
      <c r="P3435" t="str">
        <f>VLOOKUP(A3435,Groups!A:L,5,FALSE)</f>
        <v>SAMP</v>
      </c>
      <c r="Q3435" s="62" t="str">
        <f>IF(G3435="PA",IF(M3435&lt;&gt;"",ISERROR(VLOOKUP(M3435,ABBR!C:F,1,FALSE)),ISERROR(VLOOKUP(E3435,ABBR!C:F,1,FALSE))),"")</f>
        <v/>
      </c>
    </row>
    <row r="3436" spans="1:17" s="62" customFormat="1" hidden="1" x14ac:dyDescent="0.25">
      <c r="A3436" s="16" t="s">
        <v>390</v>
      </c>
      <c r="B3436" s="17"/>
      <c r="C3436" s="16" t="s">
        <v>5550</v>
      </c>
      <c r="D3436" s="17"/>
      <c r="E3436" s="17" t="s">
        <v>608</v>
      </c>
      <c r="F3436" s="18" t="s">
        <v>875</v>
      </c>
      <c r="G3436" s="49" t="s">
        <v>876</v>
      </c>
      <c r="H3436" s="17">
        <v>37</v>
      </c>
      <c r="I3436" s="30"/>
      <c r="J3436" s="62" t="s">
        <v>473</v>
      </c>
      <c r="O3436" s="62" t="str">
        <f>IF(E3436="PA",IF(K3436&lt;&gt;"",ISERROR(VLOOKUP(K3436,ABBR!A:D,1,FALSE)),ISERROR(VLOOKUP(C3436,ABBR!A:D,1,FALSE))),"")</f>
        <v/>
      </c>
      <c r="P3436" t="str">
        <f>VLOOKUP(A3436,Groups!A:L,5,FALSE)</f>
        <v>SAMP</v>
      </c>
      <c r="Q3436" s="62" t="str">
        <f>IF(G3436="PA",IF(M3436&lt;&gt;"",ISERROR(VLOOKUP(M3436,ABBR!C:F,1,FALSE)),ISERROR(VLOOKUP(E3436,ABBR!C:F,1,FALSE))),"")</f>
        <v/>
      </c>
    </row>
    <row r="3437" spans="1:17" s="62" customFormat="1" hidden="1" x14ac:dyDescent="0.25">
      <c r="A3437" s="16" t="s">
        <v>390</v>
      </c>
      <c r="B3437" s="17"/>
      <c r="C3437" s="16" t="s">
        <v>5551</v>
      </c>
      <c r="D3437" s="17"/>
      <c r="E3437" s="17" t="s">
        <v>608</v>
      </c>
      <c r="F3437" s="18" t="s">
        <v>929</v>
      </c>
      <c r="G3437" s="49" t="s">
        <v>876</v>
      </c>
      <c r="H3437" s="17">
        <v>38</v>
      </c>
      <c r="I3437" s="30"/>
      <c r="J3437" s="62" t="s">
        <v>473</v>
      </c>
      <c r="O3437" s="62" t="str">
        <f>IF(E3437="PA",IF(K3437&lt;&gt;"",ISERROR(VLOOKUP(K3437,ABBR!A:D,1,FALSE)),ISERROR(VLOOKUP(C3437,ABBR!A:D,1,FALSE))),"")</f>
        <v/>
      </c>
      <c r="P3437" t="str">
        <f>VLOOKUP(A3437,Groups!A:L,5,FALSE)</f>
        <v>SAMP</v>
      </c>
      <c r="Q3437" s="62" t="str">
        <f>IF(G3437="PA",IF(M3437&lt;&gt;"",ISERROR(VLOOKUP(M3437,ABBR!C:F,1,FALSE)),ISERROR(VLOOKUP(E3437,ABBR!C:F,1,FALSE))),"")</f>
        <v/>
      </c>
    </row>
    <row r="3438" spans="1:17" s="62" customFormat="1" hidden="1" x14ac:dyDescent="0.25">
      <c r="A3438" s="16" t="s">
        <v>393</v>
      </c>
      <c r="B3438" s="17" t="s">
        <v>594</v>
      </c>
      <c r="C3438" s="16" t="s">
        <v>595</v>
      </c>
      <c r="D3438" s="17"/>
      <c r="E3438" s="17" t="s">
        <v>596</v>
      </c>
      <c r="F3438" s="18" t="s">
        <v>597</v>
      </c>
      <c r="G3438" s="49" t="s">
        <v>598</v>
      </c>
      <c r="H3438" s="17">
        <v>1</v>
      </c>
      <c r="I3438" s="30"/>
      <c r="J3438"/>
      <c r="K3438"/>
      <c r="L3438"/>
      <c r="M3438"/>
      <c r="N3438"/>
      <c r="O3438" s="62" t="str">
        <f>IF(E3438="PA",IF(K3438&lt;&gt;"",ISERROR(VLOOKUP(K3438,ABBR!A:D,1,FALSE)),ISERROR(VLOOKUP(C3438,ABBR!A:D,1,FALSE))),"")</f>
        <v/>
      </c>
      <c r="P3438" t="str">
        <f>VLOOKUP(A3438,Groups!A:L,5,FALSE)</f>
        <v>SAMP</v>
      </c>
      <c r="Q3438" s="62" t="str">
        <f>IF(G3438="PA",IF(M3438&lt;&gt;"",ISERROR(VLOOKUP(M3438,ABBR!C:F,1,FALSE)),ISERROR(VLOOKUP(E3438,ABBR!C:F,1,FALSE))),"")</f>
        <v/>
      </c>
    </row>
    <row r="3439" spans="1:17" s="62" customFormat="1" hidden="1" x14ac:dyDescent="0.25">
      <c r="A3439" s="16" t="s">
        <v>393</v>
      </c>
      <c r="B3439" s="17" t="s">
        <v>594</v>
      </c>
      <c r="C3439" s="16" t="s">
        <v>851</v>
      </c>
      <c r="D3439" s="17" t="s">
        <v>600</v>
      </c>
      <c r="E3439" s="17" t="s">
        <v>601</v>
      </c>
      <c r="F3439" s="18" t="s">
        <v>852</v>
      </c>
      <c r="G3439" s="49" t="s">
        <v>853</v>
      </c>
      <c r="H3439" s="17">
        <v>2</v>
      </c>
      <c r="I3439" s="30"/>
      <c r="J3439"/>
      <c r="K3439"/>
      <c r="L3439"/>
      <c r="M3439"/>
      <c r="N3439"/>
      <c r="O3439" s="62" t="str">
        <f>IF(E3439="PA",IF(K3439&lt;&gt;"",ISERROR(VLOOKUP(K3439,ABBR!A:D,1,FALSE)),ISERROR(VLOOKUP(C3439,ABBR!A:D,1,FALSE))),"")</f>
        <v/>
      </c>
      <c r="P3439" t="str">
        <f>VLOOKUP(A3439,Groups!A:L,5,FALSE)</f>
        <v>SAMP</v>
      </c>
      <c r="Q3439" s="62" t="str">
        <f>IF(G3439="PA",IF(M3439&lt;&gt;"",ISERROR(VLOOKUP(M3439,ABBR!C:F,1,FALSE)),ISERROR(VLOOKUP(E3439,ABBR!C:F,1,FALSE))),"")</f>
        <v/>
      </c>
    </row>
    <row r="3440" spans="1:17" s="62" customFormat="1" hidden="1" x14ac:dyDescent="0.25">
      <c r="A3440" s="16" t="s">
        <v>393</v>
      </c>
      <c r="B3440" s="17" t="s">
        <v>594</v>
      </c>
      <c r="C3440" s="16" t="s">
        <v>854</v>
      </c>
      <c r="D3440" s="17"/>
      <c r="E3440" s="17" t="s">
        <v>608</v>
      </c>
      <c r="F3440" s="18" t="s">
        <v>855</v>
      </c>
      <c r="G3440" s="49" t="s">
        <v>941</v>
      </c>
      <c r="H3440" s="17">
        <v>3</v>
      </c>
      <c r="I3440" s="30"/>
      <c r="J3440"/>
      <c r="K3440"/>
      <c r="L3440"/>
      <c r="M3440"/>
      <c r="N3440"/>
      <c r="O3440" s="62" t="str">
        <f>IF(E3440="PA",IF(K3440&lt;&gt;"",ISERROR(VLOOKUP(K3440,ABBR!A:D,1,FALSE)),ISERROR(VLOOKUP(C3440,ABBR!A:D,1,FALSE))),"")</f>
        <v/>
      </c>
      <c r="P3440" t="str">
        <f>VLOOKUP(A3440,Groups!A:L,5,FALSE)</f>
        <v>SAMP</v>
      </c>
      <c r="Q3440" s="62" t="str">
        <f>IF(G3440="PA",IF(M3440&lt;&gt;"",ISERROR(VLOOKUP(M3440,ABBR!C:F,1,FALSE)),ISERROR(VLOOKUP(E3440,ABBR!C:F,1,FALSE))),"")</f>
        <v/>
      </c>
    </row>
    <row r="3441" spans="1:17" s="62" customFormat="1" hidden="1" x14ac:dyDescent="0.25">
      <c r="A3441" s="16" t="s">
        <v>393</v>
      </c>
      <c r="B3441" s="17" t="s">
        <v>594</v>
      </c>
      <c r="C3441" s="16" t="s">
        <v>857</v>
      </c>
      <c r="D3441" s="17"/>
      <c r="E3441" s="17" t="s">
        <v>618</v>
      </c>
      <c r="F3441" s="18" t="s">
        <v>858</v>
      </c>
      <c r="G3441" s="49" t="s">
        <v>859</v>
      </c>
      <c r="H3441" s="17">
        <v>4</v>
      </c>
      <c r="I3441" s="30"/>
      <c r="J3441"/>
      <c r="K3441"/>
      <c r="L3441"/>
      <c r="M3441"/>
      <c r="N3441"/>
      <c r="O3441" s="62" t="b">
        <f>IF(E3441="PA",IF(K3441&lt;&gt;"",ISERROR(VLOOKUP(K3441,ABBR!A:D,1,FALSE)),ISERROR(VLOOKUP(C3441,ABBR!A:D,1,FALSE))),"")</f>
        <v>0</v>
      </c>
      <c r="P3441" t="str">
        <f>VLOOKUP(A3441,Groups!A:L,5,FALSE)</f>
        <v>SAMP</v>
      </c>
      <c r="Q3441" s="62" t="str">
        <f>IF(G3441="PA",IF(M3441&lt;&gt;"",ISERROR(VLOOKUP(M3441,ABBR!C:F,1,FALSE)),ISERROR(VLOOKUP(E3441,ABBR!C:F,1,FALSE))),"")</f>
        <v/>
      </c>
    </row>
    <row r="3442" spans="1:17" s="62" customFormat="1" hidden="1" x14ac:dyDescent="0.25">
      <c r="A3442" s="16" t="s">
        <v>393</v>
      </c>
      <c r="B3442" s="17" t="s">
        <v>594</v>
      </c>
      <c r="C3442" s="16" t="s">
        <v>860</v>
      </c>
      <c r="D3442" s="17"/>
      <c r="E3442" s="17" t="s">
        <v>596</v>
      </c>
      <c r="F3442" s="18" t="s">
        <v>942</v>
      </c>
      <c r="G3442" s="49" t="s">
        <v>862</v>
      </c>
      <c r="H3442" s="17">
        <v>5</v>
      </c>
      <c r="I3442" s="30"/>
      <c r="J3442"/>
      <c r="K3442"/>
      <c r="L3442"/>
      <c r="M3442"/>
      <c r="N3442"/>
      <c r="O3442" s="62" t="str">
        <f>IF(E3442="PA",IF(K3442&lt;&gt;"",ISERROR(VLOOKUP(K3442,ABBR!A:D,1,FALSE)),ISERROR(VLOOKUP(C3442,ABBR!A:D,1,FALSE))),"")</f>
        <v/>
      </c>
      <c r="P3442" t="str">
        <f>VLOOKUP(A3442,Groups!A:L,5,FALSE)</f>
        <v>SAMP</v>
      </c>
      <c r="Q3442" s="62" t="str">
        <f>IF(G3442="PA",IF(M3442&lt;&gt;"",ISERROR(VLOOKUP(M3442,ABBR!C:F,1,FALSE)),ISERROR(VLOOKUP(E3442,ABBR!C:F,1,FALSE))),"")</f>
        <v/>
      </c>
    </row>
    <row r="3443" spans="1:17" s="62" customFormat="1" hidden="1" x14ac:dyDescent="0.25">
      <c r="A3443" s="16" t="s">
        <v>393</v>
      </c>
      <c r="B3443" s="17" t="s">
        <v>594</v>
      </c>
      <c r="C3443" s="16" t="s">
        <v>863</v>
      </c>
      <c r="D3443" s="17"/>
      <c r="E3443" s="17" t="s">
        <v>608</v>
      </c>
      <c r="F3443" s="18" t="s">
        <v>864</v>
      </c>
      <c r="G3443" s="49" t="s">
        <v>865</v>
      </c>
      <c r="H3443" s="17">
        <v>6</v>
      </c>
      <c r="I3443" s="30"/>
      <c r="J3443"/>
      <c r="K3443"/>
      <c r="L3443"/>
      <c r="M3443"/>
      <c r="N3443"/>
      <c r="O3443" s="62" t="str">
        <f>IF(E3443="PA",IF(K3443&lt;&gt;"",ISERROR(VLOOKUP(K3443,ABBR!A:D,1,FALSE)),ISERROR(VLOOKUP(C3443,ABBR!A:D,1,FALSE))),"")</f>
        <v/>
      </c>
      <c r="P3443" t="str">
        <f>VLOOKUP(A3443,Groups!A:L,5,FALSE)</f>
        <v>SAMP</v>
      </c>
      <c r="Q3443" s="62" t="str">
        <f>IF(G3443="PA",IF(M3443&lt;&gt;"",ISERROR(VLOOKUP(M3443,ABBR!C:F,1,FALSE)),ISERROR(VLOOKUP(E3443,ABBR!C:F,1,FALSE))),"")</f>
        <v/>
      </c>
    </row>
    <row r="3444" spans="1:17" s="62" customFormat="1" hidden="1" x14ac:dyDescent="0.25">
      <c r="A3444" s="16" t="s">
        <v>393</v>
      </c>
      <c r="B3444" s="17" t="s">
        <v>594</v>
      </c>
      <c r="C3444" s="16" t="s">
        <v>866</v>
      </c>
      <c r="D3444" s="17" t="s">
        <v>600</v>
      </c>
      <c r="E3444" s="17" t="s">
        <v>601</v>
      </c>
      <c r="F3444" s="18" t="s">
        <v>867</v>
      </c>
      <c r="G3444" s="49" t="s">
        <v>853</v>
      </c>
      <c r="H3444" s="17">
        <v>7</v>
      </c>
      <c r="I3444" s="30"/>
      <c r="J3444"/>
      <c r="K3444"/>
      <c r="L3444"/>
      <c r="M3444"/>
      <c r="N3444"/>
      <c r="O3444" s="62" t="str">
        <f>IF(E3444="PA",IF(K3444&lt;&gt;"",ISERROR(VLOOKUP(K3444,ABBR!A:D,1,FALSE)),ISERROR(VLOOKUP(C3444,ABBR!A:D,1,FALSE))),"")</f>
        <v/>
      </c>
      <c r="P3444" t="str">
        <f>VLOOKUP(A3444,Groups!A:L,5,FALSE)</f>
        <v>SAMP</v>
      </c>
      <c r="Q3444" s="62" t="str">
        <f>IF(G3444="PA",IF(M3444&lt;&gt;"",ISERROR(VLOOKUP(M3444,ABBR!C:F,1,FALSE)),ISERROR(VLOOKUP(E3444,ABBR!C:F,1,FALSE))),"")</f>
        <v/>
      </c>
    </row>
    <row r="3445" spans="1:17" s="62" customFormat="1" hidden="1" x14ac:dyDescent="0.25">
      <c r="A3445" s="16" t="s">
        <v>393</v>
      </c>
      <c r="B3445" s="17"/>
      <c r="C3445" s="16" t="s">
        <v>868</v>
      </c>
      <c r="D3445" s="17"/>
      <c r="E3445" s="17" t="s">
        <v>608</v>
      </c>
      <c r="F3445" s="18" t="s">
        <v>869</v>
      </c>
      <c r="G3445" s="51" t="s">
        <v>3265</v>
      </c>
      <c r="H3445" s="17">
        <v>8</v>
      </c>
      <c r="I3445" s="30"/>
      <c r="J3445"/>
      <c r="K3445"/>
      <c r="L3445"/>
      <c r="M3445"/>
      <c r="N3445"/>
      <c r="O3445" s="62" t="str">
        <f>IF(E3445="PA",IF(K3445&lt;&gt;"",ISERROR(VLOOKUP(K3445,ABBR!A:D,1,FALSE)),ISERROR(VLOOKUP(C3445,ABBR!A:D,1,FALSE))),"")</f>
        <v/>
      </c>
      <c r="P3445" t="str">
        <f>VLOOKUP(A3445,Groups!A:L,5,FALSE)</f>
        <v>SAMP</v>
      </c>
      <c r="Q3445" s="62" t="str">
        <f>IF(G3445="PA",IF(M3445&lt;&gt;"",ISERROR(VLOOKUP(M3445,ABBR!C:F,1,FALSE)),ISERROR(VLOOKUP(E3445,ABBR!C:F,1,FALSE))),"")</f>
        <v/>
      </c>
    </row>
    <row r="3446" spans="1:17" s="62" customFormat="1" ht="25" hidden="1" x14ac:dyDescent="0.25">
      <c r="A3446" s="16" t="s">
        <v>393</v>
      </c>
      <c r="B3446" s="17"/>
      <c r="C3446" s="16" t="s">
        <v>871</v>
      </c>
      <c r="D3446" s="17"/>
      <c r="E3446" s="17" t="s">
        <v>608</v>
      </c>
      <c r="F3446" s="18" t="s">
        <v>872</v>
      </c>
      <c r="G3446" s="49" t="s">
        <v>873</v>
      </c>
      <c r="H3446" s="17">
        <v>9</v>
      </c>
      <c r="I3446" s="30"/>
      <c r="J3446"/>
      <c r="K3446"/>
      <c r="L3446"/>
      <c r="M3446"/>
      <c r="N3446"/>
      <c r="O3446" s="62" t="str">
        <f>IF(E3446="PA",IF(K3446&lt;&gt;"",ISERROR(VLOOKUP(K3446,ABBR!A:D,1,FALSE)),ISERROR(VLOOKUP(C3446,ABBR!A:D,1,FALSE))),"")</f>
        <v/>
      </c>
      <c r="P3446" t="str">
        <f>VLOOKUP(A3446,Groups!A:L,5,FALSE)</f>
        <v>SAMP</v>
      </c>
      <c r="Q3446" s="62" t="str">
        <f>IF(G3446="PA",IF(M3446&lt;&gt;"",ISERROR(VLOOKUP(M3446,ABBR!C:F,1,FALSE)),ISERROR(VLOOKUP(E3446,ABBR!C:F,1,FALSE))),"")</f>
        <v/>
      </c>
    </row>
    <row r="3447" spans="1:17" s="62" customFormat="1" hidden="1" x14ac:dyDescent="0.25">
      <c r="A3447" s="16" t="s">
        <v>393</v>
      </c>
      <c r="B3447" s="17"/>
      <c r="C3447" s="16" t="s">
        <v>5552</v>
      </c>
      <c r="D3447" s="17" t="s">
        <v>766</v>
      </c>
      <c r="E3447" s="17" t="s">
        <v>608</v>
      </c>
      <c r="F3447" s="18" t="s">
        <v>5553</v>
      </c>
      <c r="G3447" s="49" t="s">
        <v>5554</v>
      </c>
      <c r="H3447" s="17">
        <v>10</v>
      </c>
      <c r="I3447" s="30"/>
      <c r="J3447"/>
      <c r="K3447"/>
      <c r="L3447"/>
      <c r="M3447"/>
      <c r="N3447"/>
      <c r="O3447" s="62" t="str">
        <f>IF(E3447="PA",IF(K3447&lt;&gt;"",ISERROR(VLOOKUP(K3447,ABBR!A:D,1,FALSE)),ISERROR(VLOOKUP(C3447,ABBR!A:D,1,FALSE))),"")</f>
        <v/>
      </c>
      <c r="P3447" t="str">
        <f>VLOOKUP(A3447,Groups!A:L,5,FALSE)</f>
        <v>SAMP</v>
      </c>
      <c r="Q3447" s="62" t="str">
        <f>IF(G3447="PA",IF(M3447&lt;&gt;"",ISERROR(VLOOKUP(M3447,ABBR!C:F,1,FALSE)),ISERROR(VLOOKUP(E3447,ABBR!C:F,1,FALSE))),"")</f>
        <v/>
      </c>
    </row>
    <row r="3448" spans="1:17" s="62" customFormat="1" hidden="1" x14ac:dyDescent="0.25">
      <c r="A3448" s="16" t="s">
        <v>393</v>
      </c>
      <c r="B3448" s="17"/>
      <c r="C3448" s="16" t="s">
        <v>5555</v>
      </c>
      <c r="D3448" s="17" t="s">
        <v>1590</v>
      </c>
      <c r="E3448" s="17" t="s">
        <v>767</v>
      </c>
      <c r="F3448" s="18" t="s">
        <v>3881</v>
      </c>
      <c r="G3448" s="49" t="s">
        <v>769</v>
      </c>
      <c r="H3448" s="17">
        <v>11</v>
      </c>
      <c r="I3448" s="30"/>
      <c r="J3448"/>
      <c r="K3448"/>
      <c r="L3448"/>
      <c r="M3448"/>
      <c r="N3448"/>
      <c r="O3448" s="62" t="str">
        <f>IF(E3448="PA",IF(K3448&lt;&gt;"",ISERROR(VLOOKUP(K3448,ABBR!A:D,1,FALSE)),ISERROR(VLOOKUP(C3448,ABBR!A:D,1,FALSE))),"")</f>
        <v/>
      </c>
      <c r="P3448" t="str">
        <f>VLOOKUP(A3448,Groups!A:L,5,FALSE)</f>
        <v>SAMP</v>
      </c>
      <c r="Q3448" s="62" t="str">
        <f>IF(G3448="PA",IF(M3448&lt;&gt;"",ISERROR(VLOOKUP(M3448,ABBR!C:F,1,FALSE)),ISERROR(VLOOKUP(E3448,ABBR!C:F,1,FALSE))),"")</f>
        <v/>
      </c>
    </row>
    <row r="3449" spans="1:17" s="62" customFormat="1" hidden="1" x14ac:dyDescent="0.25">
      <c r="A3449" s="16" t="s">
        <v>393</v>
      </c>
      <c r="B3449" s="17"/>
      <c r="C3449" s="16" t="s">
        <v>5556</v>
      </c>
      <c r="D3449" s="17"/>
      <c r="E3449" s="17" t="s">
        <v>608</v>
      </c>
      <c r="F3449" s="18" t="s">
        <v>642</v>
      </c>
      <c r="G3449" s="49" t="s">
        <v>16</v>
      </c>
      <c r="H3449" s="17">
        <v>12</v>
      </c>
      <c r="I3449" s="30"/>
      <c r="J3449"/>
      <c r="K3449"/>
      <c r="L3449"/>
      <c r="M3449" s="101"/>
      <c r="N3449"/>
      <c r="O3449" s="62" t="str">
        <f>IF(E3449="PA",IF(K3449&lt;&gt;"",ISERROR(VLOOKUP(K3449,ABBR!A:D,1,FALSE)),ISERROR(VLOOKUP(C3449,ABBR!A:D,1,FALSE))),"")</f>
        <v/>
      </c>
      <c r="P3449" t="str">
        <f>VLOOKUP(A3449,Groups!A:L,5,FALSE)</f>
        <v>SAMP</v>
      </c>
      <c r="Q3449" s="62" t="str">
        <f>IF(G3449="PA",IF(M3449&lt;&gt;"",ISERROR(VLOOKUP(M3449,ABBR!C:F,1,FALSE)),ISERROR(VLOOKUP(E3449,ABBR!C:F,1,FALSE))),"")</f>
        <v/>
      </c>
    </row>
    <row r="3450" spans="1:17" s="62" customFormat="1" ht="50" hidden="1" x14ac:dyDescent="0.25">
      <c r="A3450" s="16" t="s">
        <v>393</v>
      </c>
      <c r="B3450" s="17"/>
      <c r="C3450" s="16" t="s">
        <v>5557</v>
      </c>
      <c r="D3450" s="17"/>
      <c r="E3450" s="17" t="s">
        <v>608</v>
      </c>
      <c r="F3450" s="18" t="s">
        <v>918</v>
      </c>
      <c r="G3450" s="49" t="s">
        <v>5558</v>
      </c>
      <c r="H3450" s="17">
        <v>13</v>
      </c>
      <c r="I3450" s="30"/>
      <c r="J3450"/>
      <c r="K3450"/>
      <c r="L3450"/>
      <c r="M3450"/>
      <c r="N3450"/>
      <c r="O3450" s="62" t="str">
        <f>IF(E3450="PA",IF(K3450&lt;&gt;"",ISERROR(VLOOKUP(K3450,ABBR!A:D,1,FALSE)),ISERROR(VLOOKUP(C3450,ABBR!A:D,1,FALSE))),"")</f>
        <v/>
      </c>
      <c r="P3450" t="str">
        <f>VLOOKUP(A3450,Groups!A:L,5,FALSE)</f>
        <v>SAMP</v>
      </c>
      <c r="Q3450" s="62" t="str">
        <f>IF(G3450="PA",IF(M3450&lt;&gt;"",ISERROR(VLOOKUP(M3450,ABBR!C:F,1,FALSE)),ISERROR(VLOOKUP(E3450,ABBR!C:F,1,FALSE))),"")</f>
        <v/>
      </c>
    </row>
    <row r="3451" spans="1:17" s="62" customFormat="1" hidden="1" x14ac:dyDescent="0.25">
      <c r="A3451" s="16" t="s">
        <v>393</v>
      </c>
      <c r="B3451" s="17"/>
      <c r="C3451" s="16" t="s">
        <v>5559</v>
      </c>
      <c r="D3451" s="17"/>
      <c r="E3451" s="17" t="s">
        <v>608</v>
      </c>
      <c r="F3451" s="18" t="s">
        <v>950</v>
      </c>
      <c r="G3451" s="27" t="s">
        <v>951</v>
      </c>
      <c r="H3451" s="17">
        <v>14</v>
      </c>
      <c r="I3451" s="30"/>
      <c r="J3451"/>
      <c r="K3451"/>
      <c r="L3451"/>
      <c r="M3451"/>
      <c r="N3451"/>
      <c r="O3451" s="62" t="str">
        <f>IF(E3451="PA",IF(K3451&lt;&gt;"",ISERROR(VLOOKUP(K3451,ABBR!A:D,1,FALSE)),ISERROR(VLOOKUP(C3451,ABBR!A:D,1,FALSE))),"")</f>
        <v/>
      </c>
      <c r="P3451" t="str">
        <f>VLOOKUP(A3451,Groups!A:L,5,FALSE)</f>
        <v>SAMP</v>
      </c>
      <c r="Q3451" s="62" t="str">
        <f>IF(G3451="PA",IF(M3451&lt;&gt;"",ISERROR(VLOOKUP(M3451,ABBR!C:F,1,FALSE)),ISERROR(VLOOKUP(E3451,ABBR!C:F,1,FALSE))),"")</f>
        <v/>
      </c>
    </row>
    <row r="3452" spans="1:17" s="62" customFormat="1" ht="25" hidden="1" x14ac:dyDescent="0.25">
      <c r="A3452" s="16" t="s">
        <v>393</v>
      </c>
      <c r="B3452" s="17"/>
      <c r="C3452" s="16" t="s">
        <v>5560</v>
      </c>
      <c r="D3452" s="17"/>
      <c r="E3452" s="17" t="s">
        <v>608</v>
      </c>
      <c r="F3452" s="18" t="s">
        <v>934</v>
      </c>
      <c r="G3452" s="49" t="s">
        <v>953</v>
      </c>
      <c r="H3452" s="17">
        <v>15</v>
      </c>
      <c r="I3452" s="30"/>
      <c r="J3452"/>
      <c r="K3452"/>
      <c r="L3452"/>
      <c r="M3452"/>
      <c r="N3452"/>
      <c r="O3452" s="62" t="str">
        <f>IF(E3452="PA",IF(K3452&lt;&gt;"",ISERROR(VLOOKUP(K3452,ABBR!A:D,1,FALSE)),ISERROR(VLOOKUP(C3452,ABBR!A:D,1,FALSE))),"")</f>
        <v/>
      </c>
      <c r="P3452" t="str">
        <f>VLOOKUP(A3452,Groups!A:L,5,FALSE)</f>
        <v>SAMP</v>
      </c>
      <c r="Q3452" s="62" t="str">
        <f>IF(G3452="PA",IF(M3452&lt;&gt;"",ISERROR(VLOOKUP(M3452,ABBR!C:F,1,FALSE)),ISERROR(VLOOKUP(E3452,ABBR!C:F,1,FALSE))),"")</f>
        <v/>
      </c>
    </row>
    <row r="3453" spans="1:17" s="62" customFormat="1" hidden="1" x14ac:dyDescent="0.25">
      <c r="A3453" s="16" t="s">
        <v>393</v>
      </c>
      <c r="B3453" s="17"/>
      <c r="C3453" s="16" t="s">
        <v>936</v>
      </c>
      <c r="D3453" s="17"/>
      <c r="E3453" s="22" t="s">
        <v>608</v>
      </c>
      <c r="F3453" s="18" t="s">
        <v>937</v>
      </c>
      <c r="G3453" s="49" t="s">
        <v>938</v>
      </c>
      <c r="H3453" s="17">
        <v>16</v>
      </c>
      <c r="I3453" s="30"/>
      <c r="J3453"/>
      <c r="K3453"/>
      <c r="L3453"/>
      <c r="M3453"/>
      <c r="N3453"/>
      <c r="O3453" s="62" t="str">
        <f>IF(E3453="PA",IF(K3453&lt;&gt;"",ISERROR(VLOOKUP(K3453,ABBR!A:D,1,FALSE)),ISERROR(VLOOKUP(C3453,ABBR!A:D,1,FALSE))),"")</f>
        <v/>
      </c>
      <c r="P3453" t="str">
        <f>VLOOKUP(A3453,Groups!A:L,5,FALSE)</f>
        <v>SAMP</v>
      </c>
      <c r="Q3453" s="62" t="str">
        <f>IF(G3453="PA",IF(M3453&lt;&gt;"",ISERROR(VLOOKUP(M3453,ABBR!C:F,1,FALSE)),ISERROR(VLOOKUP(E3453,ABBR!C:F,1,FALSE))),"")</f>
        <v/>
      </c>
    </row>
    <row r="3454" spans="1:17" s="62" customFormat="1" hidden="1" x14ac:dyDescent="0.25">
      <c r="A3454" s="16" t="s">
        <v>393</v>
      </c>
      <c r="B3454" s="17"/>
      <c r="C3454" s="16" t="s">
        <v>643</v>
      </c>
      <c r="D3454" s="17"/>
      <c r="E3454" s="17" t="s">
        <v>608</v>
      </c>
      <c r="F3454" s="18" t="s">
        <v>954</v>
      </c>
      <c r="G3454" s="49" t="s">
        <v>940</v>
      </c>
      <c r="H3454" s="17">
        <v>17</v>
      </c>
      <c r="I3454" s="30"/>
      <c r="J3454"/>
      <c r="K3454"/>
      <c r="L3454"/>
      <c r="M3454"/>
      <c r="N3454"/>
      <c r="O3454" s="62" t="str">
        <f>IF(E3454="PA",IF(K3454&lt;&gt;"",ISERROR(VLOOKUP(K3454,ABBR!A:D,1,FALSE)),ISERROR(VLOOKUP(C3454,ABBR!A:D,1,FALSE))),"")</f>
        <v/>
      </c>
      <c r="P3454" t="str">
        <f>VLOOKUP(A3454,Groups!A:L,5,FALSE)</f>
        <v>SAMP</v>
      </c>
      <c r="Q3454" s="62" t="str">
        <f>IF(G3454="PA",IF(M3454&lt;&gt;"",ISERROR(VLOOKUP(M3454,ABBR!C:F,1,FALSE)),ISERROR(VLOOKUP(E3454,ABBR!C:F,1,FALSE))),"")</f>
        <v/>
      </c>
    </row>
    <row r="3455" spans="1:17" s="62" customFormat="1" hidden="1" x14ac:dyDescent="0.25">
      <c r="A3455" s="16" t="s">
        <v>393</v>
      </c>
      <c r="B3455" s="17"/>
      <c r="C3455" s="16" t="s">
        <v>877</v>
      </c>
      <c r="D3455" s="17" t="s">
        <v>600</v>
      </c>
      <c r="E3455" s="17" t="s">
        <v>601</v>
      </c>
      <c r="F3455" s="18" t="s">
        <v>878</v>
      </c>
      <c r="G3455" s="49" t="s">
        <v>879</v>
      </c>
      <c r="H3455" s="17">
        <v>18</v>
      </c>
      <c r="I3455" s="30" t="s">
        <v>955</v>
      </c>
      <c r="J3455" s="80">
        <v>4.0999999999999996</v>
      </c>
      <c r="K3455"/>
      <c r="L3455"/>
      <c r="M3455"/>
      <c r="N3455"/>
      <c r="O3455" s="62" t="str">
        <f>IF(E3455="PA",IF(K3455&lt;&gt;"",ISERROR(VLOOKUP(K3455,ABBR!A:D,1,FALSE)),ISERROR(VLOOKUP(C3455,ABBR!A:D,1,FALSE))),"")</f>
        <v/>
      </c>
      <c r="P3455" t="str">
        <f>VLOOKUP(A3455,Groups!A:L,5,FALSE)</f>
        <v>SAMP</v>
      </c>
      <c r="Q3455" s="62" t="str">
        <f>IF(G3455="PA",IF(M3455&lt;&gt;"",ISERROR(VLOOKUP(M3455,ABBR!C:F,1,FALSE)),ISERROR(VLOOKUP(E3455,ABBR!C:F,1,FALSE))),"")</f>
        <v/>
      </c>
    </row>
    <row r="3456" spans="1:17" s="62" customFormat="1" hidden="1" x14ac:dyDescent="0.25">
      <c r="A3456" s="16" t="s">
        <v>393</v>
      </c>
      <c r="B3456" s="17"/>
      <c r="C3456" s="16" t="s">
        <v>5561</v>
      </c>
      <c r="D3456" s="17"/>
      <c r="E3456" s="17" t="s">
        <v>608</v>
      </c>
      <c r="F3456" s="18" t="s">
        <v>921</v>
      </c>
      <c r="G3456" s="94" t="s">
        <v>922</v>
      </c>
      <c r="H3456" s="17">
        <v>19</v>
      </c>
      <c r="I3456" s="30" t="s">
        <v>955</v>
      </c>
      <c r="J3456" s="80">
        <v>4.0999999999999996</v>
      </c>
      <c r="K3456"/>
      <c r="L3456"/>
      <c r="M3456" s="101"/>
      <c r="N3456"/>
      <c r="O3456" s="62" t="str">
        <f>IF(E3456="PA",IF(K3456&lt;&gt;"",ISERROR(VLOOKUP(K3456,ABBR!A:D,1,FALSE)),ISERROR(VLOOKUP(C3456,ABBR!A:D,1,FALSE))),"")</f>
        <v/>
      </c>
      <c r="P3456" t="str">
        <f>VLOOKUP(A3456,Groups!A:L,5,FALSE)</f>
        <v>SAMP</v>
      </c>
      <c r="Q3456" s="62" t="str">
        <f>IF(G3456="PA",IF(M3456&lt;&gt;"",ISERROR(VLOOKUP(M3456,ABBR!C:F,1,FALSE)),ISERROR(VLOOKUP(E3456,ABBR!C:F,1,FALSE))),"")</f>
        <v/>
      </c>
    </row>
    <row r="3457" spans="1:17" s="62" customFormat="1" hidden="1" x14ac:dyDescent="0.25">
      <c r="A3457" s="16" t="s">
        <v>393</v>
      </c>
      <c r="B3457" s="17"/>
      <c r="C3457" s="16" t="s">
        <v>5562</v>
      </c>
      <c r="D3457" s="17" t="s">
        <v>924</v>
      </c>
      <c r="E3457" s="17" t="s">
        <v>925</v>
      </c>
      <c r="F3457" s="18" t="s">
        <v>926</v>
      </c>
      <c r="G3457" s="49" t="s">
        <v>927</v>
      </c>
      <c r="H3457" s="17">
        <v>20</v>
      </c>
      <c r="I3457" s="30"/>
      <c r="J3457" s="62" t="s">
        <v>473</v>
      </c>
      <c r="O3457" s="62" t="str">
        <f>IF(E3457="PA",IF(K3457&lt;&gt;"",ISERROR(VLOOKUP(K3457,ABBR!A:D,1,FALSE)),ISERROR(VLOOKUP(C3457,ABBR!A:D,1,FALSE))),"")</f>
        <v/>
      </c>
      <c r="P3457" t="str">
        <f>VLOOKUP(A3457,Groups!A:L,5,FALSE)</f>
        <v>SAMP</v>
      </c>
      <c r="Q3457" s="62" t="str">
        <f>IF(G3457="PA",IF(M3457&lt;&gt;"",ISERROR(VLOOKUP(M3457,ABBR!C:F,1,FALSE)),ISERROR(VLOOKUP(E3457,ABBR!C:F,1,FALSE))),"")</f>
        <v/>
      </c>
    </row>
    <row r="3458" spans="1:17" s="62" customFormat="1" hidden="1" x14ac:dyDescent="0.25">
      <c r="A3458" s="16" t="s">
        <v>393</v>
      </c>
      <c r="B3458" s="17"/>
      <c r="C3458" s="16" t="s">
        <v>5563</v>
      </c>
      <c r="D3458" s="17"/>
      <c r="E3458" s="17" t="s">
        <v>608</v>
      </c>
      <c r="F3458" s="18" t="s">
        <v>875</v>
      </c>
      <c r="G3458" s="49" t="s">
        <v>876</v>
      </c>
      <c r="H3458" s="17">
        <v>21</v>
      </c>
      <c r="I3458" s="30"/>
      <c r="J3458" s="62" t="s">
        <v>473</v>
      </c>
      <c r="O3458" s="62" t="str">
        <f>IF(E3458="PA",IF(K3458&lt;&gt;"",ISERROR(VLOOKUP(K3458,ABBR!A:D,1,FALSE)),ISERROR(VLOOKUP(C3458,ABBR!A:D,1,FALSE))),"")</f>
        <v/>
      </c>
      <c r="P3458" t="str">
        <f>VLOOKUP(A3458,Groups!A:L,5,FALSE)</f>
        <v>SAMP</v>
      </c>
      <c r="Q3458" s="62" t="str">
        <f>IF(G3458="PA",IF(M3458&lt;&gt;"",ISERROR(VLOOKUP(M3458,ABBR!C:F,1,FALSE)),ISERROR(VLOOKUP(E3458,ABBR!C:F,1,FALSE))),"")</f>
        <v/>
      </c>
    </row>
    <row r="3459" spans="1:17" s="62" customFormat="1" hidden="1" x14ac:dyDescent="0.25">
      <c r="A3459" s="16" t="s">
        <v>393</v>
      </c>
      <c r="B3459" s="17"/>
      <c r="C3459" s="16" t="s">
        <v>5564</v>
      </c>
      <c r="D3459" s="17"/>
      <c r="E3459" s="17" t="s">
        <v>608</v>
      </c>
      <c r="F3459" s="18" t="s">
        <v>929</v>
      </c>
      <c r="G3459" s="49" t="s">
        <v>876</v>
      </c>
      <c r="H3459" s="17">
        <v>22</v>
      </c>
      <c r="I3459" s="30"/>
      <c r="J3459" s="62" t="s">
        <v>473</v>
      </c>
      <c r="O3459" s="62" t="str">
        <f>IF(E3459="PA",IF(K3459&lt;&gt;"",ISERROR(VLOOKUP(K3459,ABBR!A:D,1,FALSE)),ISERROR(VLOOKUP(C3459,ABBR!A:D,1,FALSE))),"")</f>
        <v/>
      </c>
      <c r="P3459" t="str">
        <f>VLOOKUP(A3459,Groups!A:L,5,FALSE)</f>
        <v>SAMP</v>
      </c>
      <c r="Q3459" s="62" t="str">
        <f>IF(G3459="PA",IF(M3459&lt;&gt;"",ISERROR(VLOOKUP(M3459,ABBR!C:F,1,FALSE)),ISERROR(VLOOKUP(E3459,ABBR!C:F,1,FALSE))),"")</f>
        <v/>
      </c>
    </row>
    <row r="3460" spans="1:17" s="62" customFormat="1" hidden="1" x14ac:dyDescent="0.25">
      <c r="A3460" s="16" t="s">
        <v>54</v>
      </c>
      <c r="B3460" s="17" t="s">
        <v>594</v>
      </c>
      <c r="C3460" s="16" t="s">
        <v>595</v>
      </c>
      <c r="D3460" s="17"/>
      <c r="E3460" s="17" t="s">
        <v>596</v>
      </c>
      <c r="F3460" s="18" t="s">
        <v>597</v>
      </c>
      <c r="G3460" s="49" t="s">
        <v>598</v>
      </c>
      <c r="H3460" s="17">
        <v>1</v>
      </c>
      <c r="I3460" s="30"/>
      <c r="J3460"/>
      <c r="K3460"/>
      <c r="L3460"/>
      <c r="M3460"/>
      <c r="N3460"/>
      <c r="O3460" s="62" t="str">
        <f>IF(E3460="PA",IF(K3460&lt;&gt;"",ISERROR(VLOOKUP(K3460,ABBR!A:D,1,FALSE)),ISERROR(VLOOKUP(C3460,ABBR!A:D,1,FALSE))),"")</f>
        <v/>
      </c>
      <c r="P3460" t="str">
        <f>VLOOKUP(A3460,Groups!A:L,5,FALSE)</f>
        <v>LOCA</v>
      </c>
      <c r="Q3460" s="62" t="str">
        <f>IF(G3460="PA",IF(M3460&lt;&gt;"",ISERROR(VLOOKUP(M3460,ABBR!C:F,1,FALSE)),ISERROR(VLOOKUP(E3460,ABBR!C:F,1,FALSE))),"")</f>
        <v/>
      </c>
    </row>
    <row r="3461" spans="1:17" s="62" customFormat="1" hidden="1" x14ac:dyDescent="0.25">
      <c r="A3461" s="16" t="s">
        <v>54</v>
      </c>
      <c r="B3461" s="17" t="s">
        <v>594</v>
      </c>
      <c r="C3461" s="16" t="s">
        <v>851</v>
      </c>
      <c r="D3461" s="17" t="s">
        <v>600</v>
      </c>
      <c r="E3461" s="17" t="s">
        <v>601</v>
      </c>
      <c r="F3461" s="18" t="s">
        <v>852</v>
      </c>
      <c r="G3461" s="49" t="s">
        <v>853</v>
      </c>
      <c r="H3461" s="17">
        <v>2</v>
      </c>
      <c r="I3461" s="30"/>
      <c r="J3461"/>
      <c r="K3461"/>
      <c r="L3461"/>
      <c r="M3461"/>
      <c r="N3461"/>
      <c r="O3461" s="62" t="str">
        <f>IF(E3461="PA",IF(K3461&lt;&gt;"",ISERROR(VLOOKUP(K3461,ABBR!A:D,1,FALSE)),ISERROR(VLOOKUP(C3461,ABBR!A:D,1,FALSE))),"")</f>
        <v/>
      </c>
      <c r="P3461" t="str">
        <f>VLOOKUP(A3461,Groups!A:L,5,FALSE)</f>
        <v>LOCA</v>
      </c>
      <c r="Q3461" s="62" t="str">
        <f>IF(G3461="PA",IF(M3461&lt;&gt;"",ISERROR(VLOOKUP(M3461,ABBR!C:F,1,FALSE)),ISERROR(VLOOKUP(E3461,ABBR!C:F,1,FALSE))),"")</f>
        <v/>
      </c>
    </row>
    <row r="3462" spans="1:17" s="62" customFormat="1" hidden="1" x14ac:dyDescent="0.25">
      <c r="A3462" s="16" t="s">
        <v>54</v>
      </c>
      <c r="B3462" s="17" t="s">
        <v>594</v>
      </c>
      <c r="C3462" s="16" t="s">
        <v>854</v>
      </c>
      <c r="D3462" s="17"/>
      <c r="E3462" s="17" t="s">
        <v>608</v>
      </c>
      <c r="F3462" s="18" t="s">
        <v>855</v>
      </c>
      <c r="G3462" s="49" t="s">
        <v>941</v>
      </c>
      <c r="H3462" s="17">
        <v>3</v>
      </c>
      <c r="I3462" s="30"/>
      <c r="J3462"/>
      <c r="K3462"/>
      <c r="L3462"/>
      <c r="M3462"/>
      <c r="N3462"/>
      <c r="O3462" s="62" t="str">
        <f>IF(E3462="PA",IF(K3462&lt;&gt;"",ISERROR(VLOOKUP(K3462,ABBR!A:D,1,FALSE)),ISERROR(VLOOKUP(C3462,ABBR!A:D,1,FALSE))),"")</f>
        <v/>
      </c>
      <c r="P3462" t="str">
        <f>VLOOKUP(A3462,Groups!A:L,5,FALSE)</f>
        <v>LOCA</v>
      </c>
      <c r="Q3462" s="62" t="str">
        <f>IF(G3462="PA",IF(M3462&lt;&gt;"",ISERROR(VLOOKUP(M3462,ABBR!C:F,1,FALSE)),ISERROR(VLOOKUP(E3462,ABBR!C:F,1,FALSE))),"")</f>
        <v/>
      </c>
    </row>
    <row r="3463" spans="1:17" s="62" customFormat="1" hidden="1" x14ac:dyDescent="0.25">
      <c r="A3463" s="16" t="s">
        <v>54</v>
      </c>
      <c r="B3463" s="17" t="s">
        <v>594</v>
      </c>
      <c r="C3463" s="16" t="s">
        <v>857</v>
      </c>
      <c r="D3463" s="17"/>
      <c r="E3463" s="17" t="s">
        <v>618</v>
      </c>
      <c r="F3463" s="18" t="s">
        <v>858</v>
      </c>
      <c r="G3463" s="49" t="s">
        <v>859</v>
      </c>
      <c r="H3463" s="17">
        <v>4</v>
      </c>
      <c r="I3463" s="30"/>
      <c r="J3463"/>
      <c r="K3463"/>
      <c r="L3463"/>
      <c r="M3463"/>
      <c r="N3463"/>
      <c r="O3463" s="62" t="b">
        <f>IF(E3463="PA",IF(K3463&lt;&gt;"",ISERROR(VLOOKUP(K3463,ABBR!A:D,1,FALSE)),ISERROR(VLOOKUP(C3463,ABBR!A:D,1,FALSE))),"")</f>
        <v>0</v>
      </c>
      <c r="P3463" t="str">
        <f>VLOOKUP(A3463,Groups!A:L,5,FALSE)</f>
        <v>LOCA</v>
      </c>
      <c r="Q3463" s="62" t="str">
        <f>IF(G3463="PA",IF(M3463&lt;&gt;"",ISERROR(VLOOKUP(M3463,ABBR!C:F,1,FALSE)),ISERROR(VLOOKUP(E3463,ABBR!C:F,1,FALSE))),"")</f>
        <v/>
      </c>
    </row>
    <row r="3464" spans="1:17" s="62" customFormat="1" hidden="1" x14ac:dyDescent="0.25">
      <c r="A3464" s="16" t="s">
        <v>54</v>
      </c>
      <c r="B3464" s="17" t="s">
        <v>594</v>
      </c>
      <c r="C3464" s="16" t="s">
        <v>860</v>
      </c>
      <c r="D3464" s="17"/>
      <c r="E3464" s="17" t="s">
        <v>596</v>
      </c>
      <c r="F3464" s="18" t="s">
        <v>942</v>
      </c>
      <c r="G3464" s="49" t="s">
        <v>862</v>
      </c>
      <c r="H3464" s="17">
        <v>5</v>
      </c>
      <c r="I3464" s="30"/>
      <c r="J3464"/>
      <c r="K3464"/>
      <c r="L3464"/>
      <c r="M3464"/>
      <c r="N3464"/>
      <c r="O3464" s="62" t="str">
        <f>IF(E3464="PA",IF(K3464&lt;&gt;"",ISERROR(VLOOKUP(K3464,ABBR!A:D,1,FALSE)),ISERROR(VLOOKUP(C3464,ABBR!A:D,1,FALSE))),"")</f>
        <v/>
      </c>
      <c r="P3464" t="str">
        <f>VLOOKUP(A3464,Groups!A:L,5,FALSE)</f>
        <v>LOCA</v>
      </c>
      <c r="Q3464" s="62" t="str">
        <f>IF(G3464="PA",IF(M3464&lt;&gt;"",ISERROR(VLOOKUP(M3464,ABBR!C:F,1,FALSE)),ISERROR(VLOOKUP(E3464,ABBR!C:F,1,FALSE))),"")</f>
        <v/>
      </c>
    </row>
    <row r="3465" spans="1:17" s="62" customFormat="1" hidden="1" x14ac:dyDescent="0.25">
      <c r="A3465" s="16" t="s">
        <v>54</v>
      </c>
      <c r="B3465" s="17"/>
      <c r="C3465" s="16" t="s">
        <v>5565</v>
      </c>
      <c r="D3465" s="17" t="s">
        <v>600</v>
      </c>
      <c r="E3465" s="17" t="s">
        <v>601</v>
      </c>
      <c r="F3465" s="18" t="s">
        <v>5566</v>
      </c>
      <c r="G3465" s="49" t="s">
        <v>5567</v>
      </c>
      <c r="H3465" s="17">
        <v>6</v>
      </c>
      <c r="I3465" s="30"/>
      <c r="J3465"/>
      <c r="K3465"/>
      <c r="L3465"/>
      <c r="M3465"/>
      <c r="N3465"/>
      <c r="O3465" s="62" t="str">
        <f>IF(E3465="PA",IF(K3465&lt;&gt;"",ISERROR(VLOOKUP(K3465,ABBR!A:D,1,FALSE)),ISERROR(VLOOKUP(C3465,ABBR!A:D,1,FALSE))),"")</f>
        <v/>
      </c>
      <c r="P3465" t="str">
        <f>VLOOKUP(A3465,Groups!A:L,5,FALSE)</f>
        <v>LOCA</v>
      </c>
      <c r="Q3465" s="62" t="str">
        <f>IF(G3465="PA",IF(M3465&lt;&gt;"",ISERROR(VLOOKUP(M3465,ABBR!C:F,1,FALSE)),ISERROR(VLOOKUP(E3465,ABBR!C:F,1,FALSE))),"")</f>
        <v/>
      </c>
    </row>
    <row r="3466" spans="1:17" s="62" customFormat="1" ht="25" hidden="1" x14ac:dyDescent="0.25">
      <c r="A3466" s="16" t="s">
        <v>54</v>
      </c>
      <c r="B3466" s="17"/>
      <c r="C3466" s="16" t="s">
        <v>5568</v>
      </c>
      <c r="D3466" s="17" t="s">
        <v>1421</v>
      </c>
      <c r="E3466" s="17" t="s">
        <v>925</v>
      </c>
      <c r="F3466" s="18" t="s">
        <v>5569</v>
      </c>
      <c r="G3466" s="49" t="s">
        <v>5570</v>
      </c>
      <c r="H3466" s="17">
        <v>7</v>
      </c>
      <c r="I3466" s="30"/>
      <c r="J3466"/>
      <c r="K3466"/>
      <c r="L3466"/>
      <c r="M3466"/>
      <c r="N3466"/>
      <c r="O3466" s="62" t="str">
        <f>IF(E3466="PA",IF(K3466&lt;&gt;"",ISERROR(VLOOKUP(K3466,ABBR!A:D,1,FALSE)),ISERROR(VLOOKUP(C3466,ABBR!A:D,1,FALSE))),"")</f>
        <v/>
      </c>
      <c r="P3466" t="str">
        <f>VLOOKUP(A3466,Groups!A:L,5,FALSE)</f>
        <v>LOCA</v>
      </c>
      <c r="Q3466" s="62" t="str">
        <f>IF(G3466="PA",IF(M3466&lt;&gt;"",ISERROR(VLOOKUP(M3466,ABBR!C:F,1,FALSE)),ISERROR(VLOOKUP(E3466,ABBR!C:F,1,FALSE))),"")</f>
        <v/>
      </c>
    </row>
    <row r="3467" spans="1:17" s="62" customFormat="1" hidden="1" x14ac:dyDescent="0.25">
      <c r="A3467" s="16" t="s">
        <v>54</v>
      </c>
      <c r="B3467" s="17"/>
      <c r="C3467" s="16" t="s">
        <v>5571</v>
      </c>
      <c r="D3467" s="17"/>
      <c r="E3467" s="17" t="s">
        <v>767</v>
      </c>
      <c r="F3467" s="18" t="s">
        <v>5572</v>
      </c>
      <c r="G3467" s="49" t="s">
        <v>2360</v>
      </c>
      <c r="H3467" s="17">
        <v>8</v>
      </c>
      <c r="I3467" s="30"/>
      <c r="J3467"/>
      <c r="K3467"/>
      <c r="L3467"/>
      <c r="M3467"/>
      <c r="N3467"/>
      <c r="O3467" s="62" t="str">
        <f>IF(E3467="PA",IF(K3467&lt;&gt;"",ISERROR(VLOOKUP(K3467,ABBR!A:D,1,FALSE)),ISERROR(VLOOKUP(C3467,ABBR!A:D,1,FALSE))),"")</f>
        <v/>
      </c>
      <c r="P3467" t="str">
        <f>VLOOKUP(A3467,Groups!A:L,5,FALSE)</f>
        <v>LOCA</v>
      </c>
      <c r="Q3467" s="62" t="str">
        <f>IF(G3467="PA",IF(M3467&lt;&gt;"",ISERROR(VLOOKUP(M3467,ABBR!C:F,1,FALSE)),ISERROR(VLOOKUP(E3467,ABBR!C:F,1,FALSE))),"")</f>
        <v/>
      </c>
    </row>
    <row r="3468" spans="1:17" s="62" customFormat="1" hidden="1" x14ac:dyDescent="0.25">
      <c r="A3468" s="16" t="s">
        <v>54</v>
      </c>
      <c r="B3468" s="17"/>
      <c r="C3468" s="16" t="s">
        <v>5573</v>
      </c>
      <c r="D3468" s="17"/>
      <c r="E3468" s="17" t="s">
        <v>608</v>
      </c>
      <c r="F3468" s="18" t="s">
        <v>5574</v>
      </c>
      <c r="G3468" s="49" t="s">
        <v>5575</v>
      </c>
      <c r="H3468" s="17">
        <v>9</v>
      </c>
      <c r="I3468" s="30"/>
      <c r="J3468"/>
      <c r="K3468"/>
      <c r="L3468"/>
      <c r="M3468"/>
      <c r="N3468"/>
      <c r="O3468" s="62" t="str">
        <f>IF(E3468="PA",IF(K3468&lt;&gt;"",ISERROR(VLOOKUP(K3468,ABBR!A:D,1,FALSE)),ISERROR(VLOOKUP(C3468,ABBR!A:D,1,FALSE))),"")</f>
        <v/>
      </c>
      <c r="P3468" t="str">
        <f>VLOOKUP(A3468,Groups!A:L,5,FALSE)</f>
        <v>LOCA</v>
      </c>
      <c r="Q3468" s="62" t="str">
        <f>IF(G3468="PA",IF(M3468&lt;&gt;"",ISERROR(VLOOKUP(M3468,ABBR!C:F,1,FALSE)),ISERROR(VLOOKUP(E3468,ABBR!C:F,1,FALSE))),"")</f>
        <v/>
      </c>
    </row>
    <row r="3469" spans="1:17" s="62" customFormat="1" hidden="1" x14ac:dyDescent="0.25">
      <c r="A3469" s="16" t="s">
        <v>54</v>
      </c>
      <c r="B3469" s="17"/>
      <c r="C3469" s="16" t="s">
        <v>5576</v>
      </c>
      <c r="D3469" s="17"/>
      <c r="E3469" s="17" t="s">
        <v>608</v>
      </c>
      <c r="F3469" s="18" t="s">
        <v>5577</v>
      </c>
      <c r="G3469" s="49" t="s">
        <v>5578</v>
      </c>
      <c r="H3469" s="17">
        <v>10</v>
      </c>
      <c r="I3469" s="30"/>
      <c r="J3469"/>
      <c r="K3469"/>
      <c r="L3469"/>
      <c r="M3469"/>
      <c r="N3469"/>
      <c r="O3469" s="62" t="str">
        <f>IF(E3469="PA",IF(K3469&lt;&gt;"",ISERROR(VLOOKUP(K3469,ABBR!A:D,1,FALSE)),ISERROR(VLOOKUP(C3469,ABBR!A:D,1,FALSE))),"")</f>
        <v/>
      </c>
      <c r="P3469" t="str">
        <f>VLOOKUP(A3469,Groups!A:L,5,FALSE)</f>
        <v>LOCA</v>
      </c>
      <c r="Q3469" s="62" t="str">
        <f>IF(G3469="PA",IF(M3469&lt;&gt;"",ISERROR(VLOOKUP(M3469,ABBR!C:F,1,FALSE)),ISERROR(VLOOKUP(E3469,ABBR!C:F,1,FALSE))),"")</f>
        <v/>
      </c>
    </row>
    <row r="3470" spans="1:17" s="62" customFormat="1" hidden="1" x14ac:dyDescent="0.25">
      <c r="A3470" s="16" t="s">
        <v>54</v>
      </c>
      <c r="B3470" s="17"/>
      <c r="C3470" s="16" t="s">
        <v>5579</v>
      </c>
      <c r="D3470" s="17" t="s">
        <v>722</v>
      </c>
      <c r="E3470" s="17" t="s">
        <v>767</v>
      </c>
      <c r="F3470" s="18" t="s">
        <v>5580</v>
      </c>
      <c r="G3470" s="49" t="s">
        <v>1116</v>
      </c>
      <c r="H3470" s="17">
        <v>11</v>
      </c>
      <c r="I3470" s="30"/>
      <c r="J3470"/>
      <c r="K3470"/>
      <c r="L3470"/>
      <c r="M3470"/>
      <c r="N3470"/>
      <c r="O3470" s="62" t="str">
        <f>IF(E3470="PA",IF(K3470&lt;&gt;"",ISERROR(VLOOKUP(K3470,ABBR!A:D,1,FALSE)),ISERROR(VLOOKUP(C3470,ABBR!A:D,1,FALSE))),"")</f>
        <v/>
      </c>
      <c r="P3470" t="str">
        <f>VLOOKUP(A3470,Groups!A:L,5,FALSE)</f>
        <v>LOCA</v>
      </c>
      <c r="Q3470" s="62" t="str">
        <f>IF(G3470="PA",IF(M3470&lt;&gt;"",ISERROR(VLOOKUP(M3470,ABBR!C:F,1,FALSE)),ISERROR(VLOOKUP(E3470,ABBR!C:F,1,FALSE))),"")</f>
        <v/>
      </c>
    </row>
    <row r="3471" spans="1:17" s="62" customFormat="1" ht="25" hidden="1" x14ac:dyDescent="0.25">
      <c r="A3471" s="16" t="s">
        <v>54</v>
      </c>
      <c r="B3471" s="17"/>
      <c r="C3471" s="16" t="s">
        <v>5581</v>
      </c>
      <c r="D3471" s="17" t="s">
        <v>600</v>
      </c>
      <c r="E3471" s="17" t="s">
        <v>601</v>
      </c>
      <c r="F3471" s="18" t="s">
        <v>5582</v>
      </c>
      <c r="G3471" s="49" t="s">
        <v>3760</v>
      </c>
      <c r="H3471" s="17">
        <v>12</v>
      </c>
      <c r="I3471" s="30"/>
      <c r="J3471"/>
      <c r="K3471"/>
      <c r="L3471"/>
      <c r="M3471"/>
      <c r="N3471"/>
      <c r="O3471" s="62" t="str">
        <f>IF(E3471="PA",IF(K3471&lt;&gt;"",ISERROR(VLOOKUP(K3471,ABBR!A:D,1,FALSE)),ISERROR(VLOOKUP(C3471,ABBR!A:D,1,FALSE))),"")</f>
        <v/>
      </c>
      <c r="P3471" t="str">
        <f>VLOOKUP(A3471,Groups!A:L,5,FALSE)</f>
        <v>LOCA</v>
      </c>
      <c r="Q3471" s="62" t="str">
        <f>IF(G3471="PA",IF(M3471&lt;&gt;"",ISERROR(VLOOKUP(M3471,ABBR!C:F,1,FALSE)),ISERROR(VLOOKUP(E3471,ABBR!C:F,1,FALSE))),"")</f>
        <v/>
      </c>
    </row>
    <row r="3472" spans="1:17" s="62" customFormat="1" hidden="1" x14ac:dyDescent="0.25">
      <c r="A3472" s="16" t="s">
        <v>54</v>
      </c>
      <c r="B3472" s="17"/>
      <c r="C3472" s="16" t="s">
        <v>5583</v>
      </c>
      <c r="D3472" s="17" t="s">
        <v>766</v>
      </c>
      <c r="E3472" s="17" t="s">
        <v>767</v>
      </c>
      <c r="F3472" s="18" t="s">
        <v>5584</v>
      </c>
      <c r="G3472" s="49" t="s">
        <v>769</v>
      </c>
      <c r="H3472" s="17">
        <v>13</v>
      </c>
      <c r="I3472" s="30"/>
      <c r="J3472"/>
      <c r="K3472"/>
      <c r="L3472"/>
      <c r="M3472"/>
      <c r="N3472"/>
      <c r="O3472" s="62" t="str">
        <f>IF(E3472="PA",IF(K3472&lt;&gt;"",ISERROR(VLOOKUP(K3472,ABBR!A:D,1,FALSE)),ISERROR(VLOOKUP(C3472,ABBR!A:D,1,FALSE))),"")</f>
        <v/>
      </c>
      <c r="P3472" t="str">
        <f>VLOOKUP(A3472,Groups!A:L,5,FALSE)</f>
        <v>LOCA</v>
      </c>
      <c r="Q3472" s="62" t="str">
        <f>IF(G3472="PA",IF(M3472&lt;&gt;"",ISERROR(VLOOKUP(M3472,ABBR!C:F,1,FALSE)),ISERROR(VLOOKUP(E3472,ABBR!C:F,1,FALSE))),"")</f>
        <v/>
      </c>
    </row>
    <row r="3473" spans="1:17" s="62" customFormat="1" hidden="1" x14ac:dyDescent="0.25">
      <c r="A3473" s="16" t="s">
        <v>54</v>
      </c>
      <c r="B3473" s="17"/>
      <c r="C3473" s="16" t="s">
        <v>5585</v>
      </c>
      <c r="D3473" s="17"/>
      <c r="E3473" s="17" t="s">
        <v>608</v>
      </c>
      <c r="F3473" s="18" t="s">
        <v>5586</v>
      </c>
      <c r="G3473" s="49" t="s">
        <v>5587</v>
      </c>
      <c r="H3473" s="17">
        <v>14</v>
      </c>
      <c r="I3473" s="30"/>
      <c r="J3473"/>
      <c r="K3473"/>
      <c r="L3473"/>
      <c r="M3473"/>
      <c r="N3473"/>
      <c r="O3473" s="62" t="str">
        <f>IF(E3473="PA",IF(K3473&lt;&gt;"",ISERROR(VLOOKUP(K3473,ABBR!A:D,1,FALSE)),ISERROR(VLOOKUP(C3473,ABBR!A:D,1,FALSE))),"")</f>
        <v/>
      </c>
      <c r="P3473" t="str">
        <f>VLOOKUP(A3473,Groups!A:L,5,FALSE)</f>
        <v>LOCA</v>
      </c>
      <c r="Q3473" s="62" t="str">
        <f>IF(G3473="PA",IF(M3473&lt;&gt;"",ISERROR(VLOOKUP(M3473,ABBR!C:F,1,FALSE)),ISERROR(VLOOKUP(E3473,ABBR!C:F,1,FALSE))),"")</f>
        <v/>
      </c>
    </row>
    <row r="3474" spans="1:17" s="62" customFormat="1" hidden="1" x14ac:dyDescent="0.25">
      <c r="A3474" s="16" t="s">
        <v>54</v>
      </c>
      <c r="B3474" s="17"/>
      <c r="C3474" s="16" t="s">
        <v>5588</v>
      </c>
      <c r="D3474" s="17"/>
      <c r="E3474" s="17" t="s">
        <v>608</v>
      </c>
      <c r="F3474" s="18" t="s">
        <v>5589</v>
      </c>
      <c r="G3474" s="49" t="s">
        <v>5590</v>
      </c>
      <c r="H3474" s="17">
        <v>15</v>
      </c>
      <c r="I3474" s="30"/>
      <c r="J3474"/>
      <c r="K3474"/>
      <c r="L3474"/>
      <c r="M3474"/>
      <c r="N3474"/>
      <c r="O3474" s="62" t="str">
        <f>IF(E3474="PA",IF(K3474&lt;&gt;"",ISERROR(VLOOKUP(K3474,ABBR!A:D,1,FALSE)),ISERROR(VLOOKUP(C3474,ABBR!A:D,1,FALSE))),"")</f>
        <v/>
      </c>
      <c r="P3474" t="str">
        <f>VLOOKUP(A3474,Groups!A:L,5,FALSE)</f>
        <v>LOCA</v>
      </c>
      <c r="Q3474" s="62" t="str">
        <f>IF(G3474="PA",IF(M3474&lt;&gt;"",ISERROR(VLOOKUP(M3474,ABBR!C:F,1,FALSE)),ISERROR(VLOOKUP(E3474,ABBR!C:F,1,FALSE))),"")</f>
        <v/>
      </c>
    </row>
    <row r="3475" spans="1:17" s="62" customFormat="1" hidden="1" x14ac:dyDescent="0.25">
      <c r="A3475" s="16" t="s">
        <v>54</v>
      </c>
      <c r="B3475" s="17"/>
      <c r="C3475" s="16" t="s">
        <v>5591</v>
      </c>
      <c r="D3475" s="17"/>
      <c r="E3475" s="17" t="s">
        <v>608</v>
      </c>
      <c r="F3475" s="18" t="s">
        <v>5592</v>
      </c>
      <c r="G3475" s="49" t="s">
        <v>4942</v>
      </c>
      <c r="H3475" s="17">
        <v>16</v>
      </c>
      <c r="I3475" s="30"/>
      <c r="J3475"/>
      <c r="K3475"/>
      <c r="L3475"/>
      <c r="M3475"/>
      <c r="N3475"/>
      <c r="O3475" s="62" t="str">
        <f>IF(E3475="PA",IF(K3475&lt;&gt;"",ISERROR(VLOOKUP(K3475,ABBR!A:D,1,FALSE)),ISERROR(VLOOKUP(C3475,ABBR!A:D,1,FALSE))),"")</f>
        <v/>
      </c>
      <c r="P3475" t="str">
        <f>VLOOKUP(A3475,Groups!A:L,5,FALSE)</f>
        <v>LOCA</v>
      </c>
      <c r="Q3475" s="62" t="str">
        <f>IF(G3475="PA",IF(M3475&lt;&gt;"",ISERROR(VLOOKUP(M3475,ABBR!C:F,1,FALSE)),ISERROR(VLOOKUP(E3475,ABBR!C:F,1,FALSE))),"")</f>
        <v/>
      </c>
    </row>
    <row r="3476" spans="1:17" s="62" customFormat="1" hidden="1" x14ac:dyDescent="0.25">
      <c r="A3476" s="16" t="s">
        <v>54</v>
      </c>
      <c r="B3476" s="17"/>
      <c r="C3476" s="16" t="s">
        <v>5593</v>
      </c>
      <c r="D3476" s="17"/>
      <c r="E3476" s="17" t="s">
        <v>608</v>
      </c>
      <c r="F3476" s="18" t="s">
        <v>5594</v>
      </c>
      <c r="G3476" s="49" t="s">
        <v>5595</v>
      </c>
      <c r="H3476" s="17">
        <v>17</v>
      </c>
      <c r="I3476" s="30"/>
      <c r="J3476"/>
      <c r="K3476"/>
      <c r="L3476"/>
      <c r="M3476"/>
      <c r="N3476"/>
      <c r="O3476" s="62" t="str">
        <f>IF(E3476="PA",IF(K3476&lt;&gt;"",ISERROR(VLOOKUP(K3476,ABBR!A:D,1,FALSE)),ISERROR(VLOOKUP(C3476,ABBR!A:D,1,FALSE))),"")</f>
        <v/>
      </c>
      <c r="P3476" t="str">
        <f>VLOOKUP(A3476,Groups!A:L,5,FALSE)</f>
        <v>LOCA</v>
      </c>
      <c r="Q3476" s="62" t="str">
        <f>IF(G3476="PA",IF(M3476&lt;&gt;"",ISERROR(VLOOKUP(M3476,ABBR!C:F,1,FALSE)),ISERROR(VLOOKUP(E3476,ABBR!C:F,1,FALSE))),"")</f>
        <v/>
      </c>
    </row>
    <row r="3477" spans="1:17" s="62" customFormat="1" ht="25" hidden="1" x14ac:dyDescent="0.25">
      <c r="A3477" s="16" t="s">
        <v>54</v>
      </c>
      <c r="B3477" s="17"/>
      <c r="C3477" s="16" t="s">
        <v>5596</v>
      </c>
      <c r="D3477" s="17"/>
      <c r="E3477" s="17" t="s">
        <v>608</v>
      </c>
      <c r="F3477" s="18" t="s">
        <v>5597</v>
      </c>
      <c r="G3477" s="49" t="s">
        <v>5598</v>
      </c>
      <c r="H3477" s="17">
        <v>18</v>
      </c>
      <c r="I3477" s="30"/>
      <c r="J3477"/>
      <c r="K3477"/>
      <c r="L3477"/>
      <c r="M3477"/>
      <c r="N3477"/>
      <c r="O3477" s="62" t="str">
        <f>IF(E3477="PA",IF(K3477&lt;&gt;"",ISERROR(VLOOKUP(K3477,ABBR!A:D,1,FALSE)),ISERROR(VLOOKUP(C3477,ABBR!A:D,1,FALSE))),"")</f>
        <v/>
      </c>
      <c r="P3477" t="str">
        <f>VLOOKUP(A3477,Groups!A:L,5,FALSE)</f>
        <v>LOCA</v>
      </c>
      <c r="Q3477" s="62" t="str">
        <f>IF(G3477="PA",IF(M3477&lt;&gt;"",ISERROR(VLOOKUP(M3477,ABBR!C:F,1,FALSE)),ISERROR(VLOOKUP(E3477,ABBR!C:F,1,FALSE))),"")</f>
        <v/>
      </c>
    </row>
    <row r="3478" spans="1:17" s="62" customFormat="1" hidden="1" x14ac:dyDescent="0.25">
      <c r="A3478" s="16" t="s">
        <v>54</v>
      </c>
      <c r="B3478" s="17"/>
      <c r="C3478" s="16" t="s">
        <v>5599</v>
      </c>
      <c r="D3478" s="17"/>
      <c r="E3478" s="17" t="s">
        <v>608</v>
      </c>
      <c r="F3478" s="18" t="s">
        <v>5600</v>
      </c>
      <c r="G3478" s="49" t="s">
        <v>16</v>
      </c>
      <c r="H3478" s="17">
        <v>19</v>
      </c>
      <c r="I3478" s="30"/>
      <c r="J3478"/>
      <c r="K3478"/>
      <c r="L3478"/>
      <c r="M3478" s="101"/>
      <c r="N3478"/>
      <c r="O3478" s="62" t="str">
        <f>IF(E3478="PA",IF(K3478&lt;&gt;"",ISERROR(VLOOKUP(K3478,ABBR!A:D,1,FALSE)),ISERROR(VLOOKUP(C3478,ABBR!A:D,1,FALSE))),"")</f>
        <v/>
      </c>
      <c r="P3478" t="str">
        <f>VLOOKUP(A3478,Groups!A:L,5,FALSE)</f>
        <v>LOCA</v>
      </c>
      <c r="Q3478" s="62" t="str">
        <f>IF(G3478="PA",IF(M3478&lt;&gt;"",ISERROR(VLOOKUP(M3478,ABBR!C:F,1,FALSE)),ISERROR(VLOOKUP(E3478,ABBR!C:F,1,FALSE))),"")</f>
        <v/>
      </c>
    </row>
    <row r="3479" spans="1:17" s="62" customFormat="1" hidden="1" x14ac:dyDescent="0.25">
      <c r="A3479" s="16" t="s">
        <v>54</v>
      </c>
      <c r="B3479" s="17"/>
      <c r="C3479" s="16" t="s">
        <v>5601</v>
      </c>
      <c r="D3479" s="17"/>
      <c r="E3479" s="17" t="s">
        <v>608</v>
      </c>
      <c r="F3479" s="18" t="s">
        <v>5602</v>
      </c>
      <c r="G3479" s="49" t="s">
        <v>5603</v>
      </c>
      <c r="H3479" s="17">
        <v>20</v>
      </c>
      <c r="I3479" s="30"/>
      <c r="J3479"/>
      <c r="K3479"/>
      <c r="L3479"/>
      <c r="M3479"/>
      <c r="N3479"/>
      <c r="O3479" s="62" t="str">
        <f>IF(E3479="PA",IF(K3479&lt;&gt;"",ISERROR(VLOOKUP(K3479,ABBR!A:D,1,FALSE)),ISERROR(VLOOKUP(C3479,ABBR!A:D,1,FALSE))),"")</f>
        <v/>
      </c>
      <c r="P3479" t="str">
        <f>VLOOKUP(A3479,Groups!A:L,5,FALSE)</f>
        <v>LOCA</v>
      </c>
      <c r="Q3479" s="62" t="str">
        <f>IF(G3479="PA",IF(M3479&lt;&gt;"",ISERROR(VLOOKUP(M3479,ABBR!C:F,1,FALSE)),ISERROR(VLOOKUP(E3479,ABBR!C:F,1,FALSE))),"")</f>
        <v/>
      </c>
    </row>
    <row r="3480" spans="1:17" s="62" customFormat="1" hidden="1" x14ac:dyDescent="0.25">
      <c r="A3480" s="16" t="s">
        <v>54</v>
      </c>
      <c r="B3480" s="17"/>
      <c r="C3480" s="16" t="s">
        <v>5604</v>
      </c>
      <c r="D3480" s="17" t="s">
        <v>924</v>
      </c>
      <c r="E3480" s="17" t="s">
        <v>925</v>
      </c>
      <c r="F3480" s="18" t="s">
        <v>5605</v>
      </c>
      <c r="G3480" s="49" t="s">
        <v>5606</v>
      </c>
      <c r="H3480" s="17">
        <v>21</v>
      </c>
      <c r="I3480" s="30"/>
      <c r="J3480"/>
      <c r="K3480"/>
      <c r="L3480"/>
      <c r="M3480"/>
      <c r="N3480"/>
      <c r="O3480" s="62" t="str">
        <f>IF(E3480="PA",IF(K3480&lt;&gt;"",ISERROR(VLOOKUP(K3480,ABBR!A:D,1,FALSE)),ISERROR(VLOOKUP(C3480,ABBR!A:D,1,FALSE))),"")</f>
        <v/>
      </c>
      <c r="P3480" t="str">
        <f>VLOOKUP(A3480,Groups!A:L,5,FALSE)</f>
        <v>LOCA</v>
      </c>
      <c r="Q3480" s="62" t="str">
        <f>IF(G3480="PA",IF(M3480&lt;&gt;"",ISERROR(VLOOKUP(M3480,ABBR!C:F,1,FALSE)),ISERROR(VLOOKUP(E3480,ABBR!C:F,1,FALSE))),"")</f>
        <v/>
      </c>
    </row>
    <row r="3481" spans="1:17" s="62" customFormat="1" hidden="1" x14ac:dyDescent="0.25">
      <c r="A3481" s="16" t="s">
        <v>54</v>
      </c>
      <c r="B3481" s="17"/>
      <c r="C3481" s="16" t="s">
        <v>5607</v>
      </c>
      <c r="D3481" s="17"/>
      <c r="E3481" s="17" t="s">
        <v>608</v>
      </c>
      <c r="F3481" s="18" t="s">
        <v>5608</v>
      </c>
      <c r="G3481" s="49" t="s">
        <v>5609</v>
      </c>
      <c r="H3481" s="17">
        <v>22</v>
      </c>
      <c r="I3481" s="30"/>
      <c r="J3481"/>
      <c r="K3481"/>
      <c r="L3481"/>
      <c r="M3481"/>
      <c r="N3481"/>
      <c r="O3481" s="62" t="str">
        <f>IF(E3481="PA",IF(K3481&lt;&gt;"",ISERROR(VLOOKUP(K3481,ABBR!A:D,1,FALSE)),ISERROR(VLOOKUP(C3481,ABBR!A:D,1,FALSE))),"")</f>
        <v/>
      </c>
      <c r="P3481" t="str">
        <f>VLOOKUP(A3481,Groups!A:L,5,FALSE)</f>
        <v>LOCA</v>
      </c>
      <c r="Q3481" s="62" t="str">
        <f>IF(G3481="PA",IF(M3481&lt;&gt;"",ISERROR(VLOOKUP(M3481,ABBR!C:F,1,FALSE)),ISERROR(VLOOKUP(E3481,ABBR!C:F,1,FALSE))),"")</f>
        <v/>
      </c>
    </row>
    <row r="3482" spans="1:17" s="62" customFormat="1" ht="25" hidden="1" x14ac:dyDescent="0.25">
      <c r="A3482" s="16" t="s">
        <v>54</v>
      </c>
      <c r="B3482" s="17"/>
      <c r="C3482" s="16" t="s">
        <v>5610</v>
      </c>
      <c r="D3482" s="17"/>
      <c r="E3482" s="17" t="s">
        <v>608</v>
      </c>
      <c r="F3482" s="18" t="s">
        <v>5611</v>
      </c>
      <c r="G3482" s="49" t="s">
        <v>5612</v>
      </c>
      <c r="H3482" s="17">
        <v>23</v>
      </c>
      <c r="I3482" s="30"/>
      <c r="J3482"/>
      <c r="K3482"/>
      <c r="L3482"/>
      <c r="M3482"/>
      <c r="N3482"/>
      <c r="O3482" s="62" t="str">
        <f>IF(E3482="PA",IF(K3482&lt;&gt;"",ISERROR(VLOOKUP(K3482,ABBR!A:D,1,FALSE)),ISERROR(VLOOKUP(C3482,ABBR!A:D,1,FALSE))),"")</f>
        <v/>
      </c>
      <c r="P3482" t="str">
        <f>VLOOKUP(A3482,Groups!A:L,5,FALSE)</f>
        <v>LOCA</v>
      </c>
      <c r="Q3482" s="62" t="str">
        <f>IF(G3482="PA",IF(M3482&lt;&gt;"",ISERROR(VLOOKUP(M3482,ABBR!C:F,1,FALSE)),ISERROR(VLOOKUP(E3482,ABBR!C:F,1,FALSE))),"")</f>
        <v/>
      </c>
    </row>
    <row r="3483" spans="1:17" s="62" customFormat="1" hidden="1" x14ac:dyDescent="0.25">
      <c r="A3483" s="16" t="s">
        <v>54</v>
      </c>
      <c r="B3483" s="17"/>
      <c r="C3483" s="16" t="s">
        <v>5613</v>
      </c>
      <c r="D3483" s="17"/>
      <c r="E3483" s="17" t="s">
        <v>608</v>
      </c>
      <c r="F3483" s="18" t="s">
        <v>5614</v>
      </c>
      <c r="G3483" s="49" t="s">
        <v>1114</v>
      </c>
      <c r="H3483" s="17">
        <v>24</v>
      </c>
      <c r="I3483" s="30"/>
      <c r="J3483"/>
      <c r="K3483"/>
      <c r="L3483"/>
      <c r="M3483"/>
      <c r="N3483"/>
      <c r="O3483" s="62" t="str">
        <f>IF(E3483="PA",IF(K3483&lt;&gt;"",ISERROR(VLOOKUP(K3483,ABBR!A:D,1,FALSE)),ISERROR(VLOOKUP(C3483,ABBR!A:D,1,FALSE))),"")</f>
        <v/>
      </c>
      <c r="P3483" t="str">
        <f>VLOOKUP(A3483,Groups!A:L,5,FALSE)</f>
        <v>LOCA</v>
      </c>
      <c r="Q3483" s="62" t="str">
        <f>IF(G3483="PA",IF(M3483&lt;&gt;"",ISERROR(VLOOKUP(M3483,ABBR!C:F,1,FALSE)),ISERROR(VLOOKUP(E3483,ABBR!C:F,1,FALSE))),"")</f>
        <v/>
      </c>
    </row>
    <row r="3484" spans="1:17" s="62" customFormat="1" hidden="1" x14ac:dyDescent="0.25">
      <c r="A3484" s="16" t="s">
        <v>54</v>
      </c>
      <c r="B3484" s="17"/>
      <c r="C3484" s="16" t="s">
        <v>5615</v>
      </c>
      <c r="D3484" s="17" t="s">
        <v>2318</v>
      </c>
      <c r="E3484" s="17" t="s">
        <v>723</v>
      </c>
      <c r="F3484" s="18" t="s">
        <v>5616</v>
      </c>
      <c r="G3484" s="49" t="s">
        <v>1687</v>
      </c>
      <c r="H3484" s="17">
        <v>25</v>
      </c>
      <c r="I3484" s="30"/>
      <c r="J3484"/>
      <c r="K3484"/>
      <c r="L3484"/>
      <c r="M3484"/>
      <c r="N3484"/>
      <c r="O3484" s="62" t="str">
        <f>IF(E3484="PA",IF(K3484&lt;&gt;"",ISERROR(VLOOKUP(K3484,ABBR!A:D,1,FALSE)),ISERROR(VLOOKUP(C3484,ABBR!A:D,1,FALSE))),"")</f>
        <v/>
      </c>
      <c r="P3484" t="str">
        <f>VLOOKUP(A3484,Groups!A:L,5,FALSE)</f>
        <v>LOCA</v>
      </c>
      <c r="Q3484" s="62" t="str">
        <f>IF(G3484="PA",IF(M3484&lt;&gt;"",ISERROR(VLOOKUP(M3484,ABBR!C:F,1,FALSE)),ISERROR(VLOOKUP(E3484,ABBR!C:F,1,FALSE))),"")</f>
        <v/>
      </c>
    </row>
    <row r="3485" spans="1:17" s="62" customFormat="1" hidden="1" x14ac:dyDescent="0.25">
      <c r="A3485" s="16" t="s">
        <v>54</v>
      </c>
      <c r="B3485" s="17"/>
      <c r="C3485" s="16" t="s">
        <v>5617</v>
      </c>
      <c r="D3485" s="17" t="s">
        <v>1590</v>
      </c>
      <c r="E3485" s="17" t="s">
        <v>767</v>
      </c>
      <c r="F3485" s="18" t="s">
        <v>5618</v>
      </c>
      <c r="G3485" s="49" t="s">
        <v>1096</v>
      </c>
      <c r="H3485" s="17">
        <v>26</v>
      </c>
      <c r="I3485" s="30"/>
      <c r="J3485"/>
      <c r="K3485"/>
      <c r="L3485"/>
      <c r="M3485"/>
      <c r="N3485"/>
      <c r="O3485" s="62" t="str">
        <f>IF(E3485="PA",IF(K3485&lt;&gt;"",ISERROR(VLOOKUP(K3485,ABBR!A:D,1,FALSE)),ISERROR(VLOOKUP(C3485,ABBR!A:D,1,FALSE))),"")</f>
        <v/>
      </c>
      <c r="P3485" t="str">
        <f>VLOOKUP(A3485,Groups!A:L,5,FALSE)</f>
        <v>LOCA</v>
      </c>
      <c r="Q3485" s="62" t="str">
        <f>IF(G3485="PA",IF(M3485&lt;&gt;"",ISERROR(VLOOKUP(M3485,ABBR!C:F,1,FALSE)),ISERROR(VLOOKUP(E3485,ABBR!C:F,1,FALSE))),"")</f>
        <v/>
      </c>
    </row>
    <row r="3486" spans="1:17" s="62" customFormat="1" hidden="1" x14ac:dyDescent="0.25">
      <c r="A3486" s="16" t="s">
        <v>54</v>
      </c>
      <c r="B3486" s="17"/>
      <c r="C3486" s="16" t="s">
        <v>5619</v>
      </c>
      <c r="D3486" s="17" t="s">
        <v>2318</v>
      </c>
      <c r="E3486" s="17" t="s">
        <v>723</v>
      </c>
      <c r="F3486" s="18" t="s">
        <v>5620</v>
      </c>
      <c r="G3486" s="49" t="s">
        <v>888</v>
      </c>
      <c r="H3486" s="17">
        <v>27</v>
      </c>
      <c r="I3486" s="30"/>
      <c r="J3486"/>
      <c r="K3486"/>
      <c r="L3486"/>
      <c r="M3486"/>
      <c r="N3486"/>
      <c r="O3486" s="62" t="str">
        <f>IF(E3486="PA",IF(K3486&lt;&gt;"",ISERROR(VLOOKUP(K3486,ABBR!A:D,1,FALSE)),ISERROR(VLOOKUP(C3486,ABBR!A:D,1,FALSE))),"")</f>
        <v/>
      </c>
      <c r="P3486" t="str">
        <f>VLOOKUP(A3486,Groups!A:L,5,FALSE)</f>
        <v>LOCA</v>
      </c>
      <c r="Q3486" s="62" t="str">
        <f>IF(G3486="PA",IF(M3486&lt;&gt;"",ISERROR(VLOOKUP(M3486,ABBR!C:F,1,FALSE)),ISERROR(VLOOKUP(E3486,ABBR!C:F,1,FALSE))),"")</f>
        <v/>
      </c>
    </row>
    <row r="3487" spans="1:17" s="62" customFormat="1" hidden="1" x14ac:dyDescent="0.25">
      <c r="A3487" s="16" t="s">
        <v>54</v>
      </c>
      <c r="B3487" s="17"/>
      <c r="C3487" s="16" t="s">
        <v>5621</v>
      </c>
      <c r="D3487" s="17" t="s">
        <v>2344</v>
      </c>
      <c r="E3487" s="17" t="s">
        <v>723</v>
      </c>
      <c r="F3487" s="18" t="s">
        <v>5622</v>
      </c>
      <c r="G3487" s="49" t="s">
        <v>888</v>
      </c>
      <c r="H3487" s="17">
        <v>28</v>
      </c>
      <c r="I3487" s="30"/>
      <c r="J3487"/>
      <c r="K3487"/>
      <c r="L3487"/>
      <c r="M3487"/>
      <c r="N3487"/>
      <c r="O3487" s="62" t="str">
        <f>IF(E3487="PA",IF(K3487&lt;&gt;"",ISERROR(VLOOKUP(K3487,ABBR!A:D,1,FALSE)),ISERROR(VLOOKUP(C3487,ABBR!A:D,1,FALSE))),"")</f>
        <v/>
      </c>
      <c r="P3487" t="str">
        <f>VLOOKUP(A3487,Groups!A:L,5,FALSE)</f>
        <v>LOCA</v>
      </c>
      <c r="Q3487" s="62" t="str">
        <f>IF(G3487="PA",IF(M3487&lt;&gt;"",ISERROR(VLOOKUP(M3487,ABBR!C:F,1,FALSE)),ISERROR(VLOOKUP(E3487,ABBR!C:F,1,FALSE))),"")</f>
        <v/>
      </c>
    </row>
    <row r="3488" spans="1:17" s="62" customFormat="1" ht="25" hidden="1" x14ac:dyDescent="0.25">
      <c r="A3488" s="16" t="s">
        <v>54</v>
      </c>
      <c r="B3488" s="17"/>
      <c r="C3488" s="16" t="s">
        <v>5623</v>
      </c>
      <c r="D3488" s="17" t="s">
        <v>1421</v>
      </c>
      <c r="E3488" s="17" t="s">
        <v>925</v>
      </c>
      <c r="F3488" s="18" t="s">
        <v>5624</v>
      </c>
      <c r="G3488" s="49" t="s">
        <v>5625</v>
      </c>
      <c r="H3488" s="17">
        <v>29</v>
      </c>
      <c r="I3488" s="30"/>
      <c r="J3488"/>
      <c r="K3488"/>
      <c r="L3488"/>
      <c r="M3488"/>
      <c r="N3488"/>
      <c r="O3488" s="62" t="str">
        <f>IF(E3488="PA",IF(K3488&lt;&gt;"",ISERROR(VLOOKUP(K3488,ABBR!A:D,1,FALSE)),ISERROR(VLOOKUP(C3488,ABBR!A:D,1,FALSE))),"")</f>
        <v/>
      </c>
      <c r="P3488" t="str">
        <f>VLOOKUP(A3488,Groups!A:L,5,FALSE)</f>
        <v>LOCA</v>
      </c>
      <c r="Q3488" s="62" t="str">
        <f>IF(G3488="PA",IF(M3488&lt;&gt;"",ISERROR(VLOOKUP(M3488,ABBR!C:F,1,FALSE)),ISERROR(VLOOKUP(E3488,ABBR!C:F,1,FALSE))),"")</f>
        <v/>
      </c>
    </row>
    <row r="3489" spans="1:17" s="62" customFormat="1" hidden="1" x14ac:dyDescent="0.25">
      <c r="A3489" s="16" t="s">
        <v>54</v>
      </c>
      <c r="B3489" s="17"/>
      <c r="C3489" s="16" t="s">
        <v>5626</v>
      </c>
      <c r="D3489" s="17" t="s">
        <v>1639</v>
      </c>
      <c r="E3489" s="17" t="s">
        <v>1417</v>
      </c>
      <c r="F3489" s="18" t="s">
        <v>5627</v>
      </c>
      <c r="G3489" s="49" t="s">
        <v>5628</v>
      </c>
      <c r="H3489" s="17">
        <v>30</v>
      </c>
      <c r="I3489" s="30"/>
      <c r="J3489"/>
      <c r="K3489"/>
      <c r="L3489"/>
      <c r="M3489"/>
      <c r="N3489"/>
      <c r="O3489" s="62" t="str">
        <f>IF(E3489="PA",IF(K3489&lt;&gt;"",ISERROR(VLOOKUP(K3489,ABBR!A:D,1,FALSE)),ISERROR(VLOOKUP(C3489,ABBR!A:D,1,FALSE))),"")</f>
        <v/>
      </c>
      <c r="P3489" t="str">
        <f>VLOOKUP(A3489,Groups!A:L,5,FALSE)</f>
        <v>LOCA</v>
      </c>
      <c r="Q3489" s="62" t="str">
        <f>IF(G3489="PA",IF(M3489&lt;&gt;"",ISERROR(VLOOKUP(M3489,ABBR!C:F,1,FALSE)),ISERROR(VLOOKUP(E3489,ABBR!C:F,1,FALSE))),"")</f>
        <v/>
      </c>
    </row>
    <row r="3490" spans="1:17" s="62" customFormat="1" ht="25" hidden="1" x14ac:dyDescent="0.25">
      <c r="A3490" s="16" t="s">
        <v>54</v>
      </c>
      <c r="B3490" s="17"/>
      <c r="C3490" s="16" t="s">
        <v>5629</v>
      </c>
      <c r="D3490" s="17"/>
      <c r="E3490" s="17" t="s">
        <v>608</v>
      </c>
      <c r="F3490" s="18" t="s">
        <v>5630</v>
      </c>
      <c r="G3490" s="61" t="s">
        <v>5631</v>
      </c>
      <c r="H3490" s="17">
        <v>31</v>
      </c>
      <c r="I3490" s="30"/>
      <c r="J3490"/>
      <c r="K3490"/>
      <c r="L3490"/>
      <c r="M3490"/>
      <c r="N3490"/>
      <c r="O3490" s="62" t="str">
        <f>IF(E3490="PA",IF(K3490&lt;&gt;"",ISERROR(VLOOKUP(K3490,ABBR!A:D,1,FALSE)),ISERROR(VLOOKUP(C3490,ABBR!A:D,1,FALSE))),"")</f>
        <v/>
      </c>
      <c r="P3490" t="str">
        <f>VLOOKUP(A3490,Groups!A:L,5,FALSE)</f>
        <v>LOCA</v>
      </c>
      <c r="Q3490" s="62" t="str">
        <f>IF(G3490="PA",IF(M3490&lt;&gt;"",ISERROR(VLOOKUP(M3490,ABBR!C:F,1,FALSE)),ISERROR(VLOOKUP(E3490,ABBR!C:F,1,FALSE))),"")</f>
        <v/>
      </c>
    </row>
    <row r="3491" spans="1:17" s="62" customFormat="1" hidden="1" x14ac:dyDescent="0.25">
      <c r="A3491" s="16" t="s">
        <v>54</v>
      </c>
      <c r="B3491" s="17"/>
      <c r="C3491" s="16" t="s">
        <v>5632</v>
      </c>
      <c r="D3491" s="17"/>
      <c r="E3491" s="17" t="s">
        <v>5633</v>
      </c>
      <c r="F3491" s="18" t="s">
        <v>5634</v>
      </c>
      <c r="G3491" s="49" t="s">
        <v>5635</v>
      </c>
      <c r="H3491" s="17">
        <v>32</v>
      </c>
      <c r="I3491" s="30"/>
      <c r="J3491"/>
      <c r="K3491"/>
      <c r="L3491"/>
      <c r="M3491"/>
      <c r="N3491"/>
      <c r="O3491" s="62" t="str">
        <f>IF(E3491="PA",IF(K3491&lt;&gt;"",ISERROR(VLOOKUP(K3491,ABBR!A:D,1,FALSE)),ISERROR(VLOOKUP(C3491,ABBR!A:D,1,FALSE))),"")</f>
        <v/>
      </c>
      <c r="P3491" t="str">
        <f>VLOOKUP(A3491,Groups!A:L,5,FALSE)</f>
        <v>LOCA</v>
      </c>
      <c r="Q3491" s="62" t="str">
        <f>IF(G3491="PA",IF(M3491&lt;&gt;"",ISERROR(VLOOKUP(M3491,ABBR!C:F,1,FALSE)),ISERROR(VLOOKUP(E3491,ABBR!C:F,1,FALSE))),"")</f>
        <v/>
      </c>
    </row>
    <row r="3492" spans="1:17" s="62" customFormat="1" hidden="1" x14ac:dyDescent="0.25">
      <c r="A3492" s="16" t="s">
        <v>54</v>
      </c>
      <c r="B3492" s="17"/>
      <c r="C3492" s="16" t="s">
        <v>629</v>
      </c>
      <c r="D3492" s="17"/>
      <c r="E3492" s="17" t="s">
        <v>608</v>
      </c>
      <c r="F3492" s="18" t="s">
        <v>630</v>
      </c>
      <c r="G3492" s="49" t="s">
        <v>631</v>
      </c>
      <c r="H3492" s="17">
        <v>33</v>
      </c>
      <c r="I3492" s="30"/>
      <c r="J3492"/>
      <c r="K3492"/>
      <c r="L3492"/>
      <c r="M3492"/>
      <c r="N3492"/>
      <c r="O3492" s="62" t="str">
        <f>IF(E3492="PA",IF(K3492&lt;&gt;"",ISERROR(VLOOKUP(K3492,ABBR!A:D,1,FALSE)),ISERROR(VLOOKUP(C3492,ABBR!A:D,1,FALSE))),"")</f>
        <v/>
      </c>
      <c r="P3492" t="str">
        <f>VLOOKUP(A3492,Groups!A:L,5,FALSE)</f>
        <v>LOCA</v>
      </c>
      <c r="Q3492" s="62" t="str">
        <f>IF(G3492="PA",IF(M3492&lt;&gt;"",ISERROR(VLOOKUP(M3492,ABBR!C:F,1,FALSE)),ISERROR(VLOOKUP(E3492,ABBR!C:F,1,FALSE))),"")</f>
        <v/>
      </c>
    </row>
    <row r="3493" spans="1:17" s="62" customFormat="1" ht="25" hidden="1" x14ac:dyDescent="0.25">
      <c r="A3493" s="16" t="s">
        <v>54</v>
      </c>
      <c r="B3493" s="17"/>
      <c r="C3493" s="16" t="s">
        <v>643</v>
      </c>
      <c r="D3493" s="17"/>
      <c r="E3493" s="17" t="s">
        <v>608</v>
      </c>
      <c r="F3493" s="18" t="s">
        <v>5636</v>
      </c>
      <c r="G3493" s="49" t="s">
        <v>2105</v>
      </c>
      <c r="H3493" s="17">
        <v>34</v>
      </c>
      <c r="I3493" s="30"/>
      <c r="J3493"/>
      <c r="K3493"/>
      <c r="L3493"/>
      <c r="M3493"/>
      <c r="N3493"/>
      <c r="O3493" s="62" t="str">
        <f>IF(E3493="PA",IF(K3493&lt;&gt;"",ISERROR(VLOOKUP(K3493,ABBR!A:D,1,FALSE)),ISERROR(VLOOKUP(C3493,ABBR!A:D,1,FALSE))),"")</f>
        <v/>
      </c>
      <c r="P3493" t="str">
        <f>VLOOKUP(A3493,Groups!A:L,5,FALSE)</f>
        <v>LOCA</v>
      </c>
      <c r="Q3493" s="62" t="str">
        <f>IF(G3493="PA",IF(M3493&lt;&gt;"",ISERROR(VLOOKUP(M3493,ABBR!C:F,1,FALSE)),ISERROR(VLOOKUP(E3493,ABBR!C:F,1,FALSE))),"")</f>
        <v/>
      </c>
    </row>
    <row r="3494" spans="1:17" s="62" customFormat="1" hidden="1" x14ac:dyDescent="0.25">
      <c r="A3494" s="16" t="s">
        <v>54</v>
      </c>
      <c r="B3494" s="17"/>
      <c r="C3494" s="16" t="s">
        <v>5637</v>
      </c>
      <c r="D3494" s="17" t="s">
        <v>722</v>
      </c>
      <c r="E3494" s="17" t="s">
        <v>767</v>
      </c>
      <c r="F3494" s="18" t="s">
        <v>5638</v>
      </c>
      <c r="G3494" s="49" t="s">
        <v>5639</v>
      </c>
      <c r="H3494" s="17">
        <v>35</v>
      </c>
      <c r="I3494" s="30"/>
      <c r="J3494"/>
      <c r="K3494"/>
      <c r="L3494"/>
      <c r="M3494"/>
      <c r="N3494"/>
      <c r="O3494" s="62" t="str">
        <f>IF(E3494="PA",IF(K3494&lt;&gt;"",ISERROR(VLOOKUP(K3494,ABBR!A:D,1,FALSE)),ISERROR(VLOOKUP(C3494,ABBR!A:D,1,FALSE))),"")</f>
        <v/>
      </c>
      <c r="P3494" t="str">
        <f>VLOOKUP(A3494,Groups!A:L,5,FALSE)</f>
        <v>LOCA</v>
      </c>
      <c r="Q3494" s="62" t="str">
        <f>IF(G3494="PA",IF(M3494&lt;&gt;"",ISERROR(VLOOKUP(M3494,ABBR!C:F,1,FALSE)),ISERROR(VLOOKUP(E3494,ABBR!C:F,1,FALSE))),"")</f>
        <v/>
      </c>
    </row>
    <row r="3495" spans="1:17" s="62" customFormat="1" hidden="1" x14ac:dyDescent="0.25">
      <c r="A3495" s="16" t="s">
        <v>398</v>
      </c>
      <c r="B3495" s="17" t="s">
        <v>594</v>
      </c>
      <c r="C3495" s="16" t="s">
        <v>595</v>
      </c>
      <c r="D3495" s="17"/>
      <c r="E3495" s="17" t="s">
        <v>596</v>
      </c>
      <c r="F3495" s="18" t="s">
        <v>597</v>
      </c>
      <c r="G3495" s="49" t="s">
        <v>598</v>
      </c>
      <c r="H3495" s="17">
        <v>1</v>
      </c>
      <c r="I3495" s="30"/>
      <c r="J3495"/>
      <c r="K3495"/>
      <c r="L3495"/>
      <c r="M3495"/>
      <c r="N3495"/>
      <c r="O3495" s="62" t="str">
        <f>IF(E3495="PA",IF(K3495&lt;&gt;"",ISERROR(VLOOKUP(K3495,ABBR!A:D,1,FALSE)),ISERROR(VLOOKUP(C3495,ABBR!A:D,1,FALSE))),"")</f>
        <v/>
      </c>
      <c r="P3495" t="str">
        <f>VLOOKUP(A3495,Groups!A:L,5,FALSE)</f>
        <v>SCPG</v>
      </c>
      <c r="Q3495" s="62" t="str">
        <f>IF(G3495="PA",IF(M3495&lt;&gt;"",ISERROR(VLOOKUP(M3495,ABBR!C:F,1,FALSE)),ISERROR(VLOOKUP(E3495,ABBR!C:F,1,FALSE))),"")</f>
        <v/>
      </c>
    </row>
    <row r="3496" spans="1:17" s="62" customFormat="1" hidden="1" x14ac:dyDescent="0.25">
      <c r="A3496" s="16" t="s">
        <v>398</v>
      </c>
      <c r="B3496" s="17" t="s">
        <v>594</v>
      </c>
      <c r="C3496" s="16" t="s">
        <v>5640</v>
      </c>
      <c r="D3496" s="17"/>
      <c r="E3496" s="17" t="s">
        <v>608</v>
      </c>
      <c r="F3496" s="18" t="s">
        <v>5641</v>
      </c>
      <c r="G3496" s="49" t="s">
        <v>1507</v>
      </c>
      <c r="H3496" s="17">
        <v>2</v>
      </c>
      <c r="I3496" s="30"/>
      <c r="J3496"/>
      <c r="K3496"/>
      <c r="L3496"/>
      <c r="M3496"/>
      <c r="N3496"/>
      <c r="O3496" s="62" t="str">
        <f>IF(E3496="PA",IF(K3496&lt;&gt;"",ISERROR(VLOOKUP(K3496,ABBR!A:D,1,FALSE)),ISERROR(VLOOKUP(C3496,ABBR!A:D,1,FALSE))),"")</f>
        <v/>
      </c>
      <c r="P3496" t="str">
        <f>VLOOKUP(A3496,Groups!A:L,5,FALSE)</f>
        <v>SCPG</v>
      </c>
      <c r="Q3496" s="62" t="str">
        <f>IF(G3496="PA",IF(M3496&lt;&gt;"",ISERROR(VLOOKUP(M3496,ABBR!C:F,1,FALSE)),ISERROR(VLOOKUP(E3496,ABBR!C:F,1,FALSE))),"")</f>
        <v/>
      </c>
    </row>
    <row r="3497" spans="1:17" s="62" customFormat="1" hidden="1" x14ac:dyDescent="0.25">
      <c r="A3497" s="16" t="s">
        <v>398</v>
      </c>
      <c r="B3497" s="17" t="s">
        <v>594</v>
      </c>
      <c r="C3497" s="16" t="s">
        <v>5642</v>
      </c>
      <c r="D3497" s="17" t="s">
        <v>600</v>
      </c>
      <c r="E3497" s="17" t="s">
        <v>1321</v>
      </c>
      <c r="F3497" s="18" t="s">
        <v>2108</v>
      </c>
      <c r="G3497" s="49" t="s">
        <v>5643</v>
      </c>
      <c r="H3497" s="17">
        <v>3</v>
      </c>
      <c r="I3497" s="30" t="s">
        <v>5644</v>
      </c>
      <c r="J3497" s="62" t="s">
        <v>1279</v>
      </c>
      <c r="O3497" s="62" t="str">
        <f>IF(E3497="PA",IF(K3497&lt;&gt;"",ISERROR(VLOOKUP(K3497,ABBR!A:D,1,FALSE)),ISERROR(VLOOKUP(C3497,ABBR!A:D,1,FALSE))),"")</f>
        <v/>
      </c>
      <c r="P3497" t="str">
        <f>VLOOKUP(A3497,Groups!A:L,5,FALSE)</f>
        <v>SCPG</v>
      </c>
      <c r="Q3497" s="62" t="str">
        <f>IF(G3497="PA",IF(M3497&lt;&gt;"",ISERROR(VLOOKUP(M3497,ABBR!C:F,1,FALSE)),ISERROR(VLOOKUP(E3497,ABBR!C:F,1,FALSE))),"")</f>
        <v/>
      </c>
    </row>
    <row r="3498" spans="1:17" s="62" customFormat="1" hidden="1" x14ac:dyDescent="0.25">
      <c r="A3498" s="16" t="s">
        <v>398</v>
      </c>
      <c r="B3498" s="17"/>
      <c r="C3498" s="16" t="s">
        <v>5645</v>
      </c>
      <c r="D3498" s="17" t="s">
        <v>1710</v>
      </c>
      <c r="E3498" s="17" t="s">
        <v>1321</v>
      </c>
      <c r="F3498" s="18" t="s">
        <v>5646</v>
      </c>
      <c r="G3498" s="49" t="s">
        <v>5647</v>
      </c>
      <c r="H3498" s="17">
        <v>4</v>
      </c>
      <c r="I3498" s="30"/>
      <c r="J3498"/>
      <c r="K3498"/>
      <c r="L3498"/>
      <c r="M3498"/>
      <c r="N3498"/>
      <c r="O3498" s="62" t="str">
        <f>IF(E3498="PA",IF(K3498&lt;&gt;"",ISERROR(VLOOKUP(K3498,ABBR!A:D,1,FALSE)),ISERROR(VLOOKUP(C3498,ABBR!A:D,1,FALSE))),"")</f>
        <v/>
      </c>
      <c r="P3498" t="str">
        <f>VLOOKUP(A3498,Groups!A:L,5,FALSE)</f>
        <v>SCPG</v>
      </c>
      <c r="Q3498" s="62" t="str">
        <f>IF(G3498="PA",IF(M3498&lt;&gt;"",ISERROR(VLOOKUP(M3498,ABBR!C:F,1,FALSE)),ISERROR(VLOOKUP(E3498,ABBR!C:F,1,FALSE))),"")</f>
        <v/>
      </c>
    </row>
    <row r="3499" spans="1:17" s="62" customFormat="1" hidden="1" x14ac:dyDescent="0.25">
      <c r="A3499" s="16" t="s">
        <v>398</v>
      </c>
      <c r="B3499" s="17"/>
      <c r="C3499" s="16" t="s">
        <v>5648</v>
      </c>
      <c r="D3499" s="17" t="s">
        <v>1710</v>
      </c>
      <c r="E3499" s="17" t="s">
        <v>1321</v>
      </c>
      <c r="F3499" s="18" t="s">
        <v>5649</v>
      </c>
      <c r="G3499" s="49" t="s">
        <v>5650</v>
      </c>
      <c r="H3499" s="17">
        <v>5</v>
      </c>
      <c r="I3499" s="30"/>
      <c r="J3499"/>
      <c r="K3499"/>
      <c r="L3499"/>
      <c r="M3499"/>
      <c r="N3499"/>
      <c r="O3499" s="62" t="str">
        <f>IF(E3499="PA",IF(K3499&lt;&gt;"",ISERROR(VLOOKUP(K3499,ABBR!A:D,1,FALSE)),ISERROR(VLOOKUP(C3499,ABBR!A:D,1,FALSE))),"")</f>
        <v/>
      </c>
      <c r="P3499" t="str">
        <f>VLOOKUP(A3499,Groups!A:L,5,FALSE)</f>
        <v>SCPG</v>
      </c>
      <c r="Q3499" s="62" t="str">
        <f>IF(G3499="PA",IF(M3499&lt;&gt;"",ISERROR(VLOOKUP(M3499,ABBR!C:F,1,FALSE)),ISERROR(VLOOKUP(E3499,ABBR!C:F,1,FALSE))),"")</f>
        <v/>
      </c>
    </row>
    <row r="3500" spans="1:17" s="62" customFormat="1" hidden="1" x14ac:dyDescent="0.25">
      <c r="A3500" s="16" t="s">
        <v>398</v>
      </c>
      <c r="B3500" s="17"/>
      <c r="C3500" s="16" t="s">
        <v>5651</v>
      </c>
      <c r="D3500" s="17" t="s">
        <v>766</v>
      </c>
      <c r="E3500" s="17" t="s">
        <v>767</v>
      </c>
      <c r="F3500" s="18" t="s">
        <v>5652</v>
      </c>
      <c r="G3500" s="49" t="s">
        <v>2067</v>
      </c>
      <c r="H3500" s="17">
        <v>6</v>
      </c>
      <c r="I3500" s="30"/>
      <c r="J3500"/>
      <c r="K3500"/>
      <c r="L3500"/>
      <c r="M3500"/>
      <c r="N3500"/>
      <c r="O3500" s="62" t="str">
        <f>IF(E3500="PA",IF(K3500&lt;&gt;"",ISERROR(VLOOKUP(K3500,ABBR!A:D,1,FALSE)),ISERROR(VLOOKUP(C3500,ABBR!A:D,1,FALSE))),"")</f>
        <v/>
      </c>
      <c r="P3500" t="str">
        <f>VLOOKUP(A3500,Groups!A:L,5,FALSE)</f>
        <v>SCPG</v>
      </c>
      <c r="Q3500" s="62" t="str">
        <f>IF(G3500="PA",IF(M3500&lt;&gt;"",ISERROR(VLOOKUP(M3500,ABBR!C:F,1,FALSE)),ISERROR(VLOOKUP(E3500,ABBR!C:F,1,FALSE))),"")</f>
        <v/>
      </c>
    </row>
    <row r="3501" spans="1:17" s="62" customFormat="1" ht="25" hidden="1" x14ac:dyDescent="0.25">
      <c r="A3501" s="16" t="s">
        <v>398</v>
      </c>
      <c r="B3501" s="17"/>
      <c r="C3501" s="16" t="s">
        <v>5653</v>
      </c>
      <c r="D3501" s="17" t="s">
        <v>1698</v>
      </c>
      <c r="E3501" s="17" t="s">
        <v>723</v>
      </c>
      <c r="F3501" s="18" t="s">
        <v>5654</v>
      </c>
      <c r="G3501" s="49" t="s">
        <v>5655</v>
      </c>
      <c r="H3501" s="17">
        <v>7</v>
      </c>
      <c r="I3501" s="30" t="s">
        <v>2378</v>
      </c>
      <c r="J3501"/>
      <c r="K3501"/>
      <c r="L3501"/>
      <c r="M3501"/>
      <c r="N3501"/>
      <c r="O3501" s="62" t="str">
        <f>IF(E3501="PA",IF(K3501&lt;&gt;"",ISERROR(VLOOKUP(K3501,ABBR!A:D,1,FALSE)),ISERROR(VLOOKUP(C3501,ABBR!A:D,1,FALSE))),"")</f>
        <v/>
      </c>
      <c r="P3501" t="str">
        <f>VLOOKUP(A3501,Groups!A:L,5,FALSE)</f>
        <v>SCPG</v>
      </c>
      <c r="Q3501" s="62" t="str">
        <f>IF(G3501="PA",IF(M3501&lt;&gt;"",ISERROR(VLOOKUP(M3501,ABBR!C:F,1,FALSE)),ISERROR(VLOOKUP(E3501,ABBR!C:F,1,FALSE))),"")</f>
        <v/>
      </c>
    </row>
    <row r="3502" spans="1:17" s="62" customFormat="1" hidden="1" x14ac:dyDescent="0.25">
      <c r="A3502" s="16" t="s">
        <v>398</v>
      </c>
      <c r="B3502" s="17"/>
      <c r="C3502" s="16" t="s">
        <v>5656</v>
      </c>
      <c r="D3502" s="17" t="s">
        <v>1585</v>
      </c>
      <c r="E3502" s="17" t="s">
        <v>3357</v>
      </c>
      <c r="F3502" s="18" t="s">
        <v>5657</v>
      </c>
      <c r="G3502" s="49" t="s">
        <v>5658</v>
      </c>
      <c r="H3502" s="17">
        <v>8</v>
      </c>
      <c r="I3502" s="30" t="s">
        <v>5659</v>
      </c>
      <c r="J3502"/>
      <c r="K3502"/>
      <c r="L3502"/>
      <c r="M3502"/>
      <c r="N3502"/>
      <c r="O3502" s="62" t="str">
        <f>IF(E3502="PA",IF(K3502&lt;&gt;"",ISERROR(VLOOKUP(K3502,ABBR!A:D,1,FALSE)),ISERROR(VLOOKUP(C3502,ABBR!A:D,1,FALSE))),"")</f>
        <v/>
      </c>
      <c r="P3502" t="str">
        <f>VLOOKUP(A3502,Groups!A:L,5,FALSE)</f>
        <v>SCPG</v>
      </c>
      <c r="Q3502" s="62" t="str">
        <f>IF(G3502="PA",IF(M3502&lt;&gt;"",ISERROR(VLOOKUP(M3502,ABBR!C:F,1,FALSE)),ISERROR(VLOOKUP(E3502,ABBR!C:F,1,FALSE))),"")</f>
        <v/>
      </c>
    </row>
    <row r="3503" spans="1:17" s="62" customFormat="1" ht="25" hidden="1" x14ac:dyDescent="0.25">
      <c r="A3503" s="16" t="s">
        <v>398</v>
      </c>
      <c r="B3503" s="17"/>
      <c r="C3503" s="16" t="s">
        <v>5660</v>
      </c>
      <c r="D3503" s="17"/>
      <c r="E3503" s="17" t="s">
        <v>608</v>
      </c>
      <c r="F3503" s="18" t="s">
        <v>5661</v>
      </c>
      <c r="G3503" s="49" t="s">
        <v>5662</v>
      </c>
      <c r="H3503" s="17">
        <v>9</v>
      </c>
      <c r="I3503" s="30"/>
      <c r="J3503"/>
      <c r="K3503"/>
      <c r="L3503"/>
      <c r="M3503"/>
      <c r="N3503"/>
      <c r="O3503" s="62" t="str">
        <f>IF(E3503="PA",IF(K3503&lt;&gt;"",ISERROR(VLOOKUP(K3503,ABBR!A:D,1,FALSE)),ISERROR(VLOOKUP(C3503,ABBR!A:D,1,FALSE))),"")</f>
        <v/>
      </c>
      <c r="P3503" t="str">
        <f>VLOOKUP(A3503,Groups!A:L,5,FALSE)</f>
        <v>SCPG</v>
      </c>
      <c r="Q3503" s="62" t="str">
        <f>IF(G3503="PA",IF(M3503&lt;&gt;"",ISERROR(VLOOKUP(M3503,ABBR!C:F,1,FALSE)),ISERROR(VLOOKUP(E3503,ABBR!C:F,1,FALSE))),"")</f>
        <v/>
      </c>
    </row>
    <row r="3504" spans="1:17" s="62" customFormat="1" hidden="1" x14ac:dyDescent="0.25">
      <c r="A3504" s="16" t="s">
        <v>398</v>
      </c>
      <c r="B3504" s="17"/>
      <c r="C3504" s="16" t="s">
        <v>5663</v>
      </c>
      <c r="D3504" s="17" t="s">
        <v>1585</v>
      </c>
      <c r="E3504" s="17" t="s">
        <v>3357</v>
      </c>
      <c r="F3504" s="18" t="s">
        <v>5664</v>
      </c>
      <c r="G3504" s="49" t="s">
        <v>5665</v>
      </c>
      <c r="H3504" s="17">
        <v>10</v>
      </c>
      <c r="I3504" s="30" t="s">
        <v>5659</v>
      </c>
      <c r="J3504"/>
      <c r="K3504"/>
      <c r="L3504"/>
      <c r="M3504"/>
      <c r="N3504"/>
      <c r="O3504" s="62" t="str">
        <f>IF(E3504="PA",IF(K3504&lt;&gt;"",ISERROR(VLOOKUP(K3504,ABBR!A:D,1,FALSE)),ISERROR(VLOOKUP(C3504,ABBR!A:D,1,FALSE))),"")</f>
        <v/>
      </c>
      <c r="P3504" t="str">
        <f>VLOOKUP(A3504,Groups!A:L,5,FALSE)</f>
        <v>SCPG</v>
      </c>
      <c r="Q3504" s="62" t="str">
        <f>IF(G3504="PA",IF(M3504&lt;&gt;"",ISERROR(VLOOKUP(M3504,ABBR!C:F,1,FALSE)),ISERROR(VLOOKUP(E3504,ABBR!C:F,1,FALSE))),"")</f>
        <v/>
      </c>
    </row>
    <row r="3505" spans="1:17" s="62" customFormat="1" ht="25" hidden="1" x14ac:dyDescent="0.25">
      <c r="A3505" s="16" t="s">
        <v>398</v>
      </c>
      <c r="B3505" s="17"/>
      <c r="C3505" s="16" t="s">
        <v>5666</v>
      </c>
      <c r="D3505" s="17"/>
      <c r="E3505" s="17" t="s">
        <v>608</v>
      </c>
      <c r="F3505" s="18" t="s">
        <v>5667</v>
      </c>
      <c r="G3505" s="49" t="s">
        <v>5668</v>
      </c>
      <c r="H3505" s="17">
        <v>11</v>
      </c>
      <c r="I3505" s="30"/>
      <c r="J3505"/>
      <c r="K3505"/>
      <c r="L3505"/>
      <c r="M3505"/>
      <c r="N3505"/>
      <c r="O3505" s="62" t="str">
        <f>IF(E3505="PA",IF(K3505&lt;&gt;"",ISERROR(VLOOKUP(K3505,ABBR!A:D,1,FALSE)),ISERROR(VLOOKUP(C3505,ABBR!A:D,1,FALSE))),"")</f>
        <v/>
      </c>
      <c r="P3505" t="str">
        <f>VLOOKUP(A3505,Groups!A:L,5,FALSE)</f>
        <v>SCPG</v>
      </c>
      <c r="Q3505" s="62" t="str">
        <f>IF(G3505="PA",IF(M3505&lt;&gt;"",ISERROR(VLOOKUP(M3505,ABBR!C:F,1,FALSE)),ISERROR(VLOOKUP(E3505,ABBR!C:F,1,FALSE))),"")</f>
        <v/>
      </c>
    </row>
    <row r="3506" spans="1:17" s="62" customFormat="1" hidden="1" x14ac:dyDescent="0.25">
      <c r="A3506" s="16" t="s">
        <v>398</v>
      </c>
      <c r="B3506" s="17"/>
      <c r="C3506" s="16" t="s">
        <v>5669</v>
      </c>
      <c r="D3506" s="17"/>
      <c r="E3506" s="17" t="s">
        <v>608</v>
      </c>
      <c r="F3506" s="18" t="s">
        <v>642</v>
      </c>
      <c r="G3506" s="49" t="s">
        <v>16</v>
      </c>
      <c r="H3506" s="17">
        <v>12</v>
      </c>
      <c r="I3506" s="30"/>
      <c r="J3506"/>
      <c r="K3506"/>
      <c r="L3506"/>
      <c r="M3506"/>
      <c r="N3506"/>
      <c r="O3506" s="62" t="str">
        <f>IF(E3506="PA",IF(K3506&lt;&gt;"",ISERROR(VLOOKUP(K3506,ABBR!A:D,1,FALSE)),ISERROR(VLOOKUP(C3506,ABBR!A:D,1,FALSE))),"")</f>
        <v/>
      </c>
      <c r="P3506" t="str">
        <f>VLOOKUP(A3506,Groups!A:L,5,FALSE)</f>
        <v>SCPG</v>
      </c>
      <c r="Q3506" s="62" t="str">
        <f>IF(G3506="PA",IF(M3506&lt;&gt;"",ISERROR(VLOOKUP(M3506,ABBR!C:F,1,FALSE)),ISERROR(VLOOKUP(E3506,ABBR!C:F,1,FALSE))),"")</f>
        <v/>
      </c>
    </row>
    <row r="3507" spans="1:17" s="62" customFormat="1" hidden="1" x14ac:dyDescent="0.25">
      <c r="A3507" s="16" t="s">
        <v>398</v>
      </c>
      <c r="B3507" s="17"/>
      <c r="C3507" s="16" t="s">
        <v>936</v>
      </c>
      <c r="D3507" s="17"/>
      <c r="E3507" s="22" t="s">
        <v>608</v>
      </c>
      <c r="F3507" s="18" t="s">
        <v>937</v>
      </c>
      <c r="G3507" s="49" t="s">
        <v>938</v>
      </c>
      <c r="H3507" s="17">
        <v>13</v>
      </c>
      <c r="I3507" s="30"/>
      <c r="J3507"/>
      <c r="K3507"/>
      <c r="L3507"/>
      <c r="M3507"/>
      <c r="N3507"/>
      <c r="O3507" s="62" t="str">
        <f>IF(E3507="PA",IF(K3507&lt;&gt;"",ISERROR(VLOOKUP(K3507,ABBR!A:D,1,FALSE)),ISERROR(VLOOKUP(C3507,ABBR!A:D,1,FALSE))),"")</f>
        <v/>
      </c>
      <c r="P3507" t="str">
        <f>VLOOKUP(A3507,Groups!A:L,5,FALSE)</f>
        <v>SCPG</v>
      </c>
      <c r="Q3507" s="62" t="str">
        <f>IF(G3507="PA",IF(M3507&lt;&gt;"",ISERROR(VLOOKUP(M3507,ABBR!C:F,1,FALSE)),ISERROR(VLOOKUP(E3507,ABBR!C:F,1,FALSE))),"")</f>
        <v/>
      </c>
    </row>
    <row r="3508" spans="1:17" s="62" customFormat="1" hidden="1" x14ac:dyDescent="0.25">
      <c r="A3508" s="16" t="s">
        <v>398</v>
      </c>
      <c r="B3508" s="17"/>
      <c r="C3508" s="16" t="s">
        <v>643</v>
      </c>
      <c r="D3508" s="17"/>
      <c r="E3508" s="17" t="s">
        <v>608</v>
      </c>
      <c r="F3508" s="18" t="s">
        <v>1294</v>
      </c>
      <c r="G3508" s="49" t="s">
        <v>5670</v>
      </c>
      <c r="H3508" s="17">
        <v>14</v>
      </c>
      <c r="I3508" s="30"/>
      <c r="J3508"/>
      <c r="K3508"/>
      <c r="L3508"/>
      <c r="M3508"/>
      <c r="N3508"/>
      <c r="O3508" s="62" t="str">
        <f>IF(E3508="PA",IF(K3508&lt;&gt;"",ISERROR(VLOOKUP(K3508,ABBR!A:D,1,FALSE)),ISERROR(VLOOKUP(C3508,ABBR!A:D,1,FALSE))),"")</f>
        <v/>
      </c>
      <c r="P3508" t="str">
        <f>VLOOKUP(A3508,Groups!A:L,5,FALSE)</f>
        <v>SCPG</v>
      </c>
      <c r="Q3508" s="62" t="str">
        <f>IF(G3508="PA",IF(M3508&lt;&gt;"",ISERROR(VLOOKUP(M3508,ABBR!C:F,1,FALSE)),ISERROR(VLOOKUP(E3508,ABBR!C:F,1,FALSE))),"")</f>
        <v/>
      </c>
    </row>
    <row r="3509" spans="1:17" s="62" customFormat="1" ht="25" hidden="1" x14ac:dyDescent="0.25">
      <c r="A3509" s="16" t="s">
        <v>398</v>
      </c>
      <c r="B3509" s="17"/>
      <c r="C3509" s="16" t="s">
        <v>5671</v>
      </c>
      <c r="D3509" s="17" t="s">
        <v>1421</v>
      </c>
      <c r="E3509" s="17" t="s">
        <v>925</v>
      </c>
      <c r="F3509" s="18" t="s">
        <v>3109</v>
      </c>
      <c r="G3509" s="49" t="s">
        <v>5672</v>
      </c>
      <c r="H3509" s="17">
        <v>15</v>
      </c>
      <c r="I3509" s="30"/>
      <c r="J3509" s="62" t="s">
        <v>473</v>
      </c>
      <c r="M3509"/>
      <c r="O3509" s="62" t="str">
        <f>IF(E3509="PA",IF(K3509&lt;&gt;"",ISERROR(VLOOKUP(K3509,ABBR!A:D,1,FALSE)),ISERROR(VLOOKUP(C3509,ABBR!A:D,1,FALSE))),"")</f>
        <v/>
      </c>
      <c r="P3509" t="str">
        <f>VLOOKUP(A3509,Groups!A:L,5,FALSE)</f>
        <v>SCPG</v>
      </c>
      <c r="Q3509" s="62" t="str">
        <f>IF(G3509="PA",IF(M3509&lt;&gt;"",ISERROR(VLOOKUP(M3509,ABBR!C:F,1,FALSE)),ISERROR(VLOOKUP(E3509,ABBR!C:F,1,FALSE))),"")</f>
        <v/>
      </c>
    </row>
    <row r="3510" spans="1:17" s="62" customFormat="1" hidden="1" x14ac:dyDescent="0.25">
      <c r="A3510" s="16" t="s">
        <v>398</v>
      </c>
      <c r="B3510" s="17"/>
      <c r="C3510" s="16" t="s">
        <v>5673</v>
      </c>
      <c r="D3510" s="17"/>
      <c r="E3510" s="17" t="s">
        <v>608</v>
      </c>
      <c r="F3510" s="18" t="s">
        <v>1952</v>
      </c>
      <c r="G3510" s="49" t="s">
        <v>876</v>
      </c>
      <c r="H3510" s="17">
        <v>16</v>
      </c>
      <c r="I3510" s="30"/>
      <c r="J3510" s="62" t="s">
        <v>473</v>
      </c>
      <c r="M3510"/>
      <c r="O3510" s="62" t="str">
        <f>IF(E3510="PA",IF(K3510&lt;&gt;"",ISERROR(VLOOKUP(K3510,ABBR!A:D,1,FALSE)),ISERROR(VLOOKUP(C3510,ABBR!A:D,1,FALSE))),"")</f>
        <v/>
      </c>
      <c r="P3510" t="str">
        <f>VLOOKUP(A3510,Groups!A:L,5,FALSE)</f>
        <v>SCPG</v>
      </c>
      <c r="Q3510" s="62" t="str">
        <f>IF(G3510="PA",IF(M3510&lt;&gt;"",ISERROR(VLOOKUP(M3510,ABBR!C:F,1,FALSE)),ISERROR(VLOOKUP(E3510,ABBR!C:F,1,FALSE))),"")</f>
        <v/>
      </c>
    </row>
    <row r="3511" spans="1:17" s="62" customFormat="1" hidden="1" x14ac:dyDescent="0.25">
      <c r="A3511" s="16" t="s">
        <v>398</v>
      </c>
      <c r="B3511" s="17"/>
      <c r="C3511" s="16" t="s">
        <v>5674</v>
      </c>
      <c r="D3511" s="17"/>
      <c r="E3511" s="17" t="s">
        <v>608</v>
      </c>
      <c r="F3511" s="18" t="s">
        <v>5675</v>
      </c>
      <c r="G3511" s="49" t="s">
        <v>876</v>
      </c>
      <c r="H3511" s="17">
        <v>17</v>
      </c>
      <c r="I3511" s="30"/>
      <c r="J3511" s="62" t="s">
        <v>473</v>
      </c>
      <c r="M3511"/>
      <c r="O3511" s="62" t="str">
        <f>IF(E3511="PA",IF(K3511&lt;&gt;"",ISERROR(VLOOKUP(K3511,ABBR!A:D,1,FALSE)),ISERROR(VLOOKUP(C3511,ABBR!A:D,1,FALSE))),"")</f>
        <v/>
      </c>
      <c r="P3511" t="str">
        <f>VLOOKUP(A3511,Groups!A:L,5,FALSE)</f>
        <v>SCPG</v>
      </c>
      <c r="Q3511" s="62" t="str">
        <f>IF(G3511="PA",IF(M3511&lt;&gt;"",ISERROR(VLOOKUP(M3511,ABBR!C:F,1,FALSE)),ISERROR(VLOOKUP(E3511,ABBR!C:F,1,FALSE))),"")</f>
        <v/>
      </c>
    </row>
    <row r="3512" spans="1:17" s="62" customFormat="1" hidden="1" x14ac:dyDescent="0.25">
      <c r="A3512" s="16" t="s">
        <v>401</v>
      </c>
      <c r="B3512" s="17" t="s">
        <v>594</v>
      </c>
      <c r="C3512" s="16" t="s">
        <v>595</v>
      </c>
      <c r="D3512" s="17"/>
      <c r="E3512" s="17" t="s">
        <v>596</v>
      </c>
      <c r="F3512" s="18" t="s">
        <v>597</v>
      </c>
      <c r="G3512" s="49" t="s">
        <v>598</v>
      </c>
      <c r="H3512" s="17">
        <v>1</v>
      </c>
      <c r="I3512" s="30"/>
      <c r="J3512"/>
      <c r="K3512"/>
      <c r="L3512"/>
      <c r="M3512"/>
      <c r="N3512"/>
      <c r="O3512" s="62" t="str">
        <f>IF(E3512="PA",IF(K3512&lt;&gt;"",ISERROR(VLOOKUP(K3512,ABBR!A:D,1,FALSE)),ISERROR(VLOOKUP(C3512,ABBR!A:D,1,FALSE))),"")</f>
        <v/>
      </c>
      <c r="P3512" t="str">
        <f>VLOOKUP(A3512,Groups!A:L,5,FALSE)</f>
        <v>SCDG</v>
      </c>
      <c r="Q3512" s="62" t="str">
        <f>IF(G3512="PA",IF(M3512&lt;&gt;"",ISERROR(VLOOKUP(M3512,ABBR!C:F,1,FALSE)),ISERROR(VLOOKUP(E3512,ABBR!C:F,1,FALSE))),"")</f>
        <v/>
      </c>
    </row>
    <row r="3513" spans="1:17" s="62" customFormat="1" hidden="1" x14ac:dyDescent="0.25">
      <c r="A3513" s="16" t="s">
        <v>401</v>
      </c>
      <c r="B3513" s="17" t="s">
        <v>594</v>
      </c>
      <c r="C3513" s="16" t="s">
        <v>5640</v>
      </c>
      <c r="D3513" s="17"/>
      <c r="E3513" s="17" t="s">
        <v>608</v>
      </c>
      <c r="F3513" s="18" t="s">
        <v>5641</v>
      </c>
      <c r="G3513" s="49" t="s">
        <v>1507</v>
      </c>
      <c r="H3513" s="17">
        <v>2</v>
      </c>
      <c r="I3513" s="30"/>
      <c r="J3513"/>
      <c r="K3513"/>
      <c r="L3513"/>
      <c r="M3513"/>
      <c r="N3513"/>
      <c r="O3513" s="62" t="str">
        <f>IF(E3513="PA",IF(K3513&lt;&gt;"",ISERROR(VLOOKUP(K3513,ABBR!A:D,1,FALSE)),ISERROR(VLOOKUP(C3513,ABBR!A:D,1,FALSE))),"")</f>
        <v/>
      </c>
      <c r="P3513" t="str">
        <f>VLOOKUP(A3513,Groups!A:L,5,FALSE)</f>
        <v>SCDG</v>
      </c>
      <c r="Q3513" s="62" t="str">
        <f>IF(G3513="PA",IF(M3513&lt;&gt;"",ISERROR(VLOOKUP(M3513,ABBR!C:F,1,FALSE)),ISERROR(VLOOKUP(E3513,ABBR!C:F,1,FALSE))),"")</f>
        <v/>
      </c>
    </row>
    <row r="3514" spans="1:17" s="62" customFormat="1" hidden="1" x14ac:dyDescent="0.25">
      <c r="A3514" s="16" t="s">
        <v>401</v>
      </c>
      <c r="B3514" s="17" t="s">
        <v>594</v>
      </c>
      <c r="C3514" s="16" t="s">
        <v>5642</v>
      </c>
      <c r="D3514" s="17" t="s">
        <v>600</v>
      </c>
      <c r="E3514" s="17" t="s">
        <v>1321</v>
      </c>
      <c r="F3514" s="18" t="s">
        <v>2108</v>
      </c>
      <c r="G3514" s="49" t="s">
        <v>5643</v>
      </c>
      <c r="H3514" s="17">
        <v>3</v>
      </c>
      <c r="I3514" s="30"/>
      <c r="J3514" s="62" t="s">
        <v>1279</v>
      </c>
      <c r="M3514"/>
      <c r="O3514" s="62" t="str">
        <f>IF(E3514="PA",IF(K3514&lt;&gt;"",ISERROR(VLOOKUP(K3514,ABBR!A:D,1,FALSE)),ISERROR(VLOOKUP(C3514,ABBR!A:D,1,FALSE))),"")</f>
        <v/>
      </c>
      <c r="P3514" t="str">
        <f>VLOOKUP(A3514,Groups!A:L,5,FALSE)</f>
        <v>SCDG</v>
      </c>
      <c r="Q3514" s="62" t="str">
        <f>IF(G3514="PA",IF(M3514&lt;&gt;"",ISERROR(VLOOKUP(M3514,ABBR!C:F,1,FALSE)),ISERROR(VLOOKUP(E3514,ABBR!C:F,1,FALSE))),"")</f>
        <v/>
      </c>
    </row>
    <row r="3515" spans="1:17" s="62" customFormat="1" hidden="1" x14ac:dyDescent="0.25">
      <c r="A3515" s="16" t="s">
        <v>401</v>
      </c>
      <c r="B3515" s="17" t="s">
        <v>594</v>
      </c>
      <c r="C3515" s="16" t="s">
        <v>5676</v>
      </c>
      <c r="D3515" s="17" t="s">
        <v>1698</v>
      </c>
      <c r="E3515" s="17" t="s">
        <v>723</v>
      </c>
      <c r="F3515" s="18" t="s">
        <v>5677</v>
      </c>
      <c r="G3515" s="49" t="s">
        <v>5678</v>
      </c>
      <c r="H3515" s="17">
        <v>4</v>
      </c>
      <c r="I3515" s="30"/>
      <c r="J3515"/>
      <c r="K3515"/>
      <c r="L3515"/>
      <c r="M3515"/>
      <c r="N3515"/>
      <c r="O3515" s="62" t="str">
        <f>IF(E3515="PA",IF(K3515&lt;&gt;"",ISERROR(VLOOKUP(K3515,ABBR!A:D,1,FALSE)),ISERROR(VLOOKUP(C3515,ABBR!A:D,1,FALSE))),"")</f>
        <v/>
      </c>
      <c r="P3515" t="str">
        <f>VLOOKUP(A3515,Groups!A:L,5,FALSE)</f>
        <v>SCDG</v>
      </c>
      <c r="Q3515" s="62" t="str">
        <f>IF(G3515="PA",IF(M3515&lt;&gt;"",ISERROR(VLOOKUP(M3515,ABBR!C:F,1,FALSE)),ISERROR(VLOOKUP(E3515,ABBR!C:F,1,FALSE))),"")</f>
        <v/>
      </c>
    </row>
    <row r="3516" spans="1:17" s="62" customFormat="1" hidden="1" x14ac:dyDescent="0.25">
      <c r="A3516" s="16" t="s">
        <v>401</v>
      </c>
      <c r="B3516" s="17"/>
      <c r="C3516" s="16" t="s">
        <v>5679</v>
      </c>
      <c r="D3516" s="17" t="s">
        <v>1710</v>
      </c>
      <c r="E3516" s="17" t="s">
        <v>1321</v>
      </c>
      <c r="F3516" s="18" t="s">
        <v>5680</v>
      </c>
      <c r="G3516" s="49" t="s">
        <v>2641</v>
      </c>
      <c r="H3516" s="17">
        <v>5</v>
      </c>
      <c r="I3516" s="30"/>
      <c r="J3516"/>
      <c r="K3516"/>
      <c r="L3516"/>
      <c r="M3516"/>
      <c r="N3516"/>
      <c r="O3516" s="62" t="str">
        <f>IF(E3516="PA",IF(K3516&lt;&gt;"",ISERROR(VLOOKUP(K3516,ABBR!A:D,1,FALSE)),ISERROR(VLOOKUP(C3516,ABBR!A:D,1,FALSE))),"")</f>
        <v/>
      </c>
      <c r="P3516" t="str">
        <f>VLOOKUP(A3516,Groups!A:L,5,FALSE)</f>
        <v>SCDG</v>
      </c>
      <c r="Q3516" s="62" t="str">
        <f>IF(G3516="PA",IF(M3516&lt;&gt;"",ISERROR(VLOOKUP(M3516,ABBR!C:F,1,FALSE)),ISERROR(VLOOKUP(E3516,ABBR!C:F,1,FALSE))),"")</f>
        <v/>
      </c>
    </row>
    <row r="3517" spans="1:17" s="62" customFormat="1" hidden="1" x14ac:dyDescent="0.25">
      <c r="A3517" s="16" t="s">
        <v>401</v>
      </c>
      <c r="B3517" s="17"/>
      <c r="C3517" s="16" t="s">
        <v>5681</v>
      </c>
      <c r="D3517" s="17" t="s">
        <v>1710</v>
      </c>
      <c r="E3517" s="17" t="s">
        <v>1699</v>
      </c>
      <c r="F3517" s="18" t="s">
        <v>5682</v>
      </c>
      <c r="G3517" s="49" t="s">
        <v>5683</v>
      </c>
      <c r="H3517" s="17">
        <v>6</v>
      </c>
      <c r="I3517" s="30"/>
      <c r="J3517"/>
      <c r="K3517"/>
      <c r="L3517"/>
      <c r="M3517"/>
      <c r="N3517"/>
      <c r="O3517" s="62" t="str">
        <f>IF(E3517="PA",IF(K3517&lt;&gt;"",ISERROR(VLOOKUP(K3517,ABBR!A:D,1,FALSE)),ISERROR(VLOOKUP(C3517,ABBR!A:D,1,FALSE))),"")</f>
        <v/>
      </c>
      <c r="P3517" t="str">
        <f>VLOOKUP(A3517,Groups!A:L,5,FALSE)</f>
        <v>SCDG</v>
      </c>
      <c r="Q3517" s="62" t="str">
        <f>IF(G3517="PA",IF(M3517&lt;&gt;"",ISERROR(VLOOKUP(M3517,ABBR!C:F,1,FALSE)),ISERROR(VLOOKUP(E3517,ABBR!C:F,1,FALSE))),"")</f>
        <v/>
      </c>
    </row>
    <row r="3518" spans="1:17" s="62" customFormat="1" hidden="1" x14ac:dyDescent="0.25">
      <c r="A3518" s="16" t="s">
        <v>401</v>
      </c>
      <c r="B3518" s="17"/>
      <c r="C3518" s="16" t="s">
        <v>5684</v>
      </c>
      <c r="D3518" s="17" t="s">
        <v>1710</v>
      </c>
      <c r="E3518" s="17" t="s">
        <v>1699</v>
      </c>
      <c r="F3518" s="18" t="s">
        <v>5685</v>
      </c>
      <c r="G3518" s="49" t="s">
        <v>5683</v>
      </c>
      <c r="H3518" s="17">
        <v>7</v>
      </c>
      <c r="I3518" s="30"/>
      <c r="J3518"/>
      <c r="K3518"/>
      <c r="L3518"/>
      <c r="M3518"/>
      <c r="N3518"/>
      <c r="O3518" s="62" t="str">
        <f>IF(E3518="PA",IF(K3518&lt;&gt;"",ISERROR(VLOOKUP(K3518,ABBR!A:D,1,FALSE)),ISERROR(VLOOKUP(C3518,ABBR!A:D,1,FALSE))),"")</f>
        <v/>
      </c>
      <c r="P3518" t="str">
        <f>VLOOKUP(A3518,Groups!A:L,5,FALSE)</f>
        <v>SCDG</v>
      </c>
      <c r="Q3518" s="62" t="str">
        <f>IF(G3518="PA",IF(M3518&lt;&gt;"",ISERROR(VLOOKUP(M3518,ABBR!C:F,1,FALSE)),ISERROR(VLOOKUP(E3518,ABBR!C:F,1,FALSE))),"")</f>
        <v/>
      </c>
    </row>
    <row r="3519" spans="1:17" s="62" customFormat="1" hidden="1" x14ac:dyDescent="0.25">
      <c r="A3519" s="16" t="s">
        <v>401</v>
      </c>
      <c r="B3519" s="17"/>
      <c r="C3519" s="16" t="s">
        <v>5686</v>
      </c>
      <c r="D3519" s="17" t="s">
        <v>1710</v>
      </c>
      <c r="E3519" s="17" t="s">
        <v>1699</v>
      </c>
      <c r="F3519" s="18" t="s">
        <v>5687</v>
      </c>
      <c r="G3519" s="49" t="s">
        <v>5683</v>
      </c>
      <c r="H3519" s="17">
        <v>8</v>
      </c>
      <c r="I3519" s="30"/>
      <c r="J3519"/>
      <c r="K3519"/>
      <c r="L3519"/>
      <c r="M3519"/>
      <c r="N3519"/>
      <c r="O3519" s="62" t="str">
        <f>IF(E3519="PA",IF(K3519&lt;&gt;"",ISERROR(VLOOKUP(K3519,ABBR!A:D,1,FALSE)),ISERROR(VLOOKUP(C3519,ABBR!A:D,1,FALSE))),"")</f>
        <v/>
      </c>
      <c r="P3519" t="str">
        <f>VLOOKUP(A3519,Groups!A:L,5,FALSE)</f>
        <v>SCDG</v>
      </c>
      <c r="Q3519" s="62" t="str">
        <f>IF(G3519="PA",IF(M3519&lt;&gt;"",ISERROR(VLOOKUP(M3519,ABBR!C:F,1,FALSE)),ISERROR(VLOOKUP(E3519,ABBR!C:F,1,FALSE))),"")</f>
        <v/>
      </c>
    </row>
    <row r="3520" spans="1:17" s="62" customFormat="1" hidden="1" x14ac:dyDescent="0.25">
      <c r="A3520" s="16" t="s">
        <v>401</v>
      </c>
      <c r="B3520" s="17"/>
      <c r="C3520" s="16" t="s">
        <v>5688</v>
      </c>
      <c r="D3520" s="17"/>
      <c r="E3520" s="17" t="s">
        <v>608</v>
      </c>
      <c r="F3520" s="18" t="s">
        <v>5689</v>
      </c>
      <c r="G3520" s="49" t="s">
        <v>16</v>
      </c>
      <c r="H3520" s="17">
        <v>9</v>
      </c>
      <c r="I3520" s="30"/>
      <c r="J3520"/>
      <c r="K3520"/>
      <c r="L3520"/>
      <c r="M3520" s="101"/>
      <c r="N3520"/>
      <c r="O3520" s="62" t="str">
        <f>IF(E3520="PA",IF(K3520&lt;&gt;"",ISERROR(VLOOKUP(K3520,ABBR!A:D,1,FALSE)),ISERROR(VLOOKUP(C3520,ABBR!A:D,1,FALSE))),"")</f>
        <v/>
      </c>
      <c r="P3520" t="str">
        <f>VLOOKUP(A3520,Groups!A:L,5,FALSE)</f>
        <v>SCDG</v>
      </c>
      <c r="Q3520" s="62" t="str">
        <f>IF(G3520="PA",IF(M3520&lt;&gt;"",ISERROR(VLOOKUP(M3520,ABBR!C:F,1,FALSE)),ISERROR(VLOOKUP(E3520,ABBR!C:F,1,FALSE))),"")</f>
        <v/>
      </c>
    </row>
    <row r="3521" spans="1:17" s="62" customFormat="1" hidden="1" x14ac:dyDescent="0.25">
      <c r="A3521" s="16" t="s">
        <v>401</v>
      </c>
      <c r="B3521" s="17"/>
      <c r="C3521" s="16" t="s">
        <v>643</v>
      </c>
      <c r="D3521" s="17"/>
      <c r="E3521" s="17" t="s">
        <v>608</v>
      </c>
      <c r="F3521" s="18" t="s">
        <v>954</v>
      </c>
      <c r="G3521" s="49" t="s">
        <v>5670</v>
      </c>
      <c r="H3521" s="17">
        <v>10</v>
      </c>
      <c r="I3521" s="30"/>
      <c r="J3521"/>
      <c r="K3521"/>
      <c r="L3521"/>
      <c r="M3521"/>
      <c r="N3521"/>
      <c r="O3521" s="62" t="str">
        <f>IF(E3521="PA",IF(K3521&lt;&gt;"",ISERROR(VLOOKUP(K3521,ABBR!A:D,1,FALSE)),ISERROR(VLOOKUP(C3521,ABBR!A:D,1,FALSE))),"")</f>
        <v/>
      </c>
      <c r="P3521" t="str">
        <f>VLOOKUP(A3521,Groups!A:L,5,FALSE)</f>
        <v>SCDG</v>
      </c>
      <c r="Q3521" s="62" t="str">
        <f>IF(G3521="PA",IF(M3521&lt;&gt;"",ISERROR(VLOOKUP(M3521,ABBR!C:F,1,FALSE)),ISERROR(VLOOKUP(E3521,ABBR!C:F,1,FALSE))),"")</f>
        <v/>
      </c>
    </row>
    <row r="3522" spans="1:17" s="62" customFormat="1" hidden="1" x14ac:dyDescent="0.25">
      <c r="A3522" s="16" t="s">
        <v>400</v>
      </c>
      <c r="B3522" s="17" t="s">
        <v>594</v>
      </c>
      <c r="C3522" s="16" t="s">
        <v>595</v>
      </c>
      <c r="D3522" s="17"/>
      <c r="E3522" s="17" t="s">
        <v>596</v>
      </c>
      <c r="F3522" s="18" t="s">
        <v>597</v>
      </c>
      <c r="G3522" s="49" t="s">
        <v>598</v>
      </c>
      <c r="H3522" s="17">
        <v>1</v>
      </c>
      <c r="I3522" s="30"/>
      <c r="J3522"/>
      <c r="K3522"/>
      <c r="L3522"/>
      <c r="M3522"/>
      <c r="N3522"/>
      <c r="O3522" s="62" t="str">
        <f>IF(E3522="PA",IF(K3522&lt;&gt;"",ISERROR(VLOOKUP(K3522,ABBR!A:D,1,FALSE)),ISERROR(VLOOKUP(C3522,ABBR!A:D,1,FALSE))),"")</f>
        <v/>
      </c>
      <c r="P3522" t="str">
        <f>VLOOKUP(A3522,Groups!A:L,5,FALSE)</f>
        <v>LOCA</v>
      </c>
      <c r="Q3522" s="62" t="str">
        <f>IF(G3522="PA",IF(M3522&lt;&gt;"",ISERROR(VLOOKUP(M3522,ABBR!C:F,1,FALSE)),ISERROR(VLOOKUP(E3522,ABBR!C:F,1,FALSE))),"")</f>
        <v/>
      </c>
    </row>
    <row r="3523" spans="1:17" s="62" customFormat="1" hidden="1" x14ac:dyDescent="0.25">
      <c r="A3523" s="16" t="s">
        <v>400</v>
      </c>
      <c r="B3523" s="17" t="s">
        <v>594</v>
      </c>
      <c r="C3523" s="16" t="s">
        <v>5640</v>
      </c>
      <c r="D3523" s="17"/>
      <c r="E3523" s="17" t="s">
        <v>608</v>
      </c>
      <c r="F3523" s="18" t="s">
        <v>5641</v>
      </c>
      <c r="G3523" s="49" t="s">
        <v>1507</v>
      </c>
      <c r="H3523" s="17">
        <f t="shared" ref="H3523:H3554" si="23">H3522+1</f>
        <v>2</v>
      </c>
      <c r="I3523" s="30"/>
      <c r="J3523"/>
      <c r="K3523"/>
      <c r="L3523"/>
      <c r="M3523"/>
      <c r="N3523"/>
      <c r="O3523" s="62" t="str">
        <f>IF(E3523="PA",IF(K3523&lt;&gt;"",ISERROR(VLOOKUP(K3523,ABBR!A:D,1,FALSE)),ISERROR(VLOOKUP(C3523,ABBR!A:D,1,FALSE))),"")</f>
        <v/>
      </c>
      <c r="P3523" t="str">
        <f>VLOOKUP(A3523,Groups!A:L,5,FALSE)</f>
        <v>LOCA</v>
      </c>
      <c r="Q3523" s="62" t="str">
        <f>IF(G3523="PA",IF(M3523&lt;&gt;"",ISERROR(VLOOKUP(M3523,ABBR!C:F,1,FALSE)),ISERROR(VLOOKUP(E3523,ABBR!C:F,1,FALSE))),"")</f>
        <v/>
      </c>
    </row>
    <row r="3524" spans="1:17" s="62" customFormat="1" hidden="1" x14ac:dyDescent="0.25">
      <c r="A3524" s="16" t="s">
        <v>400</v>
      </c>
      <c r="B3524" s="17"/>
      <c r="C3524" s="16" t="s">
        <v>5690</v>
      </c>
      <c r="D3524" s="17"/>
      <c r="E3524" s="17" t="s">
        <v>618</v>
      </c>
      <c r="F3524" s="18" t="s">
        <v>5691</v>
      </c>
      <c r="G3524" s="49" t="s">
        <v>5692</v>
      </c>
      <c r="H3524" s="17">
        <f t="shared" si="23"/>
        <v>3</v>
      </c>
      <c r="I3524" s="30"/>
      <c r="J3524"/>
      <c r="K3524"/>
      <c r="L3524"/>
      <c r="M3524"/>
      <c r="N3524"/>
      <c r="O3524" s="62" t="b">
        <f>IF(E3524="PA",IF(K3524&lt;&gt;"",ISERROR(VLOOKUP(K3524,ABBR!A:D,1,FALSE)),ISERROR(VLOOKUP(C3524,ABBR!A:D,1,FALSE))),"")</f>
        <v>0</v>
      </c>
      <c r="P3524" t="str">
        <f>VLOOKUP(A3524,Groups!A:L,5,FALSE)</f>
        <v>LOCA</v>
      </c>
      <c r="Q3524" s="62" t="str">
        <f>IF(G3524="PA",IF(M3524&lt;&gt;"",ISERROR(VLOOKUP(M3524,ABBR!C:F,1,FALSE)),ISERROR(VLOOKUP(E3524,ABBR!C:F,1,FALSE))),"")</f>
        <v/>
      </c>
    </row>
    <row r="3525" spans="1:17" s="62" customFormat="1" hidden="1" x14ac:dyDescent="0.25">
      <c r="A3525" s="16" t="s">
        <v>400</v>
      </c>
      <c r="B3525" s="17"/>
      <c r="C3525" s="16" t="s">
        <v>5693</v>
      </c>
      <c r="D3525" s="17"/>
      <c r="E3525" s="17" t="s">
        <v>608</v>
      </c>
      <c r="F3525" s="18" t="s">
        <v>5694</v>
      </c>
      <c r="G3525" s="49" t="s">
        <v>5695</v>
      </c>
      <c r="H3525" s="17">
        <f t="shared" si="23"/>
        <v>4</v>
      </c>
      <c r="I3525" s="30"/>
      <c r="J3525"/>
      <c r="K3525"/>
      <c r="L3525"/>
      <c r="M3525"/>
      <c r="N3525"/>
      <c r="O3525" s="62" t="str">
        <f>IF(E3525="PA",IF(K3525&lt;&gt;"",ISERROR(VLOOKUP(K3525,ABBR!A:D,1,FALSE)),ISERROR(VLOOKUP(C3525,ABBR!A:D,1,FALSE))),"")</f>
        <v/>
      </c>
      <c r="P3525" t="str">
        <f>VLOOKUP(A3525,Groups!A:L,5,FALSE)</f>
        <v>LOCA</v>
      </c>
      <c r="Q3525" s="62" t="str">
        <f>IF(G3525="PA",IF(M3525&lt;&gt;"",ISERROR(VLOOKUP(M3525,ABBR!C:F,1,FALSE)),ISERROR(VLOOKUP(E3525,ABBR!C:F,1,FALSE))),"")</f>
        <v/>
      </c>
    </row>
    <row r="3526" spans="1:17" s="62" customFormat="1" hidden="1" x14ac:dyDescent="0.25">
      <c r="A3526" s="16" t="s">
        <v>400</v>
      </c>
      <c r="B3526" s="17"/>
      <c r="C3526" s="16" t="s">
        <v>5696</v>
      </c>
      <c r="D3526" s="17" t="s">
        <v>5697</v>
      </c>
      <c r="E3526" s="17" t="s">
        <v>767</v>
      </c>
      <c r="F3526" s="18" t="s">
        <v>5698</v>
      </c>
      <c r="G3526" s="49" t="s">
        <v>1091</v>
      </c>
      <c r="H3526" s="17">
        <f t="shared" si="23"/>
        <v>5</v>
      </c>
      <c r="I3526" s="30"/>
      <c r="J3526"/>
      <c r="K3526"/>
      <c r="L3526"/>
      <c r="M3526"/>
      <c r="N3526"/>
      <c r="O3526" s="62" t="str">
        <f>IF(E3526="PA",IF(K3526&lt;&gt;"",ISERROR(VLOOKUP(K3526,ABBR!A:D,1,FALSE)),ISERROR(VLOOKUP(C3526,ABBR!A:D,1,FALSE))),"")</f>
        <v/>
      </c>
      <c r="P3526" t="str">
        <f>VLOOKUP(A3526,Groups!A:L,5,FALSE)</f>
        <v>LOCA</v>
      </c>
      <c r="Q3526" s="62" t="str">
        <f>IF(G3526="PA",IF(M3526&lt;&gt;"",ISERROR(VLOOKUP(M3526,ABBR!C:F,1,FALSE)),ISERROR(VLOOKUP(E3526,ABBR!C:F,1,FALSE))),"")</f>
        <v/>
      </c>
    </row>
    <row r="3527" spans="1:17" s="62" customFormat="1" hidden="1" x14ac:dyDescent="0.25">
      <c r="A3527" s="16" t="s">
        <v>400</v>
      </c>
      <c r="B3527" s="17"/>
      <c r="C3527" s="16" t="s">
        <v>5699</v>
      </c>
      <c r="D3527" s="17" t="s">
        <v>5700</v>
      </c>
      <c r="E3527" s="17" t="s">
        <v>767</v>
      </c>
      <c r="F3527" s="18" t="s">
        <v>5701</v>
      </c>
      <c r="G3527" s="49" t="s">
        <v>5702</v>
      </c>
      <c r="H3527" s="17">
        <f t="shared" si="23"/>
        <v>6</v>
      </c>
      <c r="I3527" s="30"/>
      <c r="J3527"/>
      <c r="K3527"/>
      <c r="L3527"/>
      <c r="M3527"/>
      <c r="N3527"/>
      <c r="O3527" s="62" t="str">
        <f>IF(E3527="PA",IF(K3527&lt;&gt;"",ISERROR(VLOOKUP(K3527,ABBR!A:D,1,FALSE)),ISERROR(VLOOKUP(C3527,ABBR!A:D,1,FALSE))),"")</f>
        <v/>
      </c>
      <c r="P3527" t="str">
        <f>VLOOKUP(A3527,Groups!A:L,5,FALSE)</f>
        <v>LOCA</v>
      </c>
      <c r="Q3527" s="62" t="str">
        <f>IF(G3527="PA",IF(M3527&lt;&gt;"",ISERROR(VLOOKUP(M3527,ABBR!C:F,1,FALSE)),ISERROR(VLOOKUP(E3527,ABBR!C:F,1,FALSE))),"")</f>
        <v/>
      </c>
    </row>
    <row r="3528" spans="1:17" s="62" customFormat="1" hidden="1" x14ac:dyDescent="0.25">
      <c r="A3528" s="16" t="s">
        <v>400</v>
      </c>
      <c r="B3528" s="17"/>
      <c r="C3528" s="16" t="s">
        <v>5703</v>
      </c>
      <c r="D3528" s="17"/>
      <c r="E3528" s="17" t="s">
        <v>608</v>
      </c>
      <c r="F3528" s="18" t="s">
        <v>5704</v>
      </c>
      <c r="G3528" s="49" t="s">
        <v>5705</v>
      </c>
      <c r="H3528" s="17">
        <f t="shared" si="23"/>
        <v>7</v>
      </c>
      <c r="I3528" s="30"/>
      <c r="J3528"/>
      <c r="K3528"/>
      <c r="L3528"/>
      <c r="M3528"/>
      <c r="N3528"/>
      <c r="O3528" s="62" t="str">
        <f>IF(E3528="PA",IF(K3528&lt;&gt;"",ISERROR(VLOOKUP(K3528,ABBR!A:D,1,FALSE)),ISERROR(VLOOKUP(C3528,ABBR!A:D,1,FALSE))),"")</f>
        <v/>
      </c>
      <c r="P3528" t="str">
        <f>VLOOKUP(A3528,Groups!A:L,5,FALSE)</f>
        <v>LOCA</v>
      </c>
      <c r="Q3528" s="62" t="str">
        <f>IF(G3528="PA",IF(M3528&lt;&gt;"",ISERROR(VLOOKUP(M3528,ABBR!C:F,1,FALSE)),ISERROR(VLOOKUP(E3528,ABBR!C:F,1,FALSE))),"")</f>
        <v/>
      </c>
    </row>
    <row r="3529" spans="1:17" s="62" customFormat="1" hidden="1" x14ac:dyDescent="0.25">
      <c r="A3529" s="16" t="s">
        <v>400</v>
      </c>
      <c r="B3529" s="17"/>
      <c r="C3529" s="16" t="s">
        <v>5706</v>
      </c>
      <c r="D3529" s="17"/>
      <c r="E3529" s="17" t="s">
        <v>674</v>
      </c>
      <c r="F3529" s="18" t="s">
        <v>5707</v>
      </c>
      <c r="G3529" s="49" t="s">
        <v>677</v>
      </c>
      <c r="H3529" s="17">
        <f t="shared" si="23"/>
        <v>8</v>
      </c>
      <c r="I3529" s="30"/>
      <c r="J3529"/>
      <c r="K3529"/>
      <c r="L3529"/>
      <c r="M3529"/>
      <c r="N3529"/>
      <c r="O3529" s="62" t="str">
        <f>IF(E3529="PA",IF(K3529&lt;&gt;"",ISERROR(VLOOKUP(K3529,ABBR!A:D,1,FALSE)),ISERROR(VLOOKUP(C3529,ABBR!A:D,1,FALSE))),"")</f>
        <v/>
      </c>
      <c r="P3529" t="str">
        <f>VLOOKUP(A3529,Groups!A:L,5,FALSE)</f>
        <v>LOCA</v>
      </c>
      <c r="Q3529" s="62" t="str">
        <f>IF(G3529="PA",IF(M3529&lt;&gt;"",ISERROR(VLOOKUP(M3529,ABBR!C:F,1,FALSE)),ISERROR(VLOOKUP(E3529,ABBR!C:F,1,FALSE))),"")</f>
        <v/>
      </c>
    </row>
    <row r="3530" spans="1:17" s="62" customFormat="1" hidden="1" x14ac:dyDescent="0.25">
      <c r="A3530" s="16" t="s">
        <v>400</v>
      </c>
      <c r="B3530" s="17"/>
      <c r="C3530" s="16" t="s">
        <v>5708</v>
      </c>
      <c r="D3530" s="17" t="s">
        <v>600</v>
      </c>
      <c r="E3530" s="17" t="s">
        <v>601</v>
      </c>
      <c r="F3530" s="18" t="s">
        <v>5709</v>
      </c>
      <c r="G3530" s="49" t="s">
        <v>4081</v>
      </c>
      <c r="H3530" s="17">
        <f t="shared" si="23"/>
        <v>9</v>
      </c>
      <c r="I3530" s="30"/>
      <c r="J3530"/>
      <c r="K3530"/>
      <c r="L3530"/>
      <c r="M3530"/>
      <c r="N3530"/>
      <c r="O3530" s="62" t="str">
        <f>IF(E3530="PA",IF(K3530&lt;&gt;"",ISERROR(VLOOKUP(K3530,ABBR!A:D,1,FALSE)),ISERROR(VLOOKUP(C3530,ABBR!A:D,1,FALSE))),"")</f>
        <v/>
      </c>
      <c r="P3530" t="str">
        <f>VLOOKUP(A3530,Groups!A:L,5,FALSE)</f>
        <v>LOCA</v>
      </c>
      <c r="Q3530" s="62" t="str">
        <f>IF(G3530="PA",IF(M3530&lt;&gt;"",ISERROR(VLOOKUP(M3530,ABBR!C:F,1,FALSE)),ISERROR(VLOOKUP(E3530,ABBR!C:F,1,FALSE))),"")</f>
        <v/>
      </c>
    </row>
    <row r="3531" spans="1:17" s="62" customFormat="1" ht="37.5" hidden="1" x14ac:dyDescent="0.25">
      <c r="A3531" s="16" t="s">
        <v>400</v>
      </c>
      <c r="B3531" s="17"/>
      <c r="C3531" s="16" t="s">
        <v>5710</v>
      </c>
      <c r="D3531" s="17"/>
      <c r="E3531" s="17" t="s">
        <v>608</v>
      </c>
      <c r="F3531" s="18" t="s">
        <v>5711</v>
      </c>
      <c r="G3531" s="49" t="s">
        <v>5712</v>
      </c>
      <c r="H3531" s="17">
        <f t="shared" si="23"/>
        <v>10</v>
      </c>
      <c r="I3531" s="30"/>
      <c r="J3531"/>
      <c r="K3531"/>
      <c r="L3531"/>
      <c r="M3531"/>
      <c r="N3531"/>
      <c r="O3531" s="62" t="str">
        <f>IF(E3531="PA",IF(K3531&lt;&gt;"",ISERROR(VLOOKUP(K3531,ABBR!A:D,1,FALSE)),ISERROR(VLOOKUP(C3531,ABBR!A:D,1,FALSE))),"")</f>
        <v/>
      </c>
      <c r="P3531" t="str">
        <f>VLOOKUP(A3531,Groups!A:L,5,FALSE)</f>
        <v>LOCA</v>
      </c>
      <c r="Q3531" s="62" t="str">
        <f>IF(G3531="PA",IF(M3531&lt;&gt;"",ISERROR(VLOOKUP(M3531,ABBR!C:F,1,FALSE)),ISERROR(VLOOKUP(E3531,ABBR!C:F,1,FALSE))),"")</f>
        <v/>
      </c>
    </row>
    <row r="3532" spans="1:17" s="62" customFormat="1" ht="25" hidden="1" x14ac:dyDescent="0.25">
      <c r="A3532" s="16" t="s">
        <v>400</v>
      </c>
      <c r="B3532" s="17"/>
      <c r="C3532" s="16" t="s">
        <v>5713</v>
      </c>
      <c r="D3532" s="17"/>
      <c r="E3532" s="17" t="s">
        <v>608</v>
      </c>
      <c r="F3532" s="18" t="s">
        <v>5714</v>
      </c>
      <c r="G3532" s="49" t="s">
        <v>16</v>
      </c>
      <c r="H3532" s="17">
        <f t="shared" si="23"/>
        <v>11</v>
      </c>
      <c r="I3532" s="30"/>
      <c r="J3532"/>
      <c r="K3532"/>
      <c r="L3532"/>
      <c r="M3532" s="101"/>
      <c r="N3532"/>
      <c r="O3532" s="62" t="str">
        <f>IF(E3532="PA",IF(K3532&lt;&gt;"",ISERROR(VLOOKUP(K3532,ABBR!A:D,1,FALSE)),ISERROR(VLOOKUP(C3532,ABBR!A:D,1,FALSE))),"")</f>
        <v/>
      </c>
      <c r="P3532" t="str">
        <f>VLOOKUP(A3532,Groups!A:L,5,FALSE)</f>
        <v>LOCA</v>
      </c>
      <c r="Q3532" s="62" t="str">
        <f>IF(G3532="PA",IF(M3532&lt;&gt;"",ISERROR(VLOOKUP(M3532,ABBR!C:F,1,FALSE)),ISERROR(VLOOKUP(E3532,ABBR!C:F,1,FALSE))),"")</f>
        <v/>
      </c>
    </row>
    <row r="3533" spans="1:17" s="62" customFormat="1" ht="25" hidden="1" x14ac:dyDescent="0.25">
      <c r="A3533" s="16" t="s">
        <v>400</v>
      </c>
      <c r="B3533" s="17"/>
      <c r="C3533" s="16" t="s">
        <v>5715</v>
      </c>
      <c r="D3533" s="17"/>
      <c r="E3533" s="17" t="s">
        <v>608</v>
      </c>
      <c r="F3533" s="18" t="s">
        <v>1938</v>
      </c>
      <c r="G3533" s="49" t="s">
        <v>5716</v>
      </c>
      <c r="H3533" s="17">
        <f t="shared" si="23"/>
        <v>12</v>
      </c>
      <c r="I3533" s="30"/>
      <c r="J3533"/>
      <c r="K3533"/>
      <c r="L3533"/>
      <c r="M3533"/>
      <c r="N3533"/>
      <c r="O3533" s="62" t="str">
        <f>IF(E3533="PA",IF(K3533&lt;&gt;"",ISERROR(VLOOKUP(K3533,ABBR!A:D,1,FALSE)),ISERROR(VLOOKUP(C3533,ABBR!A:D,1,FALSE))),"")</f>
        <v/>
      </c>
      <c r="P3533" t="str">
        <f>VLOOKUP(A3533,Groups!A:L,5,FALSE)</f>
        <v>LOCA</v>
      </c>
      <c r="Q3533" s="62" t="str">
        <f>IF(G3533="PA",IF(M3533&lt;&gt;"",ISERROR(VLOOKUP(M3533,ABBR!C:F,1,FALSE)),ISERROR(VLOOKUP(E3533,ABBR!C:F,1,FALSE))),"")</f>
        <v/>
      </c>
    </row>
    <row r="3534" spans="1:17" s="62" customFormat="1" hidden="1" x14ac:dyDescent="0.25">
      <c r="A3534" s="16" t="s">
        <v>400</v>
      </c>
      <c r="B3534" s="17"/>
      <c r="C3534" s="16" t="s">
        <v>5717</v>
      </c>
      <c r="D3534" s="17"/>
      <c r="E3534" s="17" t="s">
        <v>608</v>
      </c>
      <c r="F3534" s="18" t="s">
        <v>2149</v>
      </c>
      <c r="G3534" s="49" t="s">
        <v>5718</v>
      </c>
      <c r="H3534" s="17">
        <f t="shared" si="23"/>
        <v>13</v>
      </c>
      <c r="I3534" s="30"/>
      <c r="J3534"/>
      <c r="K3534"/>
      <c r="L3534"/>
      <c r="M3534"/>
      <c r="N3534"/>
      <c r="O3534" s="62" t="str">
        <f>IF(E3534="PA",IF(K3534&lt;&gt;"",ISERROR(VLOOKUP(K3534,ABBR!A:D,1,FALSE)),ISERROR(VLOOKUP(C3534,ABBR!A:D,1,FALSE))),"")</f>
        <v/>
      </c>
      <c r="P3534" t="str">
        <f>VLOOKUP(A3534,Groups!A:L,5,FALSE)</f>
        <v>LOCA</v>
      </c>
      <c r="Q3534" s="62" t="str">
        <f>IF(G3534="PA",IF(M3534&lt;&gt;"",ISERROR(VLOOKUP(M3534,ABBR!C:F,1,FALSE)),ISERROR(VLOOKUP(E3534,ABBR!C:F,1,FALSE))),"")</f>
        <v/>
      </c>
    </row>
    <row r="3535" spans="1:17" s="62" customFormat="1" hidden="1" x14ac:dyDescent="0.25">
      <c r="A3535" s="16" t="s">
        <v>400</v>
      </c>
      <c r="B3535" s="17"/>
      <c r="C3535" s="16" t="s">
        <v>5719</v>
      </c>
      <c r="D3535" s="17"/>
      <c r="E3535" s="17" t="s">
        <v>608</v>
      </c>
      <c r="F3535" s="18" t="s">
        <v>2152</v>
      </c>
      <c r="G3535" s="49" t="s">
        <v>5720</v>
      </c>
      <c r="H3535" s="17">
        <f t="shared" si="23"/>
        <v>14</v>
      </c>
      <c r="I3535" s="30"/>
      <c r="J3535"/>
      <c r="K3535"/>
      <c r="L3535"/>
      <c r="M3535"/>
      <c r="N3535"/>
      <c r="O3535" s="62" t="str">
        <f>IF(E3535="PA",IF(K3535&lt;&gt;"",ISERROR(VLOOKUP(K3535,ABBR!A:D,1,FALSE)),ISERROR(VLOOKUP(C3535,ABBR!A:D,1,FALSE))),"")</f>
        <v/>
      </c>
      <c r="P3535" t="str">
        <f>VLOOKUP(A3535,Groups!A:L,5,FALSE)</f>
        <v>LOCA</v>
      </c>
      <c r="Q3535" s="62" t="str">
        <f>IF(G3535="PA",IF(M3535&lt;&gt;"",ISERROR(VLOOKUP(M3535,ABBR!C:F,1,FALSE)),ISERROR(VLOOKUP(E3535,ABBR!C:F,1,FALSE))),"")</f>
        <v/>
      </c>
    </row>
    <row r="3536" spans="1:17" s="62" customFormat="1" ht="25" hidden="1" x14ac:dyDescent="0.25">
      <c r="A3536" s="16" t="s">
        <v>400</v>
      </c>
      <c r="B3536" s="17"/>
      <c r="C3536" s="16" t="s">
        <v>5721</v>
      </c>
      <c r="D3536" s="17"/>
      <c r="E3536" s="17" t="s">
        <v>608</v>
      </c>
      <c r="F3536" s="18" t="s">
        <v>934</v>
      </c>
      <c r="G3536" s="49" t="s">
        <v>5722</v>
      </c>
      <c r="H3536" s="17">
        <f t="shared" si="23"/>
        <v>15</v>
      </c>
      <c r="I3536" s="30"/>
      <c r="J3536"/>
      <c r="K3536"/>
      <c r="L3536"/>
      <c r="M3536"/>
      <c r="N3536"/>
      <c r="O3536" s="62" t="str">
        <f>IF(E3536="PA",IF(K3536&lt;&gt;"",ISERROR(VLOOKUP(K3536,ABBR!A:D,1,FALSE)),ISERROR(VLOOKUP(C3536,ABBR!A:D,1,FALSE))),"")</f>
        <v/>
      </c>
      <c r="P3536" t="str">
        <f>VLOOKUP(A3536,Groups!A:L,5,FALSE)</f>
        <v>LOCA</v>
      </c>
      <c r="Q3536" s="62" t="str">
        <f>IF(G3536="PA",IF(M3536&lt;&gt;"",ISERROR(VLOOKUP(M3536,ABBR!C:F,1,FALSE)),ISERROR(VLOOKUP(E3536,ABBR!C:F,1,FALSE))),"")</f>
        <v/>
      </c>
    </row>
    <row r="3537" spans="1:17" s="62" customFormat="1" hidden="1" x14ac:dyDescent="0.25">
      <c r="A3537" s="16" t="s">
        <v>400</v>
      </c>
      <c r="B3537" s="17"/>
      <c r="C3537" s="16" t="s">
        <v>5723</v>
      </c>
      <c r="D3537" s="17"/>
      <c r="E3537" s="17" t="s">
        <v>1321</v>
      </c>
      <c r="F3537" s="18" t="s">
        <v>5724</v>
      </c>
      <c r="G3537" s="49" t="s">
        <v>5725</v>
      </c>
      <c r="H3537" s="17">
        <f t="shared" si="23"/>
        <v>16</v>
      </c>
      <c r="I3537" s="30"/>
      <c r="J3537"/>
      <c r="K3537"/>
      <c r="L3537"/>
      <c r="M3537"/>
      <c r="N3537"/>
      <c r="O3537" s="62" t="str">
        <f>IF(E3537="PA",IF(K3537&lt;&gt;"",ISERROR(VLOOKUP(K3537,ABBR!A:D,1,FALSE)),ISERROR(VLOOKUP(C3537,ABBR!A:D,1,FALSE))),"")</f>
        <v/>
      </c>
      <c r="P3537" t="str">
        <f>VLOOKUP(A3537,Groups!A:L,5,FALSE)</f>
        <v>LOCA</v>
      </c>
      <c r="Q3537" s="62" t="str">
        <f>IF(G3537="PA",IF(M3537&lt;&gt;"",ISERROR(VLOOKUP(M3537,ABBR!C:F,1,FALSE)),ISERROR(VLOOKUP(E3537,ABBR!C:F,1,FALSE))),"")</f>
        <v/>
      </c>
    </row>
    <row r="3538" spans="1:17" s="62" customFormat="1" hidden="1" x14ac:dyDescent="0.25">
      <c r="A3538" s="16" t="s">
        <v>400</v>
      </c>
      <c r="B3538" s="17"/>
      <c r="C3538" s="16" t="s">
        <v>5726</v>
      </c>
      <c r="D3538" s="17"/>
      <c r="E3538" s="17" t="s">
        <v>1321</v>
      </c>
      <c r="F3538" s="18" t="s">
        <v>5727</v>
      </c>
      <c r="G3538" s="49" t="s">
        <v>5728</v>
      </c>
      <c r="H3538" s="17">
        <f t="shared" si="23"/>
        <v>17</v>
      </c>
      <c r="I3538" s="30"/>
      <c r="J3538"/>
      <c r="K3538"/>
      <c r="L3538"/>
      <c r="M3538"/>
      <c r="N3538"/>
      <c r="O3538" s="62" t="str">
        <f>IF(E3538="PA",IF(K3538&lt;&gt;"",ISERROR(VLOOKUP(K3538,ABBR!A:D,1,FALSE)),ISERROR(VLOOKUP(C3538,ABBR!A:D,1,FALSE))),"")</f>
        <v/>
      </c>
      <c r="P3538" t="str">
        <f>VLOOKUP(A3538,Groups!A:L,5,FALSE)</f>
        <v>LOCA</v>
      </c>
      <c r="Q3538" s="62" t="str">
        <f>IF(G3538="PA",IF(M3538&lt;&gt;"",ISERROR(VLOOKUP(M3538,ABBR!C:F,1,FALSE)),ISERROR(VLOOKUP(E3538,ABBR!C:F,1,FALSE))),"")</f>
        <v/>
      </c>
    </row>
    <row r="3539" spans="1:17" s="62" customFormat="1" ht="25" hidden="1" x14ac:dyDescent="0.25">
      <c r="A3539" s="16" t="s">
        <v>400</v>
      </c>
      <c r="B3539" s="17"/>
      <c r="C3539" s="16" t="s">
        <v>643</v>
      </c>
      <c r="D3539" s="17"/>
      <c r="E3539" s="17" t="s">
        <v>608</v>
      </c>
      <c r="F3539" s="18" t="s">
        <v>5729</v>
      </c>
      <c r="G3539" s="49" t="s">
        <v>4171</v>
      </c>
      <c r="H3539" s="17">
        <f t="shared" si="23"/>
        <v>18</v>
      </c>
      <c r="I3539" s="30"/>
      <c r="J3539"/>
      <c r="K3539"/>
      <c r="L3539"/>
      <c r="M3539"/>
      <c r="N3539"/>
      <c r="O3539" s="62" t="str">
        <f>IF(E3539="PA",IF(K3539&lt;&gt;"",ISERROR(VLOOKUP(K3539,ABBR!A:D,1,FALSE)),ISERROR(VLOOKUP(C3539,ABBR!A:D,1,FALSE))),"")</f>
        <v/>
      </c>
      <c r="P3539" t="str">
        <f>VLOOKUP(A3539,Groups!A:L,5,FALSE)</f>
        <v>LOCA</v>
      </c>
      <c r="Q3539" s="62" t="str">
        <f>IF(G3539="PA",IF(M3539&lt;&gt;"",ISERROR(VLOOKUP(M3539,ABBR!C:F,1,FALSE)),ISERROR(VLOOKUP(E3539,ABBR!C:F,1,FALSE))),"")</f>
        <v/>
      </c>
    </row>
    <row r="3540" spans="1:17" s="62" customFormat="1" ht="25" hidden="1" x14ac:dyDescent="0.25">
      <c r="A3540" s="16" t="s">
        <v>400</v>
      </c>
      <c r="B3540" s="17"/>
      <c r="C3540" s="16" t="s">
        <v>5730</v>
      </c>
      <c r="D3540" s="17" t="s">
        <v>1421</v>
      </c>
      <c r="E3540" s="17" t="s">
        <v>925</v>
      </c>
      <c r="F3540" s="18" t="s">
        <v>5731</v>
      </c>
      <c r="G3540" s="49" t="s">
        <v>5672</v>
      </c>
      <c r="H3540" s="17">
        <f t="shared" si="23"/>
        <v>19</v>
      </c>
      <c r="I3540" s="30"/>
      <c r="J3540" s="62" t="s">
        <v>473</v>
      </c>
      <c r="O3540" s="62" t="str">
        <f>IF(E3540="PA",IF(K3540&lt;&gt;"",ISERROR(VLOOKUP(K3540,ABBR!A:D,1,FALSE)),ISERROR(VLOOKUP(C3540,ABBR!A:D,1,FALSE))),"")</f>
        <v/>
      </c>
      <c r="P3540" t="str">
        <f>VLOOKUP(A3540,Groups!A:L,5,FALSE)</f>
        <v>LOCA</v>
      </c>
      <c r="Q3540" s="62" t="str">
        <f>IF(G3540="PA",IF(M3540&lt;&gt;"",ISERROR(VLOOKUP(M3540,ABBR!C:F,1,FALSE)),ISERROR(VLOOKUP(E3540,ABBR!C:F,1,FALSE))),"")</f>
        <v/>
      </c>
    </row>
    <row r="3541" spans="1:17" s="62" customFormat="1" hidden="1" x14ac:dyDescent="0.25">
      <c r="A3541" s="16" t="s">
        <v>400</v>
      </c>
      <c r="B3541" s="17"/>
      <c r="C3541" s="16" t="s">
        <v>5732</v>
      </c>
      <c r="D3541" s="17"/>
      <c r="E3541" s="17" t="s">
        <v>608</v>
      </c>
      <c r="F3541" s="18" t="s">
        <v>5733</v>
      </c>
      <c r="G3541" s="49" t="s">
        <v>5734</v>
      </c>
      <c r="H3541" s="17">
        <f t="shared" si="23"/>
        <v>20</v>
      </c>
      <c r="I3541" s="30"/>
      <c r="J3541" s="62" t="s">
        <v>473</v>
      </c>
      <c r="O3541" s="62" t="str">
        <f>IF(E3541="PA",IF(K3541&lt;&gt;"",ISERROR(VLOOKUP(K3541,ABBR!A:D,1,FALSE)),ISERROR(VLOOKUP(C3541,ABBR!A:D,1,FALSE))),"")</f>
        <v/>
      </c>
      <c r="P3541" t="str">
        <f>VLOOKUP(A3541,Groups!A:L,5,FALSE)</f>
        <v>LOCA</v>
      </c>
      <c r="Q3541" s="62" t="str">
        <f>IF(G3541="PA",IF(M3541&lt;&gt;"",ISERROR(VLOOKUP(M3541,ABBR!C:F,1,FALSE)),ISERROR(VLOOKUP(E3541,ABBR!C:F,1,FALSE))),"")</f>
        <v/>
      </c>
    </row>
    <row r="3542" spans="1:17" s="62" customFormat="1" hidden="1" x14ac:dyDescent="0.25">
      <c r="A3542" s="16" t="s">
        <v>400</v>
      </c>
      <c r="B3542" s="17"/>
      <c r="C3542" s="16" t="s">
        <v>5735</v>
      </c>
      <c r="D3542" s="17" t="s">
        <v>3205</v>
      </c>
      <c r="E3542" s="17" t="s">
        <v>767</v>
      </c>
      <c r="F3542" s="18" t="s">
        <v>5736</v>
      </c>
      <c r="G3542" s="49" t="s">
        <v>5737</v>
      </c>
      <c r="H3542" s="17">
        <f t="shared" si="23"/>
        <v>21</v>
      </c>
      <c r="I3542" s="30"/>
      <c r="J3542" s="62" t="s">
        <v>473</v>
      </c>
      <c r="O3542" s="62" t="str">
        <f>IF(E3542="PA",IF(K3542&lt;&gt;"",ISERROR(VLOOKUP(K3542,ABBR!A:D,1,FALSE)),ISERROR(VLOOKUP(C3542,ABBR!A:D,1,FALSE))),"")</f>
        <v/>
      </c>
      <c r="P3542" t="str">
        <f>VLOOKUP(A3542,Groups!A:L,5,FALSE)</f>
        <v>LOCA</v>
      </c>
      <c r="Q3542" s="62" t="str">
        <f>IF(G3542="PA",IF(M3542&lt;&gt;"",ISERROR(VLOOKUP(M3542,ABBR!C:F,1,FALSE)),ISERROR(VLOOKUP(E3542,ABBR!C:F,1,FALSE))),"")</f>
        <v/>
      </c>
    </row>
    <row r="3543" spans="1:17" s="62" customFormat="1" hidden="1" x14ac:dyDescent="0.25">
      <c r="A3543" s="16" t="s">
        <v>400</v>
      </c>
      <c r="B3543" s="17"/>
      <c r="C3543" s="16" t="s">
        <v>5738</v>
      </c>
      <c r="D3543" s="17" t="s">
        <v>600</v>
      </c>
      <c r="E3543" s="17" t="s">
        <v>601</v>
      </c>
      <c r="F3543" s="18" t="s">
        <v>5739</v>
      </c>
      <c r="G3543" s="49" t="s">
        <v>2184</v>
      </c>
      <c r="H3543" s="17">
        <f t="shared" si="23"/>
        <v>22</v>
      </c>
      <c r="I3543" s="30"/>
      <c r="J3543" s="62" t="s">
        <v>473</v>
      </c>
      <c r="O3543" s="62" t="str">
        <f>IF(E3543="PA",IF(K3543&lt;&gt;"",ISERROR(VLOOKUP(K3543,ABBR!A:D,1,FALSE)),ISERROR(VLOOKUP(C3543,ABBR!A:D,1,FALSE))),"")</f>
        <v/>
      </c>
      <c r="P3543" t="str">
        <f>VLOOKUP(A3543,Groups!A:L,5,FALSE)</f>
        <v>LOCA</v>
      </c>
      <c r="Q3543" s="62" t="str">
        <f>IF(G3543="PA",IF(M3543&lt;&gt;"",ISERROR(VLOOKUP(M3543,ABBR!C:F,1,FALSE)),ISERROR(VLOOKUP(E3543,ABBR!C:F,1,FALSE))),"")</f>
        <v/>
      </c>
    </row>
    <row r="3544" spans="1:17" s="62" customFormat="1" hidden="1" x14ac:dyDescent="0.25">
      <c r="A3544" s="16" t="s">
        <v>400</v>
      </c>
      <c r="B3544" s="17"/>
      <c r="C3544" s="16" t="s">
        <v>5740</v>
      </c>
      <c r="D3544" s="17"/>
      <c r="E3544" s="17" t="s">
        <v>618</v>
      </c>
      <c r="F3544" s="18" t="s">
        <v>5741</v>
      </c>
      <c r="G3544" s="49" t="s">
        <v>5742</v>
      </c>
      <c r="H3544" s="17">
        <f t="shared" si="23"/>
        <v>23</v>
      </c>
      <c r="I3544" s="30"/>
      <c r="J3544" s="62" t="s">
        <v>473</v>
      </c>
      <c r="O3544" s="62" t="b">
        <f>IF(E3544="PA",IF(K3544&lt;&gt;"",ISERROR(VLOOKUP(K3544,ABBR!A:D,1,FALSE)),ISERROR(VLOOKUP(C3544,ABBR!A:D,1,FALSE))),"")</f>
        <v>0</v>
      </c>
      <c r="P3544" t="str">
        <f>VLOOKUP(A3544,Groups!A:L,5,FALSE)</f>
        <v>LOCA</v>
      </c>
      <c r="Q3544" s="62" t="str">
        <f>IF(G3544="PA",IF(M3544&lt;&gt;"",ISERROR(VLOOKUP(M3544,ABBR!C:F,1,FALSE)),ISERROR(VLOOKUP(E3544,ABBR!C:F,1,FALSE))),"")</f>
        <v/>
      </c>
    </row>
    <row r="3545" spans="1:17" s="62" customFormat="1" ht="25" hidden="1" x14ac:dyDescent="0.25">
      <c r="A3545" s="16" t="s">
        <v>400</v>
      </c>
      <c r="B3545" s="17"/>
      <c r="C3545" s="16" t="s">
        <v>5743</v>
      </c>
      <c r="D3545" s="17"/>
      <c r="E3545" s="17" t="s">
        <v>618</v>
      </c>
      <c r="F3545" s="18" t="s">
        <v>5744</v>
      </c>
      <c r="G3545" s="49" t="s">
        <v>5745</v>
      </c>
      <c r="H3545" s="17">
        <f t="shared" si="23"/>
        <v>24</v>
      </c>
      <c r="I3545" s="30"/>
      <c r="J3545" s="62" t="s">
        <v>473</v>
      </c>
      <c r="O3545" s="62" t="b">
        <f>IF(E3545="PA",IF(K3545&lt;&gt;"",ISERROR(VLOOKUP(K3545,ABBR!A:D,1,FALSE)),ISERROR(VLOOKUP(C3545,ABBR!A:D,1,FALSE))),"")</f>
        <v>0</v>
      </c>
      <c r="P3545" t="str">
        <f>VLOOKUP(A3545,Groups!A:L,5,FALSE)</f>
        <v>LOCA</v>
      </c>
      <c r="Q3545" s="62" t="str">
        <f>IF(G3545="PA",IF(M3545&lt;&gt;"",ISERROR(VLOOKUP(M3545,ABBR!C:F,1,FALSE)),ISERROR(VLOOKUP(E3545,ABBR!C:F,1,FALSE))),"")</f>
        <v/>
      </c>
    </row>
    <row r="3546" spans="1:17" s="62" customFormat="1" ht="37.5" hidden="1" x14ac:dyDescent="0.25">
      <c r="A3546" s="16" t="s">
        <v>400</v>
      </c>
      <c r="B3546" s="17"/>
      <c r="C3546" s="16" t="s">
        <v>5746</v>
      </c>
      <c r="D3546" s="17" t="s">
        <v>600</v>
      </c>
      <c r="E3546" s="17" t="s">
        <v>601</v>
      </c>
      <c r="F3546" s="18" t="s">
        <v>5747</v>
      </c>
      <c r="G3546" s="49" t="s">
        <v>5748</v>
      </c>
      <c r="H3546" s="17">
        <f t="shared" si="23"/>
        <v>25</v>
      </c>
      <c r="I3546" s="30"/>
      <c r="J3546" s="62" t="s">
        <v>473</v>
      </c>
      <c r="P3546"/>
    </row>
    <row r="3547" spans="1:17" s="62" customFormat="1" hidden="1" x14ac:dyDescent="0.25">
      <c r="A3547" s="16" t="s">
        <v>400</v>
      </c>
      <c r="B3547" s="17"/>
      <c r="C3547" s="16" t="s">
        <v>5749</v>
      </c>
      <c r="D3547" s="17" t="s">
        <v>924</v>
      </c>
      <c r="E3547" s="17" t="s">
        <v>925</v>
      </c>
      <c r="F3547" s="18" t="s">
        <v>5750</v>
      </c>
      <c r="G3547" s="49" t="s">
        <v>927</v>
      </c>
      <c r="H3547" s="17">
        <f t="shared" si="23"/>
        <v>26</v>
      </c>
      <c r="I3547" s="30"/>
      <c r="J3547" s="62" t="s">
        <v>473</v>
      </c>
      <c r="O3547" s="62" t="str">
        <f>IF(E3547="PA",IF(K3547&lt;&gt;"",ISERROR(VLOOKUP(K3547,ABBR!A:D,1,FALSE)),ISERROR(VLOOKUP(C3547,ABBR!A:D,1,FALSE))),"")</f>
        <v/>
      </c>
      <c r="P3547" t="str">
        <f>VLOOKUP(A3547,Groups!A:L,5,FALSE)</f>
        <v>LOCA</v>
      </c>
      <c r="Q3547" s="62" t="str">
        <f>IF(G3547="PA",IF(M3547&lt;&gt;"",ISERROR(VLOOKUP(M3547,ABBR!C:F,1,FALSE)),ISERROR(VLOOKUP(E3547,ABBR!C:F,1,FALSE))),"")</f>
        <v/>
      </c>
    </row>
    <row r="3548" spans="1:17" s="62" customFormat="1" hidden="1" x14ac:dyDescent="0.25">
      <c r="A3548" s="16" t="s">
        <v>400</v>
      </c>
      <c r="B3548" s="17"/>
      <c r="C3548" s="16" t="s">
        <v>5751</v>
      </c>
      <c r="D3548" s="17" t="s">
        <v>5752</v>
      </c>
      <c r="E3548" s="17" t="s">
        <v>1321</v>
      </c>
      <c r="F3548" s="18" t="s">
        <v>5753</v>
      </c>
      <c r="G3548" s="49" t="s">
        <v>5754</v>
      </c>
      <c r="H3548" s="17">
        <f t="shared" si="23"/>
        <v>27</v>
      </c>
      <c r="I3548" s="30"/>
      <c r="J3548" s="62" t="s">
        <v>473</v>
      </c>
      <c r="O3548" s="62" t="str">
        <f>IF(E3548="PA",IF(K3548&lt;&gt;"",ISERROR(VLOOKUP(K3548,ABBR!A:D,1,FALSE)),ISERROR(VLOOKUP(C3548,ABBR!A:D,1,FALSE))),"")</f>
        <v/>
      </c>
      <c r="P3548" t="str">
        <f>VLOOKUP(A3548,Groups!A:L,5,FALSE)</f>
        <v>LOCA</v>
      </c>
      <c r="Q3548" s="62" t="str">
        <f>IF(G3548="PA",IF(M3548&lt;&gt;"",ISERROR(VLOOKUP(M3548,ABBR!C:F,1,FALSE)),ISERROR(VLOOKUP(E3548,ABBR!C:F,1,FALSE))),"")</f>
        <v/>
      </c>
    </row>
    <row r="3549" spans="1:17" s="62" customFormat="1" hidden="1" x14ac:dyDescent="0.25">
      <c r="A3549" s="16" t="s">
        <v>400</v>
      </c>
      <c r="B3549" s="17"/>
      <c r="C3549" s="16" t="s">
        <v>936</v>
      </c>
      <c r="D3549" s="17"/>
      <c r="E3549" s="17" t="s">
        <v>608</v>
      </c>
      <c r="F3549" s="18" t="s">
        <v>937</v>
      </c>
      <c r="G3549" s="49" t="s">
        <v>938</v>
      </c>
      <c r="H3549" s="17">
        <f t="shared" si="23"/>
        <v>28</v>
      </c>
      <c r="I3549" s="30"/>
      <c r="J3549" s="62" t="s">
        <v>473</v>
      </c>
      <c r="O3549" s="62" t="str">
        <f>IF(E3549="PA",IF(K3549&lt;&gt;"",ISERROR(VLOOKUP(K3549,ABBR!A:D,1,FALSE)),ISERROR(VLOOKUP(C3549,ABBR!A:D,1,FALSE))),"")</f>
        <v/>
      </c>
      <c r="P3549" t="str">
        <f>VLOOKUP(A3549,Groups!A:L,5,FALSE)</f>
        <v>LOCA</v>
      </c>
      <c r="Q3549" s="62" t="str">
        <f>IF(G3549="PA",IF(M3549&lt;&gt;"",ISERROR(VLOOKUP(M3549,ABBR!C:F,1,FALSE)),ISERROR(VLOOKUP(E3549,ABBR!C:F,1,FALSE))),"")</f>
        <v/>
      </c>
    </row>
    <row r="3550" spans="1:17" s="62" customFormat="1" ht="25" hidden="1" x14ac:dyDescent="0.25">
      <c r="A3550" s="16" t="s">
        <v>400</v>
      </c>
      <c r="B3550" s="17"/>
      <c r="C3550" s="16" t="s">
        <v>5755</v>
      </c>
      <c r="D3550" s="17" t="s">
        <v>1710</v>
      </c>
      <c r="E3550" s="17" t="s">
        <v>723</v>
      </c>
      <c r="F3550" s="18" t="s">
        <v>5756</v>
      </c>
      <c r="G3550" s="49" t="s">
        <v>5757</v>
      </c>
      <c r="H3550" s="17">
        <f t="shared" si="23"/>
        <v>29</v>
      </c>
      <c r="I3550" s="30"/>
      <c r="J3550" s="62" t="s">
        <v>473</v>
      </c>
      <c r="O3550" s="62" t="str">
        <f>IF(E3550="PA",IF(K3550&lt;&gt;"",ISERROR(VLOOKUP(K3550,ABBR!A:D,1,FALSE)),ISERROR(VLOOKUP(C3550,ABBR!A:D,1,FALSE))),"")</f>
        <v/>
      </c>
      <c r="P3550" t="str">
        <f>VLOOKUP(A3550,Groups!A:L,5,FALSE)</f>
        <v>LOCA</v>
      </c>
      <c r="Q3550" s="62" t="str">
        <f>IF(G3550="PA",IF(M3550&lt;&gt;"",ISERROR(VLOOKUP(M3550,ABBR!C:F,1,FALSE)),ISERROR(VLOOKUP(E3550,ABBR!C:F,1,FALSE))),"")</f>
        <v/>
      </c>
    </row>
    <row r="3551" spans="1:17" s="62" customFormat="1" hidden="1" x14ac:dyDescent="0.25">
      <c r="A3551" s="16" t="s">
        <v>400</v>
      </c>
      <c r="B3551" s="17"/>
      <c r="C3551" s="16" t="s">
        <v>5758</v>
      </c>
      <c r="D3551" s="17" t="s">
        <v>722</v>
      </c>
      <c r="E3551" s="17" t="s">
        <v>723</v>
      </c>
      <c r="F3551" s="18" t="s">
        <v>5759</v>
      </c>
      <c r="G3551" s="49" t="s">
        <v>5757</v>
      </c>
      <c r="H3551" s="17">
        <f t="shared" si="23"/>
        <v>30</v>
      </c>
      <c r="I3551" s="30"/>
      <c r="J3551" s="62" t="s">
        <v>473</v>
      </c>
      <c r="O3551" s="62" t="str">
        <f>IF(E3551="PA",IF(K3551&lt;&gt;"",ISERROR(VLOOKUP(K3551,ABBR!A:D,1,FALSE)),ISERROR(VLOOKUP(C3551,ABBR!A:D,1,FALSE))),"")</f>
        <v/>
      </c>
      <c r="P3551" t="str">
        <f>VLOOKUP(A3551,Groups!A:L,5,FALSE)</f>
        <v>LOCA</v>
      </c>
      <c r="Q3551" s="62" t="str">
        <f>IF(G3551="PA",IF(M3551&lt;&gt;"",ISERROR(VLOOKUP(M3551,ABBR!C:F,1,FALSE)),ISERROR(VLOOKUP(E3551,ABBR!C:F,1,FALSE))),"")</f>
        <v/>
      </c>
    </row>
    <row r="3552" spans="1:17" s="62" customFormat="1" ht="25" hidden="1" x14ac:dyDescent="0.25">
      <c r="A3552" s="16" t="s">
        <v>400</v>
      </c>
      <c r="B3552" s="17"/>
      <c r="C3552" s="16" t="s">
        <v>5760</v>
      </c>
      <c r="D3552" s="17"/>
      <c r="E3552" s="17" t="s">
        <v>608</v>
      </c>
      <c r="F3552" s="18" t="s">
        <v>5761</v>
      </c>
      <c r="G3552" s="49" t="s">
        <v>5762</v>
      </c>
      <c r="H3552" s="17">
        <f t="shared" si="23"/>
        <v>31</v>
      </c>
      <c r="I3552" s="30"/>
      <c r="J3552" s="62" t="s">
        <v>491</v>
      </c>
      <c r="O3552" s="62" t="str">
        <f>IF(E3552="PA",IF(K3552&lt;&gt;"",ISERROR(VLOOKUP(K3552,ABBR!A:D,1,FALSE)),ISERROR(VLOOKUP(C3552,ABBR!A:D,1,FALSE))),"")</f>
        <v/>
      </c>
      <c r="P3552" t="str">
        <f>VLOOKUP(A3552,Groups!A:L,5,FALSE)</f>
        <v>LOCA</v>
      </c>
      <c r="Q3552" s="62" t="str">
        <f>IF(G3552="PA",IF(M3552&lt;&gt;"",ISERROR(VLOOKUP(M3552,ABBR!C:F,1,FALSE)),ISERROR(VLOOKUP(E3552,ABBR!C:F,1,FALSE))),"")</f>
        <v/>
      </c>
    </row>
    <row r="3553" spans="1:17" s="62" customFormat="1" ht="25" hidden="1" x14ac:dyDescent="0.25">
      <c r="A3553" s="16" t="s">
        <v>400</v>
      </c>
      <c r="B3553" s="17"/>
      <c r="C3553" s="16" t="s">
        <v>5763</v>
      </c>
      <c r="D3553" s="17"/>
      <c r="E3553" s="17" t="s">
        <v>608</v>
      </c>
      <c r="F3553" s="18" t="s">
        <v>5764</v>
      </c>
      <c r="G3553" s="49" t="s">
        <v>5762</v>
      </c>
      <c r="H3553" s="17">
        <f t="shared" si="23"/>
        <v>32</v>
      </c>
      <c r="I3553" s="30"/>
      <c r="J3553" s="62" t="s">
        <v>491</v>
      </c>
      <c r="O3553" s="62" t="str">
        <f>IF(E3553="PA",IF(K3553&lt;&gt;"",ISERROR(VLOOKUP(K3553,ABBR!A:D,1,FALSE)),ISERROR(VLOOKUP(C3553,ABBR!A:D,1,FALSE))),"")</f>
        <v/>
      </c>
      <c r="P3553" t="str">
        <f>VLOOKUP(A3553,Groups!A:L,5,FALSE)</f>
        <v>LOCA</v>
      </c>
      <c r="Q3553" s="62" t="str">
        <f>IF(G3553="PA",IF(M3553&lt;&gt;"",ISERROR(VLOOKUP(M3553,ABBR!C:F,1,FALSE)),ISERROR(VLOOKUP(E3553,ABBR!C:F,1,FALSE))),"")</f>
        <v/>
      </c>
    </row>
    <row r="3554" spans="1:17" s="62" customFormat="1" ht="25" hidden="1" x14ac:dyDescent="0.25">
      <c r="A3554" s="16" t="s">
        <v>400</v>
      </c>
      <c r="B3554" s="17"/>
      <c r="C3554" s="16" t="s">
        <v>5765</v>
      </c>
      <c r="D3554" s="17"/>
      <c r="E3554" s="17" t="s">
        <v>608</v>
      </c>
      <c r="F3554" s="18" t="s">
        <v>5766</v>
      </c>
      <c r="G3554" s="49" t="s">
        <v>631</v>
      </c>
      <c r="H3554" s="17">
        <f t="shared" si="23"/>
        <v>33</v>
      </c>
      <c r="I3554" s="30"/>
      <c r="J3554" s="62" t="s">
        <v>473</v>
      </c>
      <c r="O3554" s="62" t="str">
        <f>IF(E3554="PA",IF(K3554&lt;&gt;"",ISERROR(VLOOKUP(K3554,ABBR!A:D,1,FALSE)),ISERROR(VLOOKUP(C3554,ABBR!A:D,1,FALSE))),"")</f>
        <v/>
      </c>
      <c r="P3554" t="str">
        <f>VLOOKUP(A3554,Groups!A:L,5,FALSE)</f>
        <v>LOCA</v>
      </c>
      <c r="Q3554" s="62" t="str">
        <f>IF(G3554="PA",IF(M3554&lt;&gt;"",ISERROR(VLOOKUP(M3554,ABBR!C:F,1,FALSE)),ISERROR(VLOOKUP(E3554,ABBR!C:F,1,FALSE))),"")</f>
        <v/>
      </c>
    </row>
    <row r="3555" spans="1:17" s="62" customFormat="1" hidden="1" x14ac:dyDescent="0.25">
      <c r="A3555" s="16" t="s">
        <v>400</v>
      </c>
      <c r="B3555" s="17"/>
      <c r="C3555" s="16" t="s">
        <v>5767</v>
      </c>
      <c r="D3555" s="17"/>
      <c r="E3555" s="17" t="s">
        <v>608</v>
      </c>
      <c r="F3555" s="18" t="s">
        <v>1952</v>
      </c>
      <c r="G3555" s="49" t="s">
        <v>876</v>
      </c>
      <c r="H3555" s="17">
        <v>34</v>
      </c>
      <c r="I3555" s="30"/>
      <c r="J3555" s="62" t="s">
        <v>473</v>
      </c>
      <c r="O3555" s="62" t="str">
        <f>IF(E3555="PA",IF(K3555&lt;&gt;"",ISERROR(VLOOKUP(K3555,ABBR!A:D,1,FALSE)),ISERROR(VLOOKUP(C3555,ABBR!A:D,1,FALSE))),"")</f>
        <v/>
      </c>
      <c r="P3555" t="str">
        <f>VLOOKUP(A3555,Groups!A:L,5,FALSE)</f>
        <v>LOCA</v>
      </c>
      <c r="Q3555" s="62" t="str">
        <f>IF(G3555="PA",IF(M3555&lt;&gt;"",ISERROR(VLOOKUP(M3555,ABBR!C:F,1,FALSE)),ISERROR(VLOOKUP(E3555,ABBR!C:F,1,FALSE))),"")</f>
        <v/>
      </c>
    </row>
    <row r="3556" spans="1:17" s="62" customFormat="1" hidden="1" x14ac:dyDescent="0.25">
      <c r="A3556" s="16" t="s">
        <v>400</v>
      </c>
      <c r="B3556" s="17"/>
      <c r="C3556" s="16" t="s">
        <v>5768</v>
      </c>
      <c r="D3556" s="17"/>
      <c r="E3556" s="17" t="s">
        <v>608</v>
      </c>
      <c r="F3556" s="18" t="s">
        <v>5675</v>
      </c>
      <c r="G3556" s="49" t="s">
        <v>876</v>
      </c>
      <c r="H3556" s="17">
        <v>35</v>
      </c>
      <c r="I3556" s="30"/>
      <c r="J3556" s="62" t="s">
        <v>473</v>
      </c>
      <c r="O3556" s="62" t="str">
        <f>IF(E3556="PA",IF(K3556&lt;&gt;"",ISERROR(VLOOKUP(K3556,ABBR!A:D,1,FALSE)),ISERROR(VLOOKUP(C3556,ABBR!A:D,1,FALSE))),"")</f>
        <v/>
      </c>
      <c r="P3556" t="str">
        <f>VLOOKUP(A3556,Groups!A:L,5,FALSE)</f>
        <v>LOCA</v>
      </c>
      <c r="Q3556" s="62" t="str">
        <f>IF(G3556="PA",IF(M3556&lt;&gt;"",ISERROR(VLOOKUP(M3556,ABBR!C:F,1,FALSE)),ISERROR(VLOOKUP(E3556,ABBR!C:F,1,FALSE))),"")</f>
        <v/>
      </c>
    </row>
    <row r="3557" spans="1:17" s="62" customFormat="1" hidden="1" x14ac:dyDescent="0.25">
      <c r="A3557" s="16" t="s">
        <v>408</v>
      </c>
      <c r="B3557" s="17" t="s">
        <v>594</v>
      </c>
      <c r="C3557" s="16" t="s">
        <v>595</v>
      </c>
      <c r="D3557" s="17"/>
      <c r="E3557" s="17" t="s">
        <v>596</v>
      </c>
      <c r="F3557" s="18" t="s">
        <v>597</v>
      </c>
      <c r="G3557" s="49" t="s">
        <v>598</v>
      </c>
      <c r="H3557" s="17">
        <v>1</v>
      </c>
      <c r="I3557" s="30"/>
      <c r="J3557"/>
      <c r="K3557"/>
      <c r="L3557"/>
      <c r="M3557"/>
      <c r="N3557"/>
      <c r="O3557" s="62" t="str">
        <f>IF(E3557="PA",IF(K3557&lt;&gt;"",ISERROR(VLOOKUP(K3557,ABBR!A:D,1,FALSE)),ISERROR(VLOOKUP(C3557,ABBR!A:D,1,FALSE))),"")</f>
        <v/>
      </c>
      <c r="P3557" t="str">
        <f>VLOOKUP(A3557,Groups!A:L,5,FALSE)</f>
        <v>SCPG</v>
      </c>
      <c r="Q3557" s="62" t="str">
        <f>IF(G3557="PA",IF(M3557&lt;&gt;"",ISERROR(VLOOKUP(M3557,ABBR!C:F,1,FALSE)),ISERROR(VLOOKUP(E3557,ABBR!C:F,1,FALSE))),"")</f>
        <v/>
      </c>
    </row>
    <row r="3558" spans="1:17" s="62" customFormat="1" hidden="1" x14ac:dyDescent="0.25">
      <c r="A3558" s="16" t="s">
        <v>408</v>
      </c>
      <c r="B3558" s="17" t="s">
        <v>594</v>
      </c>
      <c r="C3558" s="16" t="s">
        <v>5640</v>
      </c>
      <c r="D3558" s="17"/>
      <c r="E3558" s="17" t="s">
        <v>608</v>
      </c>
      <c r="F3558" s="18" t="s">
        <v>5641</v>
      </c>
      <c r="G3558" s="49" t="s">
        <v>1507</v>
      </c>
      <c r="H3558" s="17">
        <v>2</v>
      </c>
      <c r="I3558" s="30"/>
      <c r="J3558"/>
      <c r="K3558"/>
      <c r="L3558"/>
      <c r="M3558"/>
      <c r="N3558"/>
      <c r="O3558" s="62" t="str">
        <f>IF(E3558="PA",IF(K3558&lt;&gt;"",ISERROR(VLOOKUP(K3558,ABBR!A:D,1,FALSE)),ISERROR(VLOOKUP(C3558,ABBR!A:D,1,FALSE))),"")</f>
        <v/>
      </c>
      <c r="P3558" t="str">
        <f>VLOOKUP(A3558,Groups!A:L,5,FALSE)</f>
        <v>SCPG</v>
      </c>
      <c r="Q3558" s="62" t="str">
        <f>IF(G3558="PA",IF(M3558&lt;&gt;"",ISERROR(VLOOKUP(M3558,ABBR!C:F,1,FALSE)),ISERROR(VLOOKUP(E3558,ABBR!C:F,1,FALSE))),"")</f>
        <v/>
      </c>
    </row>
    <row r="3559" spans="1:17" s="62" customFormat="1" hidden="1" x14ac:dyDescent="0.25">
      <c r="A3559" s="16" t="s">
        <v>408</v>
      </c>
      <c r="B3559" s="17" t="s">
        <v>594</v>
      </c>
      <c r="C3559" s="16" t="s">
        <v>5769</v>
      </c>
      <c r="D3559" s="17" t="s">
        <v>600</v>
      </c>
      <c r="E3559" s="17" t="s">
        <v>601</v>
      </c>
      <c r="F3559" s="18" t="s">
        <v>5770</v>
      </c>
      <c r="G3559" s="49" t="s">
        <v>1411</v>
      </c>
      <c r="H3559" s="17">
        <v>3</v>
      </c>
      <c r="I3559" s="30"/>
      <c r="J3559"/>
      <c r="K3559"/>
      <c r="L3559"/>
      <c r="M3559"/>
      <c r="N3559"/>
      <c r="O3559" s="62" t="str">
        <f>IF(E3559="PA",IF(K3559&lt;&gt;"",ISERROR(VLOOKUP(K3559,ABBR!A:D,1,FALSE)),ISERROR(VLOOKUP(C3559,ABBR!A:D,1,FALSE))),"")</f>
        <v/>
      </c>
      <c r="P3559" t="str">
        <f>VLOOKUP(A3559,Groups!A:L,5,FALSE)</f>
        <v>SCPG</v>
      </c>
      <c r="Q3559" s="62" t="str">
        <f>IF(G3559="PA",IF(M3559&lt;&gt;"",ISERROR(VLOOKUP(M3559,ABBR!C:F,1,FALSE)),ISERROR(VLOOKUP(E3559,ABBR!C:F,1,FALSE))),"")</f>
        <v/>
      </c>
    </row>
    <row r="3560" spans="1:17" s="62" customFormat="1" hidden="1" x14ac:dyDescent="0.25">
      <c r="A3560" s="16" t="s">
        <v>408</v>
      </c>
      <c r="B3560" s="17" t="s">
        <v>594</v>
      </c>
      <c r="C3560" s="16" t="s">
        <v>5771</v>
      </c>
      <c r="D3560" s="17" t="s">
        <v>600</v>
      </c>
      <c r="E3560" s="17" t="s">
        <v>601</v>
      </c>
      <c r="F3560" s="18" t="s">
        <v>5772</v>
      </c>
      <c r="G3560" s="49" t="s">
        <v>5773</v>
      </c>
      <c r="H3560" s="17">
        <v>4</v>
      </c>
      <c r="I3560" s="30"/>
      <c r="J3560"/>
      <c r="K3560"/>
      <c r="L3560"/>
      <c r="M3560"/>
      <c r="N3560"/>
      <c r="O3560" s="62" t="str">
        <f>IF(E3560="PA",IF(K3560&lt;&gt;"",ISERROR(VLOOKUP(K3560,ABBR!A:D,1,FALSE)),ISERROR(VLOOKUP(C3560,ABBR!A:D,1,FALSE))),"")</f>
        <v/>
      </c>
      <c r="P3560" t="str">
        <f>VLOOKUP(A3560,Groups!A:L,5,FALSE)</f>
        <v>SCPG</v>
      </c>
      <c r="Q3560" s="62" t="str">
        <f>IF(G3560="PA",IF(M3560&lt;&gt;"",ISERROR(VLOOKUP(M3560,ABBR!C:F,1,FALSE)),ISERROR(VLOOKUP(E3560,ABBR!C:F,1,FALSE))),"")</f>
        <v/>
      </c>
    </row>
    <row r="3561" spans="1:17" s="62" customFormat="1" ht="25" hidden="1" x14ac:dyDescent="0.25">
      <c r="A3561" s="16" t="s">
        <v>408</v>
      </c>
      <c r="B3561" s="17" t="s">
        <v>594</v>
      </c>
      <c r="C3561" s="16" t="s">
        <v>5774</v>
      </c>
      <c r="D3561" s="17"/>
      <c r="E3561" s="17" t="s">
        <v>608</v>
      </c>
      <c r="F3561" s="18" t="s">
        <v>2186</v>
      </c>
      <c r="G3561" s="49" t="s">
        <v>5775</v>
      </c>
      <c r="H3561" s="17">
        <v>5</v>
      </c>
      <c r="I3561" s="30"/>
      <c r="J3561"/>
      <c r="K3561"/>
      <c r="L3561"/>
      <c r="M3561"/>
      <c r="N3561"/>
      <c r="O3561" s="62" t="str">
        <f>IF(E3561="PA",IF(K3561&lt;&gt;"",ISERROR(VLOOKUP(K3561,ABBR!A:D,1,FALSE)),ISERROR(VLOOKUP(C3561,ABBR!A:D,1,FALSE))),"")</f>
        <v/>
      </c>
      <c r="P3561" t="str">
        <f>VLOOKUP(A3561,Groups!A:L,5,FALSE)</f>
        <v>SCPG</v>
      </c>
      <c r="Q3561" s="62" t="str">
        <f>IF(G3561="PA",IF(M3561&lt;&gt;"",ISERROR(VLOOKUP(M3561,ABBR!C:F,1,FALSE)),ISERROR(VLOOKUP(E3561,ABBR!C:F,1,FALSE))),"")</f>
        <v/>
      </c>
    </row>
    <row r="3562" spans="1:17" s="62" customFormat="1" hidden="1" x14ac:dyDescent="0.25">
      <c r="A3562" s="16" t="s">
        <v>408</v>
      </c>
      <c r="B3562" s="17"/>
      <c r="C3562" s="16" t="s">
        <v>5776</v>
      </c>
      <c r="D3562" s="17"/>
      <c r="E3562" s="17" t="s">
        <v>608</v>
      </c>
      <c r="F3562" s="18" t="s">
        <v>642</v>
      </c>
      <c r="G3562" s="49" t="s">
        <v>16</v>
      </c>
      <c r="H3562" s="17">
        <v>6</v>
      </c>
      <c r="I3562" s="30"/>
      <c r="J3562"/>
      <c r="K3562"/>
      <c r="L3562"/>
      <c r="M3562" s="101"/>
      <c r="N3562"/>
      <c r="O3562" s="62" t="str">
        <f>IF(E3562="PA",IF(K3562&lt;&gt;"",ISERROR(VLOOKUP(K3562,ABBR!A:D,1,FALSE)),ISERROR(VLOOKUP(C3562,ABBR!A:D,1,FALSE))),"")</f>
        <v/>
      </c>
      <c r="P3562" t="str">
        <f>VLOOKUP(A3562,Groups!A:L,5,FALSE)</f>
        <v>SCPG</v>
      </c>
      <c r="Q3562" s="62" t="str">
        <f>IF(G3562="PA",IF(M3562&lt;&gt;"",ISERROR(VLOOKUP(M3562,ABBR!C:F,1,FALSE)),ISERROR(VLOOKUP(E3562,ABBR!C:F,1,FALSE))),"")</f>
        <v/>
      </c>
    </row>
    <row r="3563" spans="1:17" s="62" customFormat="1" hidden="1" x14ac:dyDescent="0.25">
      <c r="A3563" s="16" t="s">
        <v>408</v>
      </c>
      <c r="B3563" s="17"/>
      <c r="C3563" s="16" t="s">
        <v>5777</v>
      </c>
      <c r="D3563" s="17"/>
      <c r="E3563" s="17" t="s">
        <v>608</v>
      </c>
      <c r="F3563" s="18" t="s">
        <v>5778</v>
      </c>
      <c r="G3563" s="49" t="s">
        <v>5779</v>
      </c>
      <c r="H3563" s="17">
        <v>7</v>
      </c>
      <c r="I3563" s="30"/>
      <c r="J3563"/>
      <c r="K3563"/>
      <c r="L3563"/>
      <c r="M3563"/>
      <c r="N3563"/>
      <c r="O3563" s="62" t="str">
        <f>IF(E3563="PA",IF(K3563&lt;&gt;"",ISERROR(VLOOKUP(K3563,ABBR!A:D,1,FALSE)),ISERROR(VLOOKUP(C3563,ABBR!A:D,1,FALSE))),"")</f>
        <v/>
      </c>
      <c r="P3563" t="str">
        <f>VLOOKUP(A3563,Groups!A:L,5,FALSE)</f>
        <v>SCPG</v>
      </c>
      <c r="Q3563" s="62" t="str">
        <f>IF(G3563="PA",IF(M3563&lt;&gt;"",ISERROR(VLOOKUP(M3563,ABBR!C:F,1,FALSE)),ISERROR(VLOOKUP(E3563,ABBR!C:F,1,FALSE))),"")</f>
        <v/>
      </c>
    </row>
    <row r="3564" spans="1:17" s="62" customFormat="1" hidden="1" x14ac:dyDescent="0.25">
      <c r="A3564" s="16" t="s">
        <v>408</v>
      </c>
      <c r="B3564" s="17"/>
      <c r="C3564" s="16" t="s">
        <v>5780</v>
      </c>
      <c r="D3564" s="17" t="s">
        <v>1345</v>
      </c>
      <c r="E3564" s="17" t="s">
        <v>723</v>
      </c>
      <c r="F3564" s="18" t="s">
        <v>5781</v>
      </c>
      <c r="G3564" s="49" t="s">
        <v>5782</v>
      </c>
      <c r="H3564" s="17">
        <v>8</v>
      </c>
      <c r="I3564" s="30"/>
      <c r="J3564"/>
      <c r="K3564"/>
      <c r="L3564"/>
      <c r="M3564"/>
      <c r="N3564"/>
      <c r="O3564" s="62" t="str">
        <f>IF(E3564="PA",IF(K3564&lt;&gt;"",ISERROR(VLOOKUP(K3564,ABBR!A:D,1,FALSE)),ISERROR(VLOOKUP(C3564,ABBR!A:D,1,FALSE))),"")</f>
        <v/>
      </c>
      <c r="P3564" t="str">
        <f>VLOOKUP(A3564,Groups!A:L,5,FALSE)</f>
        <v>SCPG</v>
      </c>
      <c r="Q3564" s="62" t="str">
        <f>IF(G3564="PA",IF(M3564&lt;&gt;"",ISERROR(VLOOKUP(M3564,ABBR!C:F,1,FALSE)),ISERROR(VLOOKUP(E3564,ABBR!C:F,1,FALSE))),"")</f>
        <v/>
      </c>
    </row>
    <row r="3565" spans="1:17" s="62" customFormat="1" hidden="1" x14ac:dyDescent="0.25">
      <c r="A3565" s="16" t="s">
        <v>408</v>
      </c>
      <c r="B3565" s="17"/>
      <c r="C3565" s="16" t="s">
        <v>5783</v>
      </c>
      <c r="D3565" s="17" t="s">
        <v>766</v>
      </c>
      <c r="E3565" s="17" t="s">
        <v>723</v>
      </c>
      <c r="F3565" s="18" t="s">
        <v>5784</v>
      </c>
      <c r="G3565" s="49" t="s">
        <v>1657</v>
      </c>
      <c r="H3565" s="17">
        <v>9</v>
      </c>
      <c r="I3565" s="30"/>
      <c r="J3565"/>
      <c r="K3565"/>
      <c r="L3565"/>
      <c r="M3565"/>
      <c r="N3565"/>
      <c r="O3565" s="62" t="str">
        <f>IF(E3565="PA",IF(K3565&lt;&gt;"",ISERROR(VLOOKUP(K3565,ABBR!A:D,1,FALSE)),ISERROR(VLOOKUP(C3565,ABBR!A:D,1,FALSE))),"")</f>
        <v/>
      </c>
      <c r="P3565" t="str">
        <f>VLOOKUP(A3565,Groups!A:L,5,FALSE)</f>
        <v>SCPG</v>
      </c>
      <c r="Q3565" s="62" t="str">
        <f>IF(G3565="PA",IF(M3565&lt;&gt;"",ISERROR(VLOOKUP(M3565,ABBR!C:F,1,FALSE)),ISERROR(VLOOKUP(E3565,ABBR!C:F,1,FALSE))),"")</f>
        <v/>
      </c>
    </row>
    <row r="3566" spans="1:17" s="62" customFormat="1" hidden="1" x14ac:dyDescent="0.25">
      <c r="A3566" s="16" t="s">
        <v>408</v>
      </c>
      <c r="B3566" s="17"/>
      <c r="C3566" s="16" t="s">
        <v>5785</v>
      </c>
      <c r="D3566" s="17" t="s">
        <v>2027</v>
      </c>
      <c r="E3566" s="17" t="s">
        <v>723</v>
      </c>
      <c r="F3566" s="18" t="s">
        <v>5786</v>
      </c>
      <c r="G3566" s="49" t="s">
        <v>5787</v>
      </c>
      <c r="H3566" s="17">
        <v>10</v>
      </c>
      <c r="I3566" s="30"/>
      <c r="J3566"/>
      <c r="K3566"/>
      <c r="L3566"/>
      <c r="M3566"/>
      <c r="N3566"/>
      <c r="O3566" s="62" t="str">
        <f>IF(E3566="PA",IF(K3566&lt;&gt;"",ISERROR(VLOOKUP(K3566,ABBR!A:D,1,FALSE)),ISERROR(VLOOKUP(C3566,ABBR!A:D,1,FALSE))),"")</f>
        <v/>
      </c>
      <c r="P3566" t="str">
        <f>VLOOKUP(A3566,Groups!A:L,5,FALSE)</f>
        <v>SCPG</v>
      </c>
      <c r="Q3566" s="62" t="str">
        <f>IF(G3566="PA",IF(M3566&lt;&gt;"",ISERROR(VLOOKUP(M3566,ABBR!C:F,1,FALSE)),ISERROR(VLOOKUP(E3566,ABBR!C:F,1,FALSE))),"")</f>
        <v/>
      </c>
    </row>
    <row r="3567" spans="1:17" s="62" customFormat="1" hidden="1" x14ac:dyDescent="0.25">
      <c r="A3567" s="16" t="s">
        <v>408</v>
      </c>
      <c r="B3567" s="17"/>
      <c r="C3567" s="16" t="s">
        <v>5788</v>
      </c>
      <c r="D3567" s="17"/>
      <c r="E3567" s="17" t="s">
        <v>723</v>
      </c>
      <c r="F3567" s="18" t="s">
        <v>5789</v>
      </c>
      <c r="G3567" s="49" t="s">
        <v>5790</v>
      </c>
      <c r="H3567" s="17">
        <v>11</v>
      </c>
      <c r="I3567" s="30"/>
      <c r="J3567"/>
      <c r="K3567"/>
      <c r="L3567"/>
      <c r="M3567"/>
      <c r="N3567"/>
      <c r="O3567" s="62" t="str">
        <f>IF(E3567="PA",IF(K3567&lt;&gt;"",ISERROR(VLOOKUP(K3567,ABBR!A:D,1,FALSE)),ISERROR(VLOOKUP(C3567,ABBR!A:D,1,FALSE))),"")</f>
        <v/>
      </c>
      <c r="P3567" t="str">
        <f>VLOOKUP(A3567,Groups!A:L,5,FALSE)</f>
        <v>SCPG</v>
      </c>
      <c r="Q3567" s="62" t="str">
        <f>IF(G3567="PA",IF(M3567&lt;&gt;"",ISERROR(VLOOKUP(M3567,ABBR!C:F,1,FALSE)),ISERROR(VLOOKUP(E3567,ABBR!C:F,1,FALSE))),"")</f>
        <v/>
      </c>
    </row>
    <row r="3568" spans="1:17" s="62" customFormat="1" hidden="1" x14ac:dyDescent="0.25">
      <c r="A3568" s="16" t="s">
        <v>408</v>
      </c>
      <c r="B3568" s="17"/>
      <c r="C3568" s="16" t="s">
        <v>5791</v>
      </c>
      <c r="D3568" s="17"/>
      <c r="E3568" s="17" t="s">
        <v>767</v>
      </c>
      <c r="F3568" s="18" t="s">
        <v>5792</v>
      </c>
      <c r="G3568" s="49" t="s">
        <v>1602</v>
      </c>
      <c r="H3568" s="17">
        <v>12</v>
      </c>
      <c r="I3568" s="30"/>
      <c r="J3568"/>
      <c r="K3568"/>
      <c r="L3568"/>
      <c r="M3568"/>
      <c r="N3568"/>
      <c r="O3568" s="62" t="str">
        <f>IF(E3568="PA",IF(K3568&lt;&gt;"",ISERROR(VLOOKUP(K3568,ABBR!A:D,1,FALSE)),ISERROR(VLOOKUP(C3568,ABBR!A:D,1,FALSE))),"")</f>
        <v/>
      </c>
      <c r="P3568" t="str">
        <f>VLOOKUP(A3568,Groups!A:L,5,FALSE)</f>
        <v>SCPG</v>
      </c>
      <c r="Q3568" s="62" t="str">
        <f>IF(G3568="PA",IF(M3568&lt;&gt;"",ISERROR(VLOOKUP(M3568,ABBR!C:F,1,FALSE)),ISERROR(VLOOKUP(E3568,ABBR!C:F,1,FALSE))),"")</f>
        <v/>
      </c>
    </row>
    <row r="3569" spans="1:17" s="62" customFormat="1" hidden="1" x14ac:dyDescent="0.25">
      <c r="A3569" s="16" t="s">
        <v>408</v>
      </c>
      <c r="B3569" s="17"/>
      <c r="C3569" s="16" t="s">
        <v>643</v>
      </c>
      <c r="D3569" s="17"/>
      <c r="E3569" s="17" t="s">
        <v>608</v>
      </c>
      <c r="F3569" s="18" t="s">
        <v>1714</v>
      </c>
      <c r="G3569" s="49" t="s">
        <v>4171</v>
      </c>
      <c r="H3569" s="17">
        <v>13</v>
      </c>
      <c r="I3569" s="30"/>
      <c r="J3569"/>
      <c r="K3569"/>
      <c r="L3569"/>
      <c r="M3569"/>
      <c r="N3569"/>
      <c r="O3569" s="62" t="str">
        <f>IF(E3569="PA",IF(K3569&lt;&gt;"",ISERROR(VLOOKUP(K3569,ABBR!A:D,1,FALSE)),ISERROR(VLOOKUP(C3569,ABBR!A:D,1,FALSE))),"")</f>
        <v/>
      </c>
      <c r="P3569" t="str">
        <f>VLOOKUP(A3569,Groups!A:L,5,FALSE)</f>
        <v>SCPG</v>
      </c>
      <c r="Q3569" s="62" t="str">
        <f>IF(G3569="PA",IF(M3569&lt;&gt;"",ISERROR(VLOOKUP(M3569,ABBR!C:F,1,FALSE)),ISERROR(VLOOKUP(E3569,ABBR!C:F,1,FALSE))),"")</f>
        <v/>
      </c>
    </row>
    <row r="3570" spans="1:17" s="62" customFormat="1" hidden="1" x14ac:dyDescent="0.25">
      <c r="A3570" s="16" t="s">
        <v>412</v>
      </c>
      <c r="B3570" s="17" t="s">
        <v>594</v>
      </c>
      <c r="C3570" s="16" t="s">
        <v>595</v>
      </c>
      <c r="D3570" s="17"/>
      <c r="E3570" s="17" t="s">
        <v>596</v>
      </c>
      <c r="F3570" s="18" t="s">
        <v>597</v>
      </c>
      <c r="G3570" s="49" t="s">
        <v>598</v>
      </c>
      <c r="H3570" s="17">
        <v>1</v>
      </c>
      <c r="I3570" s="30"/>
      <c r="J3570"/>
      <c r="K3570"/>
      <c r="L3570"/>
      <c r="M3570"/>
      <c r="N3570"/>
      <c r="O3570" s="62" t="str">
        <f>IF(E3570="PA",IF(K3570&lt;&gt;"",ISERROR(VLOOKUP(K3570,ABBR!A:D,1,FALSE)),ISERROR(VLOOKUP(C3570,ABBR!A:D,1,FALSE))),"")</f>
        <v/>
      </c>
      <c r="P3570" t="str">
        <f>VLOOKUP(A3570,Groups!A:L,5,FALSE)</f>
        <v>SCPG</v>
      </c>
      <c r="Q3570" s="62" t="str">
        <f>IF(G3570="PA",IF(M3570&lt;&gt;"",ISERROR(VLOOKUP(M3570,ABBR!C:F,1,FALSE)),ISERROR(VLOOKUP(E3570,ABBR!C:F,1,FALSE))),"")</f>
        <v/>
      </c>
    </row>
    <row r="3571" spans="1:17" s="62" customFormat="1" hidden="1" x14ac:dyDescent="0.25">
      <c r="A3571" s="16" t="s">
        <v>412</v>
      </c>
      <c r="B3571" s="17" t="s">
        <v>594</v>
      </c>
      <c r="C3571" s="16" t="s">
        <v>5640</v>
      </c>
      <c r="D3571" s="17"/>
      <c r="E3571" s="17" t="s">
        <v>608</v>
      </c>
      <c r="F3571" s="18" t="s">
        <v>5641</v>
      </c>
      <c r="G3571" s="49" t="s">
        <v>1507</v>
      </c>
      <c r="H3571" s="17">
        <v>2</v>
      </c>
      <c r="I3571" s="30"/>
      <c r="J3571"/>
      <c r="K3571"/>
      <c r="L3571"/>
      <c r="M3571"/>
      <c r="N3571"/>
      <c r="O3571" s="62" t="str">
        <f>IF(E3571="PA",IF(K3571&lt;&gt;"",ISERROR(VLOOKUP(K3571,ABBR!A:D,1,FALSE)),ISERROR(VLOOKUP(C3571,ABBR!A:D,1,FALSE))),"")</f>
        <v/>
      </c>
      <c r="P3571" t="str">
        <f>VLOOKUP(A3571,Groups!A:L,5,FALSE)</f>
        <v>SCPG</v>
      </c>
      <c r="Q3571" s="62" t="str">
        <f>IF(G3571="PA",IF(M3571&lt;&gt;"",ISERROR(VLOOKUP(M3571,ABBR!C:F,1,FALSE)),ISERROR(VLOOKUP(E3571,ABBR!C:F,1,FALSE))),"")</f>
        <v/>
      </c>
    </row>
    <row r="3572" spans="1:17" s="62" customFormat="1" hidden="1" x14ac:dyDescent="0.25">
      <c r="A3572" s="16" t="s">
        <v>412</v>
      </c>
      <c r="B3572" s="17" t="s">
        <v>594</v>
      </c>
      <c r="C3572" s="16" t="s">
        <v>5793</v>
      </c>
      <c r="D3572" s="17" t="s">
        <v>600</v>
      </c>
      <c r="E3572" s="17" t="s">
        <v>1321</v>
      </c>
      <c r="F3572" s="18" t="s">
        <v>5794</v>
      </c>
      <c r="G3572" s="49" t="s">
        <v>5795</v>
      </c>
      <c r="H3572" s="17">
        <v>3</v>
      </c>
      <c r="I3572" s="30" t="s">
        <v>5644</v>
      </c>
      <c r="J3572" s="62" t="s">
        <v>1279</v>
      </c>
      <c r="O3572" s="62" t="str">
        <f>IF(E3572="PA",IF(K3572&lt;&gt;"",ISERROR(VLOOKUP(K3572,ABBR!A:D,1,FALSE)),ISERROR(VLOOKUP(C3572,ABBR!A:D,1,FALSE))),"")</f>
        <v/>
      </c>
      <c r="P3572" t="str">
        <f>VLOOKUP(A3572,Groups!A:L,5,FALSE)</f>
        <v>SCPG</v>
      </c>
      <c r="Q3572" s="62" t="str">
        <f>IF(G3572="PA",IF(M3572&lt;&gt;"",ISERROR(VLOOKUP(M3572,ABBR!C:F,1,FALSE)),ISERROR(VLOOKUP(E3572,ABBR!C:F,1,FALSE))),"")</f>
        <v/>
      </c>
    </row>
    <row r="3573" spans="1:17" s="62" customFormat="1" hidden="1" x14ac:dyDescent="0.25">
      <c r="A3573" s="16" t="s">
        <v>412</v>
      </c>
      <c r="B3573" s="17"/>
      <c r="C3573" s="16" t="s">
        <v>5796</v>
      </c>
      <c r="D3573" s="17" t="s">
        <v>1710</v>
      </c>
      <c r="E3573" s="17" t="s">
        <v>1321</v>
      </c>
      <c r="F3573" s="18" t="s">
        <v>5797</v>
      </c>
      <c r="G3573" s="49" t="s">
        <v>5798</v>
      </c>
      <c r="H3573" s="17">
        <v>4</v>
      </c>
      <c r="I3573" s="30"/>
      <c r="J3573"/>
      <c r="K3573"/>
      <c r="L3573"/>
      <c r="M3573"/>
      <c r="N3573"/>
      <c r="O3573" s="62" t="str">
        <f>IF(E3573="PA",IF(K3573&lt;&gt;"",ISERROR(VLOOKUP(K3573,ABBR!A:D,1,FALSE)),ISERROR(VLOOKUP(C3573,ABBR!A:D,1,FALSE))),"")</f>
        <v/>
      </c>
      <c r="P3573" t="str">
        <f>VLOOKUP(A3573,Groups!A:L,5,FALSE)</f>
        <v>SCPG</v>
      </c>
      <c r="Q3573" s="62" t="str">
        <f>IF(G3573="PA",IF(M3573&lt;&gt;"",ISERROR(VLOOKUP(M3573,ABBR!C:F,1,FALSE)),ISERROR(VLOOKUP(E3573,ABBR!C:F,1,FALSE))),"")</f>
        <v/>
      </c>
    </row>
    <row r="3574" spans="1:17" s="62" customFormat="1" hidden="1" x14ac:dyDescent="0.25">
      <c r="A3574" s="16" t="s">
        <v>412</v>
      </c>
      <c r="B3574" s="17"/>
      <c r="C3574" s="16" t="s">
        <v>5799</v>
      </c>
      <c r="D3574" s="17" t="s">
        <v>1710</v>
      </c>
      <c r="E3574" s="17" t="s">
        <v>1699</v>
      </c>
      <c r="F3574" s="18" t="s">
        <v>5800</v>
      </c>
      <c r="G3574" s="49" t="s">
        <v>5801</v>
      </c>
      <c r="H3574" s="17">
        <v>5</v>
      </c>
      <c r="I3574" s="30"/>
      <c r="J3574"/>
      <c r="K3574"/>
      <c r="L3574"/>
      <c r="M3574"/>
      <c r="N3574"/>
      <c r="O3574" s="62" t="str">
        <f>IF(E3574="PA",IF(K3574&lt;&gt;"",ISERROR(VLOOKUP(K3574,ABBR!A:D,1,FALSE)),ISERROR(VLOOKUP(C3574,ABBR!A:D,1,FALSE))),"")</f>
        <v/>
      </c>
      <c r="P3574" t="str">
        <f>VLOOKUP(A3574,Groups!A:L,5,FALSE)</f>
        <v>SCPG</v>
      </c>
      <c r="Q3574" s="62" t="str">
        <f>IF(G3574="PA",IF(M3574&lt;&gt;"",ISERROR(VLOOKUP(M3574,ABBR!C:F,1,FALSE)),ISERROR(VLOOKUP(E3574,ABBR!C:F,1,FALSE))),"")</f>
        <v/>
      </c>
    </row>
    <row r="3575" spans="1:17" s="62" customFormat="1" hidden="1" x14ac:dyDescent="0.25">
      <c r="A3575" s="16" t="s">
        <v>412</v>
      </c>
      <c r="B3575" s="17"/>
      <c r="C3575" s="16" t="s">
        <v>5802</v>
      </c>
      <c r="D3575" s="17" t="s">
        <v>1710</v>
      </c>
      <c r="E3575" s="17" t="s">
        <v>1699</v>
      </c>
      <c r="F3575" s="18" t="s">
        <v>5682</v>
      </c>
      <c r="G3575" s="49" t="s">
        <v>5803</v>
      </c>
      <c r="H3575" s="17">
        <v>6</v>
      </c>
      <c r="I3575" s="30"/>
      <c r="J3575"/>
      <c r="K3575"/>
      <c r="L3575"/>
      <c r="M3575"/>
      <c r="N3575"/>
      <c r="O3575" s="62" t="str">
        <f>IF(E3575="PA",IF(K3575&lt;&gt;"",ISERROR(VLOOKUP(K3575,ABBR!A:D,1,FALSE)),ISERROR(VLOOKUP(C3575,ABBR!A:D,1,FALSE))),"")</f>
        <v/>
      </c>
      <c r="P3575" t="str">
        <f>VLOOKUP(A3575,Groups!A:L,5,FALSE)</f>
        <v>SCPG</v>
      </c>
      <c r="Q3575" s="62" t="str">
        <f>IF(G3575="PA",IF(M3575&lt;&gt;"",ISERROR(VLOOKUP(M3575,ABBR!C:F,1,FALSE)),ISERROR(VLOOKUP(E3575,ABBR!C:F,1,FALSE))),"")</f>
        <v/>
      </c>
    </row>
    <row r="3576" spans="1:17" s="62" customFormat="1" hidden="1" x14ac:dyDescent="0.25">
      <c r="A3576" s="16" t="s">
        <v>412</v>
      </c>
      <c r="B3576" s="17"/>
      <c r="C3576" s="16" t="s">
        <v>5804</v>
      </c>
      <c r="D3576" s="17" t="s">
        <v>1710</v>
      </c>
      <c r="E3576" s="17" t="s">
        <v>1699</v>
      </c>
      <c r="F3576" s="18" t="s">
        <v>5685</v>
      </c>
      <c r="G3576" s="49" t="s">
        <v>5803</v>
      </c>
      <c r="H3576" s="17">
        <v>7</v>
      </c>
      <c r="I3576" s="30"/>
      <c r="J3576"/>
      <c r="K3576"/>
      <c r="L3576"/>
      <c r="M3576"/>
      <c r="N3576"/>
      <c r="O3576" s="62" t="str">
        <f>IF(E3576="PA",IF(K3576&lt;&gt;"",ISERROR(VLOOKUP(K3576,ABBR!A:D,1,FALSE)),ISERROR(VLOOKUP(C3576,ABBR!A:D,1,FALSE))),"")</f>
        <v/>
      </c>
      <c r="P3576" t="str">
        <f>VLOOKUP(A3576,Groups!A:L,5,FALSE)</f>
        <v>SCPG</v>
      </c>
      <c r="Q3576" s="62" t="str">
        <f>IF(G3576="PA",IF(M3576&lt;&gt;"",ISERROR(VLOOKUP(M3576,ABBR!C:F,1,FALSE)),ISERROR(VLOOKUP(E3576,ABBR!C:F,1,FALSE))),"")</f>
        <v/>
      </c>
    </row>
    <row r="3577" spans="1:17" s="62" customFormat="1" hidden="1" x14ac:dyDescent="0.25">
      <c r="A3577" s="16" t="s">
        <v>412</v>
      </c>
      <c r="B3577" s="17"/>
      <c r="C3577" s="16" t="s">
        <v>5805</v>
      </c>
      <c r="D3577" s="17" t="s">
        <v>1710</v>
      </c>
      <c r="E3577" s="17" t="s">
        <v>1699</v>
      </c>
      <c r="F3577" s="18" t="s">
        <v>5687</v>
      </c>
      <c r="G3577" s="49" t="s">
        <v>5803</v>
      </c>
      <c r="H3577" s="17">
        <v>8</v>
      </c>
      <c r="I3577" s="30"/>
      <c r="J3577"/>
      <c r="K3577"/>
      <c r="L3577"/>
      <c r="M3577"/>
      <c r="N3577"/>
      <c r="O3577" s="62" t="str">
        <f>IF(E3577="PA",IF(K3577&lt;&gt;"",ISERROR(VLOOKUP(K3577,ABBR!A:D,1,FALSE)),ISERROR(VLOOKUP(C3577,ABBR!A:D,1,FALSE))),"")</f>
        <v/>
      </c>
      <c r="P3577" t="str">
        <f>VLOOKUP(A3577,Groups!A:L,5,FALSE)</f>
        <v>SCPG</v>
      </c>
      <c r="Q3577" s="62" t="str">
        <f>IF(G3577="PA",IF(M3577&lt;&gt;"",ISERROR(VLOOKUP(M3577,ABBR!C:F,1,FALSE)),ISERROR(VLOOKUP(E3577,ABBR!C:F,1,FALSE))),"")</f>
        <v/>
      </c>
    </row>
    <row r="3578" spans="1:17" s="62" customFormat="1" hidden="1" x14ac:dyDescent="0.25">
      <c r="A3578" s="16" t="s">
        <v>412</v>
      </c>
      <c r="B3578" s="17"/>
      <c r="C3578" s="16" t="s">
        <v>5806</v>
      </c>
      <c r="D3578" s="17" t="s">
        <v>5807</v>
      </c>
      <c r="E3578" s="17" t="s">
        <v>1699</v>
      </c>
      <c r="F3578" s="18" t="s">
        <v>5808</v>
      </c>
      <c r="G3578" s="49" t="s">
        <v>5809</v>
      </c>
      <c r="H3578" s="17">
        <v>9</v>
      </c>
      <c r="I3578" s="30"/>
      <c r="J3578"/>
      <c r="K3578"/>
      <c r="L3578"/>
      <c r="M3578"/>
      <c r="N3578"/>
      <c r="O3578" s="62" t="str">
        <f>IF(E3578="PA",IF(K3578&lt;&gt;"",ISERROR(VLOOKUP(K3578,ABBR!A:D,1,FALSE)),ISERROR(VLOOKUP(C3578,ABBR!A:D,1,FALSE))),"")</f>
        <v/>
      </c>
      <c r="P3578" t="str">
        <f>VLOOKUP(A3578,Groups!A:L,5,FALSE)</f>
        <v>SCPG</v>
      </c>
      <c r="Q3578" s="62" t="str">
        <f>IF(G3578="PA",IF(M3578&lt;&gt;"",ISERROR(VLOOKUP(M3578,ABBR!C:F,1,FALSE)),ISERROR(VLOOKUP(E3578,ABBR!C:F,1,FALSE))),"")</f>
        <v/>
      </c>
    </row>
    <row r="3579" spans="1:17" s="62" customFormat="1" hidden="1" x14ac:dyDescent="0.25">
      <c r="A3579" s="16" t="s">
        <v>412</v>
      </c>
      <c r="B3579" s="17"/>
      <c r="C3579" s="16" t="s">
        <v>5810</v>
      </c>
      <c r="D3579" s="17" t="s">
        <v>1590</v>
      </c>
      <c r="E3579" s="17" t="s">
        <v>1699</v>
      </c>
      <c r="F3579" s="18" t="s">
        <v>4161</v>
      </c>
      <c r="G3579" s="49" t="s">
        <v>5811</v>
      </c>
      <c r="H3579" s="17">
        <v>10</v>
      </c>
      <c r="I3579" s="30"/>
      <c r="J3579"/>
      <c r="K3579"/>
      <c r="L3579"/>
      <c r="M3579"/>
      <c r="N3579"/>
      <c r="O3579" s="62" t="str">
        <f>IF(E3579="PA",IF(K3579&lt;&gt;"",ISERROR(VLOOKUP(K3579,ABBR!A:D,1,FALSE)),ISERROR(VLOOKUP(C3579,ABBR!A:D,1,FALSE))),"")</f>
        <v/>
      </c>
      <c r="P3579" t="str">
        <f>VLOOKUP(A3579,Groups!A:L,5,FALSE)</f>
        <v>SCPG</v>
      </c>
      <c r="Q3579" s="62" t="str">
        <f>IF(G3579="PA",IF(M3579&lt;&gt;"",ISERROR(VLOOKUP(M3579,ABBR!C:F,1,FALSE)),ISERROR(VLOOKUP(E3579,ABBR!C:F,1,FALSE))),"")</f>
        <v/>
      </c>
    </row>
    <row r="3580" spans="1:17" s="62" customFormat="1" hidden="1" x14ac:dyDescent="0.25">
      <c r="A3580" s="16" t="s">
        <v>412</v>
      </c>
      <c r="B3580" s="17"/>
      <c r="C3580" s="16" t="s">
        <v>5812</v>
      </c>
      <c r="D3580" s="17"/>
      <c r="E3580" s="17" t="s">
        <v>1699</v>
      </c>
      <c r="F3580" s="18" t="s">
        <v>5813</v>
      </c>
      <c r="G3580" s="49" t="s">
        <v>5814</v>
      </c>
      <c r="H3580" s="17">
        <v>11</v>
      </c>
      <c r="I3580" s="30"/>
      <c r="J3580"/>
      <c r="K3580"/>
      <c r="L3580"/>
      <c r="M3580"/>
      <c r="N3580"/>
      <c r="O3580" s="62" t="str">
        <f>IF(E3580="PA",IF(K3580&lt;&gt;"",ISERROR(VLOOKUP(K3580,ABBR!A:D,1,FALSE)),ISERROR(VLOOKUP(C3580,ABBR!A:D,1,FALSE))),"")</f>
        <v/>
      </c>
      <c r="P3580" t="str">
        <f>VLOOKUP(A3580,Groups!A:L,5,FALSE)</f>
        <v>SCPG</v>
      </c>
      <c r="Q3580" s="62" t="str">
        <f>IF(G3580="PA",IF(M3580&lt;&gt;"",ISERROR(VLOOKUP(M3580,ABBR!C:F,1,FALSE)),ISERROR(VLOOKUP(E3580,ABBR!C:F,1,FALSE))),"")</f>
        <v/>
      </c>
    </row>
    <row r="3581" spans="1:17" s="62" customFormat="1" hidden="1" x14ac:dyDescent="0.25">
      <c r="A3581" s="16" t="s">
        <v>412</v>
      </c>
      <c r="B3581" s="17"/>
      <c r="C3581" s="16" t="s">
        <v>5815</v>
      </c>
      <c r="D3581" s="17" t="s">
        <v>2027</v>
      </c>
      <c r="E3581" s="17" t="s">
        <v>1699</v>
      </c>
      <c r="F3581" s="18" t="s">
        <v>5816</v>
      </c>
      <c r="G3581" s="49" t="s">
        <v>5817</v>
      </c>
      <c r="H3581" s="17">
        <v>12</v>
      </c>
      <c r="I3581" s="30"/>
      <c r="J3581"/>
      <c r="K3581"/>
      <c r="L3581"/>
      <c r="M3581"/>
      <c r="N3581"/>
      <c r="O3581" s="62" t="str">
        <f>IF(E3581="PA",IF(K3581&lt;&gt;"",ISERROR(VLOOKUP(K3581,ABBR!A:D,1,FALSE)),ISERROR(VLOOKUP(C3581,ABBR!A:D,1,FALSE))),"")</f>
        <v/>
      </c>
      <c r="P3581" t="str">
        <f>VLOOKUP(A3581,Groups!A:L,5,FALSE)</f>
        <v>SCPG</v>
      </c>
      <c r="Q3581" s="62" t="str">
        <f>IF(G3581="PA",IF(M3581&lt;&gt;"",ISERROR(VLOOKUP(M3581,ABBR!C:F,1,FALSE)),ISERROR(VLOOKUP(E3581,ABBR!C:F,1,FALSE))),"")</f>
        <v/>
      </c>
    </row>
    <row r="3582" spans="1:17" s="62" customFormat="1" hidden="1" x14ac:dyDescent="0.25">
      <c r="A3582" s="16" t="s">
        <v>412</v>
      </c>
      <c r="B3582" s="17"/>
      <c r="C3582" s="16" t="s">
        <v>5818</v>
      </c>
      <c r="D3582" s="17" t="s">
        <v>2027</v>
      </c>
      <c r="E3582" s="17" t="s">
        <v>1699</v>
      </c>
      <c r="F3582" s="18" t="s">
        <v>5819</v>
      </c>
      <c r="G3582" s="49" t="s">
        <v>5809</v>
      </c>
      <c r="H3582" s="17">
        <v>13</v>
      </c>
      <c r="I3582" s="30"/>
      <c r="J3582"/>
      <c r="K3582"/>
      <c r="L3582"/>
      <c r="M3582"/>
      <c r="N3582"/>
      <c r="O3582" s="62" t="str">
        <f>IF(E3582="PA",IF(K3582&lt;&gt;"",ISERROR(VLOOKUP(K3582,ABBR!A:D,1,FALSE)),ISERROR(VLOOKUP(C3582,ABBR!A:D,1,FALSE))),"")</f>
        <v/>
      </c>
      <c r="P3582" t="str">
        <f>VLOOKUP(A3582,Groups!A:L,5,FALSE)</f>
        <v>SCPG</v>
      </c>
      <c r="Q3582" s="62" t="str">
        <f>IF(G3582="PA",IF(M3582&lt;&gt;"",ISERROR(VLOOKUP(M3582,ABBR!C:F,1,FALSE)),ISERROR(VLOOKUP(E3582,ABBR!C:F,1,FALSE))),"")</f>
        <v/>
      </c>
    </row>
    <row r="3583" spans="1:17" s="62" customFormat="1" hidden="1" x14ac:dyDescent="0.25">
      <c r="A3583" s="16" t="s">
        <v>412</v>
      </c>
      <c r="B3583" s="17"/>
      <c r="C3583" s="16" t="s">
        <v>5820</v>
      </c>
      <c r="D3583" s="17" t="s">
        <v>3300</v>
      </c>
      <c r="E3583" s="17" t="s">
        <v>1699</v>
      </c>
      <c r="F3583" s="18" t="s">
        <v>5821</v>
      </c>
      <c r="G3583" s="49" t="s">
        <v>5809</v>
      </c>
      <c r="H3583" s="17">
        <v>14</v>
      </c>
      <c r="I3583" s="30"/>
      <c r="J3583"/>
      <c r="K3583"/>
      <c r="L3583"/>
      <c r="M3583"/>
      <c r="N3583"/>
      <c r="O3583" s="62" t="str">
        <f>IF(E3583="PA",IF(K3583&lt;&gt;"",ISERROR(VLOOKUP(K3583,ABBR!A:D,1,FALSE)),ISERROR(VLOOKUP(C3583,ABBR!A:D,1,FALSE))),"")</f>
        <v/>
      </c>
      <c r="P3583" t="str">
        <f>VLOOKUP(A3583,Groups!A:L,5,FALSE)</f>
        <v>SCPG</v>
      </c>
      <c r="Q3583" s="62" t="str">
        <f>IF(G3583="PA",IF(M3583&lt;&gt;"",ISERROR(VLOOKUP(M3583,ABBR!C:F,1,FALSE)),ISERROR(VLOOKUP(E3583,ABBR!C:F,1,FALSE))),"")</f>
        <v/>
      </c>
    </row>
    <row r="3584" spans="1:17" s="62" customFormat="1" hidden="1" x14ac:dyDescent="0.25">
      <c r="A3584" s="16" t="s">
        <v>412</v>
      </c>
      <c r="B3584" s="17"/>
      <c r="C3584" s="16" t="s">
        <v>5822</v>
      </c>
      <c r="D3584" s="17" t="s">
        <v>5823</v>
      </c>
      <c r="E3584" s="17" t="s">
        <v>1699</v>
      </c>
      <c r="F3584" s="18" t="s">
        <v>5824</v>
      </c>
      <c r="G3584" s="49" t="s">
        <v>5809</v>
      </c>
      <c r="H3584" s="17">
        <v>15</v>
      </c>
      <c r="I3584" s="30" t="s">
        <v>5825</v>
      </c>
      <c r="J3584" s="62" t="s">
        <v>1279</v>
      </c>
      <c r="M3584"/>
      <c r="O3584" s="62" t="str">
        <f>IF(E3584="PA",IF(K3584&lt;&gt;"",ISERROR(VLOOKUP(K3584,ABBR!A:D,1,FALSE)),ISERROR(VLOOKUP(C3584,ABBR!A:D,1,FALSE))),"")</f>
        <v/>
      </c>
      <c r="P3584" t="str">
        <f>VLOOKUP(A3584,Groups!A:L,5,FALSE)</f>
        <v>SCPG</v>
      </c>
      <c r="Q3584" s="62" t="str">
        <f>IF(G3584="PA",IF(M3584&lt;&gt;"",ISERROR(VLOOKUP(M3584,ABBR!C:F,1,FALSE)),ISERROR(VLOOKUP(E3584,ABBR!C:F,1,FALSE))),"")</f>
        <v/>
      </c>
    </row>
    <row r="3585" spans="1:17" s="62" customFormat="1" hidden="1" x14ac:dyDescent="0.25">
      <c r="A3585" s="16" t="s">
        <v>412</v>
      </c>
      <c r="B3585" s="17"/>
      <c r="C3585" s="16" t="s">
        <v>5826</v>
      </c>
      <c r="D3585" s="17" t="s">
        <v>5823</v>
      </c>
      <c r="E3585" s="17" t="s">
        <v>1699</v>
      </c>
      <c r="F3585" s="18" t="s">
        <v>5827</v>
      </c>
      <c r="G3585" s="49" t="s">
        <v>5809</v>
      </c>
      <c r="H3585" s="17">
        <v>16</v>
      </c>
      <c r="I3585" s="30" t="s">
        <v>5825</v>
      </c>
      <c r="J3585" s="62" t="s">
        <v>1279</v>
      </c>
      <c r="M3585"/>
      <c r="O3585" s="62" t="str">
        <f>IF(E3585="PA",IF(K3585&lt;&gt;"",ISERROR(VLOOKUP(K3585,ABBR!A:D,1,FALSE)),ISERROR(VLOOKUP(C3585,ABBR!A:D,1,FALSE))),"")</f>
        <v/>
      </c>
      <c r="P3585" t="str">
        <f>VLOOKUP(A3585,Groups!A:L,5,FALSE)</f>
        <v>SCPG</v>
      </c>
      <c r="Q3585" s="62" t="str">
        <f>IF(G3585="PA",IF(M3585&lt;&gt;"",ISERROR(VLOOKUP(M3585,ABBR!C:F,1,FALSE)),ISERROR(VLOOKUP(E3585,ABBR!C:F,1,FALSE))),"")</f>
        <v/>
      </c>
    </row>
    <row r="3586" spans="1:17" s="62" customFormat="1" hidden="1" x14ac:dyDescent="0.25">
      <c r="A3586" s="16" t="s">
        <v>412</v>
      </c>
      <c r="B3586" s="17"/>
      <c r="C3586" s="16" t="s">
        <v>5828</v>
      </c>
      <c r="D3586" s="17" t="s">
        <v>5823</v>
      </c>
      <c r="E3586" s="17" t="s">
        <v>1699</v>
      </c>
      <c r="F3586" s="18" t="s">
        <v>5829</v>
      </c>
      <c r="G3586" s="49" t="s">
        <v>5809</v>
      </c>
      <c r="H3586" s="17">
        <v>17</v>
      </c>
      <c r="I3586" s="30" t="s">
        <v>5825</v>
      </c>
      <c r="J3586" s="62" t="s">
        <v>1279</v>
      </c>
      <c r="M3586"/>
      <c r="O3586" s="62" t="str">
        <f>IF(E3586="PA",IF(K3586&lt;&gt;"",ISERROR(VLOOKUP(K3586,ABBR!A:D,1,FALSE)),ISERROR(VLOOKUP(C3586,ABBR!A:D,1,FALSE))),"")</f>
        <v/>
      </c>
      <c r="P3586" t="str">
        <f>VLOOKUP(A3586,Groups!A:L,5,FALSE)</f>
        <v>SCPG</v>
      </c>
      <c r="Q3586" s="62" t="str">
        <f>IF(G3586="PA",IF(M3586&lt;&gt;"",ISERROR(VLOOKUP(M3586,ABBR!C:F,1,FALSE)),ISERROR(VLOOKUP(E3586,ABBR!C:F,1,FALSE))),"")</f>
        <v/>
      </c>
    </row>
    <row r="3587" spans="1:17" s="62" customFormat="1" hidden="1" x14ac:dyDescent="0.25">
      <c r="A3587" s="16" t="s">
        <v>412</v>
      </c>
      <c r="B3587" s="17"/>
      <c r="C3587" s="16" t="s">
        <v>5830</v>
      </c>
      <c r="D3587" s="17" t="s">
        <v>5823</v>
      </c>
      <c r="E3587" s="17" t="s">
        <v>1699</v>
      </c>
      <c r="F3587" s="18" t="s">
        <v>5831</v>
      </c>
      <c r="G3587" s="49" t="s">
        <v>5809</v>
      </c>
      <c r="H3587" s="17">
        <v>18</v>
      </c>
      <c r="I3587" s="30" t="s">
        <v>5825</v>
      </c>
      <c r="J3587" s="62" t="s">
        <v>1279</v>
      </c>
      <c r="M3587"/>
      <c r="O3587" s="62" t="str">
        <f>IF(E3587="PA",IF(K3587&lt;&gt;"",ISERROR(VLOOKUP(K3587,ABBR!A:D,1,FALSE)),ISERROR(VLOOKUP(C3587,ABBR!A:D,1,FALSE))),"")</f>
        <v/>
      </c>
      <c r="P3587" t="str">
        <f>VLOOKUP(A3587,Groups!A:L,5,FALSE)</f>
        <v>SCPG</v>
      </c>
      <c r="Q3587" s="62" t="str">
        <f>IF(G3587="PA",IF(M3587&lt;&gt;"",ISERROR(VLOOKUP(M3587,ABBR!C:F,1,FALSE)),ISERROR(VLOOKUP(E3587,ABBR!C:F,1,FALSE))),"")</f>
        <v/>
      </c>
    </row>
    <row r="3588" spans="1:17" s="62" customFormat="1" hidden="1" x14ac:dyDescent="0.25">
      <c r="A3588" s="16" t="s">
        <v>412</v>
      </c>
      <c r="B3588" s="17"/>
      <c r="C3588" s="16" t="s">
        <v>5832</v>
      </c>
      <c r="D3588" s="17" t="s">
        <v>766</v>
      </c>
      <c r="E3588" s="17" t="s">
        <v>1699</v>
      </c>
      <c r="F3588" s="18" t="s">
        <v>5833</v>
      </c>
      <c r="G3588" s="49" t="s">
        <v>5809</v>
      </c>
      <c r="H3588" s="17">
        <v>19</v>
      </c>
      <c r="I3588" s="30"/>
      <c r="J3588"/>
      <c r="K3588"/>
      <c r="L3588"/>
      <c r="M3588"/>
      <c r="N3588"/>
      <c r="O3588" s="62" t="str">
        <f>IF(E3588="PA",IF(K3588&lt;&gt;"",ISERROR(VLOOKUP(K3588,ABBR!A:D,1,FALSE)),ISERROR(VLOOKUP(C3588,ABBR!A:D,1,FALSE))),"")</f>
        <v/>
      </c>
      <c r="P3588" t="str">
        <f>VLOOKUP(A3588,Groups!A:L,5,FALSE)</f>
        <v>SCPG</v>
      </c>
      <c r="Q3588" s="62" t="str">
        <f>IF(G3588="PA",IF(M3588&lt;&gt;"",ISERROR(VLOOKUP(M3588,ABBR!C:F,1,FALSE)),ISERROR(VLOOKUP(E3588,ABBR!C:F,1,FALSE))),"")</f>
        <v/>
      </c>
    </row>
    <row r="3589" spans="1:17" s="62" customFormat="1" hidden="1" x14ac:dyDescent="0.25">
      <c r="A3589" s="16" t="s">
        <v>412</v>
      </c>
      <c r="B3589" s="17"/>
      <c r="C3589" s="16" t="s">
        <v>5834</v>
      </c>
      <c r="D3589" s="17" t="s">
        <v>5835</v>
      </c>
      <c r="E3589" s="17" t="s">
        <v>1699</v>
      </c>
      <c r="F3589" s="18" t="s">
        <v>5836</v>
      </c>
      <c r="G3589" s="49" t="s">
        <v>5809</v>
      </c>
      <c r="H3589" s="17">
        <v>20</v>
      </c>
      <c r="I3589" s="30"/>
      <c r="J3589"/>
      <c r="K3589"/>
      <c r="L3589"/>
      <c r="M3589"/>
      <c r="N3589"/>
      <c r="O3589" s="62" t="str">
        <f>IF(E3589="PA",IF(K3589&lt;&gt;"",ISERROR(VLOOKUP(K3589,ABBR!A:D,1,FALSE)),ISERROR(VLOOKUP(C3589,ABBR!A:D,1,FALSE))),"")</f>
        <v/>
      </c>
      <c r="P3589" t="str">
        <f>VLOOKUP(A3589,Groups!A:L,5,FALSE)</f>
        <v>SCPG</v>
      </c>
      <c r="Q3589" s="62" t="str">
        <f>IF(G3589="PA",IF(M3589&lt;&gt;"",ISERROR(VLOOKUP(M3589,ABBR!C:F,1,FALSE)),ISERROR(VLOOKUP(E3589,ABBR!C:F,1,FALSE))),"")</f>
        <v/>
      </c>
    </row>
    <row r="3590" spans="1:17" s="62" customFormat="1" hidden="1" x14ac:dyDescent="0.25">
      <c r="A3590" s="16" t="s">
        <v>412</v>
      </c>
      <c r="B3590" s="17"/>
      <c r="C3590" s="16" t="s">
        <v>5837</v>
      </c>
      <c r="D3590" s="17"/>
      <c r="E3590" s="17" t="s">
        <v>608</v>
      </c>
      <c r="F3590" s="18" t="s">
        <v>642</v>
      </c>
      <c r="G3590" s="49" t="s">
        <v>16</v>
      </c>
      <c r="H3590" s="17">
        <v>21</v>
      </c>
      <c r="I3590" s="30"/>
      <c r="J3590"/>
      <c r="K3590"/>
      <c r="L3590"/>
      <c r="M3590" s="101"/>
      <c r="N3590"/>
      <c r="O3590" s="62" t="str">
        <f>IF(E3590="PA",IF(K3590&lt;&gt;"",ISERROR(VLOOKUP(K3590,ABBR!A:D,1,FALSE)),ISERROR(VLOOKUP(C3590,ABBR!A:D,1,FALSE))),"")</f>
        <v/>
      </c>
      <c r="P3590" t="str">
        <f>VLOOKUP(A3590,Groups!A:L,5,FALSE)</f>
        <v>SCPG</v>
      </c>
      <c r="Q3590" s="62" t="str">
        <f>IF(G3590="PA",IF(M3590&lt;&gt;"",ISERROR(VLOOKUP(M3590,ABBR!C:F,1,FALSE)),ISERROR(VLOOKUP(E3590,ABBR!C:F,1,FALSE))),"")</f>
        <v/>
      </c>
    </row>
    <row r="3591" spans="1:17" s="62" customFormat="1" hidden="1" x14ac:dyDescent="0.25">
      <c r="A3591" s="16" t="s">
        <v>412</v>
      </c>
      <c r="B3591" s="17"/>
      <c r="C3591" s="16" t="s">
        <v>5838</v>
      </c>
      <c r="D3591" s="17" t="s">
        <v>766</v>
      </c>
      <c r="E3591" s="17" t="s">
        <v>601</v>
      </c>
      <c r="F3591" s="18" t="s">
        <v>5839</v>
      </c>
      <c r="G3591" s="49" t="s">
        <v>5840</v>
      </c>
      <c r="H3591" s="17">
        <v>22</v>
      </c>
      <c r="I3591" s="30"/>
      <c r="J3591"/>
      <c r="K3591"/>
      <c r="L3591"/>
      <c r="M3591"/>
      <c r="N3591"/>
      <c r="O3591" s="62" t="str">
        <f>IF(E3591="PA",IF(K3591&lt;&gt;"",ISERROR(VLOOKUP(K3591,ABBR!A:D,1,FALSE)),ISERROR(VLOOKUP(C3591,ABBR!A:D,1,FALSE))),"")</f>
        <v/>
      </c>
      <c r="P3591" t="str">
        <f>VLOOKUP(A3591,Groups!A:L,5,FALSE)</f>
        <v>SCPG</v>
      </c>
      <c r="Q3591" s="62" t="str">
        <f>IF(G3591="PA",IF(M3591&lt;&gt;"",ISERROR(VLOOKUP(M3591,ABBR!C:F,1,FALSE)),ISERROR(VLOOKUP(E3591,ABBR!C:F,1,FALSE))),"")</f>
        <v/>
      </c>
    </row>
    <row r="3592" spans="1:17" s="62" customFormat="1" hidden="1" x14ac:dyDescent="0.25">
      <c r="A3592" s="16" t="s">
        <v>412</v>
      </c>
      <c r="B3592" s="17"/>
      <c r="C3592" s="16" t="s">
        <v>5841</v>
      </c>
      <c r="D3592" s="17" t="s">
        <v>1710</v>
      </c>
      <c r="E3592" s="17" t="s">
        <v>1699</v>
      </c>
      <c r="F3592" s="18" t="s">
        <v>5842</v>
      </c>
      <c r="G3592" s="49" t="s">
        <v>5843</v>
      </c>
      <c r="H3592" s="17">
        <v>23</v>
      </c>
      <c r="I3592" s="30"/>
      <c r="J3592"/>
      <c r="K3592"/>
      <c r="L3592"/>
      <c r="M3592"/>
      <c r="N3592"/>
      <c r="O3592" s="62" t="str">
        <f>IF(E3592="PA",IF(K3592&lt;&gt;"",ISERROR(VLOOKUP(K3592,ABBR!A:D,1,FALSE)),ISERROR(VLOOKUP(C3592,ABBR!A:D,1,FALSE))),"")</f>
        <v/>
      </c>
      <c r="P3592" t="str">
        <f>VLOOKUP(A3592,Groups!A:L,5,FALSE)</f>
        <v>SCPG</v>
      </c>
      <c r="Q3592" s="62" t="str">
        <f>IF(G3592="PA",IF(M3592&lt;&gt;"",ISERROR(VLOOKUP(M3592,ABBR!C:F,1,FALSE)),ISERROR(VLOOKUP(E3592,ABBR!C:F,1,FALSE))),"")</f>
        <v/>
      </c>
    </row>
    <row r="3593" spans="1:17" s="62" customFormat="1" hidden="1" x14ac:dyDescent="0.25">
      <c r="A3593" s="16" t="s">
        <v>412</v>
      </c>
      <c r="B3593" s="17"/>
      <c r="C3593" s="16" t="s">
        <v>5844</v>
      </c>
      <c r="D3593" s="17" t="s">
        <v>1710</v>
      </c>
      <c r="E3593" s="17" t="s">
        <v>1699</v>
      </c>
      <c r="F3593" s="18" t="s">
        <v>5845</v>
      </c>
      <c r="G3593" s="49" t="s">
        <v>5846</v>
      </c>
      <c r="H3593" s="17">
        <v>24</v>
      </c>
      <c r="I3593" s="30"/>
      <c r="J3593"/>
      <c r="K3593"/>
      <c r="L3593"/>
      <c r="M3593"/>
      <c r="N3593"/>
      <c r="O3593" s="62" t="str">
        <f>IF(E3593="PA",IF(K3593&lt;&gt;"",ISERROR(VLOOKUP(K3593,ABBR!A:D,1,FALSE)),ISERROR(VLOOKUP(C3593,ABBR!A:D,1,FALSE))),"")</f>
        <v/>
      </c>
      <c r="P3593" t="str">
        <f>VLOOKUP(A3593,Groups!A:L,5,FALSE)</f>
        <v>SCPG</v>
      </c>
      <c r="Q3593" s="62" t="str">
        <f>IF(G3593="PA",IF(M3593&lt;&gt;"",ISERROR(VLOOKUP(M3593,ABBR!C:F,1,FALSE)),ISERROR(VLOOKUP(E3593,ABBR!C:F,1,FALSE))),"")</f>
        <v/>
      </c>
    </row>
    <row r="3594" spans="1:17" s="62" customFormat="1" hidden="1" x14ac:dyDescent="0.25">
      <c r="A3594" s="16" t="s">
        <v>412</v>
      </c>
      <c r="B3594" s="17"/>
      <c r="C3594" s="16" t="s">
        <v>5847</v>
      </c>
      <c r="D3594" s="17" t="s">
        <v>1710</v>
      </c>
      <c r="E3594" s="17" t="s">
        <v>1699</v>
      </c>
      <c r="F3594" s="18" t="s">
        <v>5848</v>
      </c>
      <c r="G3594" s="49" t="s">
        <v>5849</v>
      </c>
      <c r="H3594" s="17">
        <v>25</v>
      </c>
      <c r="I3594" s="30"/>
      <c r="J3594"/>
      <c r="K3594"/>
      <c r="L3594"/>
      <c r="M3594"/>
      <c r="N3594"/>
      <c r="O3594" s="62" t="str">
        <f>IF(E3594="PA",IF(K3594&lt;&gt;"",ISERROR(VLOOKUP(K3594,ABBR!A:D,1,FALSE)),ISERROR(VLOOKUP(C3594,ABBR!A:D,1,FALSE))),"")</f>
        <v/>
      </c>
      <c r="P3594" t="str">
        <f>VLOOKUP(A3594,Groups!A:L,5,FALSE)</f>
        <v>SCPG</v>
      </c>
      <c r="Q3594" s="62" t="str">
        <f>IF(G3594="PA",IF(M3594&lt;&gt;"",ISERROR(VLOOKUP(M3594,ABBR!C:F,1,FALSE)),ISERROR(VLOOKUP(E3594,ABBR!C:F,1,FALSE))),"")</f>
        <v/>
      </c>
    </row>
    <row r="3595" spans="1:17" s="62" customFormat="1" hidden="1" x14ac:dyDescent="0.25">
      <c r="A3595" s="16" t="s">
        <v>412</v>
      </c>
      <c r="B3595" s="17"/>
      <c r="C3595" s="16" t="s">
        <v>5850</v>
      </c>
      <c r="D3595" s="17" t="s">
        <v>1077</v>
      </c>
      <c r="E3595" s="17" t="s">
        <v>601</v>
      </c>
      <c r="F3595" s="18" t="s">
        <v>5851</v>
      </c>
      <c r="G3595" s="49" t="s">
        <v>1486</v>
      </c>
      <c r="H3595" s="17">
        <v>26</v>
      </c>
      <c r="I3595" s="30"/>
      <c r="J3595"/>
      <c r="K3595"/>
      <c r="L3595"/>
      <c r="M3595"/>
      <c r="N3595"/>
      <c r="O3595" s="62" t="str">
        <f>IF(E3595="PA",IF(K3595&lt;&gt;"",ISERROR(VLOOKUP(K3595,ABBR!A:D,1,FALSE)),ISERROR(VLOOKUP(C3595,ABBR!A:D,1,FALSE))),"")</f>
        <v/>
      </c>
      <c r="P3595" t="str">
        <f>VLOOKUP(A3595,Groups!A:L,5,FALSE)</f>
        <v>SCPG</v>
      </c>
      <c r="Q3595" s="62" t="str">
        <f>IF(G3595="PA",IF(M3595&lt;&gt;"",ISERROR(VLOOKUP(M3595,ABBR!C:F,1,FALSE)),ISERROR(VLOOKUP(E3595,ABBR!C:F,1,FALSE))),"")</f>
        <v/>
      </c>
    </row>
    <row r="3596" spans="1:17" s="62" customFormat="1" hidden="1" x14ac:dyDescent="0.25">
      <c r="A3596" s="16" t="s">
        <v>412</v>
      </c>
      <c r="B3596" s="17"/>
      <c r="C3596" s="16" t="s">
        <v>5852</v>
      </c>
      <c r="D3596" s="17" t="s">
        <v>1345</v>
      </c>
      <c r="E3596" s="17" t="s">
        <v>601</v>
      </c>
      <c r="F3596" s="18" t="s">
        <v>5853</v>
      </c>
      <c r="G3596" s="49" t="s">
        <v>5854</v>
      </c>
      <c r="H3596" s="17">
        <v>27</v>
      </c>
      <c r="I3596" s="30"/>
      <c r="J3596"/>
      <c r="K3596"/>
      <c r="L3596"/>
      <c r="M3596"/>
      <c r="N3596"/>
      <c r="O3596" s="62" t="str">
        <f>IF(E3596="PA",IF(K3596&lt;&gt;"",ISERROR(VLOOKUP(K3596,ABBR!A:D,1,FALSE)),ISERROR(VLOOKUP(C3596,ABBR!A:D,1,FALSE))),"")</f>
        <v/>
      </c>
      <c r="P3596" t="str">
        <f>VLOOKUP(A3596,Groups!A:L,5,FALSE)</f>
        <v>SCPG</v>
      </c>
      <c r="Q3596" s="62" t="str">
        <f>IF(G3596="PA",IF(M3596&lt;&gt;"",ISERROR(VLOOKUP(M3596,ABBR!C:F,1,FALSE)),ISERROR(VLOOKUP(E3596,ABBR!C:F,1,FALSE))),"")</f>
        <v/>
      </c>
    </row>
    <row r="3597" spans="1:17" s="62" customFormat="1" ht="25" hidden="1" x14ac:dyDescent="0.25">
      <c r="A3597" s="16" t="s">
        <v>412</v>
      </c>
      <c r="B3597" s="17"/>
      <c r="C3597" s="16" t="s">
        <v>5855</v>
      </c>
      <c r="D3597" s="17" t="s">
        <v>1345</v>
      </c>
      <c r="E3597" s="17" t="s">
        <v>601</v>
      </c>
      <c r="F3597" s="18" t="s">
        <v>5856</v>
      </c>
      <c r="G3597" s="49" t="s">
        <v>5857</v>
      </c>
      <c r="H3597" s="17">
        <v>28</v>
      </c>
      <c r="I3597" s="30"/>
      <c r="J3597"/>
      <c r="K3597"/>
      <c r="L3597"/>
      <c r="M3597"/>
      <c r="N3597"/>
      <c r="O3597" s="62" t="str">
        <f>IF(E3597="PA",IF(K3597&lt;&gt;"",ISERROR(VLOOKUP(K3597,ABBR!A:D,1,FALSE)),ISERROR(VLOOKUP(C3597,ABBR!A:D,1,FALSE))),"")</f>
        <v/>
      </c>
      <c r="P3597" t="str">
        <f>VLOOKUP(A3597,Groups!A:L,5,FALSE)</f>
        <v>SCPG</v>
      </c>
      <c r="Q3597" s="62" t="str">
        <f>IF(G3597="PA",IF(M3597&lt;&gt;"",ISERROR(VLOOKUP(M3597,ABBR!C:F,1,FALSE)),ISERROR(VLOOKUP(E3597,ABBR!C:F,1,FALSE))),"")</f>
        <v/>
      </c>
    </row>
    <row r="3598" spans="1:17" s="62" customFormat="1" hidden="1" x14ac:dyDescent="0.25">
      <c r="A3598" s="16" t="s">
        <v>412</v>
      </c>
      <c r="B3598" s="17"/>
      <c r="C3598" s="16" t="s">
        <v>5858</v>
      </c>
      <c r="D3598" s="17" t="s">
        <v>1710</v>
      </c>
      <c r="E3598" s="17" t="s">
        <v>1699</v>
      </c>
      <c r="F3598" s="18" t="s">
        <v>5859</v>
      </c>
      <c r="G3598" s="49" t="s">
        <v>5860</v>
      </c>
      <c r="H3598" s="17">
        <v>29</v>
      </c>
      <c r="I3598" s="30"/>
      <c r="J3598"/>
      <c r="K3598"/>
      <c r="L3598"/>
      <c r="M3598"/>
      <c r="N3598"/>
      <c r="O3598" s="62" t="str">
        <f>IF(E3598="PA",IF(K3598&lt;&gt;"",ISERROR(VLOOKUP(K3598,ABBR!A:D,1,FALSE)),ISERROR(VLOOKUP(C3598,ABBR!A:D,1,FALSE))),"")</f>
        <v/>
      </c>
      <c r="P3598" t="str">
        <f>VLOOKUP(A3598,Groups!A:L,5,FALSE)</f>
        <v>SCPG</v>
      </c>
      <c r="Q3598" s="62" t="str">
        <f>IF(G3598="PA",IF(M3598&lt;&gt;"",ISERROR(VLOOKUP(M3598,ABBR!C:F,1,FALSE)),ISERROR(VLOOKUP(E3598,ABBR!C:F,1,FALSE))),"")</f>
        <v/>
      </c>
    </row>
    <row r="3599" spans="1:17" s="62" customFormat="1" hidden="1" x14ac:dyDescent="0.25">
      <c r="A3599" s="16" t="s">
        <v>412</v>
      </c>
      <c r="B3599" s="17"/>
      <c r="C3599" s="16" t="s">
        <v>5861</v>
      </c>
      <c r="D3599" s="17" t="s">
        <v>766</v>
      </c>
      <c r="E3599" s="17" t="s">
        <v>601</v>
      </c>
      <c r="F3599" s="18" t="s">
        <v>5862</v>
      </c>
      <c r="G3599" s="49" t="s">
        <v>5863</v>
      </c>
      <c r="H3599" s="17">
        <v>30</v>
      </c>
      <c r="I3599" s="30"/>
      <c r="J3599"/>
      <c r="K3599"/>
      <c r="L3599"/>
      <c r="M3599"/>
      <c r="N3599"/>
      <c r="O3599" s="62" t="str">
        <f>IF(E3599="PA",IF(K3599&lt;&gt;"",ISERROR(VLOOKUP(K3599,ABBR!A:D,1,FALSE)),ISERROR(VLOOKUP(C3599,ABBR!A:D,1,FALSE))),"")</f>
        <v/>
      </c>
      <c r="P3599" t="str">
        <f>VLOOKUP(A3599,Groups!A:L,5,FALSE)</f>
        <v>SCPG</v>
      </c>
      <c r="Q3599" s="62" t="str">
        <f>IF(G3599="PA",IF(M3599&lt;&gt;"",ISERROR(VLOOKUP(M3599,ABBR!C:F,1,FALSE)),ISERROR(VLOOKUP(E3599,ABBR!C:F,1,FALSE))),"")</f>
        <v/>
      </c>
    </row>
    <row r="3600" spans="1:17" s="62" customFormat="1" hidden="1" x14ac:dyDescent="0.25">
      <c r="A3600" s="16" t="s">
        <v>412</v>
      </c>
      <c r="B3600" s="17"/>
      <c r="C3600" s="16" t="s">
        <v>5864</v>
      </c>
      <c r="D3600" s="17" t="s">
        <v>1710</v>
      </c>
      <c r="E3600" s="17" t="s">
        <v>1699</v>
      </c>
      <c r="F3600" s="18" t="s">
        <v>5865</v>
      </c>
      <c r="G3600" s="49" t="s">
        <v>5866</v>
      </c>
      <c r="H3600" s="17">
        <v>31</v>
      </c>
      <c r="I3600" s="30"/>
      <c r="J3600"/>
      <c r="K3600"/>
      <c r="L3600"/>
      <c r="M3600"/>
      <c r="N3600"/>
      <c r="O3600" s="62" t="str">
        <f>IF(E3600="PA",IF(K3600&lt;&gt;"",ISERROR(VLOOKUP(K3600,ABBR!A:D,1,FALSE)),ISERROR(VLOOKUP(C3600,ABBR!A:D,1,FALSE))),"")</f>
        <v/>
      </c>
      <c r="P3600" t="str">
        <f>VLOOKUP(A3600,Groups!A:L,5,FALSE)</f>
        <v>SCPG</v>
      </c>
      <c r="Q3600" s="62" t="str">
        <f>IF(G3600="PA",IF(M3600&lt;&gt;"",ISERROR(VLOOKUP(M3600,ABBR!C:F,1,FALSE)),ISERROR(VLOOKUP(E3600,ABBR!C:F,1,FALSE))),"")</f>
        <v/>
      </c>
    </row>
    <row r="3601" spans="1:17" s="62" customFormat="1" hidden="1" x14ac:dyDescent="0.25">
      <c r="A3601" s="16" t="s">
        <v>412</v>
      </c>
      <c r="B3601" s="17"/>
      <c r="C3601" s="16" t="s">
        <v>5867</v>
      </c>
      <c r="D3601" s="17"/>
      <c r="E3601" s="17" t="s">
        <v>1699</v>
      </c>
      <c r="F3601" s="18" t="s">
        <v>5868</v>
      </c>
      <c r="G3601" s="49" t="s">
        <v>5869</v>
      </c>
      <c r="H3601" s="17">
        <v>32</v>
      </c>
      <c r="I3601" s="30"/>
      <c r="J3601"/>
      <c r="K3601"/>
      <c r="L3601"/>
      <c r="M3601"/>
      <c r="N3601"/>
      <c r="O3601" s="62" t="str">
        <f>IF(E3601="PA",IF(K3601&lt;&gt;"",ISERROR(VLOOKUP(K3601,ABBR!A:D,1,FALSE)),ISERROR(VLOOKUP(C3601,ABBR!A:D,1,FALSE))),"")</f>
        <v/>
      </c>
      <c r="P3601" t="str">
        <f>VLOOKUP(A3601,Groups!A:L,5,FALSE)</f>
        <v>SCPG</v>
      </c>
      <c r="Q3601" s="62" t="str">
        <f>IF(G3601="PA",IF(M3601&lt;&gt;"",ISERROR(VLOOKUP(M3601,ABBR!C:F,1,FALSE)),ISERROR(VLOOKUP(E3601,ABBR!C:F,1,FALSE))),"")</f>
        <v/>
      </c>
    </row>
    <row r="3602" spans="1:17" s="62" customFormat="1" ht="25" hidden="1" x14ac:dyDescent="0.25">
      <c r="A3602" s="16" t="s">
        <v>412</v>
      </c>
      <c r="B3602" s="17"/>
      <c r="C3602" s="16" t="s">
        <v>5870</v>
      </c>
      <c r="D3602" s="17" t="s">
        <v>1710</v>
      </c>
      <c r="E3602" s="17" t="s">
        <v>1699</v>
      </c>
      <c r="F3602" s="18" t="s">
        <v>5871</v>
      </c>
      <c r="G3602" s="49" t="s">
        <v>5872</v>
      </c>
      <c r="H3602" s="17">
        <v>33</v>
      </c>
      <c r="I3602" s="30"/>
      <c r="J3602"/>
      <c r="K3602"/>
      <c r="L3602"/>
      <c r="M3602"/>
      <c r="N3602"/>
      <c r="O3602" s="62" t="str">
        <f>IF(E3602="PA",IF(K3602&lt;&gt;"",ISERROR(VLOOKUP(K3602,ABBR!A:D,1,FALSE)),ISERROR(VLOOKUP(C3602,ABBR!A:D,1,FALSE))),"")</f>
        <v/>
      </c>
      <c r="P3602" t="str">
        <f>VLOOKUP(A3602,Groups!A:L,5,FALSE)</f>
        <v>SCPG</v>
      </c>
      <c r="Q3602" s="62" t="str">
        <f>IF(G3602="PA",IF(M3602&lt;&gt;"",ISERROR(VLOOKUP(M3602,ABBR!C:F,1,FALSE)),ISERROR(VLOOKUP(E3602,ABBR!C:F,1,FALSE))),"")</f>
        <v/>
      </c>
    </row>
    <row r="3603" spans="1:17" s="62" customFormat="1" hidden="1" x14ac:dyDescent="0.25">
      <c r="A3603" s="16" t="s">
        <v>412</v>
      </c>
      <c r="B3603" s="17"/>
      <c r="C3603" s="16" t="s">
        <v>5873</v>
      </c>
      <c r="D3603" s="17"/>
      <c r="E3603" s="17" t="s">
        <v>1699</v>
      </c>
      <c r="F3603" s="18" t="s">
        <v>5874</v>
      </c>
      <c r="G3603" s="49" t="s">
        <v>5875</v>
      </c>
      <c r="H3603" s="17">
        <v>34</v>
      </c>
      <c r="I3603" s="30"/>
      <c r="J3603"/>
      <c r="K3603"/>
      <c r="L3603"/>
      <c r="M3603"/>
      <c r="N3603"/>
      <c r="O3603" s="62" t="str">
        <f>IF(E3603="PA",IF(K3603&lt;&gt;"",ISERROR(VLOOKUP(K3603,ABBR!A:D,1,FALSE)),ISERROR(VLOOKUP(C3603,ABBR!A:D,1,FALSE))),"")</f>
        <v/>
      </c>
      <c r="P3603" t="str">
        <f>VLOOKUP(A3603,Groups!A:L,5,FALSE)</f>
        <v>SCPG</v>
      </c>
      <c r="Q3603" s="62" t="str">
        <f>IF(G3603="PA",IF(M3603&lt;&gt;"",ISERROR(VLOOKUP(M3603,ABBR!C:F,1,FALSE)),ISERROR(VLOOKUP(E3603,ABBR!C:F,1,FALSE))),"")</f>
        <v/>
      </c>
    </row>
    <row r="3604" spans="1:17" s="62" customFormat="1" hidden="1" x14ac:dyDescent="0.25">
      <c r="A3604" s="16" t="s">
        <v>412</v>
      </c>
      <c r="B3604" s="17"/>
      <c r="C3604" s="16" t="s">
        <v>5876</v>
      </c>
      <c r="D3604" s="17" t="s">
        <v>766</v>
      </c>
      <c r="E3604" s="17" t="s">
        <v>1699</v>
      </c>
      <c r="F3604" s="18" t="s">
        <v>5877</v>
      </c>
      <c r="G3604" s="49" t="s">
        <v>5878</v>
      </c>
      <c r="H3604" s="17">
        <v>35</v>
      </c>
      <c r="I3604" s="30"/>
      <c r="J3604"/>
      <c r="K3604"/>
      <c r="L3604"/>
      <c r="M3604"/>
      <c r="N3604"/>
      <c r="O3604" s="62" t="str">
        <f>IF(E3604="PA",IF(K3604&lt;&gt;"",ISERROR(VLOOKUP(K3604,ABBR!A:D,1,FALSE)),ISERROR(VLOOKUP(C3604,ABBR!A:D,1,FALSE))),"")</f>
        <v/>
      </c>
      <c r="P3604" t="str">
        <f>VLOOKUP(A3604,Groups!A:L,5,FALSE)</f>
        <v>SCPG</v>
      </c>
      <c r="Q3604" s="62" t="str">
        <f>IF(G3604="PA",IF(M3604&lt;&gt;"",ISERROR(VLOOKUP(M3604,ABBR!C:F,1,FALSE)),ISERROR(VLOOKUP(E3604,ABBR!C:F,1,FALSE))),"")</f>
        <v/>
      </c>
    </row>
    <row r="3605" spans="1:17" s="62" customFormat="1" hidden="1" x14ac:dyDescent="0.25">
      <c r="A3605" s="16" t="s">
        <v>412</v>
      </c>
      <c r="B3605" s="17"/>
      <c r="C3605" s="16" t="s">
        <v>643</v>
      </c>
      <c r="D3605" s="17"/>
      <c r="E3605" s="17" t="s">
        <v>608</v>
      </c>
      <c r="F3605" s="18" t="s">
        <v>5879</v>
      </c>
      <c r="G3605" s="49" t="s">
        <v>4171</v>
      </c>
      <c r="H3605" s="17">
        <v>36</v>
      </c>
      <c r="I3605" s="30"/>
      <c r="J3605"/>
      <c r="K3605"/>
      <c r="L3605"/>
      <c r="M3605"/>
      <c r="N3605"/>
      <c r="O3605" s="62" t="str">
        <f>IF(E3605="PA",IF(K3605&lt;&gt;"",ISERROR(VLOOKUP(K3605,ABBR!A:D,1,FALSE)),ISERROR(VLOOKUP(C3605,ABBR!A:D,1,FALSE))),"")</f>
        <v/>
      </c>
      <c r="P3605" t="str">
        <f>VLOOKUP(A3605,Groups!A:L,5,FALSE)</f>
        <v>SCPG</v>
      </c>
      <c r="Q3605" s="62" t="str">
        <f>IF(G3605="PA",IF(M3605&lt;&gt;"",ISERROR(VLOOKUP(M3605,ABBR!C:F,1,FALSE)),ISERROR(VLOOKUP(E3605,ABBR!C:F,1,FALSE))),"")</f>
        <v/>
      </c>
    </row>
    <row r="3606" spans="1:17" s="62" customFormat="1" hidden="1" x14ac:dyDescent="0.25">
      <c r="A3606" s="16" t="s">
        <v>412</v>
      </c>
      <c r="B3606" s="17"/>
      <c r="C3606" s="16" t="s">
        <v>5880</v>
      </c>
      <c r="D3606" s="17" t="s">
        <v>1698</v>
      </c>
      <c r="E3606" s="17" t="s">
        <v>723</v>
      </c>
      <c r="F3606" s="18" t="s">
        <v>5881</v>
      </c>
      <c r="G3606" s="49" t="s">
        <v>2329</v>
      </c>
      <c r="H3606" s="17">
        <v>37</v>
      </c>
      <c r="I3606" s="30"/>
      <c r="J3606" s="62" t="s">
        <v>473</v>
      </c>
      <c r="O3606" s="62" t="str">
        <f>IF(E3606="PA",IF(K3606&lt;&gt;"",ISERROR(VLOOKUP(K3606,ABBR!A:D,1,FALSE)),ISERROR(VLOOKUP(C3606,ABBR!A:D,1,FALSE))),"")</f>
        <v/>
      </c>
      <c r="P3606" t="str">
        <f>VLOOKUP(A3606,Groups!A:L,5,FALSE)</f>
        <v>SCPG</v>
      </c>
      <c r="Q3606" s="62" t="str">
        <f>IF(G3606="PA",IF(M3606&lt;&gt;"",ISERROR(VLOOKUP(M3606,ABBR!C:F,1,FALSE)),ISERROR(VLOOKUP(E3606,ABBR!C:F,1,FALSE))),"")</f>
        <v/>
      </c>
    </row>
    <row r="3607" spans="1:17" s="62" customFormat="1" hidden="1" x14ac:dyDescent="0.25">
      <c r="A3607" s="16" t="s">
        <v>412</v>
      </c>
      <c r="B3607" s="17"/>
      <c r="C3607" s="16" t="s">
        <v>5882</v>
      </c>
      <c r="D3607" s="17" t="s">
        <v>766</v>
      </c>
      <c r="E3607" s="17" t="s">
        <v>723</v>
      </c>
      <c r="F3607" s="18" t="s">
        <v>5883</v>
      </c>
      <c r="G3607" s="49" t="s">
        <v>5884</v>
      </c>
      <c r="H3607" s="17">
        <v>38</v>
      </c>
      <c r="I3607" s="30"/>
      <c r="J3607" s="62" t="s">
        <v>473</v>
      </c>
      <c r="O3607" s="62" t="str">
        <f>IF(E3607="PA",IF(K3607&lt;&gt;"",ISERROR(VLOOKUP(K3607,ABBR!A:D,1,FALSE)),ISERROR(VLOOKUP(C3607,ABBR!A:D,1,FALSE))),"")</f>
        <v/>
      </c>
      <c r="P3607" t="str">
        <f>VLOOKUP(A3607,Groups!A:L,5,FALSE)</f>
        <v>SCPG</v>
      </c>
      <c r="Q3607" s="62" t="str">
        <f>IF(G3607="PA",IF(M3607&lt;&gt;"",ISERROR(VLOOKUP(M3607,ABBR!C:F,1,FALSE)),ISERROR(VLOOKUP(E3607,ABBR!C:F,1,FALSE))),"")</f>
        <v/>
      </c>
    </row>
    <row r="3608" spans="1:17" s="62" customFormat="1" hidden="1" x14ac:dyDescent="0.25">
      <c r="A3608" s="16" t="s">
        <v>412</v>
      </c>
      <c r="B3608" s="17"/>
      <c r="C3608" s="16" t="s">
        <v>5885</v>
      </c>
      <c r="D3608" s="17" t="s">
        <v>766</v>
      </c>
      <c r="E3608" s="17" t="s">
        <v>723</v>
      </c>
      <c r="F3608" s="18" t="s">
        <v>5886</v>
      </c>
      <c r="G3608" s="49" t="s">
        <v>5884</v>
      </c>
      <c r="H3608" s="17">
        <v>39</v>
      </c>
      <c r="I3608" s="30"/>
      <c r="J3608" s="62" t="s">
        <v>473</v>
      </c>
      <c r="O3608" s="62" t="str">
        <f>IF(E3608="PA",IF(K3608&lt;&gt;"",ISERROR(VLOOKUP(K3608,ABBR!A:D,1,FALSE)),ISERROR(VLOOKUP(C3608,ABBR!A:D,1,FALSE))),"")</f>
        <v/>
      </c>
      <c r="P3608" t="str">
        <f>VLOOKUP(A3608,Groups!A:L,5,FALSE)</f>
        <v>SCPG</v>
      </c>
      <c r="Q3608" s="62" t="str">
        <f>IF(G3608="PA",IF(M3608&lt;&gt;"",ISERROR(VLOOKUP(M3608,ABBR!C:F,1,FALSE)),ISERROR(VLOOKUP(E3608,ABBR!C:F,1,FALSE))),"")</f>
        <v/>
      </c>
    </row>
    <row r="3609" spans="1:17" s="62" customFormat="1" hidden="1" x14ac:dyDescent="0.25">
      <c r="A3609" s="16" t="s">
        <v>412</v>
      </c>
      <c r="B3609" s="17"/>
      <c r="C3609" s="16" t="s">
        <v>5887</v>
      </c>
      <c r="D3609" s="17" t="s">
        <v>5888</v>
      </c>
      <c r="E3609" s="17" t="s">
        <v>723</v>
      </c>
      <c r="F3609" s="18" t="s">
        <v>5889</v>
      </c>
      <c r="G3609" s="49" t="s">
        <v>5890</v>
      </c>
      <c r="H3609" s="17">
        <v>40</v>
      </c>
      <c r="I3609" s="30"/>
      <c r="J3609" s="62" t="s">
        <v>473</v>
      </c>
      <c r="O3609" s="62" t="str">
        <f>IF(E3609="PA",IF(K3609&lt;&gt;"",ISERROR(VLOOKUP(K3609,ABBR!A:D,1,FALSE)),ISERROR(VLOOKUP(C3609,ABBR!A:D,1,FALSE))),"")</f>
        <v/>
      </c>
      <c r="P3609" t="str">
        <f>VLOOKUP(A3609,Groups!A:L,5,FALSE)</f>
        <v>SCPG</v>
      </c>
      <c r="Q3609" s="62" t="str">
        <f>IF(G3609="PA",IF(M3609&lt;&gt;"",ISERROR(VLOOKUP(M3609,ABBR!C:F,1,FALSE)),ISERROR(VLOOKUP(E3609,ABBR!C:F,1,FALSE))),"")</f>
        <v/>
      </c>
    </row>
    <row r="3610" spans="1:17" s="62" customFormat="1" hidden="1" x14ac:dyDescent="0.25">
      <c r="A3610" s="16" t="s">
        <v>412</v>
      </c>
      <c r="B3610" s="17"/>
      <c r="C3610" s="16" t="s">
        <v>5891</v>
      </c>
      <c r="D3610" s="17" t="s">
        <v>5888</v>
      </c>
      <c r="E3610" s="17" t="s">
        <v>723</v>
      </c>
      <c r="F3610" s="18" t="s">
        <v>5892</v>
      </c>
      <c r="G3610" s="49" t="s">
        <v>5893</v>
      </c>
      <c r="H3610" s="17">
        <v>41</v>
      </c>
      <c r="I3610" s="30"/>
      <c r="J3610" s="62" t="s">
        <v>473</v>
      </c>
      <c r="O3610" s="62" t="str">
        <f>IF(E3610="PA",IF(K3610&lt;&gt;"",ISERROR(VLOOKUP(K3610,ABBR!A:D,1,FALSE)),ISERROR(VLOOKUP(C3610,ABBR!A:D,1,FALSE))),"")</f>
        <v/>
      </c>
      <c r="P3610" t="str">
        <f>VLOOKUP(A3610,Groups!A:L,5,FALSE)</f>
        <v>SCPG</v>
      </c>
      <c r="Q3610" s="62" t="str">
        <f>IF(G3610="PA",IF(M3610&lt;&gt;"",ISERROR(VLOOKUP(M3610,ABBR!C:F,1,FALSE)),ISERROR(VLOOKUP(E3610,ABBR!C:F,1,FALSE))),"")</f>
        <v/>
      </c>
    </row>
    <row r="3611" spans="1:17" s="62" customFormat="1" hidden="1" x14ac:dyDescent="0.25">
      <c r="A3611" s="16" t="s">
        <v>412</v>
      </c>
      <c r="B3611" s="17"/>
      <c r="C3611" s="16" t="s">
        <v>5894</v>
      </c>
      <c r="D3611" s="17" t="s">
        <v>1706</v>
      </c>
      <c r="E3611" s="17" t="s">
        <v>767</v>
      </c>
      <c r="F3611" s="18" t="s">
        <v>5895</v>
      </c>
      <c r="G3611" s="49" t="s">
        <v>1116</v>
      </c>
      <c r="H3611" s="17">
        <v>42</v>
      </c>
      <c r="I3611" s="30"/>
      <c r="J3611" s="62" t="s">
        <v>491</v>
      </c>
      <c r="O3611" s="62" t="str">
        <f>IF(E3611="PA",IF(K3611&lt;&gt;"",ISERROR(VLOOKUP(K3611,ABBR!A:D,1,FALSE)),ISERROR(VLOOKUP(C3611,ABBR!A:D,1,FALSE))),"")</f>
        <v/>
      </c>
      <c r="P3611" t="str">
        <f>VLOOKUP(A3611,Groups!A:L,5,FALSE)</f>
        <v>SCPG</v>
      </c>
      <c r="Q3611" s="62" t="str">
        <f>IF(G3611="PA",IF(M3611&lt;&gt;"",ISERROR(VLOOKUP(M3611,ABBR!C:F,1,FALSE)),ISERROR(VLOOKUP(E3611,ABBR!C:F,1,FALSE))),"")</f>
        <v/>
      </c>
    </row>
    <row r="3612" spans="1:17" s="62" customFormat="1" hidden="1" x14ac:dyDescent="0.25">
      <c r="A3612" s="16" t="s">
        <v>412</v>
      </c>
      <c r="B3612" s="17"/>
      <c r="C3612" s="16" t="s">
        <v>5896</v>
      </c>
      <c r="D3612" s="17" t="s">
        <v>1706</v>
      </c>
      <c r="E3612" s="17" t="s">
        <v>767</v>
      </c>
      <c r="F3612" s="18" t="s">
        <v>5897</v>
      </c>
      <c r="G3612" s="49" t="s">
        <v>2593</v>
      </c>
      <c r="H3612" s="17">
        <v>43</v>
      </c>
      <c r="I3612" s="30"/>
      <c r="J3612" s="62" t="s">
        <v>491</v>
      </c>
      <c r="O3612" s="62" t="str">
        <f>IF(E3612="PA",IF(K3612&lt;&gt;"",ISERROR(VLOOKUP(K3612,ABBR!A:D,1,FALSE)),ISERROR(VLOOKUP(C3612,ABBR!A:D,1,FALSE))),"")</f>
        <v/>
      </c>
      <c r="P3612" t="str">
        <f>VLOOKUP(A3612,Groups!A:L,5,FALSE)</f>
        <v>SCPG</v>
      </c>
      <c r="Q3612" s="62" t="str">
        <f>IF(G3612="PA",IF(M3612&lt;&gt;"",ISERROR(VLOOKUP(M3612,ABBR!C:F,1,FALSE)),ISERROR(VLOOKUP(E3612,ABBR!C:F,1,FALSE))),"")</f>
        <v/>
      </c>
    </row>
    <row r="3613" spans="1:17" s="62" customFormat="1" hidden="1" x14ac:dyDescent="0.25">
      <c r="A3613" s="16" t="s">
        <v>412</v>
      </c>
      <c r="B3613" s="17"/>
      <c r="C3613" s="16" t="s">
        <v>5898</v>
      </c>
      <c r="D3613" s="17"/>
      <c r="E3613" s="17" t="s">
        <v>1699</v>
      </c>
      <c r="F3613" s="18" t="s">
        <v>5899</v>
      </c>
      <c r="G3613" s="49" t="s">
        <v>5900</v>
      </c>
      <c r="H3613" s="17">
        <v>44</v>
      </c>
      <c r="I3613" s="30"/>
      <c r="J3613" s="62" t="s">
        <v>473</v>
      </c>
      <c r="O3613" s="62" t="str">
        <f>IF(E3613="PA",IF(K3613&lt;&gt;"",ISERROR(VLOOKUP(K3613,ABBR!A:D,1,FALSE)),ISERROR(VLOOKUP(C3613,ABBR!A:D,1,FALSE))),"")</f>
        <v/>
      </c>
      <c r="P3613" t="str">
        <f>VLOOKUP(A3613,Groups!A:L,5,FALSE)</f>
        <v>SCPG</v>
      </c>
      <c r="Q3613" s="62" t="str">
        <f>IF(G3613="PA",IF(M3613&lt;&gt;"",ISERROR(VLOOKUP(M3613,ABBR!C:F,1,FALSE)),ISERROR(VLOOKUP(E3613,ABBR!C:F,1,FALSE))),"")</f>
        <v/>
      </c>
    </row>
    <row r="3614" spans="1:17" s="62" customFormat="1" hidden="1" x14ac:dyDescent="0.25">
      <c r="A3614" s="16" t="s">
        <v>582</v>
      </c>
      <c r="B3614" s="17" t="s">
        <v>594</v>
      </c>
      <c r="C3614" s="16" t="s">
        <v>595</v>
      </c>
      <c r="D3614" s="17"/>
      <c r="E3614" s="17" t="s">
        <v>596</v>
      </c>
      <c r="F3614" s="18" t="s">
        <v>597</v>
      </c>
      <c r="G3614" s="49" t="s">
        <v>598</v>
      </c>
      <c r="H3614" s="17">
        <v>1</v>
      </c>
      <c r="I3614" s="30"/>
      <c r="J3614" s="62" t="s">
        <v>473</v>
      </c>
      <c r="O3614" s="62" t="str">
        <f>IF(E3614="PA",IF(K3614&lt;&gt;"",ISERROR(VLOOKUP(K3614,ABBR!A:D,1,FALSE)),ISERROR(VLOOKUP(C3614,ABBR!A:D,1,FALSE))),"")</f>
        <v/>
      </c>
      <c r="P3614" t="str">
        <f>VLOOKUP(A3614,Groups!A:L,5,FALSE)</f>
        <v>SCPG</v>
      </c>
      <c r="Q3614" s="62" t="str">
        <f>IF(G3614="PA",IF(M3614&lt;&gt;"",ISERROR(VLOOKUP(M3614,ABBR!C:F,1,FALSE)),ISERROR(VLOOKUP(E3614,ABBR!C:F,1,FALSE))),"")</f>
        <v/>
      </c>
    </row>
    <row r="3615" spans="1:17" s="62" customFormat="1" hidden="1" x14ac:dyDescent="0.25">
      <c r="A3615" s="16" t="s">
        <v>582</v>
      </c>
      <c r="B3615" s="17" t="s">
        <v>594</v>
      </c>
      <c r="C3615" s="16" t="s">
        <v>5640</v>
      </c>
      <c r="D3615" s="17"/>
      <c r="E3615" s="17" t="s">
        <v>608</v>
      </c>
      <c r="F3615" s="18" t="s">
        <v>5641</v>
      </c>
      <c r="G3615" s="49" t="s">
        <v>1507</v>
      </c>
      <c r="H3615" s="17">
        <f t="shared" ref="H3615:H3625" si="24">H3614+1</f>
        <v>2</v>
      </c>
      <c r="I3615" s="30"/>
      <c r="J3615" s="62" t="s">
        <v>473</v>
      </c>
      <c r="O3615" s="62" t="str">
        <f>IF(E3615="PA",IF(K3615&lt;&gt;"",ISERROR(VLOOKUP(K3615,ABBR!A:D,1,FALSE)),ISERROR(VLOOKUP(C3615,ABBR!A:D,1,FALSE))),"")</f>
        <v/>
      </c>
      <c r="P3615" t="str">
        <f>VLOOKUP(A3615,Groups!A:L,5,FALSE)</f>
        <v>SCPG</v>
      </c>
      <c r="Q3615" s="62" t="str">
        <f>IF(G3615="PA",IF(M3615&lt;&gt;"",ISERROR(VLOOKUP(M3615,ABBR!C:F,1,FALSE)),ISERROR(VLOOKUP(E3615,ABBR!C:F,1,FALSE))),"")</f>
        <v/>
      </c>
    </row>
    <row r="3616" spans="1:17" s="62" customFormat="1" hidden="1" x14ac:dyDescent="0.25">
      <c r="A3616" s="16" t="s">
        <v>582</v>
      </c>
      <c r="B3616" s="17" t="s">
        <v>594</v>
      </c>
      <c r="C3616" s="16" t="s">
        <v>5901</v>
      </c>
      <c r="D3616" s="17"/>
      <c r="E3616" s="17" t="s">
        <v>618</v>
      </c>
      <c r="F3616" s="18" t="s">
        <v>5902</v>
      </c>
      <c r="G3616" s="49" t="s">
        <v>4898</v>
      </c>
      <c r="H3616" s="17">
        <f t="shared" si="24"/>
        <v>3</v>
      </c>
      <c r="I3616" s="30"/>
      <c r="J3616" s="62" t="s">
        <v>473</v>
      </c>
      <c r="O3616" s="62" t="b">
        <f>IF(E3616="PA",IF(K3616&lt;&gt;"",ISERROR(VLOOKUP(K3616,ABBR!A:D,1,FALSE)),ISERROR(VLOOKUP(C3616,ABBR!A:D,1,FALSE))),"")</f>
        <v>0</v>
      </c>
      <c r="P3616" t="str">
        <f>VLOOKUP(A3616,Groups!A:L,5,FALSE)</f>
        <v>SCPG</v>
      </c>
      <c r="Q3616" s="62" t="str">
        <f>IF(G3616="PA",IF(M3616&lt;&gt;"",ISERROR(VLOOKUP(M3616,ABBR!C:F,1,FALSE)),ISERROR(VLOOKUP(E3616,ABBR!C:F,1,FALSE))),"")</f>
        <v/>
      </c>
    </row>
    <row r="3617" spans="1:17" s="62" customFormat="1" hidden="1" x14ac:dyDescent="0.25">
      <c r="A3617" s="16" t="s">
        <v>582</v>
      </c>
      <c r="B3617" s="17"/>
      <c r="C3617" s="16" t="s">
        <v>5903</v>
      </c>
      <c r="D3617" s="17"/>
      <c r="E3617" s="17" t="s">
        <v>859</v>
      </c>
      <c r="F3617" s="18" t="s">
        <v>5904</v>
      </c>
      <c r="G3617" s="49" t="s">
        <v>5905</v>
      </c>
      <c r="H3617" s="17">
        <f t="shared" si="24"/>
        <v>4</v>
      </c>
      <c r="I3617" s="30"/>
      <c r="J3617" s="62" t="s">
        <v>473</v>
      </c>
      <c r="O3617" s="62" t="str">
        <f>IF(E3617="PA",IF(K3617&lt;&gt;"",ISERROR(VLOOKUP(K3617,ABBR!A:D,1,FALSE)),ISERROR(VLOOKUP(C3617,ABBR!A:D,1,FALSE))),"")</f>
        <v/>
      </c>
      <c r="P3617" t="str">
        <f>VLOOKUP(A3617,Groups!A:L,5,FALSE)</f>
        <v>SCPG</v>
      </c>
      <c r="Q3617" s="62" t="str">
        <f>IF(G3617="PA",IF(M3617&lt;&gt;"",ISERROR(VLOOKUP(M3617,ABBR!C:F,1,FALSE)),ISERROR(VLOOKUP(E3617,ABBR!C:F,1,FALSE))),"")</f>
        <v/>
      </c>
    </row>
    <row r="3618" spans="1:17" s="62" customFormat="1" ht="25" hidden="1" x14ac:dyDescent="0.25">
      <c r="A3618" s="16" t="s">
        <v>582</v>
      </c>
      <c r="B3618" s="17"/>
      <c r="C3618" s="16" t="s">
        <v>5906</v>
      </c>
      <c r="D3618" s="17"/>
      <c r="E3618" s="17" t="s">
        <v>859</v>
      </c>
      <c r="F3618" s="18" t="s">
        <v>5907</v>
      </c>
      <c r="G3618" s="49" t="s">
        <v>5908</v>
      </c>
      <c r="H3618" s="17">
        <f t="shared" si="24"/>
        <v>5</v>
      </c>
      <c r="I3618" s="30"/>
      <c r="J3618" s="62" t="s">
        <v>473</v>
      </c>
      <c r="O3618" s="62" t="str">
        <f>IF(E3618="PA",IF(K3618&lt;&gt;"",ISERROR(VLOOKUP(K3618,ABBR!A:D,1,FALSE)),ISERROR(VLOOKUP(C3618,ABBR!A:D,1,FALSE))),"")</f>
        <v/>
      </c>
      <c r="P3618" t="str">
        <f>VLOOKUP(A3618,Groups!A:L,5,FALSE)</f>
        <v>SCPG</v>
      </c>
      <c r="Q3618" s="62" t="str">
        <f>IF(G3618="PA",IF(M3618&lt;&gt;"",ISERROR(VLOOKUP(M3618,ABBR!C:F,1,FALSE)),ISERROR(VLOOKUP(E3618,ABBR!C:F,1,FALSE))),"")</f>
        <v/>
      </c>
    </row>
    <row r="3619" spans="1:17" s="62" customFormat="1" ht="25" hidden="1" x14ac:dyDescent="0.25">
      <c r="A3619" s="16" t="s">
        <v>582</v>
      </c>
      <c r="B3619" s="17"/>
      <c r="C3619" s="16" t="s">
        <v>5909</v>
      </c>
      <c r="D3619" s="17"/>
      <c r="E3619" s="17" t="s">
        <v>859</v>
      </c>
      <c r="F3619" s="18" t="s">
        <v>5910</v>
      </c>
      <c r="G3619" s="49" t="s">
        <v>5908</v>
      </c>
      <c r="H3619" s="17">
        <f t="shared" si="24"/>
        <v>6</v>
      </c>
      <c r="I3619" s="30"/>
      <c r="J3619" s="62" t="s">
        <v>473</v>
      </c>
      <c r="O3619" s="62" t="str">
        <f>IF(E3619="PA",IF(K3619&lt;&gt;"",ISERROR(VLOOKUP(K3619,ABBR!A:D,1,FALSE)),ISERROR(VLOOKUP(C3619,ABBR!A:D,1,FALSE))),"")</f>
        <v/>
      </c>
      <c r="P3619" t="str">
        <f>VLOOKUP(A3619,Groups!A:L,5,FALSE)</f>
        <v>SCPG</v>
      </c>
      <c r="Q3619" s="62" t="str">
        <f>IF(G3619="PA",IF(M3619&lt;&gt;"",ISERROR(VLOOKUP(M3619,ABBR!C:F,1,FALSE)),ISERROR(VLOOKUP(E3619,ABBR!C:F,1,FALSE))),"")</f>
        <v/>
      </c>
    </row>
    <row r="3620" spans="1:17" s="62" customFormat="1" hidden="1" x14ac:dyDescent="0.25">
      <c r="A3620" s="16" t="s">
        <v>582</v>
      </c>
      <c r="B3620" s="17"/>
      <c r="C3620" s="16" t="s">
        <v>5911</v>
      </c>
      <c r="D3620" s="17"/>
      <c r="E3620" s="17" t="s">
        <v>859</v>
      </c>
      <c r="F3620" s="18" t="s">
        <v>5912</v>
      </c>
      <c r="G3620" s="49" t="s">
        <v>5905</v>
      </c>
      <c r="H3620" s="17">
        <f t="shared" si="24"/>
        <v>7</v>
      </c>
      <c r="I3620" s="30"/>
      <c r="J3620" s="62" t="s">
        <v>473</v>
      </c>
      <c r="O3620" s="62" t="str">
        <f>IF(E3620="PA",IF(K3620&lt;&gt;"",ISERROR(VLOOKUP(K3620,ABBR!A:D,1,FALSE)),ISERROR(VLOOKUP(C3620,ABBR!A:D,1,FALSE))),"")</f>
        <v/>
      </c>
      <c r="P3620" t="str">
        <f>VLOOKUP(A3620,Groups!A:L,5,FALSE)</f>
        <v>SCPG</v>
      </c>
      <c r="Q3620" s="62" t="str">
        <f>IF(G3620="PA",IF(M3620&lt;&gt;"",ISERROR(VLOOKUP(M3620,ABBR!C:F,1,FALSE)),ISERROR(VLOOKUP(E3620,ABBR!C:F,1,FALSE))),"")</f>
        <v/>
      </c>
    </row>
    <row r="3621" spans="1:17" s="62" customFormat="1" hidden="1" x14ac:dyDescent="0.25">
      <c r="A3621" s="16" t="s">
        <v>582</v>
      </c>
      <c r="B3621" s="17"/>
      <c r="C3621" s="16" t="s">
        <v>5913</v>
      </c>
      <c r="D3621" s="17"/>
      <c r="E3621" s="17" t="s">
        <v>1699</v>
      </c>
      <c r="F3621" s="18" t="s">
        <v>5914</v>
      </c>
      <c r="G3621" s="49" t="s">
        <v>5915</v>
      </c>
      <c r="H3621" s="17">
        <f t="shared" si="24"/>
        <v>8</v>
      </c>
      <c r="I3621" s="30"/>
      <c r="J3621" s="62" t="s">
        <v>473</v>
      </c>
      <c r="O3621" s="62" t="str">
        <f>IF(E3621="PA",IF(K3621&lt;&gt;"",ISERROR(VLOOKUP(K3621,ABBR!A:D,1,FALSE)),ISERROR(VLOOKUP(C3621,ABBR!A:D,1,FALSE))),"")</f>
        <v/>
      </c>
      <c r="P3621" t="str">
        <f>VLOOKUP(A3621,Groups!A:L,5,FALSE)</f>
        <v>SCPG</v>
      </c>
      <c r="Q3621" s="62" t="str">
        <f>IF(G3621="PA",IF(M3621&lt;&gt;"",ISERROR(VLOOKUP(M3621,ABBR!C:F,1,FALSE)),ISERROR(VLOOKUP(E3621,ABBR!C:F,1,FALSE))),"")</f>
        <v/>
      </c>
    </row>
    <row r="3622" spans="1:17" s="62" customFormat="1" hidden="1" x14ac:dyDescent="0.25">
      <c r="A3622" s="16" t="s">
        <v>582</v>
      </c>
      <c r="B3622" s="17"/>
      <c r="C3622" s="16" t="s">
        <v>5916</v>
      </c>
      <c r="D3622" s="17"/>
      <c r="E3622" s="17" t="s">
        <v>1699</v>
      </c>
      <c r="F3622" s="18" t="s">
        <v>5917</v>
      </c>
      <c r="G3622" s="49" t="s">
        <v>5918</v>
      </c>
      <c r="H3622" s="17">
        <f t="shared" si="24"/>
        <v>9</v>
      </c>
      <c r="I3622" s="30"/>
      <c r="J3622" s="62" t="s">
        <v>473</v>
      </c>
      <c r="O3622" s="62" t="str">
        <f>IF(E3622="PA",IF(K3622&lt;&gt;"",ISERROR(VLOOKUP(K3622,ABBR!A:D,1,FALSE)),ISERROR(VLOOKUP(C3622,ABBR!A:D,1,FALSE))),"")</f>
        <v/>
      </c>
      <c r="P3622" t="str">
        <f>VLOOKUP(A3622,Groups!A:L,5,FALSE)</f>
        <v>SCPG</v>
      </c>
      <c r="Q3622" s="62" t="str">
        <f>IF(G3622="PA",IF(M3622&lt;&gt;"",ISERROR(VLOOKUP(M3622,ABBR!C:F,1,FALSE)),ISERROR(VLOOKUP(E3622,ABBR!C:F,1,FALSE))),"")</f>
        <v/>
      </c>
    </row>
    <row r="3623" spans="1:17" s="62" customFormat="1" hidden="1" x14ac:dyDescent="0.25">
      <c r="A3623" s="16" t="s">
        <v>582</v>
      </c>
      <c r="B3623" s="17"/>
      <c r="C3623" s="16" t="s">
        <v>5919</v>
      </c>
      <c r="D3623" s="17"/>
      <c r="E3623" s="17" t="s">
        <v>2004</v>
      </c>
      <c r="F3623" s="18" t="s">
        <v>5920</v>
      </c>
      <c r="G3623" s="49" t="s">
        <v>1710</v>
      </c>
      <c r="H3623" s="17">
        <f t="shared" si="24"/>
        <v>10</v>
      </c>
      <c r="I3623" s="30"/>
      <c r="J3623" s="62" t="s">
        <v>473</v>
      </c>
      <c r="O3623" s="62" t="str">
        <f>IF(E3623="PA",IF(K3623&lt;&gt;"",ISERROR(VLOOKUP(K3623,ABBR!A:D,1,FALSE)),ISERROR(VLOOKUP(C3623,ABBR!A:D,1,FALSE))),"")</f>
        <v/>
      </c>
      <c r="P3623" t="str">
        <f>VLOOKUP(A3623,Groups!A:L,5,FALSE)</f>
        <v>SCPG</v>
      </c>
      <c r="Q3623" s="62" t="str">
        <f>IF(G3623="PA",IF(M3623&lt;&gt;"",ISERROR(VLOOKUP(M3623,ABBR!C:F,1,FALSE)),ISERROR(VLOOKUP(E3623,ABBR!C:F,1,FALSE))),"")</f>
        <v/>
      </c>
    </row>
    <row r="3624" spans="1:17" s="62" customFormat="1" hidden="1" x14ac:dyDescent="0.25">
      <c r="A3624" s="16" t="s">
        <v>582</v>
      </c>
      <c r="B3624" s="17"/>
      <c r="C3624" s="16" t="s">
        <v>5921</v>
      </c>
      <c r="D3624" s="17"/>
      <c r="E3624" s="17" t="s">
        <v>608</v>
      </c>
      <c r="F3624" s="18" t="s">
        <v>642</v>
      </c>
      <c r="G3624" s="49" t="s">
        <v>16</v>
      </c>
      <c r="H3624" s="17">
        <f t="shared" si="24"/>
        <v>11</v>
      </c>
      <c r="I3624" s="30"/>
      <c r="J3624" s="62" t="s">
        <v>473</v>
      </c>
      <c r="O3624" s="62" t="str">
        <f>IF(E3624="PA",IF(K3624&lt;&gt;"",ISERROR(VLOOKUP(K3624,ABBR!A:D,1,FALSE)),ISERROR(VLOOKUP(C3624,ABBR!A:D,1,FALSE))),"")</f>
        <v/>
      </c>
      <c r="P3624" t="str">
        <f>VLOOKUP(A3624,Groups!A:L,5,FALSE)</f>
        <v>SCPG</v>
      </c>
      <c r="Q3624" s="62" t="str">
        <f>IF(G3624="PA",IF(M3624&lt;&gt;"",ISERROR(VLOOKUP(M3624,ABBR!C:F,1,FALSE)),ISERROR(VLOOKUP(E3624,ABBR!C:F,1,FALSE))),"")</f>
        <v/>
      </c>
    </row>
    <row r="3625" spans="1:17" s="62" customFormat="1" hidden="1" x14ac:dyDescent="0.25">
      <c r="A3625" s="16" t="s">
        <v>582</v>
      </c>
      <c r="B3625" s="17"/>
      <c r="C3625" s="16" t="s">
        <v>643</v>
      </c>
      <c r="D3625" s="17"/>
      <c r="E3625" s="17" t="s">
        <v>608</v>
      </c>
      <c r="F3625" s="18" t="s">
        <v>1714</v>
      </c>
      <c r="G3625" s="49" t="s">
        <v>4171</v>
      </c>
      <c r="H3625" s="17">
        <f t="shared" si="24"/>
        <v>12</v>
      </c>
      <c r="I3625" s="30"/>
      <c r="J3625" s="62" t="s">
        <v>473</v>
      </c>
      <c r="O3625" s="62" t="str">
        <f>IF(E3625="PA",IF(K3625&lt;&gt;"",ISERROR(VLOOKUP(K3625,ABBR!A:D,1,FALSE)),ISERROR(VLOOKUP(C3625,ABBR!A:D,1,FALSE))),"")</f>
        <v/>
      </c>
      <c r="P3625" t="str">
        <f>VLOOKUP(A3625,Groups!A:L,5,FALSE)</f>
        <v>SCPG</v>
      </c>
      <c r="Q3625" s="62" t="str">
        <f>IF(G3625="PA",IF(M3625&lt;&gt;"",ISERROR(VLOOKUP(M3625,ABBR!C:F,1,FALSE)),ISERROR(VLOOKUP(E3625,ABBR!C:F,1,FALSE))),"")</f>
        <v/>
      </c>
    </row>
    <row r="3626" spans="1:17" s="62" customFormat="1" hidden="1" x14ac:dyDescent="0.25">
      <c r="A3626" s="16" t="s">
        <v>416</v>
      </c>
      <c r="B3626" s="17" t="s">
        <v>594</v>
      </c>
      <c r="C3626" s="16" t="s">
        <v>595</v>
      </c>
      <c r="D3626" s="17"/>
      <c r="E3626" s="17" t="s">
        <v>596</v>
      </c>
      <c r="F3626" s="18" t="s">
        <v>597</v>
      </c>
      <c r="G3626" s="49" t="s">
        <v>598</v>
      </c>
      <c r="H3626" s="17">
        <v>1</v>
      </c>
      <c r="I3626" s="30"/>
      <c r="J3626"/>
      <c r="K3626"/>
      <c r="L3626"/>
      <c r="M3626"/>
      <c r="N3626"/>
      <c r="O3626" s="62" t="str">
        <f>IF(E3626="PA",IF(K3626&lt;&gt;"",ISERROR(VLOOKUP(K3626,ABBR!A:D,1,FALSE)),ISERROR(VLOOKUP(C3626,ABBR!A:D,1,FALSE))),"")</f>
        <v/>
      </c>
      <c r="P3626" t="str">
        <f>VLOOKUP(A3626,Groups!A:L,5,FALSE)</f>
        <v>SAMP</v>
      </c>
      <c r="Q3626" s="62" t="str">
        <f>IF(G3626="PA",IF(M3626&lt;&gt;"",ISERROR(VLOOKUP(M3626,ABBR!C:F,1,FALSE)),ISERROR(VLOOKUP(E3626,ABBR!C:F,1,FALSE))),"")</f>
        <v/>
      </c>
    </row>
    <row r="3627" spans="1:17" s="62" customFormat="1" hidden="1" x14ac:dyDescent="0.25">
      <c r="A3627" s="16" t="s">
        <v>416</v>
      </c>
      <c r="B3627" s="17" t="s">
        <v>594</v>
      </c>
      <c r="C3627" s="16" t="s">
        <v>851</v>
      </c>
      <c r="D3627" s="17" t="s">
        <v>600</v>
      </c>
      <c r="E3627" s="17" t="s">
        <v>601</v>
      </c>
      <c r="F3627" s="18" t="s">
        <v>852</v>
      </c>
      <c r="G3627" s="49" t="s">
        <v>853</v>
      </c>
      <c r="H3627" s="17">
        <f t="shared" ref="H3627:H3653" si="25">H3626+1</f>
        <v>2</v>
      </c>
      <c r="I3627" s="30"/>
      <c r="J3627"/>
      <c r="K3627"/>
      <c r="L3627"/>
      <c r="M3627"/>
      <c r="N3627"/>
      <c r="O3627" s="62" t="str">
        <f>IF(E3627="PA",IF(K3627&lt;&gt;"",ISERROR(VLOOKUP(K3627,ABBR!A:D,1,FALSE)),ISERROR(VLOOKUP(C3627,ABBR!A:D,1,FALSE))),"")</f>
        <v/>
      </c>
      <c r="P3627" t="str">
        <f>VLOOKUP(A3627,Groups!A:L,5,FALSE)</f>
        <v>SAMP</v>
      </c>
      <c r="Q3627" s="62" t="str">
        <f>IF(G3627="PA",IF(M3627&lt;&gt;"",ISERROR(VLOOKUP(M3627,ABBR!C:F,1,FALSE)),ISERROR(VLOOKUP(E3627,ABBR!C:F,1,FALSE))),"")</f>
        <v/>
      </c>
    </row>
    <row r="3628" spans="1:17" s="62" customFormat="1" hidden="1" x14ac:dyDescent="0.25">
      <c r="A3628" s="16" t="s">
        <v>416</v>
      </c>
      <c r="B3628" s="17" t="s">
        <v>594</v>
      </c>
      <c r="C3628" s="16" t="s">
        <v>854</v>
      </c>
      <c r="D3628" s="17"/>
      <c r="E3628" s="17" t="s">
        <v>608</v>
      </c>
      <c r="F3628" s="18" t="s">
        <v>855</v>
      </c>
      <c r="G3628" s="49" t="s">
        <v>941</v>
      </c>
      <c r="H3628" s="17">
        <f t="shared" si="25"/>
        <v>3</v>
      </c>
      <c r="I3628" s="30"/>
      <c r="J3628"/>
      <c r="K3628"/>
      <c r="L3628"/>
      <c r="M3628"/>
      <c r="N3628"/>
      <c r="O3628" s="62" t="str">
        <f>IF(E3628="PA",IF(K3628&lt;&gt;"",ISERROR(VLOOKUP(K3628,ABBR!A:D,1,FALSE)),ISERROR(VLOOKUP(C3628,ABBR!A:D,1,FALSE))),"")</f>
        <v/>
      </c>
      <c r="P3628" t="str">
        <f>VLOOKUP(A3628,Groups!A:L,5,FALSE)</f>
        <v>SAMP</v>
      </c>
      <c r="Q3628" s="62" t="str">
        <f>IF(G3628="PA",IF(M3628&lt;&gt;"",ISERROR(VLOOKUP(M3628,ABBR!C:F,1,FALSE)),ISERROR(VLOOKUP(E3628,ABBR!C:F,1,FALSE))),"")</f>
        <v/>
      </c>
    </row>
    <row r="3629" spans="1:17" s="62" customFormat="1" hidden="1" x14ac:dyDescent="0.25">
      <c r="A3629" s="16" t="s">
        <v>416</v>
      </c>
      <c r="B3629" s="17" t="s">
        <v>594</v>
      </c>
      <c r="C3629" s="16" t="s">
        <v>857</v>
      </c>
      <c r="D3629" s="17"/>
      <c r="E3629" s="17" t="s">
        <v>618</v>
      </c>
      <c r="F3629" s="18" t="s">
        <v>858</v>
      </c>
      <c r="G3629" s="49" t="s">
        <v>859</v>
      </c>
      <c r="H3629" s="17">
        <f t="shared" si="25"/>
        <v>4</v>
      </c>
      <c r="I3629" s="30"/>
      <c r="J3629"/>
      <c r="K3629"/>
      <c r="L3629"/>
      <c r="M3629"/>
      <c r="N3629"/>
      <c r="O3629" s="62" t="b">
        <f>IF(E3629="PA",IF(K3629&lt;&gt;"",ISERROR(VLOOKUP(K3629,ABBR!A:D,1,FALSE)),ISERROR(VLOOKUP(C3629,ABBR!A:D,1,FALSE))),"")</f>
        <v>0</v>
      </c>
      <c r="P3629" t="str">
        <f>VLOOKUP(A3629,Groups!A:L,5,FALSE)</f>
        <v>SAMP</v>
      </c>
      <c r="Q3629" s="62" t="str">
        <f>IF(G3629="PA",IF(M3629&lt;&gt;"",ISERROR(VLOOKUP(M3629,ABBR!C:F,1,FALSE)),ISERROR(VLOOKUP(E3629,ABBR!C:F,1,FALSE))),"")</f>
        <v/>
      </c>
    </row>
    <row r="3630" spans="1:17" s="62" customFormat="1" hidden="1" x14ac:dyDescent="0.25">
      <c r="A3630" s="16" t="s">
        <v>416</v>
      </c>
      <c r="B3630" s="17" t="s">
        <v>594</v>
      </c>
      <c r="C3630" s="16" t="s">
        <v>860</v>
      </c>
      <c r="D3630" s="17"/>
      <c r="E3630" s="17" t="s">
        <v>596</v>
      </c>
      <c r="F3630" s="18" t="s">
        <v>942</v>
      </c>
      <c r="G3630" s="49" t="s">
        <v>862</v>
      </c>
      <c r="H3630" s="17">
        <f t="shared" si="25"/>
        <v>5</v>
      </c>
      <c r="I3630" s="30"/>
      <c r="J3630"/>
      <c r="K3630"/>
      <c r="L3630"/>
      <c r="M3630"/>
      <c r="N3630"/>
      <c r="O3630" s="62" t="str">
        <f>IF(E3630="PA",IF(K3630&lt;&gt;"",ISERROR(VLOOKUP(K3630,ABBR!A:D,1,FALSE)),ISERROR(VLOOKUP(C3630,ABBR!A:D,1,FALSE))),"")</f>
        <v/>
      </c>
      <c r="P3630" t="str">
        <f>VLOOKUP(A3630,Groups!A:L,5,FALSE)</f>
        <v>SAMP</v>
      </c>
      <c r="Q3630" s="62" t="str">
        <f>IF(G3630="PA",IF(M3630&lt;&gt;"",ISERROR(VLOOKUP(M3630,ABBR!C:F,1,FALSE)),ISERROR(VLOOKUP(E3630,ABBR!C:F,1,FALSE))),"")</f>
        <v/>
      </c>
    </row>
    <row r="3631" spans="1:17" s="62" customFormat="1" hidden="1" x14ac:dyDescent="0.25">
      <c r="A3631" s="16" t="s">
        <v>416</v>
      </c>
      <c r="B3631" s="17" t="s">
        <v>594</v>
      </c>
      <c r="C3631" s="16" t="s">
        <v>863</v>
      </c>
      <c r="D3631" s="17"/>
      <c r="E3631" s="17" t="s">
        <v>608</v>
      </c>
      <c r="F3631" s="18" t="s">
        <v>864</v>
      </c>
      <c r="G3631" s="49" t="s">
        <v>865</v>
      </c>
      <c r="H3631" s="17">
        <f t="shared" si="25"/>
        <v>6</v>
      </c>
      <c r="I3631" s="30"/>
      <c r="J3631"/>
      <c r="K3631"/>
      <c r="L3631"/>
      <c r="M3631"/>
      <c r="N3631"/>
      <c r="O3631" s="62" t="str">
        <f>IF(E3631="PA",IF(K3631&lt;&gt;"",ISERROR(VLOOKUP(K3631,ABBR!A:D,1,FALSE)),ISERROR(VLOOKUP(C3631,ABBR!A:D,1,FALSE))),"")</f>
        <v/>
      </c>
      <c r="P3631" t="str">
        <f>VLOOKUP(A3631,Groups!A:L,5,FALSE)</f>
        <v>SAMP</v>
      </c>
      <c r="Q3631" s="62" t="str">
        <f>IF(G3631="PA",IF(M3631&lt;&gt;"",ISERROR(VLOOKUP(M3631,ABBR!C:F,1,FALSE)),ISERROR(VLOOKUP(E3631,ABBR!C:F,1,FALSE))),"")</f>
        <v/>
      </c>
    </row>
    <row r="3632" spans="1:17" s="62" customFormat="1" hidden="1" x14ac:dyDescent="0.25">
      <c r="A3632" s="16" t="s">
        <v>416</v>
      </c>
      <c r="B3632" s="17" t="s">
        <v>594</v>
      </c>
      <c r="C3632" s="16" t="s">
        <v>866</v>
      </c>
      <c r="D3632" s="17" t="s">
        <v>600</v>
      </c>
      <c r="E3632" s="17" t="s">
        <v>601</v>
      </c>
      <c r="F3632" s="18" t="s">
        <v>867</v>
      </c>
      <c r="G3632" s="49" t="s">
        <v>853</v>
      </c>
      <c r="H3632" s="17">
        <f t="shared" si="25"/>
        <v>7</v>
      </c>
      <c r="I3632" s="30"/>
      <c r="J3632"/>
      <c r="K3632"/>
      <c r="L3632"/>
      <c r="M3632"/>
      <c r="N3632"/>
      <c r="O3632" s="62" t="str">
        <f>IF(E3632="PA",IF(K3632&lt;&gt;"",ISERROR(VLOOKUP(K3632,ABBR!A:D,1,FALSE)),ISERROR(VLOOKUP(C3632,ABBR!A:D,1,FALSE))),"")</f>
        <v/>
      </c>
      <c r="P3632" t="str">
        <f>VLOOKUP(A3632,Groups!A:L,5,FALSE)</f>
        <v>SAMP</v>
      </c>
      <c r="Q3632" s="62" t="str">
        <f>IF(G3632="PA",IF(M3632&lt;&gt;"",ISERROR(VLOOKUP(M3632,ABBR!C:F,1,FALSE)),ISERROR(VLOOKUP(E3632,ABBR!C:F,1,FALSE))),"")</f>
        <v/>
      </c>
    </row>
    <row r="3633" spans="1:17" s="62" customFormat="1" hidden="1" x14ac:dyDescent="0.25">
      <c r="A3633" s="16" t="s">
        <v>416</v>
      </c>
      <c r="B3633" s="17"/>
      <c r="C3633" s="16" t="s">
        <v>868</v>
      </c>
      <c r="D3633" s="17"/>
      <c r="E3633" s="17" t="s">
        <v>608</v>
      </c>
      <c r="F3633" s="18" t="s">
        <v>869</v>
      </c>
      <c r="G3633" s="51" t="s">
        <v>1269</v>
      </c>
      <c r="H3633" s="17">
        <f t="shared" si="25"/>
        <v>8</v>
      </c>
      <c r="I3633" s="30"/>
      <c r="J3633"/>
      <c r="K3633"/>
      <c r="L3633"/>
      <c r="M3633"/>
      <c r="N3633"/>
      <c r="O3633" s="62" t="str">
        <f>IF(E3633="PA",IF(K3633&lt;&gt;"",ISERROR(VLOOKUP(K3633,ABBR!A:D,1,FALSE)),ISERROR(VLOOKUP(C3633,ABBR!A:D,1,FALSE))),"")</f>
        <v/>
      </c>
      <c r="P3633" t="str">
        <f>VLOOKUP(A3633,Groups!A:L,5,FALSE)</f>
        <v>SAMP</v>
      </c>
      <c r="Q3633" s="62" t="str">
        <f>IF(G3633="PA",IF(M3633&lt;&gt;"",ISERROR(VLOOKUP(M3633,ABBR!C:F,1,FALSE)),ISERROR(VLOOKUP(E3633,ABBR!C:F,1,FALSE))),"")</f>
        <v/>
      </c>
    </row>
    <row r="3634" spans="1:17" s="62" customFormat="1" ht="25" hidden="1" x14ac:dyDescent="0.25">
      <c r="A3634" s="16" t="s">
        <v>416</v>
      </c>
      <c r="B3634" s="17"/>
      <c r="C3634" s="16" t="s">
        <v>871</v>
      </c>
      <c r="D3634" s="17"/>
      <c r="E3634" s="17" t="s">
        <v>608</v>
      </c>
      <c r="F3634" s="18" t="s">
        <v>872</v>
      </c>
      <c r="G3634" s="49" t="s">
        <v>873</v>
      </c>
      <c r="H3634" s="17">
        <f t="shared" si="25"/>
        <v>9</v>
      </c>
      <c r="I3634" s="30"/>
      <c r="J3634"/>
      <c r="K3634"/>
      <c r="L3634"/>
      <c r="M3634"/>
      <c r="N3634"/>
      <c r="O3634" s="62" t="str">
        <f>IF(E3634="PA",IF(K3634&lt;&gt;"",ISERROR(VLOOKUP(K3634,ABBR!A:D,1,FALSE)),ISERROR(VLOOKUP(C3634,ABBR!A:D,1,FALSE))),"")</f>
        <v/>
      </c>
      <c r="P3634" t="str">
        <f>VLOOKUP(A3634,Groups!A:L,5,FALSE)</f>
        <v>SAMP</v>
      </c>
      <c r="Q3634" s="62" t="str">
        <f>IF(G3634="PA",IF(M3634&lt;&gt;"",ISERROR(VLOOKUP(M3634,ABBR!C:F,1,FALSE)),ISERROR(VLOOKUP(E3634,ABBR!C:F,1,FALSE))),"")</f>
        <v/>
      </c>
    </row>
    <row r="3635" spans="1:17" s="62" customFormat="1" hidden="1" x14ac:dyDescent="0.25">
      <c r="A3635" s="16" t="s">
        <v>416</v>
      </c>
      <c r="B3635" s="17"/>
      <c r="C3635" s="16" t="s">
        <v>5922</v>
      </c>
      <c r="D3635" s="17"/>
      <c r="E3635" s="17" t="s">
        <v>618</v>
      </c>
      <c r="F3635" s="18" t="s">
        <v>2547</v>
      </c>
      <c r="G3635" s="49" t="s">
        <v>5923</v>
      </c>
      <c r="H3635" s="17">
        <f t="shared" si="25"/>
        <v>10</v>
      </c>
      <c r="I3635" s="30"/>
      <c r="J3635"/>
      <c r="K3635"/>
      <c r="L3635"/>
      <c r="M3635"/>
      <c r="N3635"/>
      <c r="O3635" s="62" t="b">
        <f>IF(E3635="PA",IF(K3635&lt;&gt;"",ISERROR(VLOOKUP(K3635,ABBR!A:D,1,FALSE)),ISERROR(VLOOKUP(C3635,ABBR!A:D,1,FALSE))),"")</f>
        <v>0</v>
      </c>
      <c r="P3635" t="str">
        <f>VLOOKUP(A3635,Groups!A:L,5,FALSE)</f>
        <v>SAMP</v>
      </c>
      <c r="Q3635" s="62" t="str">
        <f>IF(G3635="PA",IF(M3635&lt;&gt;"",ISERROR(VLOOKUP(M3635,ABBR!C:F,1,FALSE)),ISERROR(VLOOKUP(E3635,ABBR!C:F,1,FALSE))),"")</f>
        <v/>
      </c>
    </row>
    <row r="3636" spans="1:17" s="62" customFormat="1" hidden="1" x14ac:dyDescent="0.25">
      <c r="A3636" s="16" t="s">
        <v>416</v>
      </c>
      <c r="B3636" s="17"/>
      <c r="C3636" s="16" t="s">
        <v>5924</v>
      </c>
      <c r="D3636" s="17"/>
      <c r="E3636" s="17" t="s">
        <v>618</v>
      </c>
      <c r="F3636" s="18" t="s">
        <v>1272</v>
      </c>
      <c r="G3636" s="49" t="s">
        <v>1273</v>
      </c>
      <c r="H3636" s="17">
        <f t="shared" si="25"/>
        <v>11</v>
      </c>
      <c r="I3636" s="30"/>
      <c r="J3636"/>
      <c r="K3636"/>
      <c r="L3636"/>
      <c r="M3636"/>
      <c r="N3636"/>
      <c r="O3636" s="62" t="b">
        <f>IF(E3636="PA",IF(K3636&lt;&gt;"",ISERROR(VLOOKUP(K3636,ABBR!A:D,1,FALSE)),ISERROR(VLOOKUP(C3636,ABBR!A:D,1,FALSE))),"")</f>
        <v>0</v>
      </c>
      <c r="P3636" t="str">
        <f>VLOOKUP(A3636,Groups!A:L,5,FALSE)</f>
        <v>SAMP</v>
      </c>
      <c r="Q3636" s="62" t="str">
        <f>IF(G3636="PA",IF(M3636&lt;&gt;"",ISERROR(VLOOKUP(M3636,ABBR!C:F,1,FALSE)),ISERROR(VLOOKUP(E3636,ABBR!C:F,1,FALSE))),"")</f>
        <v/>
      </c>
    </row>
    <row r="3637" spans="1:17" s="62" customFormat="1" ht="25" hidden="1" x14ac:dyDescent="0.25">
      <c r="A3637" s="16" t="s">
        <v>416</v>
      </c>
      <c r="B3637" s="17"/>
      <c r="C3637" s="16" t="s">
        <v>5925</v>
      </c>
      <c r="D3637" s="17"/>
      <c r="E3637" s="17" t="s">
        <v>608</v>
      </c>
      <c r="F3637" s="18" t="s">
        <v>5231</v>
      </c>
      <c r="G3637" s="49" t="s">
        <v>5926</v>
      </c>
      <c r="H3637" s="17">
        <f t="shared" si="25"/>
        <v>12</v>
      </c>
      <c r="I3637" s="30"/>
      <c r="J3637"/>
      <c r="K3637"/>
      <c r="L3637"/>
      <c r="M3637"/>
      <c r="N3637"/>
      <c r="O3637" s="62" t="str">
        <f>IF(E3637="PA",IF(K3637&lt;&gt;"",ISERROR(VLOOKUP(K3637,ABBR!A:D,1,FALSE)),ISERROR(VLOOKUP(C3637,ABBR!A:D,1,FALSE))),"")</f>
        <v/>
      </c>
      <c r="P3637" t="str">
        <f>VLOOKUP(A3637,Groups!A:L,5,FALSE)</f>
        <v>SAMP</v>
      </c>
      <c r="Q3637" s="62" t="str">
        <f>IF(G3637="PA",IF(M3637&lt;&gt;"",ISERROR(VLOOKUP(M3637,ABBR!C:F,1,FALSE)),ISERROR(VLOOKUP(E3637,ABBR!C:F,1,FALSE))),"")</f>
        <v/>
      </c>
    </row>
    <row r="3638" spans="1:17" s="62" customFormat="1" hidden="1" x14ac:dyDescent="0.25">
      <c r="A3638" s="16" t="s">
        <v>416</v>
      </c>
      <c r="B3638" s="17"/>
      <c r="C3638" s="16" t="s">
        <v>5927</v>
      </c>
      <c r="D3638" s="17" t="s">
        <v>1345</v>
      </c>
      <c r="E3638" s="17" t="s">
        <v>882</v>
      </c>
      <c r="F3638" s="18" t="s">
        <v>5928</v>
      </c>
      <c r="G3638" s="49" t="s">
        <v>3608</v>
      </c>
      <c r="H3638" s="17">
        <f t="shared" si="25"/>
        <v>13</v>
      </c>
      <c r="I3638" s="30"/>
      <c r="J3638"/>
      <c r="K3638"/>
      <c r="L3638"/>
      <c r="M3638"/>
      <c r="N3638"/>
      <c r="O3638" s="62" t="str">
        <f>IF(E3638="PA",IF(K3638&lt;&gt;"",ISERROR(VLOOKUP(K3638,ABBR!A:D,1,FALSE)),ISERROR(VLOOKUP(C3638,ABBR!A:D,1,FALSE))),"")</f>
        <v/>
      </c>
      <c r="P3638" t="str">
        <f>VLOOKUP(A3638,Groups!A:L,5,FALSE)</f>
        <v>SAMP</v>
      </c>
      <c r="Q3638" s="62" t="str">
        <f>IF(G3638="PA",IF(M3638&lt;&gt;"",ISERROR(VLOOKUP(M3638,ABBR!C:F,1,FALSE)),ISERROR(VLOOKUP(E3638,ABBR!C:F,1,FALSE))),"")</f>
        <v/>
      </c>
    </row>
    <row r="3639" spans="1:17" s="62" customFormat="1" hidden="1" x14ac:dyDescent="0.25">
      <c r="A3639" s="16" t="s">
        <v>416</v>
      </c>
      <c r="B3639" s="17"/>
      <c r="C3639" s="16" t="s">
        <v>5929</v>
      </c>
      <c r="D3639" s="17" t="s">
        <v>2027</v>
      </c>
      <c r="E3639" s="17" t="s">
        <v>723</v>
      </c>
      <c r="F3639" s="18" t="s">
        <v>5930</v>
      </c>
      <c r="G3639" s="49" t="s">
        <v>5931</v>
      </c>
      <c r="H3639" s="17">
        <f t="shared" si="25"/>
        <v>14</v>
      </c>
      <c r="I3639" s="30"/>
      <c r="J3639"/>
      <c r="K3639"/>
      <c r="L3639"/>
      <c r="M3639"/>
      <c r="N3639"/>
      <c r="O3639" s="62" t="str">
        <f>IF(E3639="PA",IF(K3639&lt;&gt;"",ISERROR(VLOOKUP(K3639,ABBR!A:D,1,FALSE)),ISERROR(VLOOKUP(C3639,ABBR!A:D,1,FALSE))),"")</f>
        <v/>
      </c>
      <c r="P3639" t="str">
        <f>VLOOKUP(A3639,Groups!A:L,5,FALSE)</f>
        <v>SAMP</v>
      </c>
      <c r="Q3639" s="62" t="str">
        <f>IF(G3639="PA",IF(M3639&lt;&gt;"",ISERROR(VLOOKUP(M3639,ABBR!C:F,1,FALSE)),ISERROR(VLOOKUP(E3639,ABBR!C:F,1,FALSE))),"")</f>
        <v/>
      </c>
    </row>
    <row r="3640" spans="1:17" s="62" customFormat="1" hidden="1" x14ac:dyDescent="0.25">
      <c r="A3640" s="16" t="s">
        <v>416</v>
      </c>
      <c r="B3640" s="17"/>
      <c r="C3640" s="16" t="s">
        <v>5932</v>
      </c>
      <c r="D3640" s="17" t="s">
        <v>1345</v>
      </c>
      <c r="E3640" s="17" t="s">
        <v>882</v>
      </c>
      <c r="F3640" s="18" t="s">
        <v>5933</v>
      </c>
      <c r="G3640" s="49" t="s">
        <v>5049</v>
      </c>
      <c r="H3640" s="17">
        <f t="shared" si="25"/>
        <v>15</v>
      </c>
      <c r="I3640" s="30"/>
      <c r="J3640"/>
      <c r="K3640"/>
      <c r="L3640"/>
      <c r="M3640"/>
      <c r="N3640"/>
      <c r="O3640" s="62" t="str">
        <f>IF(E3640="PA",IF(K3640&lt;&gt;"",ISERROR(VLOOKUP(K3640,ABBR!A:D,1,FALSE)),ISERROR(VLOOKUP(C3640,ABBR!A:D,1,FALSE))),"")</f>
        <v/>
      </c>
      <c r="P3640" t="str">
        <f>VLOOKUP(A3640,Groups!A:L,5,FALSE)</f>
        <v>SAMP</v>
      </c>
      <c r="Q3640" s="62" t="str">
        <f>IF(G3640="PA",IF(M3640&lt;&gt;"",ISERROR(VLOOKUP(M3640,ABBR!C:F,1,FALSE)),ISERROR(VLOOKUP(E3640,ABBR!C:F,1,FALSE))),"")</f>
        <v/>
      </c>
    </row>
    <row r="3641" spans="1:17" s="62" customFormat="1" hidden="1" x14ac:dyDescent="0.25">
      <c r="A3641" s="16" t="s">
        <v>416</v>
      </c>
      <c r="B3641" s="17"/>
      <c r="C3641" s="16" t="s">
        <v>5934</v>
      </c>
      <c r="D3641" s="17" t="s">
        <v>2027</v>
      </c>
      <c r="E3641" s="17" t="s">
        <v>723</v>
      </c>
      <c r="F3641" s="18" t="s">
        <v>5935</v>
      </c>
      <c r="G3641" s="49" t="s">
        <v>5936</v>
      </c>
      <c r="H3641" s="17">
        <f t="shared" si="25"/>
        <v>16</v>
      </c>
      <c r="I3641" s="30"/>
      <c r="J3641"/>
      <c r="K3641"/>
      <c r="L3641"/>
      <c r="M3641"/>
      <c r="N3641"/>
      <c r="O3641" s="62" t="str">
        <f>IF(E3641="PA",IF(K3641&lt;&gt;"",ISERROR(VLOOKUP(K3641,ABBR!A:D,1,FALSE)),ISERROR(VLOOKUP(C3641,ABBR!A:D,1,FALSE))),"")</f>
        <v/>
      </c>
      <c r="P3641" t="str">
        <f>VLOOKUP(A3641,Groups!A:L,5,FALSE)</f>
        <v>SAMP</v>
      </c>
      <c r="Q3641" s="62" t="str">
        <f>IF(G3641="PA",IF(M3641&lt;&gt;"",ISERROR(VLOOKUP(M3641,ABBR!C:F,1,FALSE)),ISERROR(VLOOKUP(E3641,ABBR!C:F,1,FALSE))),"")</f>
        <v/>
      </c>
    </row>
    <row r="3642" spans="1:17" s="62" customFormat="1" hidden="1" x14ac:dyDescent="0.25">
      <c r="A3642" s="16" t="s">
        <v>416</v>
      </c>
      <c r="B3642" s="17"/>
      <c r="C3642" s="16" t="s">
        <v>5937</v>
      </c>
      <c r="D3642" s="17"/>
      <c r="E3642" s="17" t="s">
        <v>608</v>
      </c>
      <c r="F3642" s="18" t="s">
        <v>5938</v>
      </c>
      <c r="G3642" s="49" t="s">
        <v>5939</v>
      </c>
      <c r="H3642" s="17">
        <f t="shared" si="25"/>
        <v>17</v>
      </c>
      <c r="I3642" s="30"/>
      <c r="J3642"/>
      <c r="K3642"/>
      <c r="L3642"/>
      <c r="M3642"/>
      <c r="N3642"/>
      <c r="O3642" s="62" t="str">
        <f>IF(E3642="PA",IF(K3642&lt;&gt;"",ISERROR(VLOOKUP(K3642,ABBR!A:D,1,FALSE)),ISERROR(VLOOKUP(C3642,ABBR!A:D,1,FALSE))),"")</f>
        <v/>
      </c>
      <c r="P3642" t="str">
        <f>VLOOKUP(A3642,Groups!A:L,5,FALSE)</f>
        <v>SAMP</v>
      </c>
      <c r="Q3642" s="62" t="str">
        <f>IF(G3642="PA",IF(M3642&lt;&gt;"",ISERROR(VLOOKUP(M3642,ABBR!C:F,1,FALSE)),ISERROR(VLOOKUP(E3642,ABBR!C:F,1,FALSE))),"")</f>
        <v/>
      </c>
    </row>
    <row r="3643" spans="1:17" s="62" customFormat="1" ht="37.5" hidden="1" x14ac:dyDescent="0.25">
      <c r="A3643" s="16" t="s">
        <v>416</v>
      </c>
      <c r="B3643" s="17"/>
      <c r="C3643" s="16" t="s">
        <v>5940</v>
      </c>
      <c r="D3643" s="17"/>
      <c r="E3643" s="17" t="s">
        <v>608</v>
      </c>
      <c r="F3643" s="18" t="s">
        <v>1287</v>
      </c>
      <c r="G3643" s="49" t="s">
        <v>5941</v>
      </c>
      <c r="H3643" s="17">
        <f t="shared" si="25"/>
        <v>18</v>
      </c>
      <c r="I3643" s="30"/>
      <c r="J3643"/>
      <c r="K3643"/>
      <c r="L3643"/>
      <c r="M3643"/>
      <c r="N3643"/>
      <c r="O3643" s="62" t="str">
        <f>IF(E3643="PA",IF(K3643&lt;&gt;"",ISERROR(VLOOKUP(K3643,ABBR!A:D,1,FALSE)),ISERROR(VLOOKUP(C3643,ABBR!A:D,1,FALSE))),"")</f>
        <v/>
      </c>
      <c r="P3643" t="str">
        <f>VLOOKUP(A3643,Groups!A:L,5,FALSE)</f>
        <v>SAMP</v>
      </c>
      <c r="Q3643" s="62" t="str">
        <f>IF(G3643="PA",IF(M3643&lt;&gt;"",ISERROR(VLOOKUP(M3643,ABBR!C:F,1,FALSE)),ISERROR(VLOOKUP(E3643,ABBR!C:F,1,FALSE))),"")</f>
        <v/>
      </c>
    </row>
    <row r="3644" spans="1:17" s="62" customFormat="1" hidden="1" x14ac:dyDescent="0.25">
      <c r="A3644" s="16" t="s">
        <v>416</v>
      </c>
      <c r="B3644" s="17"/>
      <c r="C3644" s="16" t="s">
        <v>5942</v>
      </c>
      <c r="D3644" s="17"/>
      <c r="E3644" s="17" t="s">
        <v>608</v>
      </c>
      <c r="F3644" s="18" t="s">
        <v>918</v>
      </c>
      <c r="G3644" s="49" t="s">
        <v>5943</v>
      </c>
      <c r="H3644" s="17">
        <f t="shared" si="25"/>
        <v>19</v>
      </c>
      <c r="I3644" s="30"/>
      <c r="J3644"/>
      <c r="K3644"/>
      <c r="L3644"/>
      <c r="M3644"/>
      <c r="N3644"/>
      <c r="O3644" s="62" t="str">
        <f>IF(E3644="PA",IF(K3644&lt;&gt;"",ISERROR(VLOOKUP(K3644,ABBR!A:D,1,FALSE)),ISERROR(VLOOKUP(C3644,ABBR!A:D,1,FALSE))),"")</f>
        <v/>
      </c>
      <c r="P3644" t="str">
        <f>VLOOKUP(A3644,Groups!A:L,5,FALSE)</f>
        <v>SAMP</v>
      </c>
      <c r="Q3644" s="62" t="str">
        <f>IF(G3644="PA",IF(M3644&lt;&gt;"",ISERROR(VLOOKUP(M3644,ABBR!C:F,1,FALSE)),ISERROR(VLOOKUP(E3644,ABBR!C:F,1,FALSE))),"")</f>
        <v/>
      </c>
    </row>
    <row r="3645" spans="1:17" s="62" customFormat="1" hidden="1" x14ac:dyDescent="0.25">
      <c r="A3645" s="16" t="s">
        <v>416</v>
      </c>
      <c r="B3645" s="17"/>
      <c r="C3645" s="16" t="s">
        <v>5944</v>
      </c>
      <c r="D3645" s="17"/>
      <c r="E3645" s="17" t="s">
        <v>608</v>
      </c>
      <c r="F3645" s="18" t="s">
        <v>950</v>
      </c>
      <c r="G3645" s="27" t="s">
        <v>951</v>
      </c>
      <c r="H3645" s="17">
        <f t="shared" si="25"/>
        <v>20</v>
      </c>
      <c r="I3645" s="30"/>
      <c r="J3645"/>
      <c r="K3645"/>
      <c r="L3645"/>
      <c r="M3645"/>
      <c r="N3645"/>
      <c r="O3645" s="62" t="str">
        <f>IF(E3645="PA",IF(K3645&lt;&gt;"",ISERROR(VLOOKUP(K3645,ABBR!A:D,1,FALSE)),ISERROR(VLOOKUP(C3645,ABBR!A:D,1,FALSE))),"")</f>
        <v/>
      </c>
      <c r="P3645" t="str">
        <f>VLOOKUP(A3645,Groups!A:L,5,FALSE)</f>
        <v>SAMP</v>
      </c>
      <c r="Q3645" s="62" t="str">
        <f>IF(G3645="PA",IF(M3645&lt;&gt;"",ISERROR(VLOOKUP(M3645,ABBR!C:F,1,FALSE)),ISERROR(VLOOKUP(E3645,ABBR!C:F,1,FALSE))),"")</f>
        <v/>
      </c>
    </row>
    <row r="3646" spans="1:17" s="62" customFormat="1" ht="25" hidden="1" x14ac:dyDescent="0.25">
      <c r="A3646" s="16" t="s">
        <v>416</v>
      </c>
      <c r="B3646" s="17"/>
      <c r="C3646" s="16" t="s">
        <v>5945</v>
      </c>
      <c r="D3646" s="17"/>
      <c r="E3646" s="17" t="s">
        <v>608</v>
      </c>
      <c r="F3646" s="18" t="s">
        <v>934</v>
      </c>
      <c r="G3646" s="49" t="s">
        <v>953</v>
      </c>
      <c r="H3646" s="17">
        <f t="shared" si="25"/>
        <v>21</v>
      </c>
      <c r="I3646" s="30"/>
      <c r="J3646"/>
      <c r="K3646"/>
      <c r="L3646"/>
      <c r="M3646"/>
      <c r="N3646"/>
      <c r="O3646" s="62" t="str">
        <f>IF(E3646="PA",IF(K3646&lt;&gt;"",ISERROR(VLOOKUP(K3646,ABBR!A:D,1,FALSE)),ISERROR(VLOOKUP(C3646,ABBR!A:D,1,FALSE))),"")</f>
        <v/>
      </c>
      <c r="P3646" t="str">
        <f>VLOOKUP(A3646,Groups!A:L,5,FALSE)</f>
        <v>SAMP</v>
      </c>
      <c r="Q3646" s="62" t="str">
        <f>IF(G3646="PA",IF(M3646&lt;&gt;"",ISERROR(VLOOKUP(M3646,ABBR!C:F,1,FALSE)),ISERROR(VLOOKUP(E3646,ABBR!C:F,1,FALSE))),"")</f>
        <v/>
      </c>
    </row>
    <row r="3647" spans="1:17" s="62" customFormat="1" hidden="1" x14ac:dyDescent="0.25">
      <c r="A3647" s="16" t="s">
        <v>416</v>
      </c>
      <c r="B3647" s="17"/>
      <c r="C3647" s="16" t="s">
        <v>936</v>
      </c>
      <c r="D3647" s="17"/>
      <c r="E3647" s="22" t="s">
        <v>608</v>
      </c>
      <c r="F3647" s="18" t="s">
        <v>937</v>
      </c>
      <c r="G3647" s="49" t="s">
        <v>938</v>
      </c>
      <c r="H3647" s="17">
        <f t="shared" si="25"/>
        <v>22</v>
      </c>
      <c r="I3647" s="30"/>
      <c r="J3647"/>
      <c r="K3647"/>
      <c r="L3647"/>
      <c r="M3647"/>
      <c r="N3647"/>
      <c r="O3647" s="62" t="str">
        <f>IF(E3647="PA",IF(K3647&lt;&gt;"",ISERROR(VLOOKUP(K3647,ABBR!A:D,1,FALSE)),ISERROR(VLOOKUP(C3647,ABBR!A:D,1,FALSE))),"")</f>
        <v/>
      </c>
      <c r="P3647" t="str">
        <f>VLOOKUP(A3647,Groups!A:L,5,FALSE)</f>
        <v>SAMP</v>
      </c>
      <c r="Q3647" s="62" t="str">
        <f>IF(G3647="PA",IF(M3647&lt;&gt;"",ISERROR(VLOOKUP(M3647,ABBR!C:F,1,FALSE)),ISERROR(VLOOKUP(E3647,ABBR!C:F,1,FALSE))),"")</f>
        <v/>
      </c>
    </row>
    <row r="3648" spans="1:17" s="62" customFormat="1" hidden="1" x14ac:dyDescent="0.25">
      <c r="A3648" s="16" t="s">
        <v>416</v>
      </c>
      <c r="B3648" s="17"/>
      <c r="C3648" s="16" t="s">
        <v>643</v>
      </c>
      <c r="D3648" s="17"/>
      <c r="E3648" s="17" t="s">
        <v>608</v>
      </c>
      <c r="F3648" s="18" t="s">
        <v>1294</v>
      </c>
      <c r="G3648" s="49" t="s">
        <v>4171</v>
      </c>
      <c r="H3648" s="17">
        <f t="shared" si="25"/>
        <v>23</v>
      </c>
      <c r="I3648" s="30"/>
      <c r="J3648"/>
      <c r="K3648"/>
      <c r="L3648"/>
      <c r="M3648"/>
      <c r="N3648"/>
      <c r="O3648" s="62" t="str">
        <f>IF(E3648="PA",IF(K3648&lt;&gt;"",ISERROR(VLOOKUP(K3648,ABBR!A:D,1,FALSE)),ISERROR(VLOOKUP(C3648,ABBR!A:D,1,FALSE))),"")</f>
        <v/>
      </c>
      <c r="P3648" t="str">
        <f>VLOOKUP(A3648,Groups!A:L,5,FALSE)</f>
        <v>SAMP</v>
      </c>
      <c r="Q3648" s="62" t="str">
        <f>IF(G3648="PA",IF(M3648&lt;&gt;"",ISERROR(VLOOKUP(M3648,ABBR!C:F,1,FALSE)),ISERROR(VLOOKUP(E3648,ABBR!C:F,1,FALSE))),"")</f>
        <v/>
      </c>
    </row>
    <row r="3649" spans="1:17" s="62" customFormat="1" hidden="1" x14ac:dyDescent="0.25">
      <c r="A3649" s="16" t="s">
        <v>416</v>
      </c>
      <c r="B3649" s="17"/>
      <c r="C3649" s="16" t="s">
        <v>877</v>
      </c>
      <c r="D3649" s="17" t="s">
        <v>600</v>
      </c>
      <c r="E3649" s="17" t="s">
        <v>601</v>
      </c>
      <c r="F3649" s="18" t="s">
        <v>878</v>
      </c>
      <c r="G3649" s="49" t="s">
        <v>879</v>
      </c>
      <c r="H3649" s="17">
        <f t="shared" si="25"/>
        <v>24</v>
      </c>
      <c r="I3649" s="30" t="s">
        <v>955</v>
      </c>
      <c r="J3649" s="80">
        <v>4.0999999999999996</v>
      </c>
      <c r="K3649"/>
      <c r="L3649"/>
      <c r="M3649"/>
      <c r="N3649"/>
      <c r="O3649" s="62" t="str">
        <f>IF(E3649="PA",IF(K3649&lt;&gt;"",ISERROR(VLOOKUP(K3649,ABBR!A:D,1,FALSE)),ISERROR(VLOOKUP(C3649,ABBR!A:D,1,FALSE))),"")</f>
        <v/>
      </c>
      <c r="P3649" t="str">
        <f>VLOOKUP(A3649,Groups!A:L,5,FALSE)</f>
        <v>SAMP</v>
      </c>
      <c r="Q3649" s="62" t="str">
        <f>IF(G3649="PA",IF(M3649&lt;&gt;"",ISERROR(VLOOKUP(M3649,ABBR!C:F,1,FALSE)),ISERROR(VLOOKUP(E3649,ABBR!C:F,1,FALSE))),"")</f>
        <v/>
      </c>
    </row>
    <row r="3650" spans="1:17" s="62" customFormat="1" hidden="1" x14ac:dyDescent="0.25">
      <c r="A3650" s="16" t="s">
        <v>416</v>
      </c>
      <c r="B3650" s="17"/>
      <c r="C3650" s="16" t="s">
        <v>5946</v>
      </c>
      <c r="D3650" s="17"/>
      <c r="E3650" s="17" t="s">
        <v>608</v>
      </c>
      <c r="F3650" s="18" t="s">
        <v>921</v>
      </c>
      <c r="G3650" s="94" t="s">
        <v>922</v>
      </c>
      <c r="H3650" s="17">
        <f t="shared" si="25"/>
        <v>25</v>
      </c>
      <c r="I3650" s="30" t="s">
        <v>955</v>
      </c>
      <c r="J3650" s="80">
        <v>4.0999999999999996</v>
      </c>
      <c r="K3650"/>
      <c r="L3650"/>
      <c r="M3650" s="101"/>
      <c r="N3650"/>
      <c r="O3650" s="62" t="str">
        <f>IF(E3650="PA",IF(K3650&lt;&gt;"",ISERROR(VLOOKUP(K3650,ABBR!A:D,1,FALSE)),ISERROR(VLOOKUP(C3650,ABBR!A:D,1,FALSE))),"")</f>
        <v/>
      </c>
      <c r="P3650" t="str">
        <f>VLOOKUP(A3650,Groups!A:L,5,FALSE)</f>
        <v>SAMP</v>
      </c>
      <c r="Q3650" s="62" t="str">
        <f>IF(G3650="PA",IF(M3650&lt;&gt;"",ISERROR(VLOOKUP(M3650,ABBR!C:F,1,FALSE)),ISERROR(VLOOKUP(E3650,ABBR!C:F,1,FALSE))),"")</f>
        <v/>
      </c>
    </row>
    <row r="3651" spans="1:17" s="62" customFormat="1" hidden="1" x14ac:dyDescent="0.25">
      <c r="A3651" s="16" t="s">
        <v>416</v>
      </c>
      <c r="B3651" s="17"/>
      <c r="C3651" s="16" t="s">
        <v>5947</v>
      </c>
      <c r="D3651" s="17" t="s">
        <v>924</v>
      </c>
      <c r="E3651" s="17" t="s">
        <v>925</v>
      </c>
      <c r="F3651" s="18" t="s">
        <v>926</v>
      </c>
      <c r="G3651" s="49" t="s">
        <v>927</v>
      </c>
      <c r="H3651" s="17">
        <f t="shared" si="25"/>
        <v>26</v>
      </c>
      <c r="I3651" s="30"/>
      <c r="J3651" s="62" t="s">
        <v>473</v>
      </c>
      <c r="O3651" s="62" t="str">
        <f>IF(E3651="PA",IF(K3651&lt;&gt;"",ISERROR(VLOOKUP(K3651,ABBR!A:D,1,FALSE)),ISERROR(VLOOKUP(C3651,ABBR!A:D,1,FALSE))),"")</f>
        <v/>
      </c>
      <c r="P3651" t="str">
        <f>VLOOKUP(A3651,Groups!A:L,5,FALSE)</f>
        <v>SAMP</v>
      </c>
      <c r="Q3651" s="62" t="str">
        <f>IF(G3651="PA",IF(M3651&lt;&gt;"",ISERROR(VLOOKUP(M3651,ABBR!C:F,1,FALSE)),ISERROR(VLOOKUP(E3651,ABBR!C:F,1,FALSE))),"")</f>
        <v/>
      </c>
    </row>
    <row r="3652" spans="1:17" s="62" customFormat="1" hidden="1" x14ac:dyDescent="0.25">
      <c r="A3652" s="16" t="s">
        <v>416</v>
      </c>
      <c r="B3652" s="17"/>
      <c r="C3652" s="16" t="s">
        <v>5948</v>
      </c>
      <c r="D3652" s="17"/>
      <c r="E3652" s="17" t="s">
        <v>608</v>
      </c>
      <c r="F3652" s="18" t="s">
        <v>875</v>
      </c>
      <c r="G3652" s="49" t="s">
        <v>876</v>
      </c>
      <c r="H3652" s="17">
        <f t="shared" si="25"/>
        <v>27</v>
      </c>
      <c r="I3652" s="30"/>
      <c r="J3652" s="62" t="s">
        <v>473</v>
      </c>
      <c r="O3652" s="62" t="str">
        <f>IF(E3652="PA",IF(K3652&lt;&gt;"",ISERROR(VLOOKUP(K3652,ABBR!A:D,1,FALSE)),ISERROR(VLOOKUP(C3652,ABBR!A:D,1,FALSE))),"")</f>
        <v/>
      </c>
      <c r="P3652" t="str">
        <f>VLOOKUP(A3652,Groups!A:L,5,FALSE)</f>
        <v>SAMP</v>
      </c>
      <c r="Q3652" s="62" t="str">
        <f>IF(G3652="PA",IF(M3652&lt;&gt;"",ISERROR(VLOOKUP(M3652,ABBR!C:F,1,FALSE)),ISERROR(VLOOKUP(E3652,ABBR!C:F,1,FALSE))),"")</f>
        <v/>
      </c>
    </row>
    <row r="3653" spans="1:17" s="62" customFormat="1" hidden="1" x14ac:dyDescent="0.25">
      <c r="A3653" s="16" t="s">
        <v>416</v>
      </c>
      <c r="B3653" s="17"/>
      <c r="C3653" s="16" t="s">
        <v>5949</v>
      </c>
      <c r="D3653" s="17"/>
      <c r="E3653" s="17" t="s">
        <v>608</v>
      </c>
      <c r="F3653" s="18" t="s">
        <v>929</v>
      </c>
      <c r="G3653" s="49" t="s">
        <v>876</v>
      </c>
      <c r="H3653" s="17">
        <f t="shared" si="25"/>
        <v>28</v>
      </c>
      <c r="I3653" s="30"/>
      <c r="J3653" s="62" t="s">
        <v>473</v>
      </c>
      <c r="O3653" s="62" t="str">
        <f>IF(E3653="PA",IF(K3653&lt;&gt;"",ISERROR(VLOOKUP(K3653,ABBR!A:D,1,FALSE)),ISERROR(VLOOKUP(C3653,ABBR!A:D,1,FALSE))),"")</f>
        <v/>
      </c>
      <c r="P3653" t="str">
        <f>VLOOKUP(A3653,Groups!A:L,5,FALSE)</f>
        <v>SAMP</v>
      </c>
      <c r="Q3653" s="62" t="str">
        <f>IF(G3653="PA",IF(M3653&lt;&gt;"",ISERROR(VLOOKUP(M3653,ABBR!C:F,1,FALSE)),ISERROR(VLOOKUP(E3653,ABBR!C:F,1,FALSE))),"")</f>
        <v/>
      </c>
    </row>
    <row r="3654" spans="1:17" s="62" customFormat="1" hidden="1" x14ac:dyDescent="0.25">
      <c r="A3654" s="16" t="s">
        <v>552</v>
      </c>
      <c r="B3654" s="17" t="s">
        <v>594</v>
      </c>
      <c r="C3654" s="16" t="s">
        <v>595</v>
      </c>
      <c r="D3654" s="17"/>
      <c r="E3654" s="17" t="s">
        <v>596</v>
      </c>
      <c r="F3654" s="18" t="s">
        <v>597</v>
      </c>
      <c r="G3654" s="49" t="s">
        <v>598</v>
      </c>
      <c r="H3654" s="17">
        <v>1</v>
      </c>
      <c r="I3654" s="30"/>
      <c r="J3654" s="62" t="s">
        <v>473</v>
      </c>
      <c r="O3654" s="62" t="str">
        <f>IF(E3654="PA",IF(K3654&lt;&gt;"",ISERROR(VLOOKUP(K3654,ABBR!A:D,1,FALSE)),ISERROR(VLOOKUP(C3654,ABBR!A:D,1,FALSE))),"")</f>
        <v/>
      </c>
      <c r="P3654" t="str">
        <f>VLOOKUP(A3654,Groups!A:L,5,FALSE)</f>
        <v>SHBT</v>
      </c>
      <c r="Q3654" s="62" t="str">
        <f>IF(G3654="PA",IF(M3654&lt;&gt;"",ISERROR(VLOOKUP(M3654,ABBR!C:F,1,FALSE)),ISERROR(VLOOKUP(E3654,ABBR!C:F,1,FALSE))),"")</f>
        <v/>
      </c>
    </row>
    <row r="3655" spans="1:17" s="62" customFormat="1" hidden="1" x14ac:dyDescent="0.25">
      <c r="A3655" s="16" t="s">
        <v>552</v>
      </c>
      <c r="B3655" s="17" t="s">
        <v>594</v>
      </c>
      <c r="C3655" s="16" t="s">
        <v>851</v>
      </c>
      <c r="D3655" s="17" t="s">
        <v>600</v>
      </c>
      <c r="E3655" s="17" t="s">
        <v>601</v>
      </c>
      <c r="F3655" s="18" t="s">
        <v>852</v>
      </c>
      <c r="G3655" s="49" t="s">
        <v>853</v>
      </c>
      <c r="H3655" s="17">
        <v>2</v>
      </c>
      <c r="I3655" s="30"/>
      <c r="J3655" s="62" t="s">
        <v>473</v>
      </c>
      <c r="O3655" s="62" t="str">
        <f>IF(E3655="PA",IF(K3655&lt;&gt;"",ISERROR(VLOOKUP(K3655,ABBR!A:D,1,FALSE)),ISERROR(VLOOKUP(C3655,ABBR!A:D,1,FALSE))),"")</f>
        <v/>
      </c>
      <c r="P3655" t="str">
        <f>VLOOKUP(A3655,Groups!A:L,5,FALSE)</f>
        <v>SHBT</v>
      </c>
      <c r="Q3655" s="62" t="str">
        <f>IF(G3655="PA",IF(M3655&lt;&gt;"",ISERROR(VLOOKUP(M3655,ABBR!C:F,1,FALSE)),ISERROR(VLOOKUP(E3655,ABBR!C:F,1,FALSE))),"")</f>
        <v/>
      </c>
    </row>
    <row r="3656" spans="1:17" s="62" customFormat="1" hidden="1" x14ac:dyDescent="0.25">
      <c r="A3656" s="16" t="s">
        <v>552</v>
      </c>
      <c r="B3656" s="17" t="s">
        <v>594</v>
      </c>
      <c r="C3656" s="16" t="s">
        <v>854</v>
      </c>
      <c r="D3656" s="17"/>
      <c r="E3656" s="17" t="s">
        <v>608</v>
      </c>
      <c r="F3656" s="18" t="s">
        <v>855</v>
      </c>
      <c r="G3656" s="49" t="s">
        <v>856</v>
      </c>
      <c r="H3656" s="17">
        <v>3</v>
      </c>
      <c r="I3656" s="30"/>
      <c r="J3656" s="62" t="s">
        <v>473</v>
      </c>
      <c r="O3656" s="62" t="str">
        <f>IF(E3656="PA",IF(K3656&lt;&gt;"",ISERROR(VLOOKUP(K3656,ABBR!A:D,1,FALSE)),ISERROR(VLOOKUP(C3656,ABBR!A:D,1,FALSE))),"")</f>
        <v/>
      </c>
      <c r="P3656" t="str">
        <f>VLOOKUP(A3656,Groups!A:L,5,FALSE)</f>
        <v>SHBT</v>
      </c>
      <c r="Q3656" s="62" t="str">
        <f>IF(G3656="PA",IF(M3656&lt;&gt;"",ISERROR(VLOOKUP(M3656,ABBR!C:F,1,FALSE)),ISERROR(VLOOKUP(E3656,ABBR!C:F,1,FALSE))),"")</f>
        <v/>
      </c>
    </row>
    <row r="3657" spans="1:17" s="62" customFormat="1" hidden="1" x14ac:dyDescent="0.25">
      <c r="A3657" s="16" t="s">
        <v>552</v>
      </c>
      <c r="B3657" s="17" t="s">
        <v>594</v>
      </c>
      <c r="C3657" s="16" t="s">
        <v>857</v>
      </c>
      <c r="D3657" s="17"/>
      <c r="E3657" s="17" t="s">
        <v>618</v>
      </c>
      <c r="F3657" s="18" t="s">
        <v>858</v>
      </c>
      <c r="G3657" s="49" t="s">
        <v>859</v>
      </c>
      <c r="H3657" s="17">
        <v>4</v>
      </c>
      <c r="I3657" s="30"/>
      <c r="J3657" s="62" t="s">
        <v>473</v>
      </c>
      <c r="O3657" s="62" t="b">
        <f>IF(E3657="PA",IF(K3657&lt;&gt;"",ISERROR(VLOOKUP(K3657,ABBR!A:D,1,FALSE)),ISERROR(VLOOKUP(C3657,ABBR!A:D,1,FALSE))),"")</f>
        <v>0</v>
      </c>
      <c r="P3657" t="str">
        <f>VLOOKUP(A3657,Groups!A:L,5,FALSE)</f>
        <v>SHBT</v>
      </c>
      <c r="Q3657" s="62" t="str">
        <f>IF(G3657="PA",IF(M3657&lt;&gt;"",ISERROR(VLOOKUP(M3657,ABBR!C:F,1,FALSE)),ISERROR(VLOOKUP(E3657,ABBR!C:F,1,FALSE))),"")</f>
        <v/>
      </c>
    </row>
    <row r="3658" spans="1:17" s="62" customFormat="1" hidden="1" x14ac:dyDescent="0.25">
      <c r="A3658" s="16" t="s">
        <v>552</v>
      </c>
      <c r="B3658" s="17" t="s">
        <v>594</v>
      </c>
      <c r="C3658" s="16" t="s">
        <v>860</v>
      </c>
      <c r="D3658" s="17"/>
      <c r="E3658" s="17" t="s">
        <v>596</v>
      </c>
      <c r="F3658" s="18" t="s">
        <v>861</v>
      </c>
      <c r="G3658" s="49" t="s">
        <v>862</v>
      </c>
      <c r="H3658" s="17">
        <v>5</v>
      </c>
      <c r="I3658" s="30"/>
      <c r="J3658" s="62" t="s">
        <v>473</v>
      </c>
      <c r="O3658" s="62" t="str">
        <f>IF(E3658="PA",IF(K3658&lt;&gt;"",ISERROR(VLOOKUP(K3658,ABBR!A:D,1,FALSE)),ISERROR(VLOOKUP(C3658,ABBR!A:D,1,FALSE))),"")</f>
        <v/>
      </c>
      <c r="P3658" t="str">
        <f>VLOOKUP(A3658,Groups!A:L,5,FALSE)</f>
        <v>SHBT</v>
      </c>
      <c r="Q3658" s="62" t="str">
        <f>IF(G3658="PA",IF(M3658&lt;&gt;"",ISERROR(VLOOKUP(M3658,ABBR!C:F,1,FALSE)),ISERROR(VLOOKUP(E3658,ABBR!C:F,1,FALSE))),"")</f>
        <v/>
      </c>
    </row>
    <row r="3659" spans="1:17" s="62" customFormat="1" hidden="1" x14ac:dyDescent="0.25">
      <c r="A3659" s="16" t="s">
        <v>552</v>
      </c>
      <c r="B3659" s="17" t="s">
        <v>594</v>
      </c>
      <c r="C3659" s="16" t="s">
        <v>863</v>
      </c>
      <c r="D3659" s="17"/>
      <c r="E3659" s="17" t="s">
        <v>608</v>
      </c>
      <c r="F3659" s="18" t="s">
        <v>864</v>
      </c>
      <c r="G3659" s="49" t="s">
        <v>865</v>
      </c>
      <c r="H3659" s="17">
        <v>6</v>
      </c>
      <c r="I3659" s="30"/>
      <c r="J3659" s="62" t="s">
        <v>473</v>
      </c>
      <c r="O3659" s="62" t="str">
        <f>IF(E3659="PA",IF(K3659&lt;&gt;"",ISERROR(VLOOKUP(K3659,ABBR!A:D,1,FALSE)),ISERROR(VLOOKUP(C3659,ABBR!A:D,1,FALSE))),"")</f>
        <v/>
      </c>
      <c r="P3659" t="str">
        <f>VLOOKUP(A3659,Groups!A:L,5,FALSE)</f>
        <v>SHBT</v>
      </c>
      <c r="Q3659" s="62" t="str">
        <f>IF(G3659="PA",IF(M3659&lt;&gt;"",ISERROR(VLOOKUP(M3659,ABBR!C:F,1,FALSE)),ISERROR(VLOOKUP(E3659,ABBR!C:F,1,FALSE))),"")</f>
        <v/>
      </c>
    </row>
    <row r="3660" spans="1:17" s="62" customFormat="1" hidden="1" x14ac:dyDescent="0.25">
      <c r="A3660" s="16" t="s">
        <v>552</v>
      </c>
      <c r="B3660" s="17" t="s">
        <v>594</v>
      </c>
      <c r="C3660" s="16" t="s">
        <v>866</v>
      </c>
      <c r="D3660" s="17" t="s">
        <v>600</v>
      </c>
      <c r="E3660" s="17" t="s">
        <v>601</v>
      </c>
      <c r="F3660" s="18" t="s">
        <v>867</v>
      </c>
      <c r="G3660" s="49" t="s">
        <v>853</v>
      </c>
      <c r="H3660" s="17">
        <v>7</v>
      </c>
      <c r="I3660" s="30"/>
      <c r="J3660" s="62" t="s">
        <v>473</v>
      </c>
      <c r="O3660" s="62" t="str">
        <f>IF(E3660="PA",IF(K3660&lt;&gt;"",ISERROR(VLOOKUP(K3660,ABBR!A:D,1,FALSE)),ISERROR(VLOOKUP(C3660,ABBR!A:D,1,FALSE))),"")</f>
        <v/>
      </c>
      <c r="P3660" t="str">
        <f>VLOOKUP(A3660,Groups!A:L,5,FALSE)</f>
        <v>SHBT</v>
      </c>
      <c r="Q3660" s="62" t="str">
        <f>IF(G3660="PA",IF(M3660&lt;&gt;"",ISERROR(VLOOKUP(M3660,ABBR!C:F,1,FALSE)),ISERROR(VLOOKUP(E3660,ABBR!C:F,1,FALSE))),"")</f>
        <v/>
      </c>
    </row>
    <row r="3661" spans="1:17" s="62" customFormat="1" hidden="1" x14ac:dyDescent="0.25">
      <c r="A3661" s="16" t="s">
        <v>552</v>
      </c>
      <c r="B3661" s="17" t="s">
        <v>594</v>
      </c>
      <c r="C3661" s="16" t="s">
        <v>5950</v>
      </c>
      <c r="D3661" s="17"/>
      <c r="E3661" s="17" t="s">
        <v>608</v>
      </c>
      <c r="F3661" s="18" t="s">
        <v>5951</v>
      </c>
      <c r="G3661" s="49" t="s">
        <v>631</v>
      </c>
      <c r="H3661" s="17">
        <v>8</v>
      </c>
      <c r="I3661" s="30"/>
      <c r="J3661" s="62" t="s">
        <v>473</v>
      </c>
      <c r="O3661" s="62" t="str">
        <f>IF(E3661="PA",IF(K3661&lt;&gt;"",ISERROR(VLOOKUP(K3661,ABBR!A:D,1,FALSE)),ISERROR(VLOOKUP(C3661,ABBR!A:D,1,FALSE))),"")</f>
        <v/>
      </c>
      <c r="P3661" t="str">
        <f>VLOOKUP(A3661,Groups!A:L,5,FALSE)</f>
        <v>SHBT</v>
      </c>
      <c r="Q3661" s="62" t="str">
        <f>IF(G3661="PA",IF(M3661&lt;&gt;"",ISERROR(VLOOKUP(M3661,ABBR!C:F,1,FALSE)),ISERROR(VLOOKUP(E3661,ABBR!C:F,1,FALSE))),"")</f>
        <v/>
      </c>
    </row>
    <row r="3662" spans="1:17" s="62" customFormat="1" hidden="1" x14ac:dyDescent="0.25">
      <c r="A3662" s="16" t="s">
        <v>552</v>
      </c>
      <c r="B3662" s="17" t="s">
        <v>594</v>
      </c>
      <c r="C3662" s="16" t="s">
        <v>5952</v>
      </c>
      <c r="D3662" s="17" t="s">
        <v>893</v>
      </c>
      <c r="E3662" s="17" t="s">
        <v>723</v>
      </c>
      <c r="F3662" s="18" t="s">
        <v>3383</v>
      </c>
      <c r="G3662" s="49" t="s">
        <v>5953</v>
      </c>
      <c r="H3662" s="17">
        <v>9</v>
      </c>
      <c r="I3662" s="30"/>
      <c r="J3662" s="62" t="s">
        <v>473</v>
      </c>
      <c r="O3662" s="62" t="str">
        <f>IF(E3662="PA",IF(K3662&lt;&gt;"",ISERROR(VLOOKUP(K3662,ABBR!A:D,1,FALSE)),ISERROR(VLOOKUP(C3662,ABBR!A:D,1,FALSE))),"")</f>
        <v/>
      </c>
      <c r="P3662" t="str">
        <f>VLOOKUP(A3662,Groups!A:L,5,FALSE)</f>
        <v>SHBT</v>
      </c>
      <c r="Q3662" s="62" t="str">
        <f>IF(G3662="PA",IF(M3662&lt;&gt;"",ISERROR(VLOOKUP(M3662,ABBR!C:F,1,FALSE)),ISERROR(VLOOKUP(E3662,ABBR!C:F,1,FALSE))),"")</f>
        <v/>
      </c>
    </row>
    <row r="3663" spans="1:17" s="62" customFormat="1" hidden="1" x14ac:dyDescent="0.25">
      <c r="A3663" s="16" t="s">
        <v>552</v>
      </c>
      <c r="B3663" s="17"/>
      <c r="C3663" s="16" t="s">
        <v>5954</v>
      </c>
      <c r="D3663" s="17" t="s">
        <v>1345</v>
      </c>
      <c r="E3663" s="17" t="s">
        <v>723</v>
      </c>
      <c r="F3663" s="18" t="s">
        <v>1754</v>
      </c>
      <c r="G3663" s="49" t="s">
        <v>1637</v>
      </c>
      <c r="H3663" s="17">
        <v>10</v>
      </c>
      <c r="I3663" s="30"/>
      <c r="J3663" s="62" t="s">
        <v>473</v>
      </c>
      <c r="O3663" s="62" t="str">
        <f>IF(E3663="PA",IF(K3663&lt;&gt;"",ISERROR(VLOOKUP(K3663,ABBR!A:D,1,FALSE)),ISERROR(VLOOKUP(C3663,ABBR!A:D,1,FALSE))),"")</f>
        <v/>
      </c>
      <c r="P3663" t="str">
        <f>VLOOKUP(A3663,Groups!A:L,5,FALSE)</f>
        <v>SHBT</v>
      </c>
      <c r="Q3663" s="62" t="str">
        <f>IF(G3663="PA",IF(M3663&lt;&gt;"",ISERROR(VLOOKUP(M3663,ABBR!C:F,1,FALSE)),ISERROR(VLOOKUP(E3663,ABBR!C:F,1,FALSE))),"")</f>
        <v/>
      </c>
    </row>
    <row r="3664" spans="1:17" s="62" customFormat="1" hidden="1" x14ac:dyDescent="0.25">
      <c r="A3664" s="16" t="s">
        <v>552</v>
      </c>
      <c r="B3664" s="17"/>
      <c r="C3664" s="16" t="s">
        <v>5955</v>
      </c>
      <c r="D3664" s="17" t="s">
        <v>722</v>
      </c>
      <c r="E3664" s="17" t="s">
        <v>601</v>
      </c>
      <c r="F3664" s="18" t="s">
        <v>5956</v>
      </c>
      <c r="G3664" s="49" t="s">
        <v>3656</v>
      </c>
      <c r="H3664" s="17">
        <v>11</v>
      </c>
      <c r="I3664" s="30"/>
      <c r="J3664" s="62" t="s">
        <v>473</v>
      </c>
      <c r="O3664" s="62" t="str">
        <f>IF(E3664="PA",IF(K3664&lt;&gt;"",ISERROR(VLOOKUP(K3664,ABBR!A:D,1,FALSE)),ISERROR(VLOOKUP(C3664,ABBR!A:D,1,FALSE))),"")</f>
        <v/>
      </c>
      <c r="P3664" t="str">
        <f>VLOOKUP(A3664,Groups!A:L,5,FALSE)</f>
        <v>SHBT</v>
      </c>
      <c r="Q3664" s="62" t="str">
        <f>IF(G3664="PA",IF(M3664&lt;&gt;"",ISERROR(VLOOKUP(M3664,ABBR!C:F,1,FALSE)),ISERROR(VLOOKUP(E3664,ABBR!C:F,1,FALSE))),"")</f>
        <v/>
      </c>
    </row>
    <row r="3665" spans="1:17" s="62" customFormat="1" hidden="1" x14ac:dyDescent="0.25">
      <c r="A3665" s="16" t="s">
        <v>552</v>
      </c>
      <c r="B3665" s="17"/>
      <c r="C3665" s="16" t="s">
        <v>5957</v>
      </c>
      <c r="D3665" s="17" t="s">
        <v>722</v>
      </c>
      <c r="E3665" s="17" t="s">
        <v>601</v>
      </c>
      <c r="F3665" s="18" t="s">
        <v>5958</v>
      </c>
      <c r="G3665" s="49" t="s">
        <v>3656</v>
      </c>
      <c r="H3665" s="17">
        <v>12</v>
      </c>
      <c r="I3665" s="30"/>
      <c r="J3665" s="62" t="s">
        <v>473</v>
      </c>
      <c r="O3665" s="62" t="str">
        <f>IF(E3665="PA",IF(K3665&lt;&gt;"",ISERROR(VLOOKUP(K3665,ABBR!A:D,1,FALSE)),ISERROR(VLOOKUP(C3665,ABBR!A:D,1,FALSE))),"")</f>
        <v/>
      </c>
      <c r="P3665" t="str">
        <f>VLOOKUP(A3665,Groups!A:L,5,FALSE)</f>
        <v>SHBT</v>
      </c>
      <c r="Q3665" s="62" t="str">
        <f>IF(G3665="PA",IF(M3665&lt;&gt;"",ISERROR(VLOOKUP(M3665,ABBR!C:F,1,FALSE)),ISERROR(VLOOKUP(E3665,ABBR!C:F,1,FALSE))),"")</f>
        <v/>
      </c>
    </row>
    <row r="3666" spans="1:17" s="62" customFormat="1" hidden="1" x14ac:dyDescent="0.25">
      <c r="A3666" s="16" t="s">
        <v>418</v>
      </c>
      <c r="B3666" s="17" t="s">
        <v>594</v>
      </c>
      <c r="C3666" s="16" t="s">
        <v>595</v>
      </c>
      <c r="D3666" s="17"/>
      <c r="E3666" s="17" t="s">
        <v>596</v>
      </c>
      <c r="F3666" s="18" t="s">
        <v>597</v>
      </c>
      <c r="G3666" s="49" t="s">
        <v>598</v>
      </c>
      <c r="H3666" s="17">
        <v>1</v>
      </c>
      <c r="I3666" s="30"/>
      <c r="J3666"/>
      <c r="K3666"/>
      <c r="L3666"/>
      <c r="M3666"/>
      <c r="N3666"/>
      <c r="O3666" s="62" t="str">
        <f>IF(E3666="PA",IF(K3666&lt;&gt;"",ISERROR(VLOOKUP(K3666,ABBR!A:D,1,FALSE)),ISERROR(VLOOKUP(C3666,ABBR!A:D,1,FALSE))),"")</f>
        <v/>
      </c>
      <c r="P3666" t="str">
        <f>VLOOKUP(A3666,Groups!A:L,5,FALSE)</f>
        <v>SHBG</v>
      </c>
      <c r="Q3666" s="62" t="str">
        <f>IF(G3666="PA",IF(M3666&lt;&gt;"",ISERROR(VLOOKUP(M3666,ABBR!C:F,1,FALSE)),ISERROR(VLOOKUP(E3666,ABBR!C:F,1,FALSE))),"")</f>
        <v/>
      </c>
    </row>
    <row r="3667" spans="1:17" s="62" customFormat="1" hidden="1" x14ac:dyDescent="0.25">
      <c r="A3667" s="16" t="s">
        <v>418</v>
      </c>
      <c r="B3667" s="17" t="s">
        <v>594</v>
      </c>
      <c r="C3667" s="16" t="s">
        <v>851</v>
      </c>
      <c r="D3667" s="17" t="s">
        <v>600</v>
      </c>
      <c r="E3667" s="17" t="s">
        <v>601</v>
      </c>
      <c r="F3667" s="18" t="s">
        <v>852</v>
      </c>
      <c r="G3667" s="49" t="s">
        <v>853</v>
      </c>
      <c r="H3667" s="17">
        <v>2</v>
      </c>
      <c r="I3667" s="30"/>
      <c r="J3667"/>
      <c r="K3667"/>
      <c r="L3667"/>
      <c r="M3667"/>
      <c r="N3667"/>
      <c r="O3667" s="62" t="str">
        <f>IF(E3667="PA",IF(K3667&lt;&gt;"",ISERROR(VLOOKUP(K3667,ABBR!A:D,1,FALSE)),ISERROR(VLOOKUP(C3667,ABBR!A:D,1,FALSE))),"")</f>
        <v/>
      </c>
      <c r="P3667" t="str">
        <f>VLOOKUP(A3667,Groups!A:L,5,FALSE)</f>
        <v>SHBG</v>
      </c>
      <c r="Q3667" s="62" t="str">
        <f>IF(G3667="PA",IF(M3667&lt;&gt;"",ISERROR(VLOOKUP(M3667,ABBR!C:F,1,FALSE)),ISERROR(VLOOKUP(E3667,ABBR!C:F,1,FALSE))),"")</f>
        <v/>
      </c>
    </row>
    <row r="3668" spans="1:17" s="62" customFormat="1" hidden="1" x14ac:dyDescent="0.25">
      <c r="A3668" s="16" t="s">
        <v>418</v>
      </c>
      <c r="B3668" s="17" t="s">
        <v>594</v>
      </c>
      <c r="C3668" s="16" t="s">
        <v>854</v>
      </c>
      <c r="D3668" s="17"/>
      <c r="E3668" s="17" t="s">
        <v>608</v>
      </c>
      <c r="F3668" s="18" t="s">
        <v>855</v>
      </c>
      <c r="G3668" s="49" t="s">
        <v>941</v>
      </c>
      <c r="H3668" s="17">
        <v>3</v>
      </c>
      <c r="I3668" s="30"/>
      <c r="J3668"/>
      <c r="K3668"/>
      <c r="L3668"/>
      <c r="M3668"/>
      <c r="N3668"/>
      <c r="O3668" s="62" t="str">
        <f>IF(E3668="PA",IF(K3668&lt;&gt;"",ISERROR(VLOOKUP(K3668,ABBR!A:D,1,FALSE)),ISERROR(VLOOKUP(C3668,ABBR!A:D,1,FALSE))),"")</f>
        <v/>
      </c>
      <c r="P3668" t="str">
        <f>VLOOKUP(A3668,Groups!A:L,5,FALSE)</f>
        <v>SHBG</v>
      </c>
      <c r="Q3668" s="62" t="str">
        <f>IF(G3668="PA",IF(M3668&lt;&gt;"",ISERROR(VLOOKUP(M3668,ABBR!C:F,1,FALSE)),ISERROR(VLOOKUP(E3668,ABBR!C:F,1,FALSE))),"")</f>
        <v/>
      </c>
    </row>
    <row r="3669" spans="1:17" s="62" customFormat="1" hidden="1" x14ac:dyDescent="0.25">
      <c r="A3669" s="16" t="s">
        <v>418</v>
      </c>
      <c r="B3669" s="17" t="s">
        <v>594</v>
      </c>
      <c r="C3669" s="16" t="s">
        <v>857</v>
      </c>
      <c r="D3669" s="17"/>
      <c r="E3669" s="17" t="s">
        <v>618</v>
      </c>
      <c r="F3669" s="18" t="s">
        <v>858</v>
      </c>
      <c r="G3669" s="49" t="s">
        <v>859</v>
      </c>
      <c r="H3669" s="17">
        <v>4</v>
      </c>
      <c r="I3669" s="30"/>
      <c r="J3669"/>
      <c r="K3669"/>
      <c r="L3669"/>
      <c r="M3669"/>
      <c r="N3669"/>
      <c r="O3669" s="62" t="b">
        <f>IF(E3669="PA",IF(K3669&lt;&gt;"",ISERROR(VLOOKUP(K3669,ABBR!A:D,1,FALSE)),ISERROR(VLOOKUP(C3669,ABBR!A:D,1,FALSE))),"")</f>
        <v>0</v>
      </c>
      <c r="P3669" t="str">
        <f>VLOOKUP(A3669,Groups!A:L,5,FALSE)</f>
        <v>SHBG</v>
      </c>
      <c r="Q3669" s="62" t="str">
        <f>IF(G3669="PA",IF(M3669&lt;&gt;"",ISERROR(VLOOKUP(M3669,ABBR!C:F,1,FALSE)),ISERROR(VLOOKUP(E3669,ABBR!C:F,1,FALSE))),"")</f>
        <v/>
      </c>
    </row>
    <row r="3670" spans="1:17" s="62" customFormat="1" hidden="1" x14ac:dyDescent="0.25">
      <c r="A3670" s="16" t="s">
        <v>418</v>
      </c>
      <c r="B3670" s="17" t="s">
        <v>594</v>
      </c>
      <c r="C3670" s="16" t="s">
        <v>860</v>
      </c>
      <c r="D3670" s="17"/>
      <c r="E3670" s="17" t="s">
        <v>596</v>
      </c>
      <c r="F3670" s="18" t="s">
        <v>942</v>
      </c>
      <c r="G3670" s="49" t="s">
        <v>862</v>
      </c>
      <c r="H3670" s="17">
        <v>5</v>
      </c>
      <c r="I3670" s="30"/>
      <c r="J3670"/>
      <c r="K3670"/>
      <c r="L3670"/>
      <c r="M3670"/>
      <c r="N3670"/>
      <c r="O3670" s="62" t="str">
        <f>IF(E3670="PA",IF(K3670&lt;&gt;"",ISERROR(VLOOKUP(K3670,ABBR!A:D,1,FALSE)),ISERROR(VLOOKUP(C3670,ABBR!A:D,1,FALSE))),"")</f>
        <v/>
      </c>
      <c r="P3670" t="str">
        <f>VLOOKUP(A3670,Groups!A:L,5,FALSE)</f>
        <v>SHBG</v>
      </c>
      <c r="Q3670" s="62" t="str">
        <f>IF(G3670="PA",IF(M3670&lt;&gt;"",ISERROR(VLOOKUP(M3670,ABBR!C:F,1,FALSE)),ISERROR(VLOOKUP(E3670,ABBR!C:F,1,FALSE))),"")</f>
        <v/>
      </c>
    </row>
    <row r="3671" spans="1:17" s="62" customFormat="1" hidden="1" x14ac:dyDescent="0.25">
      <c r="A3671" s="16" t="s">
        <v>418</v>
      </c>
      <c r="B3671" s="17" t="s">
        <v>594</v>
      </c>
      <c r="C3671" s="16" t="s">
        <v>863</v>
      </c>
      <c r="D3671" s="17"/>
      <c r="E3671" s="17" t="s">
        <v>608</v>
      </c>
      <c r="F3671" s="18" t="s">
        <v>864</v>
      </c>
      <c r="G3671" s="49" t="s">
        <v>865</v>
      </c>
      <c r="H3671" s="17">
        <v>6</v>
      </c>
      <c r="I3671" s="30"/>
      <c r="J3671"/>
      <c r="K3671"/>
      <c r="L3671"/>
      <c r="M3671"/>
      <c r="N3671"/>
      <c r="O3671" s="62" t="str">
        <f>IF(E3671="PA",IF(K3671&lt;&gt;"",ISERROR(VLOOKUP(K3671,ABBR!A:D,1,FALSE)),ISERROR(VLOOKUP(C3671,ABBR!A:D,1,FALSE))),"")</f>
        <v/>
      </c>
      <c r="P3671" t="str">
        <f>VLOOKUP(A3671,Groups!A:L,5,FALSE)</f>
        <v>SHBG</v>
      </c>
      <c r="Q3671" s="62" t="str">
        <f>IF(G3671="PA",IF(M3671&lt;&gt;"",ISERROR(VLOOKUP(M3671,ABBR!C:F,1,FALSE)),ISERROR(VLOOKUP(E3671,ABBR!C:F,1,FALSE))),"")</f>
        <v/>
      </c>
    </row>
    <row r="3672" spans="1:17" s="62" customFormat="1" hidden="1" x14ac:dyDescent="0.25">
      <c r="A3672" s="16" t="s">
        <v>418</v>
      </c>
      <c r="B3672" s="17" t="s">
        <v>594</v>
      </c>
      <c r="C3672" s="16" t="s">
        <v>866</v>
      </c>
      <c r="D3672" s="17" t="s">
        <v>600</v>
      </c>
      <c r="E3672" s="17" t="s">
        <v>601</v>
      </c>
      <c r="F3672" s="18" t="s">
        <v>867</v>
      </c>
      <c r="G3672" s="49" t="s">
        <v>853</v>
      </c>
      <c r="H3672" s="17">
        <v>7</v>
      </c>
      <c r="I3672" s="30"/>
      <c r="J3672"/>
      <c r="K3672"/>
      <c r="L3672"/>
      <c r="M3672"/>
      <c r="N3672"/>
      <c r="O3672" s="62" t="str">
        <f>IF(E3672="PA",IF(K3672&lt;&gt;"",ISERROR(VLOOKUP(K3672,ABBR!A:D,1,FALSE)),ISERROR(VLOOKUP(C3672,ABBR!A:D,1,FALSE))),"")</f>
        <v/>
      </c>
      <c r="P3672" t="str">
        <f>VLOOKUP(A3672,Groups!A:L,5,FALSE)</f>
        <v>SHBG</v>
      </c>
      <c r="Q3672" s="62" t="str">
        <f>IF(G3672="PA",IF(M3672&lt;&gt;"",ISERROR(VLOOKUP(M3672,ABBR!C:F,1,FALSE)),ISERROR(VLOOKUP(E3672,ABBR!C:F,1,FALSE))),"")</f>
        <v/>
      </c>
    </row>
    <row r="3673" spans="1:17" s="62" customFormat="1" hidden="1" x14ac:dyDescent="0.25">
      <c r="A3673" s="16" t="s">
        <v>418</v>
      </c>
      <c r="B3673" s="17" t="s">
        <v>594</v>
      </c>
      <c r="C3673" s="16" t="s">
        <v>5950</v>
      </c>
      <c r="D3673" s="17"/>
      <c r="E3673" s="17" t="s">
        <v>608</v>
      </c>
      <c r="F3673" s="18" t="s">
        <v>5959</v>
      </c>
      <c r="G3673" s="49" t="s">
        <v>631</v>
      </c>
      <c r="H3673" s="17">
        <v>8</v>
      </c>
      <c r="I3673" s="30"/>
      <c r="J3673"/>
      <c r="K3673"/>
      <c r="L3673"/>
      <c r="M3673"/>
      <c r="N3673"/>
      <c r="O3673" s="62" t="str">
        <f>IF(E3673="PA",IF(K3673&lt;&gt;"",ISERROR(VLOOKUP(K3673,ABBR!A:D,1,FALSE)),ISERROR(VLOOKUP(C3673,ABBR!A:D,1,FALSE))),"")</f>
        <v/>
      </c>
      <c r="P3673" t="str">
        <f>VLOOKUP(A3673,Groups!A:L,5,FALSE)</f>
        <v>SHBG</v>
      </c>
      <c r="Q3673" s="62" t="str">
        <f>IF(G3673="PA",IF(M3673&lt;&gt;"",ISERROR(VLOOKUP(M3673,ABBR!C:F,1,FALSE)),ISERROR(VLOOKUP(E3673,ABBR!C:F,1,FALSE))),"")</f>
        <v/>
      </c>
    </row>
    <row r="3674" spans="1:17" s="62" customFormat="1" hidden="1" x14ac:dyDescent="0.25">
      <c r="A3674" s="16" t="s">
        <v>418</v>
      </c>
      <c r="B3674" s="17"/>
      <c r="C3674" s="16" t="s">
        <v>5960</v>
      </c>
      <c r="D3674" s="17" t="s">
        <v>1077</v>
      </c>
      <c r="E3674" s="17" t="s">
        <v>601</v>
      </c>
      <c r="F3674" s="18" t="s">
        <v>1339</v>
      </c>
      <c r="G3674" s="49" t="s">
        <v>2815</v>
      </c>
      <c r="H3674" s="17">
        <v>9</v>
      </c>
      <c r="I3674" s="30"/>
      <c r="J3674"/>
      <c r="K3674"/>
      <c r="L3674"/>
      <c r="M3674"/>
      <c r="N3674"/>
      <c r="O3674" s="62" t="str">
        <f>IF(E3674="PA",IF(K3674&lt;&gt;"",ISERROR(VLOOKUP(K3674,ABBR!A:D,1,FALSE)),ISERROR(VLOOKUP(C3674,ABBR!A:D,1,FALSE))),"")</f>
        <v/>
      </c>
      <c r="P3674" t="str">
        <f>VLOOKUP(A3674,Groups!A:L,5,FALSE)</f>
        <v>SHBG</v>
      </c>
      <c r="Q3674" s="62" t="str">
        <f>IF(G3674="PA",IF(M3674&lt;&gt;"",ISERROR(VLOOKUP(M3674,ABBR!C:F,1,FALSE)),ISERROR(VLOOKUP(E3674,ABBR!C:F,1,FALSE))),"")</f>
        <v/>
      </c>
    </row>
    <row r="3675" spans="1:17" s="62" customFormat="1" hidden="1" x14ac:dyDescent="0.25">
      <c r="A3675" s="16" t="s">
        <v>418</v>
      </c>
      <c r="B3675" s="17"/>
      <c r="C3675" s="16" t="s">
        <v>5961</v>
      </c>
      <c r="D3675" s="17" t="s">
        <v>1077</v>
      </c>
      <c r="E3675" s="17" t="s">
        <v>601</v>
      </c>
      <c r="F3675" s="18" t="s">
        <v>1532</v>
      </c>
      <c r="G3675" s="49" t="s">
        <v>5962</v>
      </c>
      <c r="H3675" s="17">
        <v>10</v>
      </c>
      <c r="I3675" s="30"/>
      <c r="J3675"/>
      <c r="K3675"/>
      <c r="L3675"/>
      <c r="M3675"/>
      <c r="N3675"/>
      <c r="O3675" s="62" t="str">
        <f>IF(E3675="PA",IF(K3675&lt;&gt;"",ISERROR(VLOOKUP(K3675,ABBR!A:D,1,FALSE)),ISERROR(VLOOKUP(C3675,ABBR!A:D,1,FALSE))),"")</f>
        <v/>
      </c>
      <c r="P3675" t="str">
        <f>VLOOKUP(A3675,Groups!A:L,5,FALSE)</f>
        <v>SHBG</v>
      </c>
      <c r="Q3675" s="62" t="str">
        <f>IF(G3675="PA",IF(M3675&lt;&gt;"",ISERROR(VLOOKUP(M3675,ABBR!C:F,1,FALSE)),ISERROR(VLOOKUP(E3675,ABBR!C:F,1,FALSE))),"")</f>
        <v/>
      </c>
    </row>
    <row r="3676" spans="1:17" s="62" customFormat="1" hidden="1" x14ac:dyDescent="0.25">
      <c r="A3676" s="16" t="s">
        <v>418</v>
      </c>
      <c r="B3676" s="17"/>
      <c r="C3676" s="16" t="s">
        <v>5963</v>
      </c>
      <c r="D3676" s="17" t="s">
        <v>1345</v>
      </c>
      <c r="E3676" s="17" t="s">
        <v>767</v>
      </c>
      <c r="F3676" s="18" t="s">
        <v>5964</v>
      </c>
      <c r="G3676" s="49" t="s">
        <v>1116</v>
      </c>
      <c r="H3676" s="17">
        <v>11</v>
      </c>
      <c r="I3676" s="30"/>
      <c r="J3676"/>
      <c r="K3676"/>
      <c r="L3676"/>
      <c r="M3676"/>
      <c r="N3676"/>
      <c r="O3676" s="62" t="str">
        <f>IF(E3676="PA",IF(K3676&lt;&gt;"",ISERROR(VLOOKUP(K3676,ABBR!A:D,1,FALSE)),ISERROR(VLOOKUP(C3676,ABBR!A:D,1,FALSE))),"")</f>
        <v/>
      </c>
      <c r="P3676" t="str">
        <f>VLOOKUP(A3676,Groups!A:L,5,FALSE)</f>
        <v>SHBG</v>
      </c>
      <c r="Q3676" s="62" t="str">
        <f>IF(G3676="PA",IF(M3676&lt;&gt;"",ISERROR(VLOOKUP(M3676,ABBR!C:F,1,FALSE)),ISERROR(VLOOKUP(E3676,ABBR!C:F,1,FALSE))),"")</f>
        <v/>
      </c>
    </row>
    <row r="3677" spans="1:17" s="62" customFormat="1" hidden="1" x14ac:dyDescent="0.25">
      <c r="A3677" s="16" t="s">
        <v>418</v>
      </c>
      <c r="B3677" s="17"/>
      <c r="C3677" s="16" t="s">
        <v>5965</v>
      </c>
      <c r="D3677" s="17" t="s">
        <v>5966</v>
      </c>
      <c r="E3677" s="17" t="s">
        <v>882</v>
      </c>
      <c r="F3677" s="18" t="s">
        <v>5967</v>
      </c>
      <c r="G3677" s="49" t="s">
        <v>5968</v>
      </c>
      <c r="H3677" s="17">
        <v>12</v>
      </c>
      <c r="I3677" s="30"/>
      <c r="J3677"/>
      <c r="K3677"/>
      <c r="L3677"/>
      <c r="M3677"/>
      <c r="N3677"/>
      <c r="O3677" s="62" t="str">
        <f>IF(E3677="PA",IF(K3677&lt;&gt;"",ISERROR(VLOOKUP(K3677,ABBR!A:D,1,FALSE)),ISERROR(VLOOKUP(C3677,ABBR!A:D,1,FALSE))),"")</f>
        <v/>
      </c>
      <c r="P3677" t="str">
        <f>VLOOKUP(A3677,Groups!A:L,5,FALSE)</f>
        <v>SHBG</v>
      </c>
      <c r="Q3677" s="62" t="str">
        <f>IF(G3677="PA",IF(M3677&lt;&gt;"",ISERROR(VLOOKUP(M3677,ABBR!C:F,1,FALSE)),ISERROR(VLOOKUP(E3677,ABBR!C:F,1,FALSE))),"")</f>
        <v/>
      </c>
    </row>
    <row r="3678" spans="1:17" s="62" customFormat="1" hidden="1" x14ac:dyDescent="0.25">
      <c r="A3678" s="16" t="s">
        <v>418</v>
      </c>
      <c r="B3678" s="17"/>
      <c r="C3678" s="16" t="s">
        <v>5969</v>
      </c>
      <c r="D3678" s="17" t="s">
        <v>5966</v>
      </c>
      <c r="E3678" s="17" t="s">
        <v>882</v>
      </c>
      <c r="F3678" s="18" t="s">
        <v>5970</v>
      </c>
      <c r="G3678" s="49" t="s">
        <v>1583</v>
      </c>
      <c r="H3678" s="17">
        <v>13</v>
      </c>
      <c r="I3678" s="30"/>
      <c r="J3678"/>
      <c r="K3678"/>
      <c r="L3678"/>
      <c r="M3678"/>
      <c r="N3678"/>
      <c r="O3678" s="62" t="str">
        <f>IF(E3678="PA",IF(K3678&lt;&gt;"",ISERROR(VLOOKUP(K3678,ABBR!A:D,1,FALSE)),ISERROR(VLOOKUP(C3678,ABBR!A:D,1,FALSE))),"")</f>
        <v/>
      </c>
      <c r="P3678" t="str">
        <f>VLOOKUP(A3678,Groups!A:L,5,FALSE)</f>
        <v>SHBG</v>
      </c>
      <c r="Q3678" s="62" t="str">
        <f>IF(G3678="PA",IF(M3678&lt;&gt;"",ISERROR(VLOOKUP(M3678,ABBR!C:F,1,FALSE)),ISERROR(VLOOKUP(E3678,ABBR!C:F,1,FALSE))),"")</f>
        <v/>
      </c>
    </row>
    <row r="3679" spans="1:17" s="62" customFormat="1" hidden="1" x14ac:dyDescent="0.25">
      <c r="A3679" s="16" t="s">
        <v>418</v>
      </c>
      <c r="B3679" s="17"/>
      <c r="C3679" s="16" t="s">
        <v>5971</v>
      </c>
      <c r="D3679" s="17"/>
      <c r="E3679" s="17" t="s">
        <v>767</v>
      </c>
      <c r="F3679" s="18" t="s">
        <v>5972</v>
      </c>
      <c r="G3679" s="49" t="s">
        <v>1507</v>
      </c>
      <c r="H3679" s="17">
        <v>14</v>
      </c>
      <c r="I3679" s="30"/>
      <c r="J3679"/>
      <c r="K3679"/>
      <c r="L3679"/>
      <c r="M3679"/>
      <c r="N3679"/>
      <c r="O3679" s="62" t="str">
        <f>IF(E3679="PA",IF(K3679&lt;&gt;"",ISERROR(VLOOKUP(K3679,ABBR!A:D,1,FALSE)),ISERROR(VLOOKUP(C3679,ABBR!A:D,1,FALSE))),"")</f>
        <v/>
      </c>
      <c r="P3679" t="str">
        <f>VLOOKUP(A3679,Groups!A:L,5,FALSE)</f>
        <v>SHBG</v>
      </c>
      <c r="Q3679" s="62" t="str">
        <f>IF(G3679="PA",IF(M3679&lt;&gt;"",ISERROR(VLOOKUP(M3679,ABBR!C:F,1,FALSE)),ISERROR(VLOOKUP(E3679,ABBR!C:F,1,FALSE))),"")</f>
        <v/>
      </c>
    </row>
    <row r="3680" spans="1:17" s="62" customFormat="1" hidden="1" x14ac:dyDescent="0.25">
      <c r="A3680" s="16" t="s">
        <v>418</v>
      </c>
      <c r="B3680" s="17"/>
      <c r="C3680" s="16" t="s">
        <v>5973</v>
      </c>
      <c r="D3680" s="17" t="s">
        <v>1345</v>
      </c>
      <c r="E3680" s="17" t="s">
        <v>723</v>
      </c>
      <c r="F3680" s="18" t="s">
        <v>5974</v>
      </c>
      <c r="G3680" s="49" t="s">
        <v>5975</v>
      </c>
      <c r="H3680" s="17">
        <v>15</v>
      </c>
      <c r="I3680" s="30"/>
      <c r="J3680"/>
      <c r="K3680"/>
      <c r="L3680"/>
      <c r="M3680"/>
      <c r="N3680"/>
      <c r="O3680" s="62" t="str">
        <f>IF(E3680="PA",IF(K3680&lt;&gt;"",ISERROR(VLOOKUP(K3680,ABBR!A:D,1,FALSE)),ISERROR(VLOOKUP(C3680,ABBR!A:D,1,FALSE))),"")</f>
        <v/>
      </c>
      <c r="P3680" t="str">
        <f>VLOOKUP(A3680,Groups!A:L,5,FALSE)</f>
        <v>SHBG</v>
      </c>
      <c r="Q3680" s="62" t="str">
        <f>IF(G3680="PA",IF(M3680&lt;&gt;"",ISERROR(VLOOKUP(M3680,ABBR!C:F,1,FALSE)),ISERROR(VLOOKUP(E3680,ABBR!C:F,1,FALSE))),"")</f>
        <v/>
      </c>
    </row>
    <row r="3681" spans="1:17" s="62" customFormat="1" hidden="1" x14ac:dyDescent="0.25">
      <c r="A3681" s="16" t="s">
        <v>418</v>
      </c>
      <c r="B3681" s="17"/>
      <c r="C3681" s="16" t="s">
        <v>5976</v>
      </c>
      <c r="D3681" s="17" t="s">
        <v>1345</v>
      </c>
      <c r="E3681" s="17" t="s">
        <v>723</v>
      </c>
      <c r="F3681" s="18" t="s">
        <v>5977</v>
      </c>
      <c r="G3681" s="49" t="s">
        <v>5978</v>
      </c>
      <c r="H3681" s="17">
        <v>16</v>
      </c>
      <c r="I3681" s="30"/>
      <c r="J3681"/>
      <c r="K3681"/>
      <c r="L3681"/>
      <c r="M3681"/>
      <c r="N3681"/>
      <c r="O3681" s="62" t="str">
        <f>IF(E3681="PA",IF(K3681&lt;&gt;"",ISERROR(VLOOKUP(K3681,ABBR!A:D,1,FALSE)),ISERROR(VLOOKUP(C3681,ABBR!A:D,1,FALSE))),"")</f>
        <v/>
      </c>
      <c r="P3681" t="str">
        <f>VLOOKUP(A3681,Groups!A:L,5,FALSE)</f>
        <v>SHBG</v>
      </c>
      <c r="Q3681" s="62" t="str">
        <f>IF(G3681="PA",IF(M3681&lt;&gt;"",ISERROR(VLOOKUP(M3681,ABBR!C:F,1,FALSE)),ISERROR(VLOOKUP(E3681,ABBR!C:F,1,FALSE))),"")</f>
        <v/>
      </c>
    </row>
    <row r="3682" spans="1:17" s="62" customFormat="1" hidden="1" x14ac:dyDescent="0.25">
      <c r="A3682" s="16" t="s">
        <v>418</v>
      </c>
      <c r="B3682" s="17"/>
      <c r="C3682" s="16" t="s">
        <v>5979</v>
      </c>
      <c r="D3682" s="17" t="s">
        <v>722</v>
      </c>
      <c r="E3682" s="17" t="s">
        <v>601</v>
      </c>
      <c r="F3682" s="18" t="s">
        <v>5980</v>
      </c>
      <c r="G3682" s="49" t="s">
        <v>2268</v>
      </c>
      <c r="H3682" s="17">
        <v>17</v>
      </c>
      <c r="I3682" s="30"/>
      <c r="J3682"/>
      <c r="K3682"/>
      <c r="L3682"/>
      <c r="M3682"/>
      <c r="N3682"/>
      <c r="O3682" s="62" t="str">
        <f>IF(E3682="PA",IF(K3682&lt;&gt;"",ISERROR(VLOOKUP(K3682,ABBR!A:D,1,FALSE)),ISERROR(VLOOKUP(C3682,ABBR!A:D,1,FALSE))),"")</f>
        <v/>
      </c>
      <c r="P3682" t="str">
        <f>VLOOKUP(A3682,Groups!A:L,5,FALSE)</f>
        <v>SHBG</v>
      </c>
      <c r="Q3682" s="62" t="str">
        <f>IF(G3682="PA",IF(M3682&lt;&gt;"",ISERROR(VLOOKUP(M3682,ABBR!C:F,1,FALSE)),ISERROR(VLOOKUP(E3682,ABBR!C:F,1,FALSE))),"")</f>
        <v/>
      </c>
    </row>
    <row r="3683" spans="1:17" s="62" customFormat="1" hidden="1" x14ac:dyDescent="0.25">
      <c r="A3683" s="16" t="s">
        <v>418</v>
      </c>
      <c r="B3683" s="17"/>
      <c r="C3683" s="16" t="s">
        <v>5981</v>
      </c>
      <c r="D3683" s="17" t="s">
        <v>722</v>
      </c>
      <c r="E3683" s="17" t="s">
        <v>601</v>
      </c>
      <c r="F3683" s="18" t="s">
        <v>5982</v>
      </c>
      <c r="G3683" s="49" t="s">
        <v>5983</v>
      </c>
      <c r="H3683" s="17">
        <v>18</v>
      </c>
      <c r="I3683" s="30"/>
      <c r="J3683"/>
      <c r="K3683"/>
      <c r="L3683"/>
      <c r="M3683"/>
      <c r="N3683"/>
      <c r="O3683" s="62" t="str">
        <f>IF(E3683="PA",IF(K3683&lt;&gt;"",ISERROR(VLOOKUP(K3683,ABBR!A:D,1,FALSE)),ISERROR(VLOOKUP(C3683,ABBR!A:D,1,FALSE))),"")</f>
        <v/>
      </c>
      <c r="P3683" t="str">
        <f>VLOOKUP(A3683,Groups!A:L,5,FALSE)</f>
        <v>SHBG</v>
      </c>
      <c r="Q3683" s="62" t="str">
        <f>IF(G3683="PA",IF(M3683&lt;&gt;"",ISERROR(VLOOKUP(M3683,ABBR!C:F,1,FALSE)),ISERROR(VLOOKUP(E3683,ABBR!C:F,1,FALSE))),"")</f>
        <v/>
      </c>
    </row>
    <row r="3684" spans="1:17" s="62" customFormat="1" hidden="1" x14ac:dyDescent="0.25">
      <c r="A3684" s="16" t="s">
        <v>418</v>
      </c>
      <c r="B3684" s="17"/>
      <c r="C3684" s="16" t="s">
        <v>5984</v>
      </c>
      <c r="D3684" s="17" t="s">
        <v>722</v>
      </c>
      <c r="E3684" s="17" t="s">
        <v>601</v>
      </c>
      <c r="F3684" s="18" t="s">
        <v>5985</v>
      </c>
      <c r="G3684" s="49" t="s">
        <v>5986</v>
      </c>
      <c r="H3684" s="17">
        <v>19</v>
      </c>
      <c r="I3684" s="30"/>
      <c r="J3684"/>
      <c r="K3684"/>
      <c r="L3684"/>
      <c r="M3684"/>
      <c r="N3684"/>
      <c r="O3684" s="62" t="str">
        <f>IF(E3684="PA",IF(K3684&lt;&gt;"",ISERROR(VLOOKUP(K3684,ABBR!A:D,1,FALSE)),ISERROR(VLOOKUP(C3684,ABBR!A:D,1,FALSE))),"")</f>
        <v/>
      </c>
      <c r="P3684" t="str">
        <f>VLOOKUP(A3684,Groups!A:L,5,FALSE)</f>
        <v>SHBG</v>
      </c>
      <c r="Q3684" s="62" t="str">
        <f>IF(G3684="PA",IF(M3684&lt;&gt;"",ISERROR(VLOOKUP(M3684,ABBR!C:F,1,FALSE)),ISERROR(VLOOKUP(E3684,ABBR!C:F,1,FALSE))),"")</f>
        <v/>
      </c>
    </row>
    <row r="3685" spans="1:17" s="62" customFormat="1" hidden="1" x14ac:dyDescent="0.25">
      <c r="A3685" s="16" t="s">
        <v>418</v>
      </c>
      <c r="B3685" s="17"/>
      <c r="C3685" s="16" t="s">
        <v>5987</v>
      </c>
      <c r="D3685" s="17" t="s">
        <v>722</v>
      </c>
      <c r="E3685" s="17" t="s">
        <v>601</v>
      </c>
      <c r="F3685" s="18" t="s">
        <v>5988</v>
      </c>
      <c r="G3685" s="49" t="s">
        <v>5989</v>
      </c>
      <c r="H3685" s="17">
        <v>20</v>
      </c>
      <c r="I3685" s="30"/>
      <c r="J3685"/>
      <c r="K3685"/>
      <c r="L3685"/>
      <c r="M3685"/>
      <c r="N3685"/>
      <c r="O3685" s="62" t="str">
        <f>IF(E3685="PA",IF(K3685&lt;&gt;"",ISERROR(VLOOKUP(K3685,ABBR!A:D,1,FALSE)),ISERROR(VLOOKUP(C3685,ABBR!A:D,1,FALSE))),"")</f>
        <v/>
      </c>
      <c r="P3685" t="str">
        <f>VLOOKUP(A3685,Groups!A:L,5,FALSE)</f>
        <v>SHBG</v>
      </c>
      <c r="Q3685" s="62" t="str">
        <f>IF(G3685="PA",IF(M3685&lt;&gt;"",ISERROR(VLOOKUP(M3685,ABBR!C:F,1,FALSE)),ISERROR(VLOOKUP(E3685,ABBR!C:F,1,FALSE))),"")</f>
        <v/>
      </c>
    </row>
    <row r="3686" spans="1:17" s="62" customFormat="1" hidden="1" x14ac:dyDescent="0.25">
      <c r="A3686" s="16" t="s">
        <v>418</v>
      </c>
      <c r="B3686" s="17"/>
      <c r="C3686" s="16" t="s">
        <v>5990</v>
      </c>
      <c r="D3686" s="17" t="s">
        <v>1077</v>
      </c>
      <c r="E3686" s="17" t="s">
        <v>1391</v>
      </c>
      <c r="F3686" s="18" t="s">
        <v>1462</v>
      </c>
      <c r="G3686" s="49" t="s">
        <v>1463</v>
      </c>
      <c r="H3686" s="17">
        <v>21</v>
      </c>
      <c r="I3686" s="30"/>
      <c r="J3686"/>
      <c r="K3686"/>
      <c r="L3686"/>
      <c r="M3686"/>
      <c r="N3686"/>
      <c r="O3686" s="62" t="str">
        <f>IF(E3686="PA",IF(K3686&lt;&gt;"",ISERROR(VLOOKUP(K3686,ABBR!A:D,1,FALSE)),ISERROR(VLOOKUP(C3686,ABBR!A:D,1,FALSE))),"")</f>
        <v/>
      </c>
      <c r="P3686" t="str">
        <f>VLOOKUP(A3686,Groups!A:L,5,FALSE)</f>
        <v>SHBG</v>
      </c>
      <c r="Q3686" s="62" t="str">
        <f>IF(G3686="PA",IF(M3686&lt;&gt;"",ISERROR(VLOOKUP(M3686,ABBR!C:F,1,FALSE)),ISERROR(VLOOKUP(E3686,ABBR!C:F,1,FALSE))),"")</f>
        <v/>
      </c>
    </row>
    <row r="3687" spans="1:17" s="62" customFormat="1" hidden="1" x14ac:dyDescent="0.25">
      <c r="A3687" s="16" t="s">
        <v>418</v>
      </c>
      <c r="B3687" s="17"/>
      <c r="C3687" s="16" t="s">
        <v>5991</v>
      </c>
      <c r="D3687" s="17"/>
      <c r="E3687" s="17" t="s">
        <v>1321</v>
      </c>
      <c r="F3687" s="18" t="s">
        <v>1544</v>
      </c>
      <c r="G3687" s="49" t="s">
        <v>5992</v>
      </c>
      <c r="H3687" s="17">
        <v>22</v>
      </c>
      <c r="I3687" s="30"/>
      <c r="J3687"/>
      <c r="K3687"/>
      <c r="L3687"/>
      <c r="M3687"/>
      <c r="N3687"/>
      <c r="O3687" s="62" t="str">
        <f>IF(E3687="PA",IF(K3687&lt;&gt;"",ISERROR(VLOOKUP(K3687,ABBR!A:D,1,FALSE)),ISERROR(VLOOKUP(C3687,ABBR!A:D,1,FALSE))),"")</f>
        <v/>
      </c>
      <c r="P3687" t="str">
        <f>VLOOKUP(A3687,Groups!A:L,5,FALSE)</f>
        <v>SHBG</v>
      </c>
      <c r="Q3687" s="62" t="str">
        <f>IF(G3687="PA",IF(M3687&lt;&gt;"",ISERROR(VLOOKUP(M3687,ABBR!C:F,1,FALSE)),ISERROR(VLOOKUP(E3687,ABBR!C:F,1,FALSE))),"")</f>
        <v/>
      </c>
    </row>
    <row r="3688" spans="1:17" s="62" customFormat="1" hidden="1" x14ac:dyDescent="0.25">
      <c r="A3688" s="16" t="s">
        <v>418</v>
      </c>
      <c r="B3688" s="17"/>
      <c r="C3688" s="16" t="s">
        <v>5993</v>
      </c>
      <c r="D3688" s="17" t="s">
        <v>766</v>
      </c>
      <c r="E3688" s="17" t="s">
        <v>608</v>
      </c>
      <c r="F3688" s="18" t="s">
        <v>1336</v>
      </c>
      <c r="G3688" s="49" t="s">
        <v>897</v>
      </c>
      <c r="H3688" s="17">
        <v>23</v>
      </c>
      <c r="I3688" s="30"/>
      <c r="J3688"/>
      <c r="K3688"/>
      <c r="L3688"/>
      <c r="M3688"/>
      <c r="N3688"/>
      <c r="O3688" s="62" t="str">
        <f>IF(E3688="PA",IF(K3688&lt;&gt;"",ISERROR(VLOOKUP(K3688,ABBR!A:D,1,FALSE)),ISERROR(VLOOKUP(C3688,ABBR!A:D,1,FALSE))),"")</f>
        <v/>
      </c>
      <c r="P3688" t="str">
        <f>VLOOKUP(A3688,Groups!A:L,5,FALSE)</f>
        <v>SHBG</v>
      </c>
      <c r="Q3688" s="62" t="str">
        <f>IF(G3688="PA",IF(M3688&lt;&gt;"",ISERROR(VLOOKUP(M3688,ABBR!C:F,1,FALSE)),ISERROR(VLOOKUP(E3688,ABBR!C:F,1,FALSE))),"")</f>
        <v/>
      </c>
    </row>
    <row r="3689" spans="1:17" s="62" customFormat="1" hidden="1" x14ac:dyDescent="0.25">
      <c r="A3689" s="16" t="s">
        <v>418</v>
      </c>
      <c r="B3689" s="17"/>
      <c r="C3689" s="16" t="s">
        <v>5994</v>
      </c>
      <c r="D3689" s="17" t="s">
        <v>766</v>
      </c>
      <c r="E3689" s="17" t="s">
        <v>608</v>
      </c>
      <c r="F3689" s="18" t="s">
        <v>1527</v>
      </c>
      <c r="G3689" s="49" t="s">
        <v>5995</v>
      </c>
      <c r="H3689" s="17">
        <v>24</v>
      </c>
      <c r="I3689" s="30"/>
      <c r="J3689"/>
      <c r="K3689"/>
      <c r="L3689"/>
      <c r="M3689"/>
      <c r="N3689"/>
      <c r="O3689" s="62" t="str">
        <f>IF(E3689="PA",IF(K3689&lt;&gt;"",ISERROR(VLOOKUP(K3689,ABBR!A:D,1,FALSE)),ISERROR(VLOOKUP(C3689,ABBR!A:D,1,FALSE))),"")</f>
        <v/>
      </c>
      <c r="P3689" t="str">
        <f>VLOOKUP(A3689,Groups!A:L,5,FALSE)</f>
        <v>SHBG</v>
      </c>
      <c r="Q3689" s="62" t="str">
        <f>IF(G3689="PA",IF(M3689&lt;&gt;"",ISERROR(VLOOKUP(M3689,ABBR!C:F,1,FALSE)),ISERROR(VLOOKUP(E3689,ABBR!C:F,1,FALSE))),"")</f>
        <v/>
      </c>
    </row>
    <row r="3690" spans="1:17" s="62" customFormat="1" hidden="1" x14ac:dyDescent="0.25">
      <c r="A3690" s="16" t="s">
        <v>418</v>
      </c>
      <c r="B3690" s="17"/>
      <c r="C3690" s="16" t="s">
        <v>5996</v>
      </c>
      <c r="D3690" s="17" t="s">
        <v>722</v>
      </c>
      <c r="E3690" s="17" t="s">
        <v>601</v>
      </c>
      <c r="F3690" s="18" t="s">
        <v>5997</v>
      </c>
      <c r="G3690" s="49" t="s">
        <v>5998</v>
      </c>
      <c r="H3690" s="17">
        <v>25</v>
      </c>
      <c r="I3690" s="30"/>
      <c r="J3690"/>
      <c r="K3690"/>
      <c r="L3690"/>
      <c r="M3690"/>
      <c r="N3690"/>
      <c r="O3690" s="62" t="str">
        <f>IF(E3690="PA",IF(K3690&lt;&gt;"",ISERROR(VLOOKUP(K3690,ABBR!A:D,1,FALSE)),ISERROR(VLOOKUP(C3690,ABBR!A:D,1,FALSE))),"")</f>
        <v/>
      </c>
      <c r="P3690" t="str">
        <f>VLOOKUP(A3690,Groups!A:L,5,FALSE)</f>
        <v>SHBG</v>
      </c>
      <c r="Q3690" s="62" t="str">
        <f>IF(G3690="PA",IF(M3690&lt;&gt;"",ISERROR(VLOOKUP(M3690,ABBR!C:F,1,FALSE)),ISERROR(VLOOKUP(E3690,ABBR!C:F,1,FALSE))),"")</f>
        <v/>
      </c>
    </row>
    <row r="3691" spans="1:17" s="62" customFormat="1" hidden="1" x14ac:dyDescent="0.25">
      <c r="A3691" s="16" t="s">
        <v>418</v>
      </c>
      <c r="B3691" s="17"/>
      <c r="C3691" s="16" t="s">
        <v>5999</v>
      </c>
      <c r="D3691" s="17" t="s">
        <v>722</v>
      </c>
      <c r="E3691" s="17" t="s">
        <v>601</v>
      </c>
      <c r="F3691" s="18" t="s">
        <v>6000</v>
      </c>
      <c r="G3691" s="49" t="s">
        <v>6001</v>
      </c>
      <c r="H3691" s="17">
        <v>26</v>
      </c>
      <c r="I3691" s="30"/>
      <c r="J3691"/>
      <c r="K3691"/>
      <c r="L3691"/>
      <c r="M3691"/>
      <c r="N3691"/>
      <c r="O3691" s="62" t="str">
        <f>IF(E3691="PA",IF(K3691&lt;&gt;"",ISERROR(VLOOKUP(K3691,ABBR!A:D,1,FALSE)),ISERROR(VLOOKUP(C3691,ABBR!A:D,1,FALSE))),"")</f>
        <v/>
      </c>
      <c r="P3691" t="str">
        <f>VLOOKUP(A3691,Groups!A:L,5,FALSE)</f>
        <v>SHBG</v>
      </c>
      <c r="Q3691" s="62" t="str">
        <f>IF(G3691="PA",IF(M3691&lt;&gt;"",ISERROR(VLOOKUP(M3691,ABBR!C:F,1,FALSE)),ISERROR(VLOOKUP(E3691,ABBR!C:F,1,FALSE))),"")</f>
        <v/>
      </c>
    </row>
    <row r="3692" spans="1:17" s="62" customFormat="1" hidden="1" x14ac:dyDescent="0.25">
      <c r="A3692" s="16" t="s">
        <v>418</v>
      </c>
      <c r="B3692" s="17"/>
      <c r="C3692" s="16" t="s">
        <v>6002</v>
      </c>
      <c r="D3692" s="17" t="s">
        <v>722</v>
      </c>
      <c r="E3692" s="17" t="s">
        <v>601</v>
      </c>
      <c r="F3692" s="18" t="s">
        <v>1728</v>
      </c>
      <c r="G3692" s="49" t="s">
        <v>6003</v>
      </c>
      <c r="H3692" s="17">
        <v>27</v>
      </c>
      <c r="I3692" s="30"/>
      <c r="J3692"/>
      <c r="K3692"/>
      <c r="L3692"/>
      <c r="M3692"/>
      <c r="N3692"/>
      <c r="O3692" s="62" t="str">
        <f>IF(E3692="PA",IF(K3692&lt;&gt;"",ISERROR(VLOOKUP(K3692,ABBR!A:D,1,FALSE)),ISERROR(VLOOKUP(C3692,ABBR!A:D,1,FALSE))),"")</f>
        <v/>
      </c>
      <c r="P3692" t="str">
        <f>VLOOKUP(A3692,Groups!A:L,5,FALSE)</f>
        <v>SHBG</v>
      </c>
      <c r="Q3692" s="62" t="str">
        <f>IF(G3692="PA",IF(M3692&lt;&gt;"",ISERROR(VLOOKUP(M3692,ABBR!C:F,1,FALSE)),ISERROR(VLOOKUP(E3692,ABBR!C:F,1,FALSE))),"")</f>
        <v/>
      </c>
    </row>
    <row r="3693" spans="1:17" s="62" customFormat="1" hidden="1" x14ac:dyDescent="0.25">
      <c r="A3693" s="16" t="s">
        <v>418</v>
      </c>
      <c r="B3693" s="17"/>
      <c r="C3693" s="16" t="s">
        <v>6004</v>
      </c>
      <c r="D3693" s="17"/>
      <c r="E3693" s="17" t="s">
        <v>608</v>
      </c>
      <c r="F3693" s="18" t="s">
        <v>6005</v>
      </c>
      <c r="G3693" s="49" t="s">
        <v>6006</v>
      </c>
      <c r="H3693" s="17">
        <v>28</v>
      </c>
      <c r="I3693" s="30"/>
      <c r="J3693"/>
      <c r="K3693"/>
      <c r="L3693"/>
      <c r="M3693"/>
      <c r="N3693"/>
      <c r="O3693" s="62" t="str">
        <f>IF(E3693="PA",IF(K3693&lt;&gt;"",ISERROR(VLOOKUP(K3693,ABBR!A:D,1,FALSE)),ISERROR(VLOOKUP(C3693,ABBR!A:D,1,FALSE))),"")</f>
        <v/>
      </c>
      <c r="P3693" t="str">
        <f>VLOOKUP(A3693,Groups!A:L,5,FALSE)</f>
        <v>SHBG</v>
      </c>
      <c r="Q3693" s="62" t="str">
        <f>IF(G3693="PA",IF(M3693&lt;&gt;"",ISERROR(VLOOKUP(M3693,ABBR!C:F,1,FALSE)),ISERROR(VLOOKUP(E3693,ABBR!C:F,1,FALSE))),"")</f>
        <v/>
      </c>
    </row>
    <row r="3694" spans="1:17" s="62" customFormat="1" hidden="1" x14ac:dyDescent="0.25">
      <c r="A3694" s="16" t="s">
        <v>418</v>
      </c>
      <c r="B3694" s="17"/>
      <c r="C3694" s="16" t="s">
        <v>6007</v>
      </c>
      <c r="D3694" s="17"/>
      <c r="E3694" s="17" t="s">
        <v>608</v>
      </c>
      <c r="F3694" s="18" t="s">
        <v>642</v>
      </c>
      <c r="G3694" s="49" t="s">
        <v>6008</v>
      </c>
      <c r="H3694" s="17">
        <v>29</v>
      </c>
      <c r="I3694" s="30"/>
      <c r="J3694"/>
      <c r="K3694"/>
      <c r="L3694"/>
      <c r="M3694"/>
      <c r="N3694"/>
      <c r="O3694" s="62" t="str">
        <f>IF(E3694="PA",IF(K3694&lt;&gt;"",ISERROR(VLOOKUP(K3694,ABBR!A:D,1,FALSE)),ISERROR(VLOOKUP(C3694,ABBR!A:D,1,FALSE))),"")</f>
        <v/>
      </c>
      <c r="P3694" t="str">
        <f>VLOOKUP(A3694,Groups!A:L,5,FALSE)</f>
        <v>SHBG</v>
      </c>
      <c r="Q3694" s="62" t="str">
        <f>IF(G3694="PA",IF(M3694&lt;&gt;"",ISERROR(VLOOKUP(M3694,ABBR!C:F,1,FALSE)),ISERROR(VLOOKUP(E3694,ABBR!C:F,1,FALSE))),"")</f>
        <v/>
      </c>
    </row>
    <row r="3695" spans="1:17" s="62" customFormat="1" hidden="1" x14ac:dyDescent="0.25">
      <c r="A3695" s="16" t="s">
        <v>418</v>
      </c>
      <c r="B3695" s="17"/>
      <c r="C3695" s="16" t="s">
        <v>643</v>
      </c>
      <c r="D3695" s="17"/>
      <c r="E3695" s="17" t="s">
        <v>608</v>
      </c>
      <c r="F3695" s="18" t="s">
        <v>954</v>
      </c>
      <c r="G3695" s="49" t="s">
        <v>4171</v>
      </c>
      <c r="H3695" s="17">
        <v>30</v>
      </c>
      <c r="I3695" s="30"/>
      <c r="J3695"/>
      <c r="K3695"/>
      <c r="L3695"/>
      <c r="M3695"/>
      <c r="N3695"/>
      <c r="O3695" s="62" t="str">
        <f>IF(E3695="PA",IF(K3695&lt;&gt;"",ISERROR(VLOOKUP(K3695,ABBR!A:D,1,FALSE)),ISERROR(VLOOKUP(C3695,ABBR!A:D,1,FALSE))),"")</f>
        <v/>
      </c>
      <c r="P3695" t="str">
        <f>VLOOKUP(A3695,Groups!A:L,5,FALSE)</f>
        <v>SHBG</v>
      </c>
      <c r="Q3695" s="62" t="str">
        <f>IF(G3695="PA",IF(M3695&lt;&gt;"",ISERROR(VLOOKUP(M3695,ABBR!C:F,1,FALSE)),ISERROR(VLOOKUP(E3695,ABBR!C:F,1,FALSE))),"")</f>
        <v/>
      </c>
    </row>
    <row r="3696" spans="1:17" s="62" customFormat="1" hidden="1" x14ac:dyDescent="0.25">
      <c r="A3696" s="16" t="s">
        <v>418</v>
      </c>
      <c r="B3696" s="17"/>
      <c r="C3696" s="16" t="s">
        <v>6009</v>
      </c>
      <c r="D3696" s="17" t="s">
        <v>1345</v>
      </c>
      <c r="E3696" s="17" t="s">
        <v>767</v>
      </c>
      <c r="F3696" s="18" t="s">
        <v>6010</v>
      </c>
      <c r="G3696" s="49" t="s">
        <v>1116</v>
      </c>
      <c r="H3696" s="17">
        <v>31</v>
      </c>
      <c r="I3696" s="30" t="s">
        <v>955</v>
      </c>
      <c r="J3696" s="80">
        <v>4.0999999999999996</v>
      </c>
      <c r="K3696"/>
      <c r="L3696"/>
      <c r="M3696"/>
      <c r="N3696"/>
      <c r="O3696" s="62" t="str">
        <f>IF(E3696="PA",IF(K3696&lt;&gt;"",ISERROR(VLOOKUP(K3696,ABBR!A:D,1,FALSE)),ISERROR(VLOOKUP(C3696,ABBR!A:D,1,FALSE))),"")</f>
        <v/>
      </c>
      <c r="P3696" t="str">
        <f>VLOOKUP(A3696,Groups!A:L,5,FALSE)</f>
        <v>SHBG</v>
      </c>
      <c r="Q3696" s="62" t="str">
        <f>IF(G3696="PA",IF(M3696&lt;&gt;"",ISERROR(VLOOKUP(M3696,ABBR!C:F,1,FALSE)),ISERROR(VLOOKUP(E3696,ABBR!C:F,1,FALSE))),"")</f>
        <v/>
      </c>
    </row>
    <row r="3697" spans="1:17" s="62" customFormat="1" hidden="1" x14ac:dyDescent="0.25">
      <c r="A3697" s="16" t="s">
        <v>418</v>
      </c>
      <c r="B3697" s="17"/>
      <c r="C3697" s="16" t="s">
        <v>6011</v>
      </c>
      <c r="D3697" s="17" t="s">
        <v>1345</v>
      </c>
      <c r="E3697" s="17" t="s">
        <v>767</v>
      </c>
      <c r="F3697" s="18" t="s">
        <v>6012</v>
      </c>
      <c r="G3697" s="49" t="s">
        <v>6013</v>
      </c>
      <c r="H3697" s="17">
        <v>32</v>
      </c>
      <c r="I3697" s="30" t="s">
        <v>955</v>
      </c>
      <c r="J3697" s="80">
        <v>4.0999999999999996</v>
      </c>
      <c r="K3697"/>
      <c r="L3697"/>
      <c r="M3697"/>
      <c r="N3697"/>
      <c r="O3697" s="62" t="str">
        <f>IF(E3697="PA",IF(K3697&lt;&gt;"",ISERROR(VLOOKUP(K3697,ABBR!A:D,1,FALSE)),ISERROR(VLOOKUP(C3697,ABBR!A:D,1,FALSE))),"")</f>
        <v/>
      </c>
      <c r="P3697" t="str">
        <f>VLOOKUP(A3697,Groups!A:L,5,FALSE)</f>
        <v>SHBG</v>
      </c>
      <c r="Q3697" s="62" t="str">
        <f>IF(G3697="PA",IF(M3697&lt;&gt;"",ISERROR(VLOOKUP(M3697,ABBR!C:F,1,FALSE)),ISERROR(VLOOKUP(E3697,ABBR!C:F,1,FALSE))),"")</f>
        <v/>
      </c>
    </row>
    <row r="3698" spans="1:17" s="62" customFormat="1" hidden="1" x14ac:dyDescent="0.25">
      <c r="A3698" s="16" t="s">
        <v>418</v>
      </c>
      <c r="B3698" s="17"/>
      <c r="C3698" s="16" t="s">
        <v>6014</v>
      </c>
      <c r="D3698" s="17" t="s">
        <v>3524</v>
      </c>
      <c r="E3698" s="17" t="s">
        <v>882</v>
      </c>
      <c r="F3698" s="18" t="s">
        <v>6015</v>
      </c>
      <c r="G3698" s="49" t="s">
        <v>6016</v>
      </c>
      <c r="H3698" s="17">
        <v>33</v>
      </c>
      <c r="I3698" s="30"/>
      <c r="J3698" s="62" t="s">
        <v>491</v>
      </c>
      <c r="O3698" s="62" t="str">
        <f>IF(E3698="PA",IF(K3698&lt;&gt;"",ISERROR(VLOOKUP(K3698,ABBR!A:D,1,FALSE)),ISERROR(VLOOKUP(C3698,ABBR!A:D,1,FALSE))),"")</f>
        <v/>
      </c>
      <c r="P3698" t="str">
        <f>VLOOKUP(A3698,Groups!A:L,5,FALSE)</f>
        <v>SHBG</v>
      </c>
      <c r="Q3698" s="62" t="str">
        <f>IF(G3698="PA",IF(M3698&lt;&gt;"",ISERROR(VLOOKUP(M3698,ABBR!C:F,1,FALSE)),ISERROR(VLOOKUP(E3698,ABBR!C:F,1,FALSE))),"")</f>
        <v/>
      </c>
    </row>
    <row r="3699" spans="1:17" s="62" customFormat="1" ht="25" hidden="1" x14ac:dyDescent="0.25">
      <c r="A3699" s="16" t="s">
        <v>418</v>
      </c>
      <c r="B3699" s="17"/>
      <c r="C3699" s="16" t="s">
        <v>6017</v>
      </c>
      <c r="D3699" s="17" t="s">
        <v>2027</v>
      </c>
      <c r="E3699" s="17" t="s">
        <v>723</v>
      </c>
      <c r="F3699" s="18" t="s">
        <v>6018</v>
      </c>
      <c r="G3699" s="49" t="s">
        <v>1489</v>
      </c>
      <c r="H3699" s="17">
        <v>34</v>
      </c>
      <c r="I3699" s="30"/>
      <c r="J3699" s="62" t="s">
        <v>491</v>
      </c>
      <c r="O3699" s="62" t="str">
        <f>IF(E3699="PA",IF(K3699&lt;&gt;"",ISERROR(VLOOKUP(K3699,ABBR!A:D,1,FALSE)),ISERROR(VLOOKUP(C3699,ABBR!A:D,1,FALSE))),"")</f>
        <v/>
      </c>
      <c r="P3699" t="str">
        <f>VLOOKUP(A3699,Groups!A:L,5,FALSE)</f>
        <v>SHBG</v>
      </c>
      <c r="Q3699" s="62" t="str">
        <f>IF(G3699="PA",IF(M3699&lt;&gt;"",ISERROR(VLOOKUP(M3699,ABBR!C:F,1,FALSE)),ISERROR(VLOOKUP(E3699,ABBR!C:F,1,FALSE))),"")</f>
        <v/>
      </c>
    </row>
    <row r="3700" spans="1:17" s="62" customFormat="1" x14ac:dyDescent="0.25">
      <c r="A3700" s="16" t="s">
        <v>480</v>
      </c>
      <c r="B3700" s="17" t="s">
        <v>594</v>
      </c>
      <c r="C3700" s="16" t="s">
        <v>595</v>
      </c>
      <c r="D3700" s="17"/>
      <c r="E3700" s="17" t="s">
        <v>596</v>
      </c>
      <c r="F3700" s="18" t="s">
        <v>1953</v>
      </c>
      <c r="G3700" s="49" t="s">
        <v>598</v>
      </c>
      <c r="H3700" s="17">
        <v>1</v>
      </c>
      <c r="I3700" s="30"/>
      <c r="J3700" s="62" t="s">
        <v>478</v>
      </c>
      <c r="O3700" s="62" t="str">
        <f>IF(E3700="PA",IF(K3700&lt;&gt;"",ISERROR(VLOOKUP(K3700,ABBR!A:D,1,FALSE)),ISERROR(VLOOKUP(C3700,ABBR!A:D,1,FALSE))),"")</f>
        <v/>
      </c>
      <c r="P3700" t="str">
        <f>VLOOKUP(A3700,Groups!A:L,5,FALSE)</f>
        <v>LOCA</v>
      </c>
      <c r="Q3700" s="62" t="str">
        <f>IF(G3700="PA",IF(M3700&lt;&gt;"",ISERROR(VLOOKUP(M3700,ABBR!C:F,1,FALSE)),ISERROR(VLOOKUP(E3700,ABBR!C:F,1,FALSE))),"")</f>
        <v/>
      </c>
    </row>
    <row r="3701" spans="1:17" s="62" customFormat="1" x14ac:dyDescent="0.25">
      <c r="A3701" s="16" t="s">
        <v>480</v>
      </c>
      <c r="B3701" s="17" t="s">
        <v>594</v>
      </c>
      <c r="C3701" s="16" t="s">
        <v>6019</v>
      </c>
      <c r="D3701" s="17" t="s">
        <v>600</v>
      </c>
      <c r="E3701" s="17" t="s">
        <v>601</v>
      </c>
      <c r="F3701" s="18" t="s">
        <v>4975</v>
      </c>
      <c r="G3701" s="49" t="s">
        <v>2271</v>
      </c>
      <c r="H3701" s="17">
        <v>2</v>
      </c>
      <c r="I3701" s="30"/>
      <c r="J3701" s="62" t="s">
        <v>478</v>
      </c>
      <c r="O3701" s="62" t="str">
        <f>IF(E3701="PA",IF(K3701&lt;&gt;"",ISERROR(VLOOKUP(K3701,ABBR!A:D,1,FALSE)),ISERROR(VLOOKUP(C3701,ABBR!A:D,1,FALSE))),"")</f>
        <v/>
      </c>
      <c r="P3701" t="str">
        <f>VLOOKUP(A3701,Groups!A:L,5,FALSE)</f>
        <v>LOCA</v>
      </c>
      <c r="Q3701" s="62" t="str">
        <f>IF(G3701="PA",IF(M3701&lt;&gt;"",ISERROR(VLOOKUP(M3701,ABBR!C:F,1,FALSE)),ISERROR(VLOOKUP(E3701,ABBR!C:F,1,FALSE))),"")</f>
        <v/>
      </c>
    </row>
    <row r="3702" spans="1:17" s="62" customFormat="1" x14ac:dyDescent="0.25">
      <c r="A3702" s="16" t="s">
        <v>480</v>
      </c>
      <c r="B3702" s="17"/>
      <c r="C3702" s="16" t="s">
        <v>6020</v>
      </c>
      <c r="D3702" s="17" t="s">
        <v>600</v>
      </c>
      <c r="E3702" s="17" t="s">
        <v>601</v>
      </c>
      <c r="F3702" s="18" t="s">
        <v>1254</v>
      </c>
      <c r="G3702" s="49" t="s">
        <v>2355</v>
      </c>
      <c r="H3702" s="17">
        <v>3</v>
      </c>
      <c r="I3702" s="30"/>
      <c r="J3702" s="62" t="s">
        <v>478</v>
      </c>
      <c r="O3702" s="62" t="str">
        <f>IF(E3702="PA",IF(K3702&lt;&gt;"",ISERROR(VLOOKUP(K3702,ABBR!A:D,1,FALSE)),ISERROR(VLOOKUP(C3702,ABBR!A:D,1,FALSE))),"")</f>
        <v/>
      </c>
      <c r="P3702" t="str">
        <f>VLOOKUP(A3702,Groups!A:L,5,FALSE)</f>
        <v>LOCA</v>
      </c>
      <c r="Q3702" s="62" t="str">
        <f>IF(G3702="PA",IF(M3702&lt;&gt;"",ISERROR(VLOOKUP(M3702,ABBR!C:F,1,FALSE)),ISERROR(VLOOKUP(E3702,ABBR!C:F,1,FALSE))),"")</f>
        <v/>
      </c>
    </row>
    <row r="3703" spans="1:17" s="62" customFormat="1" x14ac:dyDescent="0.25">
      <c r="A3703" s="16" t="s">
        <v>480</v>
      </c>
      <c r="B3703" s="17"/>
      <c r="C3703" s="16" t="s">
        <v>6021</v>
      </c>
      <c r="D3703" s="17"/>
      <c r="E3703" s="17" t="s">
        <v>618</v>
      </c>
      <c r="F3703" s="18" t="s">
        <v>6022</v>
      </c>
      <c r="G3703" s="49" t="s">
        <v>6023</v>
      </c>
      <c r="H3703" s="17">
        <v>4</v>
      </c>
      <c r="I3703" s="30"/>
      <c r="J3703" s="62" t="s">
        <v>478</v>
      </c>
      <c r="K3703" s="62" t="s">
        <v>6024</v>
      </c>
      <c r="O3703" s="62" t="b">
        <f>IF(E3703="PA",IF(K3703&lt;&gt;"",ISERROR(VLOOKUP(K3703,ABBR!A:D,1,FALSE)),ISERROR(VLOOKUP(C3703,ABBR!A:D,1,FALSE))),"")</f>
        <v>0</v>
      </c>
      <c r="P3703" t="str">
        <f>VLOOKUP(A3703,Groups!A:L,5,FALSE)</f>
        <v>LOCA</v>
      </c>
      <c r="Q3703" s="62" t="str">
        <f>IF(G3703="PA",IF(M3703&lt;&gt;"",ISERROR(VLOOKUP(M3703,ABBR!C:F,1,FALSE)),ISERROR(VLOOKUP(E3703,ABBR!C:F,1,FALSE))),"")</f>
        <v/>
      </c>
    </row>
    <row r="3704" spans="1:17" s="62" customFormat="1" x14ac:dyDescent="0.25">
      <c r="A3704" s="16" t="s">
        <v>480</v>
      </c>
      <c r="B3704" s="17"/>
      <c r="C3704" s="16" t="s">
        <v>6025</v>
      </c>
      <c r="D3704" s="17"/>
      <c r="E3704" s="17" t="s">
        <v>618</v>
      </c>
      <c r="F3704" s="18" t="s">
        <v>4983</v>
      </c>
      <c r="G3704" s="49" t="s">
        <v>22</v>
      </c>
      <c r="H3704" s="17">
        <v>5</v>
      </c>
      <c r="I3704" s="30"/>
      <c r="J3704" s="62" t="s">
        <v>478</v>
      </c>
      <c r="K3704" s="62" t="s">
        <v>2895</v>
      </c>
      <c r="O3704" s="62" t="b">
        <f>IF(E3704="PA",IF(K3704&lt;&gt;"",ISERROR(VLOOKUP(K3704,ABBR!A:D,1,FALSE)),ISERROR(VLOOKUP(C3704,ABBR!A:D,1,FALSE))),"")</f>
        <v>0</v>
      </c>
      <c r="P3704" t="str">
        <f>VLOOKUP(A3704,Groups!A:L,5,FALSE)</f>
        <v>LOCA</v>
      </c>
      <c r="Q3704" s="62" t="str">
        <f>IF(G3704="PA",IF(M3704&lt;&gt;"",ISERROR(VLOOKUP(M3704,ABBR!C:F,1,FALSE)),ISERROR(VLOOKUP(E3704,ABBR!C:F,1,FALSE))),"")</f>
        <v/>
      </c>
    </row>
    <row r="3705" spans="1:17" s="62" customFormat="1" x14ac:dyDescent="0.25">
      <c r="A3705" s="16" t="s">
        <v>480</v>
      </c>
      <c r="B3705" s="17"/>
      <c r="C3705" s="16" t="s">
        <v>6026</v>
      </c>
      <c r="D3705" s="17"/>
      <c r="E3705" s="17" t="s">
        <v>618</v>
      </c>
      <c r="F3705" s="18" t="s">
        <v>6027</v>
      </c>
      <c r="G3705" s="49" t="s">
        <v>6028</v>
      </c>
      <c r="H3705" s="17">
        <v>6</v>
      </c>
      <c r="I3705" s="30"/>
      <c r="J3705" s="62" t="s">
        <v>478</v>
      </c>
      <c r="K3705" s="62" t="s">
        <v>6024</v>
      </c>
      <c r="O3705" s="62" t="b">
        <f>IF(E3705="PA",IF(K3705&lt;&gt;"",ISERROR(VLOOKUP(K3705,ABBR!A:D,1,FALSE)),ISERROR(VLOOKUP(C3705,ABBR!A:D,1,FALSE))),"")</f>
        <v>0</v>
      </c>
      <c r="P3705" t="str">
        <f>VLOOKUP(A3705,Groups!A:L,5,FALSE)</f>
        <v>LOCA</v>
      </c>
      <c r="Q3705" s="62" t="str">
        <f>IF(G3705="PA",IF(M3705&lt;&gt;"",ISERROR(VLOOKUP(M3705,ABBR!C:F,1,FALSE)),ISERROR(VLOOKUP(E3705,ABBR!C:F,1,FALSE))),"")</f>
        <v/>
      </c>
    </row>
    <row r="3706" spans="1:17" s="62" customFormat="1" x14ac:dyDescent="0.25">
      <c r="A3706" s="16" t="s">
        <v>480</v>
      </c>
      <c r="B3706" s="17"/>
      <c r="C3706" s="16" t="s">
        <v>6029</v>
      </c>
      <c r="D3706" s="17"/>
      <c r="E3706" s="17" t="s">
        <v>618</v>
      </c>
      <c r="F3706" s="18" t="s">
        <v>4540</v>
      </c>
      <c r="G3706" s="49" t="s">
        <v>631</v>
      </c>
      <c r="H3706" s="17">
        <v>7</v>
      </c>
      <c r="I3706" s="30"/>
      <c r="J3706" s="62" t="s">
        <v>478</v>
      </c>
      <c r="K3706" s="62" t="s">
        <v>2891</v>
      </c>
      <c r="O3706" s="62" t="b">
        <f>IF(E3706="PA",IF(K3706&lt;&gt;"",ISERROR(VLOOKUP(K3706,ABBR!A:D,1,FALSE)),ISERROR(VLOOKUP(C3706,ABBR!A:D,1,FALSE))),"")</f>
        <v>0</v>
      </c>
      <c r="P3706" t="str">
        <f>VLOOKUP(A3706,Groups!A:L,5,FALSE)</f>
        <v>LOCA</v>
      </c>
      <c r="Q3706" s="62" t="str">
        <f>IF(G3706="PA",IF(M3706&lt;&gt;"",ISERROR(VLOOKUP(M3706,ABBR!C:F,1,FALSE)),ISERROR(VLOOKUP(E3706,ABBR!C:F,1,FALSE))),"")</f>
        <v/>
      </c>
    </row>
    <row r="3707" spans="1:17" s="62" customFormat="1" hidden="1" x14ac:dyDescent="0.25">
      <c r="A3707" s="16" t="s">
        <v>482</v>
      </c>
      <c r="B3707" s="17" t="s">
        <v>594</v>
      </c>
      <c r="C3707" s="16" t="s">
        <v>595</v>
      </c>
      <c r="D3707" s="17"/>
      <c r="E3707" s="17" t="s">
        <v>596</v>
      </c>
      <c r="F3707" s="18" t="s">
        <v>1953</v>
      </c>
      <c r="G3707" s="49" t="s">
        <v>598</v>
      </c>
      <c r="H3707" s="17">
        <v>1</v>
      </c>
      <c r="I3707" s="30"/>
      <c r="J3707" s="62" t="s">
        <v>478</v>
      </c>
      <c r="O3707" s="62" t="str">
        <f>IF(E3707="PA",IF(K3707&lt;&gt;"",ISERROR(VLOOKUP(K3707,ABBR!A:D,1,FALSE)),ISERROR(VLOOKUP(C3707,ABBR!A:D,1,FALSE))),"")</f>
        <v/>
      </c>
      <c r="P3707" t="str">
        <f>VLOOKUP(A3707,Groups!A:L,5,FALSE)</f>
        <v>LOCA</v>
      </c>
      <c r="Q3707" s="62" t="str">
        <f>IF(G3707="PA",IF(M3707&lt;&gt;"",ISERROR(VLOOKUP(M3707,ABBR!C:F,1,FALSE)),ISERROR(VLOOKUP(E3707,ABBR!C:F,1,FALSE))),"")</f>
        <v/>
      </c>
    </row>
    <row r="3708" spans="1:17" s="62" customFormat="1" hidden="1" x14ac:dyDescent="0.25">
      <c r="A3708" s="16" t="s">
        <v>482</v>
      </c>
      <c r="B3708" s="17" t="s">
        <v>594</v>
      </c>
      <c r="C3708" s="16" t="s">
        <v>6030</v>
      </c>
      <c r="D3708" s="17" t="s">
        <v>600</v>
      </c>
      <c r="E3708" s="17" t="s">
        <v>601</v>
      </c>
      <c r="F3708" s="18" t="s">
        <v>4975</v>
      </c>
      <c r="G3708" s="49" t="s">
        <v>2271</v>
      </c>
      <c r="H3708" s="17">
        <v>2</v>
      </c>
      <c r="I3708" s="30"/>
      <c r="J3708" s="62" t="s">
        <v>478</v>
      </c>
      <c r="O3708" s="62" t="str">
        <f>IF(E3708="PA",IF(K3708&lt;&gt;"",ISERROR(VLOOKUP(K3708,ABBR!A:D,1,FALSE)),ISERROR(VLOOKUP(C3708,ABBR!A:D,1,FALSE))),"")</f>
        <v/>
      </c>
      <c r="P3708" t="str">
        <f>VLOOKUP(A3708,Groups!A:L,5,FALSE)</f>
        <v>LOCA</v>
      </c>
      <c r="Q3708" s="62" t="str">
        <f>IF(G3708="PA",IF(M3708&lt;&gt;"",ISERROR(VLOOKUP(M3708,ABBR!C:F,1,FALSE)),ISERROR(VLOOKUP(E3708,ABBR!C:F,1,FALSE))),"")</f>
        <v/>
      </c>
    </row>
    <row r="3709" spans="1:17" s="62" customFormat="1" hidden="1" x14ac:dyDescent="0.25">
      <c r="A3709" s="16" t="s">
        <v>482</v>
      </c>
      <c r="B3709" s="17"/>
      <c r="C3709" s="16" t="s">
        <v>6031</v>
      </c>
      <c r="D3709" s="17" t="s">
        <v>600</v>
      </c>
      <c r="E3709" s="17" t="s">
        <v>601</v>
      </c>
      <c r="F3709" s="18" t="s">
        <v>1254</v>
      </c>
      <c r="G3709" s="49" t="s">
        <v>2355</v>
      </c>
      <c r="H3709" s="17">
        <v>3</v>
      </c>
      <c r="I3709" s="30"/>
      <c r="J3709" s="62" t="s">
        <v>478</v>
      </c>
      <c r="O3709" s="62" t="str">
        <f>IF(E3709="PA",IF(K3709&lt;&gt;"",ISERROR(VLOOKUP(K3709,ABBR!A:D,1,FALSE)),ISERROR(VLOOKUP(C3709,ABBR!A:D,1,FALSE))),"")</f>
        <v/>
      </c>
      <c r="P3709" t="str">
        <f>VLOOKUP(A3709,Groups!A:L,5,FALSE)</f>
        <v>LOCA</v>
      </c>
      <c r="Q3709" s="62" t="str">
        <f>IF(G3709="PA",IF(M3709&lt;&gt;"",ISERROR(VLOOKUP(M3709,ABBR!C:F,1,FALSE)),ISERROR(VLOOKUP(E3709,ABBR!C:F,1,FALSE))),"")</f>
        <v/>
      </c>
    </row>
    <row r="3710" spans="1:17" s="62" customFormat="1" ht="25" hidden="1" x14ac:dyDescent="0.25">
      <c r="A3710" s="16" t="s">
        <v>482</v>
      </c>
      <c r="B3710" s="17"/>
      <c r="C3710" s="16" t="s">
        <v>6032</v>
      </c>
      <c r="D3710" s="17"/>
      <c r="E3710" s="17" t="s">
        <v>618</v>
      </c>
      <c r="F3710" s="18" t="s">
        <v>6033</v>
      </c>
      <c r="G3710" s="49" t="s">
        <v>1311</v>
      </c>
      <c r="H3710" s="17">
        <v>4</v>
      </c>
      <c r="I3710" s="30"/>
      <c r="J3710" s="62" t="s">
        <v>478</v>
      </c>
      <c r="K3710" s="62" t="s">
        <v>6034</v>
      </c>
      <c r="O3710" s="62" t="b">
        <f>IF(E3710="PA",IF(K3710&lt;&gt;"",ISERROR(VLOOKUP(K3710,ABBR!A:D,1,FALSE)),ISERROR(VLOOKUP(C3710,ABBR!A:D,1,FALSE))),"")</f>
        <v>0</v>
      </c>
      <c r="P3710" t="str">
        <f>VLOOKUP(A3710,Groups!A:L,5,FALSE)</f>
        <v>LOCA</v>
      </c>
      <c r="Q3710" s="62" t="str">
        <f>IF(G3710="PA",IF(M3710&lt;&gt;"",ISERROR(VLOOKUP(M3710,ABBR!C:F,1,FALSE)),ISERROR(VLOOKUP(E3710,ABBR!C:F,1,FALSE))),"")</f>
        <v/>
      </c>
    </row>
    <row r="3711" spans="1:17" s="62" customFormat="1" hidden="1" x14ac:dyDescent="0.25">
      <c r="A3711" s="16" t="s">
        <v>482</v>
      </c>
      <c r="B3711" s="17"/>
      <c r="C3711" s="16" t="s">
        <v>6035</v>
      </c>
      <c r="D3711" s="17"/>
      <c r="E3711" s="17" t="s">
        <v>618</v>
      </c>
      <c r="F3711" s="18" t="s">
        <v>4983</v>
      </c>
      <c r="G3711" s="49" t="s">
        <v>6036</v>
      </c>
      <c r="H3711" s="17">
        <v>5</v>
      </c>
      <c r="I3711" s="30"/>
      <c r="J3711" s="62" t="s">
        <v>478</v>
      </c>
      <c r="K3711" s="62" t="s">
        <v>2895</v>
      </c>
      <c r="O3711" s="62" t="b">
        <f>IF(E3711="PA",IF(K3711&lt;&gt;"",ISERROR(VLOOKUP(K3711,ABBR!A:D,1,FALSE)),ISERROR(VLOOKUP(C3711,ABBR!A:D,1,FALSE))),"")</f>
        <v>0</v>
      </c>
      <c r="P3711" t="str">
        <f>VLOOKUP(A3711,Groups!A:L,5,FALSE)</f>
        <v>LOCA</v>
      </c>
      <c r="Q3711" s="62" t="str">
        <f>IF(G3711="PA",IF(M3711&lt;&gt;"",ISERROR(VLOOKUP(M3711,ABBR!C:F,1,FALSE)),ISERROR(VLOOKUP(E3711,ABBR!C:F,1,FALSE))),"")</f>
        <v/>
      </c>
    </row>
    <row r="3712" spans="1:17" s="62" customFormat="1" hidden="1" x14ac:dyDescent="0.25">
      <c r="A3712" s="16" t="s">
        <v>482</v>
      </c>
      <c r="B3712" s="17"/>
      <c r="C3712" s="16" t="s">
        <v>6037</v>
      </c>
      <c r="D3712" s="17"/>
      <c r="E3712" s="17" t="s">
        <v>618</v>
      </c>
      <c r="F3712" s="18" t="s">
        <v>6038</v>
      </c>
      <c r="G3712" s="49" t="s">
        <v>4996</v>
      </c>
      <c r="H3712" s="17">
        <v>6</v>
      </c>
      <c r="I3712" s="30"/>
      <c r="J3712" s="62" t="s">
        <v>478</v>
      </c>
      <c r="K3712" s="62" t="s">
        <v>6034</v>
      </c>
      <c r="O3712" s="62" t="b">
        <f>IF(E3712="PA",IF(K3712&lt;&gt;"",ISERROR(VLOOKUP(K3712,ABBR!A:D,1,FALSE)),ISERROR(VLOOKUP(C3712,ABBR!A:D,1,FALSE))),"")</f>
        <v>0</v>
      </c>
      <c r="P3712" t="str">
        <f>VLOOKUP(A3712,Groups!A:L,5,FALSE)</f>
        <v>LOCA</v>
      </c>
      <c r="Q3712" s="62" t="str">
        <f>IF(G3712="PA",IF(M3712&lt;&gt;"",ISERROR(VLOOKUP(M3712,ABBR!C:F,1,FALSE)),ISERROR(VLOOKUP(E3712,ABBR!C:F,1,FALSE))),"")</f>
        <v/>
      </c>
    </row>
    <row r="3713" spans="1:17" s="62" customFormat="1" hidden="1" x14ac:dyDescent="0.25">
      <c r="A3713" s="16" t="s">
        <v>482</v>
      </c>
      <c r="B3713" s="17"/>
      <c r="C3713" s="16" t="s">
        <v>6039</v>
      </c>
      <c r="D3713" s="17"/>
      <c r="E3713" s="17" t="s">
        <v>618</v>
      </c>
      <c r="F3713" s="18" t="s">
        <v>4540</v>
      </c>
      <c r="G3713" s="49" t="s">
        <v>1229</v>
      </c>
      <c r="H3713" s="17">
        <v>7</v>
      </c>
      <c r="I3713" s="30"/>
      <c r="J3713" s="62" t="s">
        <v>478</v>
      </c>
      <c r="K3713" s="62" t="s">
        <v>2891</v>
      </c>
      <c r="O3713" s="62" t="b">
        <f>IF(E3713="PA",IF(K3713&lt;&gt;"",ISERROR(VLOOKUP(K3713,ABBR!A:D,1,FALSE)),ISERROR(VLOOKUP(C3713,ABBR!A:D,1,FALSE))),"")</f>
        <v>0</v>
      </c>
      <c r="P3713" t="str">
        <f>VLOOKUP(A3713,Groups!A:L,5,FALSE)</f>
        <v>LOCA</v>
      </c>
      <c r="Q3713" s="62" t="str">
        <f>IF(G3713="PA",IF(M3713&lt;&gt;"",ISERROR(VLOOKUP(M3713,ABBR!C:F,1,FALSE)),ISERROR(VLOOKUP(E3713,ABBR!C:F,1,FALSE))),"")</f>
        <v/>
      </c>
    </row>
    <row r="3714" spans="1:17" s="62" customFormat="1" ht="25" hidden="1" x14ac:dyDescent="0.25">
      <c r="A3714" s="16" t="s">
        <v>422</v>
      </c>
      <c r="B3714" s="17" t="s">
        <v>594</v>
      </c>
      <c r="C3714" s="16" t="s">
        <v>6040</v>
      </c>
      <c r="D3714" s="17"/>
      <c r="E3714" s="17" t="s">
        <v>608</v>
      </c>
      <c r="F3714" s="18" t="s">
        <v>6041</v>
      </c>
      <c r="G3714" s="49" t="s">
        <v>6042</v>
      </c>
      <c r="H3714" s="17">
        <v>1</v>
      </c>
      <c r="I3714" s="30"/>
      <c r="J3714"/>
      <c r="K3714"/>
      <c r="L3714"/>
      <c r="M3714"/>
      <c r="N3714"/>
      <c r="O3714" s="62" t="str">
        <f>IF(E3714="PA",IF(K3714&lt;&gt;"",ISERROR(VLOOKUP(K3714,ABBR!A:D,1,FALSE)),ISERROR(VLOOKUP(C3714,ABBR!A:D,1,FALSE))),"")</f>
        <v/>
      </c>
      <c r="P3714" t="str">
        <f>VLOOKUP(A3714,Groups!A:L,5,FALSE)</f>
        <v>-</v>
      </c>
      <c r="Q3714" s="62" t="str">
        <f>IF(G3714="PA",IF(M3714&lt;&gt;"",ISERROR(VLOOKUP(M3714,ABBR!C:F,1,FALSE)),ISERROR(VLOOKUP(E3714,ABBR!C:F,1,FALSE))),"")</f>
        <v/>
      </c>
    </row>
    <row r="3715" spans="1:17" s="62" customFormat="1" ht="87.5" hidden="1" x14ac:dyDescent="0.25">
      <c r="A3715" s="16" t="s">
        <v>422</v>
      </c>
      <c r="B3715" s="17"/>
      <c r="C3715" s="16" t="s">
        <v>6043</v>
      </c>
      <c r="D3715" s="17"/>
      <c r="E3715" s="17" t="s">
        <v>608</v>
      </c>
      <c r="F3715" s="18" t="s">
        <v>6044</v>
      </c>
      <c r="G3715" s="49" t="s">
        <v>6045</v>
      </c>
      <c r="H3715" s="17">
        <v>2</v>
      </c>
      <c r="I3715" s="30"/>
      <c r="J3715"/>
      <c r="K3715"/>
      <c r="L3715"/>
      <c r="M3715"/>
      <c r="N3715"/>
      <c r="O3715" s="62" t="str">
        <f>IF(E3715="PA",IF(K3715&lt;&gt;"",ISERROR(VLOOKUP(K3715,ABBR!A:D,1,FALSE)),ISERROR(VLOOKUP(C3715,ABBR!A:D,1,FALSE))),"")</f>
        <v/>
      </c>
      <c r="P3715" t="str">
        <f>VLOOKUP(A3715,Groups!A:L,5,FALSE)</f>
        <v>-</v>
      </c>
      <c r="Q3715" s="62" t="str">
        <f>IF(G3715="PA",IF(M3715&lt;&gt;"",ISERROR(VLOOKUP(M3715,ABBR!C:F,1,FALSE)),ISERROR(VLOOKUP(E3715,ABBR!C:F,1,FALSE))),"")</f>
        <v/>
      </c>
    </row>
    <row r="3716" spans="1:17" s="62" customFormat="1" ht="37.5" hidden="1" x14ac:dyDescent="0.25">
      <c r="A3716" s="16" t="s">
        <v>422</v>
      </c>
      <c r="B3716" s="17"/>
      <c r="C3716" s="16" t="s">
        <v>6046</v>
      </c>
      <c r="D3716" s="17"/>
      <c r="E3716" s="17" t="s">
        <v>608</v>
      </c>
      <c r="F3716" s="18" t="s">
        <v>6047</v>
      </c>
      <c r="G3716" s="49" t="s">
        <v>6048</v>
      </c>
      <c r="H3716" s="17">
        <v>3</v>
      </c>
      <c r="I3716" s="30"/>
      <c r="J3716"/>
      <c r="K3716"/>
      <c r="L3716"/>
      <c r="M3716"/>
      <c r="N3716"/>
      <c r="O3716" s="62" t="str">
        <f>IF(E3716="PA",IF(K3716&lt;&gt;"",ISERROR(VLOOKUP(K3716,ABBR!A:D,1,FALSE)),ISERROR(VLOOKUP(C3716,ABBR!A:D,1,FALSE))),"")</f>
        <v/>
      </c>
      <c r="P3716" t="str">
        <f>VLOOKUP(A3716,Groups!A:L,5,FALSE)</f>
        <v>-</v>
      </c>
      <c r="Q3716" s="62" t="str">
        <f>IF(G3716="PA",IF(M3716&lt;&gt;"",ISERROR(VLOOKUP(M3716,ABBR!C:F,1,FALSE)),ISERROR(VLOOKUP(E3716,ABBR!C:F,1,FALSE))),"")</f>
        <v/>
      </c>
    </row>
    <row r="3717" spans="1:17" s="62" customFormat="1" hidden="1" x14ac:dyDescent="0.25">
      <c r="A3717" s="16" t="s">
        <v>422</v>
      </c>
      <c r="B3717" s="17"/>
      <c r="C3717" s="16" t="s">
        <v>6049</v>
      </c>
      <c r="D3717" s="17"/>
      <c r="E3717" s="17" t="s">
        <v>608</v>
      </c>
      <c r="F3717" s="18" t="s">
        <v>5689</v>
      </c>
      <c r="G3717" s="49" t="s">
        <v>16</v>
      </c>
      <c r="H3717" s="17">
        <v>4</v>
      </c>
      <c r="I3717" s="30"/>
      <c r="J3717"/>
      <c r="K3717"/>
      <c r="L3717"/>
      <c r="M3717" s="101"/>
      <c r="N3717"/>
      <c r="O3717" s="62" t="str">
        <f>IF(E3717="PA",IF(K3717&lt;&gt;"",ISERROR(VLOOKUP(K3717,ABBR!A:D,1,FALSE)),ISERROR(VLOOKUP(C3717,ABBR!A:D,1,FALSE))),"")</f>
        <v/>
      </c>
      <c r="P3717" t="str">
        <f>VLOOKUP(A3717,Groups!A:L,5,FALSE)</f>
        <v>-</v>
      </c>
      <c r="Q3717" s="62" t="str">
        <f>IF(G3717="PA",IF(M3717&lt;&gt;"",ISERROR(VLOOKUP(M3717,ABBR!C:F,1,FALSE)),ISERROR(VLOOKUP(E3717,ABBR!C:F,1,FALSE))),"")</f>
        <v/>
      </c>
    </row>
    <row r="3718" spans="1:17" s="62" customFormat="1" ht="25" hidden="1" x14ac:dyDescent="0.25">
      <c r="A3718" s="16" t="s">
        <v>422</v>
      </c>
      <c r="B3718" s="17"/>
      <c r="C3718" s="16" t="s">
        <v>643</v>
      </c>
      <c r="D3718" s="17"/>
      <c r="E3718" s="17" t="s">
        <v>608</v>
      </c>
      <c r="F3718" s="18" t="s">
        <v>6050</v>
      </c>
      <c r="G3718" s="49" t="s">
        <v>975</v>
      </c>
      <c r="H3718" s="17">
        <v>5</v>
      </c>
      <c r="I3718" s="30"/>
      <c r="J3718"/>
      <c r="K3718"/>
      <c r="L3718"/>
      <c r="M3718"/>
      <c r="N3718"/>
      <c r="O3718" s="62" t="str">
        <f>IF(E3718="PA",IF(K3718&lt;&gt;"",ISERROR(VLOOKUP(K3718,ABBR!A:D,1,FALSE)),ISERROR(VLOOKUP(C3718,ABBR!A:D,1,FALSE))),"")</f>
        <v/>
      </c>
      <c r="P3718" t="str">
        <f>VLOOKUP(A3718,Groups!A:L,5,FALSE)</f>
        <v>-</v>
      </c>
      <c r="Q3718" s="62" t="str">
        <f>IF(G3718="PA",IF(M3718&lt;&gt;"",ISERROR(VLOOKUP(M3718,ABBR!C:F,1,FALSE)),ISERROR(VLOOKUP(E3718,ABBR!C:F,1,FALSE))),"")</f>
        <v/>
      </c>
    </row>
    <row r="3719" spans="1:17" s="62" customFormat="1" hidden="1" x14ac:dyDescent="0.25">
      <c r="A3719" s="16" t="s">
        <v>554</v>
      </c>
      <c r="B3719" s="17" t="s">
        <v>594</v>
      </c>
      <c r="C3719" s="16" t="s">
        <v>595</v>
      </c>
      <c r="D3719" s="17"/>
      <c r="E3719" s="17" t="s">
        <v>596</v>
      </c>
      <c r="F3719" s="18" t="s">
        <v>597</v>
      </c>
      <c r="G3719" s="49" t="s">
        <v>598</v>
      </c>
      <c r="H3719" s="17">
        <v>1</v>
      </c>
      <c r="I3719" s="30"/>
      <c r="J3719" s="62" t="s">
        <v>473</v>
      </c>
      <c r="O3719" s="62" t="str">
        <f>IF(E3719="PA",IF(K3719&lt;&gt;"",ISERROR(VLOOKUP(K3719,ABBR!A:D,1,FALSE)),ISERROR(VLOOKUP(C3719,ABBR!A:D,1,FALSE))),"")</f>
        <v/>
      </c>
      <c r="P3719" t="str">
        <f>VLOOKUP(A3719,Groups!A:L,5,FALSE)</f>
        <v>SUCT</v>
      </c>
      <c r="Q3719" s="62" t="str">
        <f>IF(G3719="PA",IF(M3719&lt;&gt;"",ISERROR(VLOOKUP(M3719,ABBR!C:F,1,FALSE)),ISERROR(VLOOKUP(E3719,ABBR!C:F,1,FALSE))),"")</f>
        <v/>
      </c>
    </row>
    <row r="3720" spans="1:17" s="62" customFormat="1" hidden="1" x14ac:dyDescent="0.25">
      <c r="A3720" s="16" t="s">
        <v>554</v>
      </c>
      <c r="B3720" s="17" t="s">
        <v>594</v>
      </c>
      <c r="C3720" s="16" t="s">
        <v>851</v>
      </c>
      <c r="D3720" s="17" t="s">
        <v>600</v>
      </c>
      <c r="E3720" s="17" t="s">
        <v>601</v>
      </c>
      <c r="F3720" s="18" t="s">
        <v>852</v>
      </c>
      <c r="G3720" s="49" t="s">
        <v>853</v>
      </c>
      <c r="H3720" s="17">
        <v>2</v>
      </c>
      <c r="I3720" s="30"/>
      <c r="J3720" s="62" t="s">
        <v>473</v>
      </c>
      <c r="O3720" s="62" t="str">
        <f>IF(E3720="PA",IF(K3720&lt;&gt;"",ISERROR(VLOOKUP(K3720,ABBR!A:D,1,FALSE)),ISERROR(VLOOKUP(C3720,ABBR!A:D,1,FALSE))),"")</f>
        <v/>
      </c>
      <c r="P3720" t="str">
        <f>VLOOKUP(A3720,Groups!A:L,5,FALSE)</f>
        <v>SUCT</v>
      </c>
      <c r="Q3720" s="62" t="str">
        <f>IF(G3720="PA",IF(M3720&lt;&gt;"",ISERROR(VLOOKUP(M3720,ABBR!C:F,1,FALSE)),ISERROR(VLOOKUP(E3720,ABBR!C:F,1,FALSE))),"")</f>
        <v/>
      </c>
    </row>
    <row r="3721" spans="1:17" s="62" customFormat="1" hidden="1" x14ac:dyDescent="0.25">
      <c r="A3721" s="16" t="s">
        <v>554</v>
      </c>
      <c r="B3721" s="17" t="s">
        <v>594</v>
      </c>
      <c r="C3721" s="16" t="s">
        <v>854</v>
      </c>
      <c r="D3721" s="17"/>
      <c r="E3721" s="17" t="s">
        <v>608</v>
      </c>
      <c r="F3721" s="18" t="s">
        <v>855</v>
      </c>
      <c r="G3721" s="49" t="s">
        <v>856</v>
      </c>
      <c r="H3721" s="17">
        <v>3</v>
      </c>
      <c r="I3721" s="30"/>
      <c r="J3721" s="62" t="s">
        <v>473</v>
      </c>
      <c r="O3721" s="62" t="str">
        <f>IF(E3721="PA",IF(K3721&lt;&gt;"",ISERROR(VLOOKUP(K3721,ABBR!A:D,1,FALSE)),ISERROR(VLOOKUP(C3721,ABBR!A:D,1,FALSE))),"")</f>
        <v/>
      </c>
      <c r="P3721" t="str">
        <f>VLOOKUP(A3721,Groups!A:L,5,FALSE)</f>
        <v>SUCT</v>
      </c>
      <c r="Q3721" s="62" t="str">
        <f>IF(G3721="PA",IF(M3721&lt;&gt;"",ISERROR(VLOOKUP(M3721,ABBR!C:F,1,FALSE)),ISERROR(VLOOKUP(E3721,ABBR!C:F,1,FALSE))),"")</f>
        <v/>
      </c>
    </row>
    <row r="3722" spans="1:17" s="62" customFormat="1" hidden="1" x14ac:dyDescent="0.25">
      <c r="A3722" s="16" t="s">
        <v>554</v>
      </c>
      <c r="B3722" s="17" t="s">
        <v>594</v>
      </c>
      <c r="C3722" s="16" t="s">
        <v>857</v>
      </c>
      <c r="D3722" s="17"/>
      <c r="E3722" s="17" t="s">
        <v>618</v>
      </c>
      <c r="F3722" s="18" t="s">
        <v>858</v>
      </c>
      <c r="G3722" s="49" t="s">
        <v>859</v>
      </c>
      <c r="H3722" s="17">
        <v>4</v>
      </c>
      <c r="I3722" s="30"/>
      <c r="J3722" s="62" t="s">
        <v>473</v>
      </c>
      <c r="O3722" s="62" t="b">
        <f>IF(E3722="PA",IF(K3722&lt;&gt;"",ISERROR(VLOOKUP(K3722,ABBR!A:D,1,FALSE)),ISERROR(VLOOKUP(C3722,ABBR!A:D,1,FALSE))),"")</f>
        <v>0</v>
      </c>
      <c r="P3722" t="str">
        <f>VLOOKUP(A3722,Groups!A:L,5,FALSE)</f>
        <v>SUCT</v>
      </c>
      <c r="Q3722" s="62" t="str">
        <f>IF(G3722="PA",IF(M3722&lt;&gt;"",ISERROR(VLOOKUP(M3722,ABBR!C:F,1,FALSE)),ISERROR(VLOOKUP(E3722,ABBR!C:F,1,FALSE))),"")</f>
        <v/>
      </c>
    </row>
    <row r="3723" spans="1:17" s="62" customFormat="1" hidden="1" x14ac:dyDescent="0.25">
      <c r="A3723" s="16" t="s">
        <v>554</v>
      </c>
      <c r="B3723" s="17" t="s">
        <v>594</v>
      </c>
      <c r="C3723" s="16" t="s">
        <v>860</v>
      </c>
      <c r="D3723" s="17"/>
      <c r="E3723" s="17" t="s">
        <v>596</v>
      </c>
      <c r="F3723" s="18" t="s">
        <v>861</v>
      </c>
      <c r="G3723" s="49" t="s">
        <v>862</v>
      </c>
      <c r="H3723" s="17">
        <v>5</v>
      </c>
      <c r="I3723" s="30"/>
      <c r="J3723" s="62" t="s">
        <v>473</v>
      </c>
      <c r="O3723" s="62" t="str">
        <f>IF(E3723="PA",IF(K3723&lt;&gt;"",ISERROR(VLOOKUP(K3723,ABBR!A:D,1,FALSE)),ISERROR(VLOOKUP(C3723,ABBR!A:D,1,FALSE))),"")</f>
        <v/>
      </c>
      <c r="P3723" t="str">
        <f>VLOOKUP(A3723,Groups!A:L,5,FALSE)</f>
        <v>SUCT</v>
      </c>
      <c r="Q3723" s="62" t="str">
        <f>IF(G3723="PA",IF(M3723&lt;&gt;"",ISERROR(VLOOKUP(M3723,ABBR!C:F,1,FALSE)),ISERROR(VLOOKUP(E3723,ABBR!C:F,1,FALSE))),"")</f>
        <v/>
      </c>
    </row>
    <row r="3724" spans="1:17" s="62" customFormat="1" hidden="1" x14ac:dyDescent="0.25">
      <c r="A3724" s="16" t="s">
        <v>554</v>
      </c>
      <c r="B3724" s="17" t="s">
        <v>594</v>
      </c>
      <c r="C3724" s="16" t="s">
        <v>863</v>
      </c>
      <c r="D3724" s="17"/>
      <c r="E3724" s="17" t="s">
        <v>608</v>
      </c>
      <c r="F3724" s="18" t="s">
        <v>864</v>
      </c>
      <c r="G3724" s="49" t="s">
        <v>865</v>
      </c>
      <c r="H3724" s="17">
        <v>6</v>
      </c>
      <c r="I3724" s="30"/>
      <c r="J3724" s="62" t="s">
        <v>473</v>
      </c>
      <c r="O3724" s="62" t="str">
        <f>IF(E3724="PA",IF(K3724&lt;&gt;"",ISERROR(VLOOKUP(K3724,ABBR!A:D,1,FALSE)),ISERROR(VLOOKUP(C3724,ABBR!A:D,1,FALSE))),"")</f>
        <v/>
      </c>
      <c r="P3724" t="str">
        <f>VLOOKUP(A3724,Groups!A:L,5,FALSE)</f>
        <v>SUCT</v>
      </c>
      <c r="Q3724" s="62" t="str">
        <f>IF(G3724="PA",IF(M3724&lt;&gt;"",ISERROR(VLOOKUP(M3724,ABBR!C:F,1,FALSE)),ISERROR(VLOOKUP(E3724,ABBR!C:F,1,FALSE))),"")</f>
        <v/>
      </c>
    </row>
    <row r="3725" spans="1:17" s="62" customFormat="1" hidden="1" x14ac:dyDescent="0.25">
      <c r="A3725" s="16" t="s">
        <v>554</v>
      </c>
      <c r="B3725" s="17" t="s">
        <v>594</v>
      </c>
      <c r="C3725" s="16" t="s">
        <v>866</v>
      </c>
      <c r="D3725" s="17" t="s">
        <v>600</v>
      </c>
      <c r="E3725" s="17" t="s">
        <v>601</v>
      </c>
      <c r="F3725" s="18" t="s">
        <v>867</v>
      </c>
      <c r="G3725" s="49" t="s">
        <v>853</v>
      </c>
      <c r="H3725" s="17">
        <v>7</v>
      </c>
      <c r="I3725" s="30"/>
      <c r="J3725" s="62" t="s">
        <v>473</v>
      </c>
      <c r="O3725" s="62" t="str">
        <f>IF(E3725="PA",IF(K3725&lt;&gt;"",ISERROR(VLOOKUP(K3725,ABBR!A:D,1,FALSE)),ISERROR(VLOOKUP(C3725,ABBR!A:D,1,FALSE))),"")</f>
        <v/>
      </c>
      <c r="P3725" t="str">
        <f>VLOOKUP(A3725,Groups!A:L,5,FALSE)</f>
        <v>SUCT</v>
      </c>
      <c r="Q3725" s="62" t="str">
        <f>IF(G3725="PA",IF(M3725&lt;&gt;"",ISERROR(VLOOKUP(M3725,ABBR!C:F,1,FALSE)),ISERROR(VLOOKUP(E3725,ABBR!C:F,1,FALSE))),"")</f>
        <v/>
      </c>
    </row>
    <row r="3726" spans="1:17" s="62" customFormat="1" hidden="1" x14ac:dyDescent="0.25">
      <c r="A3726" s="16" t="s">
        <v>554</v>
      </c>
      <c r="B3726" s="17" t="s">
        <v>594</v>
      </c>
      <c r="C3726" s="16" t="s">
        <v>6051</v>
      </c>
      <c r="D3726" s="17" t="s">
        <v>3630</v>
      </c>
      <c r="E3726" s="17" t="s">
        <v>601</v>
      </c>
      <c r="F3726" s="18" t="s">
        <v>6052</v>
      </c>
      <c r="G3726" s="49" t="s">
        <v>1510</v>
      </c>
      <c r="H3726" s="17">
        <v>8</v>
      </c>
      <c r="I3726" s="30"/>
      <c r="J3726" s="62" t="s">
        <v>473</v>
      </c>
      <c r="O3726" s="62" t="str">
        <f>IF(E3726="PA",IF(K3726&lt;&gt;"",ISERROR(VLOOKUP(K3726,ABBR!A:D,1,FALSE)),ISERROR(VLOOKUP(C3726,ABBR!A:D,1,FALSE))),"")</f>
        <v/>
      </c>
      <c r="P3726" t="str">
        <f>VLOOKUP(A3726,Groups!A:L,5,FALSE)</f>
        <v>SUCT</v>
      </c>
      <c r="Q3726" s="62" t="str">
        <f>IF(G3726="PA",IF(M3726&lt;&gt;"",ISERROR(VLOOKUP(M3726,ABBR!C:F,1,FALSE)),ISERROR(VLOOKUP(E3726,ABBR!C:F,1,FALSE))),"")</f>
        <v/>
      </c>
    </row>
    <row r="3727" spans="1:17" s="62" customFormat="1" hidden="1" x14ac:dyDescent="0.25">
      <c r="A3727" s="16" t="s">
        <v>554</v>
      </c>
      <c r="B3727" s="17"/>
      <c r="C3727" s="16" t="s">
        <v>6053</v>
      </c>
      <c r="D3727" s="17" t="s">
        <v>766</v>
      </c>
      <c r="E3727" s="17" t="s">
        <v>723</v>
      </c>
      <c r="F3727" s="18" t="s">
        <v>6054</v>
      </c>
      <c r="G3727" s="49" t="s">
        <v>6055</v>
      </c>
      <c r="H3727" s="17">
        <v>9</v>
      </c>
      <c r="I3727" s="30"/>
      <c r="J3727" s="62" t="s">
        <v>473</v>
      </c>
      <c r="O3727" s="62" t="str">
        <f>IF(E3727="PA",IF(K3727&lt;&gt;"",ISERROR(VLOOKUP(K3727,ABBR!A:D,1,FALSE)),ISERROR(VLOOKUP(C3727,ABBR!A:D,1,FALSE))),"")</f>
        <v/>
      </c>
      <c r="P3727" t="str">
        <f>VLOOKUP(A3727,Groups!A:L,5,FALSE)</f>
        <v>SUCT</v>
      </c>
      <c r="Q3727" s="62" t="str">
        <f>IF(G3727="PA",IF(M3727&lt;&gt;"",ISERROR(VLOOKUP(M3727,ABBR!C:F,1,FALSE)),ISERROR(VLOOKUP(E3727,ABBR!C:F,1,FALSE))),"")</f>
        <v/>
      </c>
    </row>
    <row r="3728" spans="1:17" s="62" customFormat="1" hidden="1" x14ac:dyDescent="0.25">
      <c r="A3728" s="16" t="s">
        <v>554</v>
      </c>
      <c r="B3728" s="17"/>
      <c r="C3728" s="16" t="s">
        <v>6056</v>
      </c>
      <c r="D3728" s="17" t="s">
        <v>766</v>
      </c>
      <c r="E3728" s="17" t="s">
        <v>723</v>
      </c>
      <c r="F3728" s="18" t="s">
        <v>6057</v>
      </c>
      <c r="G3728" s="49" t="s">
        <v>6055</v>
      </c>
      <c r="H3728" s="17">
        <v>10</v>
      </c>
      <c r="I3728" s="30"/>
      <c r="J3728" s="62" t="s">
        <v>473</v>
      </c>
      <c r="O3728" s="62" t="str">
        <f>IF(E3728="PA",IF(K3728&lt;&gt;"",ISERROR(VLOOKUP(K3728,ABBR!A:D,1,FALSE)),ISERROR(VLOOKUP(C3728,ABBR!A:D,1,FALSE))),"")</f>
        <v/>
      </c>
      <c r="P3728" t="str">
        <f>VLOOKUP(A3728,Groups!A:L,5,FALSE)</f>
        <v>SUCT</v>
      </c>
      <c r="Q3728" s="62" t="str">
        <f>IF(G3728="PA",IF(M3728&lt;&gt;"",ISERROR(VLOOKUP(M3728,ABBR!C:F,1,FALSE)),ISERROR(VLOOKUP(E3728,ABBR!C:F,1,FALSE))),"")</f>
        <v/>
      </c>
    </row>
    <row r="3729" spans="1:17" s="62" customFormat="1" hidden="1" x14ac:dyDescent="0.25">
      <c r="A3729" s="16" t="s">
        <v>554</v>
      </c>
      <c r="B3729" s="17"/>
      <c r="C3729" s="16" t="s">
        <v>6058</v>
      </c>
      <c r="D3729" s="17" t="s">
        <v>766</v>
      </c>
      <c r="E3729" s="17" t="s">
        <v>723</v>
      </c>
      <c r="F3729" s="18" t="s">
        <v>6059</v>
      </c>
      <c r="G3729" s="49" t="s">
        <v>6055</v>
      </c>
      <c r="H3729" s="17">
        <v>11</v>
      </c>
      <c r="I3729" s="30"/>
      <c r="J3729" s="62" t="s">
        <v>473</v>
      </c>
      <c r="O3729" s="62" t="str">
        <f>IF(E3729="PA",IF(K3729&lt;&gt;"",ISERROR(VLOOKUP(K3729,ABBR!A:D,1,FALSE)),ISERROR(VLOOKUP(C3729,ABBR!A:D,1,FALSE))),"")</f>
        <v/>
      </c>
      <c r="P3729" t="str">
        <f>VLOOKUP(A3729,Groups!A:L,5,FALSE)</f>
        <v>SUCT</v>
      </c>
      <c r="Q3729" s="62" t="str">
        <f>IF(G3729="PA",IF(M3729&lt;&gt;"",ISERROR(VLOOKUP(M3729,ABBR!C:F,1,FALSE)),ISERROR(VLOOKUP(E3729,ABBR!C:F,1,FALSE))),"")</f>
        <v/>
      </c>
    </row>
    <row r="3730" spans="1:17" s="62" customFormat="1" ht="25" hidden="1" x14ac:dyDescent="0.25">
      <c r="A3730" s="16" t="s">
        <v>554</v>
      </c>
      <c r="B3730" s="17"/>
      <c r="C3730" s="16" t="s">
        <v>6060</v>
      </c>
      <c r="D3730" s="17"/>
      <c r="E3730" s="17" t="s">
        <v>608</v>
      </c>
      <c r="F3730" s="18" t="s">
        <v>1965</v>
      </c>
      <c r="G3730" s="49" t="s">
        <v>2274</v>
      </c>
      <c r="H3730" s="17">
        <v>12</v>
      </c>
      <c r="I3730" s="30"/>
      <c r="J3730" s="62" t="s">
        <v>473</v>
      </c>
      <c r="O3730" s="62" t="str">
        <f>IF(E3730="PA",IF(K3730&lt;&gt;"",ISERROR(VLOOKUP(K3730,ABBR!A:D,1,FALSE)),ISERROR(VLOOKUP(C3730,ABBR!A:D,1,FALSE))),"")</f>
        <v/>
      </c>
      <c r="P3730" t="str">
        <f>VLOOKUP(A3730,Groups!A:L,5,FALSE)</f>
        <v>SUCT</v>
      </c>
      <c r="Q3730" s="62" t="str">
        <f>IF(G3730="PA",IF(M3730&lt;&gt;"",ISERROR(VLOOKUP(M3730,ABBR!C:F,1,FALSE)),ISERROR(VLOOKUP(E3730,ABBR!C:F,1,FALSE))),"")</f>
        <v/>
      </c>
    </row>
    <row r="3731" spans="1:17" s="62" customFormat="1" hidden="1" x14ac:dyDescent="0.25">
      <c r="A3731" s="16" t="s">
        <v>425</v>
      </c>
      <c r="B3731" s="17" t="s">
        <v>594</v>
      </c>
      <c r="C3731" s="16" t="s">
        <v>595</v>
      </c>
      <c r="D3731" s="17"/>
      <c r="E3731" s="17" t="s">
        <v>596</v>
      </c>
      <c r="F3731" s="18" t="s">
        <v>597</v>
      </c>
      <c r="G3731" s="49" t="s">
        <v>598</v>
      </c>
      <c r="H3731" s="17">
        <v>1</v>
      </c>
      <c r="I3731" s="30"/>
      <c r="J3731"/>
      <c r="K3731"/>
      <c r="L3731"/>
      <c r="M3731"/>
      <c r="N3731"/>
      <c r="O3731" s="62" t="str">
        <f>IF(E3731="PA",IF(K3731&lt;&gt;"",ISERROR(VLOOKUP(K3731,ABBR!A:D,1,FALSE)),ISERROR(VLOOKUP(C3731,ABBR!A:D,1,FALSE))),"")</f>
        <v/>
      </c>
      <c r="P3731" t="str">
        <f>VLOOKUP(A3731,Groups!A:L,5,FALSE)</f>
        <v>SAMP</v>
      </c>
      <c r="Q3731" s="62" t="str">
        <f>IF(G3731="PA",IF(M3731&lt;&gt;"",ISERROR(VLOOKUP(M3731,ABBR!C:F,1,FALSE)),ISERROR(VLOOKUP(E3731,ABBR!C:F,1,FALSE))),"")</f>
        <v/>
      </c>
    </row>
    <row r="3732" spans="1:17" s="62" customFormat="1" hidden="1" x14ac:dyDescent="0.25">
      <c r="A3732" s="16" t="s">
        <v>425</v>
      </c>
      <c r="B3732" s="17" t="s">
        <v>594</v>
      </c>
      <c r="C3732" s="16" t="s">
        <v>851</v>
      </c>
      <c r="D3732" s="17" t="s">
        <v>600</v>
      </c>
      <c r="E3732" s="17" t="s">
        <v>601</v>
      </c>
      <c r="F3732" s="18" t="s">
        <v>852</v>
      </c>
      <c r="G3732" s="49" t="s">
        <v>853</v>
      </c>
      <c r="H3732" s="17">
        <v>2</v>
      </c>
      <c r="I3732" s="30"/>
      <c r="J3732"/>
      <c r="K3732"/>
      <c r="L3732"/>
      <c r="M3732"/>
      <c r="N3732"/>
      <c r="O3732" s="62" t="str">
        <f>IF(E3732="PA",IF(K3732&lt;&gt;"",ISERROR(VLOOKUP(K3732,ABBR!A:D,1,FALSE)),ISERROR(VLOOKUP(C3732,ABBR!A:D,1,FALSE))),"")</f>
        <v/>
      </c>
      <c r="P3732" t="str">
        <f>VLOOKUP(A3732,Groups!A:L,5,FALSE)</f>
        <v>SAMP</v>
      </c>
      <c r="Q3732" s="62" t="str">
        <f>IF(G3732="PA",IF(M3732&lt;&gt;"",ISERROR(VLOOKUP(M3732,ABBR!C:F,1,FALSE)),ISERROR(VLOOKUP(E3732,ABBR!C:F,1,FALSE))),"")</f>
        <v/>
      </c>
    </row>
    <row r="3733" spans="1:17" s="62" customFormat="1" hidden="1" x14ac:dyDescent="0.25">
      <c r="A3733" s="16" t="s">
        <v>425</v>
      </c>
      <c r="B3733" s="17" t="s">
        <v>594</v>
      </c>
      <c r="C3733" s="16" t="s">
        <v>854</v>
      </c>
      <c r="D3733" s="17"/>
      <c r="E3733" s="17" t="s">
        <v>608</v>
      </c>
      <c r="F3733" s="18" t="s">
        <v>855</v>
      </c>
      <c r="G3733" s="49" t="s">
        <v>941</v>
      </c>
      <c r="H3733" s="17">
        <v>3</v>
      </c>
      <c r="I3733" s="30"/>
      <c r="J3733"/>
      <c r="K3733"/>
      <c r="L3733"/>
      <c r="M3733"/>
      <c r="N3733"/>
      <c r="O3733" s="62" t="str">
        <f>IF(E3733="PA",IF(K3733&lt;&gt;"",ISERROR(VLOOKUP(K3733,ABBR!A:D,1,FALSE)),ISERROR(VLOOKUP(C3733,ABBR!A:D,1,FALSE))),"")</f>
        <v/>
      </c>
      <c r="P3733" t="str">
        <f>VLOOKUP(A3733,Groups!A:L,5,FALSE)</f>
        <v>SAMP</v>
      </c>
      <c r="Q3733" s="62" t="str">
        <f>IF(G3733="PA",IF(M3733&lt;&gt;"",ISERROR(VLOOKUP(M3733,ABBR!C:F,1,FALSE)),ISERROR(VLOOKUP(E3733,ABBR!C:F,1,FALSE))),"")</f>
        <v/>
      </c>
    </row>
    <row r="3734" spans="1:17" s="62" customFormat="1" hidden="1" x14ac:dyDescent="0.25">
      <c r="A3734" s="16" t="s">
        <v>425</v>
      </c>
      <c r="B3734" s="17" t="s">
        <v>594</v>
      </c>
      <c r="C3734" s="16" t="s">
        <v>857</v>
      </c>
      <c r="D3734" s="17"/>
      <c r="E3734" s="17" t="s">
        <v>618</v>
      </c>
      <c r="F3734" s="18" t="s">
        <v>858</v>
      </c>
      <c r="G3734" s="49" t="s">
        <v>859</v>
      </c>
      <c r="H3734" s="17">
        <v>4</v>
      </c>
      <c r="I3734" s="30"/>
      <c r="J3734"/>
      <c r="K3734"/>
      <c r="L3734"/>
      <c r="M3734"/>
      <c r="N3734"/>
      <c r="O3734" s="62" t="b">
        <f>IF(E3734="PA",IF(K3734&lt;&gt;"",ISERROR(VLOOKUP(K3734,ABBR!A:D,1,FALSE)),ISERROR(VLOOKUP(C3734,ABBR!A:D,1,FALSE))),"")</f>
        <v>0</v>
      </c>
      <c r="P3734" t="str">
        <f>VLOOKUP(A3734,Groups!A:L,5,FALSE)</f>
        <v>SAMP</v>
      </c>
      <c r="Q3734" s="62" t="str">
        <f>IF(G3734="PA",IF(M3734&lt;&gt;"",ISERROR(VLOOKUP(M3734,ABBR!C:F,1,FALSE)),ISERROR(VLOOKUP(E3734,ABBR!C:F,1,FALSE))),"")</f>
        <v/>
      </c>
    </row>
    <row r="3735" spans="1:17" s="62" customFormat="1" hidden="1" x14ac:dyDescent="0.25">
      <c r="A3735" s="16" t="s">
        <v>425</v>
      </c>
      <c r="B3735" s="17" t="s">
        <v>594</v>
      </c>
      <c r="C3735" s="16" t="s">
        <v>860</v>
      </c>
      <c r="D3735" s="17"/>
      <c r="E3735" s="17" t="s">
        <v>596</v>
      </c>
      <c r="F3735" s="18" t="s">
        <v>942</v>
      </c>
      <c r="G3735" s="49" t="s">
        <v>862</v>
      </c>
      <c r="H3735" s="17">
        <v>5</v>
      </c>
      <c r="I3735" s="30"/>
      <c r="J3735"/>
      <c r="K3735"/>
      <c r="L3735"/>
      <c r="M3735"/>
      <c r="N3735"/>
      <c r="O3735" s="62" t="str">
        <f>IF(E3735="PA",IF(K3735&lt;&gt;"",ISERROR(VLOOKUP(K3735,ABBR!A:D,1,FALSE)),ISERROR(VLOOKUP(C3735,ABBR!A:D,1,FALSE))),"")</f>
        <v/>
      </c>
      <c r="P3735" t="str">
        <f>VLOOKUP(A3735,Groups!A:L,5,FALSE)</f>
        <v>SAMP</v>
      </c>
      <c r="Q3735" s="62" t="str">
        <f>IF(G3735="PA",IF(M3735&lt;&gt;"",ISERROR(VLOOKUP(M3735,ABBR!C:F,1,FALSE)),ISERROR(VLOOKUP(E3735,ABBR!C:F,1,FALSE))),"")</f>
        <v/>
      </c>
    </row>
    <row r="3736" spans="1:17" s="62" customFormat="1" hidden="1" x14ac:dyDescent="0.25">
      <c r="A3736" s="16" t="s">
        <v>425</v>
      </c>
      <c r="B3736" s="17" t="s">
        <v>594</v>
      </c>
      <c r="C3736" s="16" t="s">
        <v>863</v>
      </c>
      <c r="D3736" s="17"/>
      <c r="E3736" s="17" t="s">
        <v>608</v>
      </c>
      <c r="F3736" s="18" t="s">
        <v>864</v>
      </c>
      <c r="G3736" s="49" t="s">
        <v>865</v>
      </c>
      <c r="H3736" s="17">
        <v>6</v>
      </c>
      <c r="I3736" s="30"/>
      <c r="J3736"/>
      <c r="K3736"/>
      <c r="L3736"/>
      <c r="M3736"/>
      <c r="N3736"/>
      <c r="O3736" s="62" t="str">
        <f>IF(E3736="PA",IF(K3736&lt;&gt;"",ISERROR(VLOOKUP(K3736,ABBR!A:D,1,FALSE)),ISERROR(VLOOKUP(C3736,ABBR!A:D,1,FALSE))),"")</f>
        <v/>
      </c>
      <c r="P3736" t="str">
        <f>VLOOKUP(A3736,Groups!A:L,5,FALSE)</f>
        <v>SAMP</v>
      </c>
      <c r="Q3736" s="62" t="str">
        <f>IF(G3736="PA",IF(M3736&lt;&gt;"",ISERROR(VLOOKUP(M3736,ABBR!C:F,1,FALSE)),ISERROR(VLOOKUP(E3736,ABBR!C:F,1,FALSE))),"")</f>
        <v/>
      </c>
    </row>
    <row r="3737" spans="1:17" s="62" customFormat="1" hidden="1" x14ac:dyDescent="0.25">
      <c r="A3737" s="16" t="s">
        <v>425</v>
      </c>
      <c r="B3737" s="17" t="s">
        <v>594</v>
      </c>
      <c r="C3737" s="16" t="s">
        <v>866</v>
      </c>
      <c r="D3737" s="17" t="s">
        <v>600</v>
      </c>
      <c r="E3737" s="17" t="s">
        <v>601</v>
      </c>
      <c r="F3737" s="18" t="s">
        <v>867</v>
      </c>
      <c r="G3737" s="49" t="s">
        <v>853</v>
      </c>
      <c r="H3737" s="17">
        <v>7</v>
      </c>
      <c r="I3737" s="30"/>
      <c r="J3737"/>
      <c r="K3737"/>
      <c r="L3737"/>
      <c r="M3737"/>
      <c r="N3737"/>
      <c r="O3737" s="62" t="str">
        <f>IF(E3737="PA",IF(K3737&lt;&gt;"",ISERROR(VLOOKUP(K3737,ABBR!A:D,1,FALSE)),ISERROR(VLOOKUP(C3737,ABBR!A:D,1,FALSE))),"")</f>
        <v/>
      </c>
      <c r="P3737" t="str">
        <f>VLOOKUP(A3737,Groups!A:L,5,FALSE)</f>
        <v>SAMP</v>
      </c>
      <c r="Q3737" s="62" t="str">
        <f>IF(G3737="PA",IF(M3737&lt;&gt;"",ISERROR(VLOOKUP(M3737,ABBR!C:F,1,FALSE)),ISERROR(VLOOKUP(E3737,ABBR!C:F,1,FALSE))),"")</f>
        <v/>
      </c>
    </row>
    <row r="3738" spans="1:17" s="62" customFormat="1" hidden="1" x14ac:dyDescent="0.25">
      <c r="A3738" s="16" t="s">
        <v>425</v>
      </c>
      <c r="B3738" s="17"/>
      <c r="C3738" s="16" t="s">
        <v>868</v>
      </c>
      <c r="D3738" s="17"/>
      <c r="E3738" s="17" t="s">
        <v>608</v>
      </c>
      <c r="F3738" s="18" t="s">
        <v>869</v>
      </c>
      <c r="G3738" s="51" t="s">
        <v>1269</v>
      </c>
      <c r="H3738" s="17">
        <v>8</v>
      </c>
      <c r="I3738" s="30"/>
      <c r="J3738"/>
      <c r="K3738"/>
      <c r="L3738"/>
      <c r="M3738"/>
      <c r="N3738"/>
      <c r="O3738" s="62" t="str">
        <f>IF(E3738="PA",IF(K3738&lt;&gt;"",ISERROR(VLOOKUP(K3738,ABBR!A:D,1,FALSE)),ISERROR(VLOOKUP(C3738,ABBR!A:D,1,FALSE))),"")</f>
        <v/>
      </c>
      <c r="P3738" t="str">
        <f>VLOOKUP(A3738,Groups!A:L,5,FALSE)</f>
        <v>SAMP</v>
      </c>
      <c r="Q3738" s="62" t="str">
        <f>IF(G3738="PA",IF(M3738&lt;&gt;"",ISERROR(VLOOKUP(M3738,ABBR!C:F,1,FALSE)),ISERROR(VLOOKUP(E3738,ABBR!C:F,1,FALSE))),"")</f>
        <v/>
      </c>
    </row>
    <row r="3739" spans="1:17" s="62" customFormat="1" ht="25" hidden="1" x14ac:dyDescent="0.25">
      <c r="A3739" s="16" t="s">
        <v>425</v>
      </c>
      <c r="B3739" s="17"/>
      <c r="C3739" s="16" t="s">
        <v>871</v>
      </c>
      <c r="D3739" s="17"/>
      <c r="E3739" s="17" t="s">
        <v>608</v>
      </c>
      <c r="F3739" s="18" t="s">
        <v>872</v>
      </c>
      <c r="G3739" s="49" t="s">
        <v>873</v>
      </c>
      <c r="H3739" s="17">
        <v>9</v>
      </c>
      <c r="I3739" s="30"/>
      <c r="J3739"/>
      <c r="K3739"/>
      <c r="L3739"/>
      <c r="M3739"/>
      <c r="N3739"/>
      <c r="O3739" s="62" t="str">
        <f>IF(E3739="PA",IF(K3739&lt;&gt;"",ISERROR(VLOOKUP(K3739,ABBR!A:D,1,FALSE)),ISERROR(VLOOKUP(C3739,ABBR!A:D,1,FALSE))),"")</f>
        <v/>
      </c>
      <c r="P3739" t="str">
        <f>VLOOKUP(A3739,Groups!A:L,5,FALSE)</f>
        <v>SAMP</v>
      </c>
      <c r="Q3739" s="62" t="str">
        <f>IF(G3739="PA",IF(M3739&lt;&gt;"",ISERROR(VLOOKUP(M3739,ABBR!C:F,1,FALSE)),ISERROR(VLOOKUP(E3739,ABBR!C:F,1,FALSE))),"")</f>
        <v/>
      </c>
    </row>
    <row r="3740" spans="1:17" s="62" customFormat="1" hidden="1" x14ac:dyDescent="0.25">
      <c r="A3740" s="16" t="s">
        <v>425</v>
      </c>
      <c r="B3740" s="17"/>
      <c r="C3740" s="16" t="s">
        <v>6061</v>
      </c>
      <c r="D3740" s="17" t="s">
        <v>722</v>
      </c>
      <c r="E3740" s="17" t="s">
        <v>601</v>
      </c>
      <c r="F3740" s="18" t="s">
        <v>1725</v>
      </c>
      <c r="G3740" s="49" t="s">
        <v>2557</v>
      </c>
      <c r="H3740" s="17">
        <v>10</v>
      </c>
      <c r="I3740" s="30"/>
      <c r="J3740"/>
      <c r="K3740"/>
      <c r="L3740"/>
      <c r="M3740"/>
      <c r="N3740"/>
      <c r="O3740" s="62" t="str">
        <f>IF(E3740="PA",IF(K3740&lt;&gt;"",ISERROR(VLOOKUP(K3740,ABBR!A:D,1,FALSE)),ISERROR(VLOOKUP(C3740,ABBR!A:D,1,FALSE))),"")</f>
        <v/>
      </c>
      <c r="P3740" t="str">
        <f>VLOOKUP(A3740,Groups!A:L,5,FALSE)</f>
        <v>SAMP</v>
      </c>
      <c r="Q3740" s="62" t="str">
        <f>IF(G3740="PA",IF(M3740&lt;&gt;"",ISERROR(VLOOKUP(M3740,ABBR!C:F,1,FALSE)),ISERROR(VLOOKUP(E3740,ABBR!C:F,1,FALSE))),"")</f>
        <v/>
      </c>
    </row>
    <row r="3741" spans="1:17" s="62" customFormat="1" hidden="1" x14ac:dyDescent="0.25">
      <c r="A3741" s="16" t="s">
        <v>425</v>
      </c>
      <c r="B3741" s="17"/>
      <c r="C3741" s="16" t="s">
        <v>6062</v>
      </c>
      <c r="D3741" s="17" t="s">
        <v>722</v>
      </c>
      <c r="E3741" s="17" t="s">
        <v>601</v>
      </c>
      <c r="F3741" s="18" t="s">
        <v>4357</v>
      </c>
      <c r="G3741" s="49" t="s">
        <v>6063</v>
      </c>
      <c r="H3741" s="17">
        <v>11</v>
      </c>
      <c r="I3741" s="30"/>
      <c r="J3741"/>
      <c r="K3741"/>
      <c r="L3741"/>
      <c r="M3741"/>
      <c r="N3741"/>
      <c r="O3741" s="62" t="str">
        <f>IF(E3741="PA",IF(K3741&lt;&gt;"",ISERROR(VLOOKUP(K3741,ABBR!A:D,1,FALSE)),ISERROR(VLOOKUP(C3741,ABBR!A:D,1,FALSE))),"")</f>
        <v/>
      </c>
      <c r="P3741" t="str">
        <f>VLOOKUP(A3741,Groups!A:L,5,FALSE)</f>
        <v>SAMP</v>
      </c>
      <c r="Q3741" s="62" t="str">
        <f>IF(G3741="PA",IF(M3741&lt;&gt;"",ISERROR(VLOOKUP(M3741,ABBR!C:F,1,FALSE)),ISERROR(VLOOKUP(E3741,ABBR!C:F,1,FALSE))),"")</f>
        <v/>
      </c>
    </row>
    <row r="3742" spans="1:17" s="62" customFormat="1" hidden="1" x14ac:dyDescent="0.25">
      <c r="A3742" s="16" t="s">
        <v>425</v>
      </c>
      <c r="B3742" s="17"/>
      <c r="C3742" s="16" t="s">
        <v>6064</v>
      </c>
      <c r="D3742" s="17"/>
      <c r="E3742" s="17" t="s">
        <v>618</v>
      </c>
      <c r="F3742" s="18" t="s">
        <v>1272</v>
      </c>
      <c r="G3742" s="49" t="s">
        <v>1273</v>
      </c>
      <c r="H3742" s="17">
        <v>12</v>
      </c>
      <c r="I3742" s="30"/>
      <c r="J3742"/>
      <c r="K3742"/>
      <c r="L3742"/>
      <c r="M3742"/>
      <c r="N3742"/>
      <c r="O3742" s="62" t="b">
        <f>IF(E3742="PA",IF(K3742&lt;&gt;"",ISERROR(VLOOKUP(K3742,ABBR!A:D,1,FALSE)),ISERROR(VLOOKUP(C3742,ABBR!A:D,1,FALSE))),"")</f>
        <v>0</v>
      </c>
      <c r="P3742" t="str">
        <f>VLOOKUP(A3742,Groups!A:L,5,FALSE)</f>
        <v>SAMP</v>
      </c>
      <c r="Q3742" s="62" t="str">
        <f>IF(G3742="PA",IF(M3742&lt;&gt;"",ISERROR(VLOOKUP(M3742,ABBR!C:F,1,FALSE)),ISERROR(VLOOKUP(E3742,ABBR!C:F,1,FALSE))),"")</f>
        <v/>
      </c>
    </row>
    <row r="3743" spans="1:17" s="62" customFormat="1" hidden="1" x14ac:dyDescent="0.25">
      <c r="A3743" s="16" t="s">
        <v>425</v>
      </c>
      <c r="B3743" s="17"/>
      <c r="C3743" s="16" t="s">
        <v>6065</v>
      </c>
      <c r="D3743" s="17" t="s">
        <v>1077</v>
      </c>
      <c r="E3743" s="17" t="s">
        <v>601</v>
      </c>
      <c r="F3743" s="18" t="s">
        <v>1339</v>
      </c>
      <c r="G3743" s="49" t="s">
        <v>2815</v>
      </c>
      <c r="H3743" s="17">
        <v>13</v>
      </c>
      <c r="I3743" s="30"/>
      <c r="J3743"/>
      <c r="K3743"/>
      <c r="L3743"/>
      <c r="M3743"/>
      <c r="N3743"/>
      <c r="O3743" s="62" t="str">
        <f>IF(E3743="PA",IF(K3743&lt;&gt;"",ISERROR(VLOOKUP(K3743,ABBR!A:D,1,FALSE)),ISERROR(VLOOKUP(C3743,ABBR!A:D,1,FALSE))),"")</f>
        <v/>
      </c>
      <c r="P3743" t="str">
        <f>VLOOKUP(A3743,Groups!A:L,5,FALSE)</f>
        <v>SAMP</v>
      </c>
      <c r="Q3743" s="62" t="str">
        <f>IF(G3743="PA",IF(M3743&lt;&gt;"",ISERROR(VLOOKUP(M3743,ABBR!C:F,1,FALSE)),ISERROR(VLOOKUP(E3743,ABBR!C:F,1,FALSE))),"")</f>
        <v/>
      </c>
    </row>
    <row r="3744" spans="1:17" s="62" customFormat="1" hidden="1" x14ac:dyDescent="0.25">
      <c r="A3744" s="16" t="s">
        <v>425</v>
      </c>
      <c r="B3744" s="17"/>
      <c r="C3744" s="16" t="s">
        <v>6066</v>
      </c>
      <c r="D3744" s="17" t="s">
        <v>1077</v>
      </c>
      <c r="E3744" s="17" t="s">
        <v>601</v>
      </c>
      <c r="F3744" s="18" t="s">
        <v>1532</v>
      </c>
      <c r="G3744" s="49" t="s">
        <v>5962</v>
      </c>
      <c r="H3744" s="17">
        <v>14</v>
      </c>
      <c r="I3744" s="30"/>
      <c r="J3744"/>
      <c r="K3744"/>
      <c r="L3744"/>
      <c r="M3744"/>
      <c r="N3744"/>
      <c r="O3744" s="62" t="str">
        <f>IF(E3744="PA",IF(K3744&lt;&gt;"",ISERROR(VLOOKUP(K3744,ABBR!A:D,1,FALSE)),ISERROR(VLOOKUP(C3744,ABBR!A:D,1,FALSE))),"")</f>
        <v/>
      </c>
      <c r="P3744" t="str">
        <f>VLOOKUP(A3744,Groups!A:L,5,FALSE)</f>
        <v>SAMP</v>
      </c>
      <c r="Q3744" s="62" t="str">
        <f>IF(G3744="PA",IF(M3744&lt;&gt;"",ISERROR(VLOOKUP(M3744,ABBR!C:F,1,FALSE)),ISERROR(VLOOKUP(E3744,ABBR!C:F,1,FALSE))),"")</f>
        <v/>
      </c>
    </row>
    <row r="3745" spans="1:17" s="62" customFormat="1" hidden="1" x14ac:dyDescent="0.25">
      <c r="A3745" s="16" t="s">
        <v>425</v>
      </c>
      <c r="B3745" s="17"/>
      <c r="C3745" s="16" t="s">
        <v>6067</v>
      </c>
      <c r="D3745" s="17" t="s">
        <v>766</v>
      </c>
      <c r="E3745" s="17" t="s">
        <v>882</v>
      </c>
      <c r="F3745" s="18" t="s">
        <v>1336</v>
      </c>
      <c r="G3745" s="49" t="s">
        <v>897</v>
      </c>
      <c r="H3745" s="17">
        <v>15</v>
      </c>
      <c r="I3745" s="30"/>
      <c r="J3745"/>
      <c r="K3745"/>
      <c r="L3745"/>
      <c r="M3745"/>
      <c r="N3745"/>
      <c r="O3745" s="62" t="str">
        <f>IF(E3745="PA",IF(K3745&lt;&gt;"",ISERROR(VLOOKUP(K3745,ABBR!A:D,1,FALSE)),ISERROR(VLOOKUP(C3745,ABBR!A:D,1,FALSE))),"")</f>
        <v/>
      </c>
      <c r="P3745" t="str">
        <f>VLOOKUP(A3745,Groups!A:L,5,FALSE)</f>
        <v>SAMP</v>
      </c>
      <c r="Q3745" s="62" t="str">
        <f>IF(G3745="PA",IF(M3745&lt;&gt;"",ISERROR(VLOOKUP(M3745,ABBR!C:F,1,FALSE)),ISERROR(VLOOKUP(E3745,ABBR!C:F,1,FALSE))),"")</f>
        <v/>
      </c>
    </row>
    <row r="3746" spans="1:17" s="62" customFormat="1" hidden="1" x14ac:dyDescent="0.25">
      <c r="A3746" s="16" t="s">
        <v>425</v>
      </c>
      <c r="B3746" s="17"/>
      <c r="C3746" s="16" t="s">
        <v>6068</v>
      </c>
      <c r="D3746" s="17" t="s">
        <v>1345</v>
      </c>
      <c r="E3746" s="17" t="s">
        <v>767</v>
      </c>
      <c r="F3746" s="18" t="s">
        <v>6069</v>
      </c>
      <c r="G3746" s="49" t="s">
        <v>2067</v>
      </c>
      <c r="H3746" s="17">
        <v>16</v>
      </c>
      <c r="I3746" s="30"/>
      <c r="J3746"/>
      <c r="K3746"/>
      <c r="L3746"/>
      <c r="M3746"/>
      <c r="N3746"/>
      <c r="O3746" s="62" t="str">
        <f>IF(E3746="PA",IF(K3746&lt;&gt;"",ISERROR(VLOOKUP(K3746,ABBR!A:D,1,FALSE)),ISERROR(VLOOKUP(C3746,ABBR!A:D,1,FALSE))),"")</f>
        <v/>
      </c>
      <c r="P3746" t="str">
        <f>VLOOKUP(A3746,Groups!A:L,5,FALSE)</f>
        <v>SAMP</v>
      </c>
      <c r="Q3746" s="62" t="str">
        <f>IF(G3746="PA",IF(M3746&lt;&gt;"",ISERROR(VLOOKUP(M3746,ABBR!C:F,1,FALSE)),ISERROR(VLOOKUP(E3746,ABBR!C:F,1,FALSE))),"")</f>
        <v/>
      </c>
    </row>
    <row r="3747" spans="1:17" s="62" customFormat="1" hidden="1" x14ac:dyDescent="0.25">
      <c r="A3747" s="16" t="s">
        <v>425</v>
      </c>
      <c r="B3747" s="17"/>
      <c r="C3747" s="16" t="s">
        <v>6070</v>
      </c>
      <c r="D3747" s="17"/>
      <c r="E3747" s="17" t="s">
        <v>608</v>
      </c>
      <c r="F3747" s="18" t="s">
        <v>642</v>
      </c>
      <c r="G3747" s="49" t="s">
        <v>16</v>
      </c>
      <c r="H3747" s="17">
        <v>17</v>
      </c>
      <c r="I3747" s="30"/>
      <c r="J3747"/>
      <c r="K3747"/>
      <c r="L3747"/>
      <c r="M3747" s="101"/>
      <c r="N3747"/>
      <c r="O3747" s="62" t="str">
        <f>IF(E3747="PA",IF(K3747&lt;&gt;"",ISERROR(VLOOKUP(K3747,ABBR!A:D,1,FALSE)),ISERROR(VLOOKUP(C3747,ABBR!A:D,1,FALSE))),"")</f>
        <v/>
      </c>
      <c r="P3747" t="str">
        <f>VLOOKUP(A3747,Groups!A:L,5,FALSE)</f>
        <v>SAMP</v>
      </c>
      <c r="Q3747" s="62" t="str">
        <f>IF(G3747="PA",IF(M3747&lt;&gt;"",ISERROR(VLOOKUP(M3747,ABBR!C:F,1,FALSE)),ISERROR(VLOOKUP(E3747,ABBR!C:F,1,FALSE))),"")</f>
        <v/>
      </c>
    </row>
    <row r="3748" spans="1:17" s="62" customFormat="1" ht="25" hidden="1" x14ac:dyDescent="0.25">
      <c r="A3748" s="16" t="s">
        <v>425</v>
      </c>
      <c r="B3748" s="17"/>
      <c r="C3748" s="16" t="s">
        <v>6071</v>
      </c>
      <c r="D3748" s="17"/>
      <c r="E3748" s="17" t="s">
        <v>608</v>
      </c>
      <c r="F3748" s="18" t="s">
        <v>918</v>
      </c>
      <c r="G3748" s="49" t="s">
        <v>6072</v>
      </c>
      <c r="H3748" s="17">
        <v>18</v>
      </c>
      <c r="I3748" s="30"/>
      <c r="J3748"/>
      <c r="K3748"/>
      <c r="L3748"/>
      <c r="M3748"/>
      <c r="N3748"/>
      <c r="O3748" s="62" t="str">
        <f>IF(E3748="PA",IF(K3748&lt;&gt;"",ISERROR(VLOOKUP(K3748,ABBR!A:D,1,FALSE)),ISERROR(VLOOKUP(C3748,ABBR!A:D,1,FALSE))),"")</f>
        <v/>
      </c>
      <c r="P3748" t="str">
        <f>VLOOKUP(A3748,Groups!A:L,5,FALSE)</f>
        <v>SAMP</v>
      </c>
      <c r="Q3748" s="62" t="str">
        <f>IF(G3748="PA",IF(M3748&lt;&gt;"",ISERROR(VLOOKUP(M3748,ABBR!C:F,1,FALSE)),ISERROR(VLOOKUP(E3748,ABBR!C:F,1,FALSE))),"")</f>
        <v/>
      </c>
    </row>
    <row r="3749" spans="1:17" s="62" customFormat="1" hidden="1" x14ac:dyDescent="0.25">
      <c r="A3749" s="16" t="s">
        <v>425</v>
      </c>
      <c r="B3749" s="17"/>
      <c r="C3749" s="16" t="s">
        <v>6073</v>
      </c>
      <c r="D3749" s="17"/>
      <c r="E3749" s="17" t="s">
        <v>608</v>
      </c>
      <c r="F3749" s="18" t="s">
        <v>950</v>
      </c>
      <c r="G3749" s="27" t="s">
        <v>951</v>
      </c>
      <c r="H3749" s="17">
        <v>19</v>
      </c>
      <c r="I3749" s="30"/>
      <c r="J3749"/>
      <c r="K3749"/>
      <c r="L3749"/>
      <c r="M3749"/>
      <c r="N3749"/>
      <c r="O3749" s="62" t="str">
        <f>IF(E3749="PA",IF(K3749&lt;&gt;"",ISERROR(VLOOKUP(K3749,ABBR!A:D,1,FALSE)),ISERROR(VLOOKUP(C3749,ABBR!A:D,1,FALSE))),"")</f>
        <v/>
      </c>
      <c r="P3749" t="str">
        <f>VLOOKUP(A3749,Groups!A:L,5,FALSE)</f>
        <v>SAMP</v>
      </c>
      <c r="Q3749" s="62" t="str">
        <f>IF(G3749="PA",IF(M3749&lt;&gt;"",ISERROR(VLOOKUP(M3749,ABBR!C:F,1,FALSE)),ISERROR(VLOOKUP(E3749,ABBR!C:F,1,FALSE))),"")</f>
        <v/>
      </c>
    </row>
    <row r="3750" spans="1:17" s="62" customFormat="1" ht="25" hidden="1" x14ac:dyDescent="0.25">
      <c r="A3750" s="16" t="s">
        <v>425</v>
      </c>
      <c r="B3750" s="17"/>
      <c r="C3750" s="16" t="s">
        <v>6074</v>
      </c>
      <c r="D3750" s="17"/>
      <c r="E3750" s="17" t="s">
        <v>608</v>
      </c>
      <c r="F3750" s="18" t="s">
        <v>934</v>
      </c>
      <c r="G3750" s="49" t="s">
        <v>953</v>
      </c>
      <c r="H3750" s="17">
        <v>20</v>
      </c>
      <c r="I3750" s="30"/>
      <c r="J3750"/>
      <c r="K3750"/>
      <c r="L3750"/>
      <c r="M3750"/>
      <c r="N3750"/>
      <c r="O3750" s="62" t="str">
        <f>IF(E3750="PA",IF(K3750&lt;&gt;"",ISERROR(VLOOKUP(K3750,ABBR!A:D,1,FALSE)),ISERROR(VLOOKUP(C3750,ABBR!A:D,1,FALSE))),"")</f>
        <v/>
      </c>
      <c r="P3750" t="str">
        <f>VLOOKUP(A3750,Groups!A:L,5,FALSE)</f>
        <v>SAMP</v>
      </c>
      <c r="Q3750" s="62" t="str">
        <f>IF(G3750="PA",IF(M3750&lt;&gt;"",ISERROR(VLOOKUP(M3750,ABBR!C:F,1,FALSE)),ISERROR(VLOOKUP(E3750,ABBR!C:F,1,FALSE))),"")</f>
        <v/>
      </c>
    </row>
    <row r="3751" spans="1:17" s="62" customFormat="1" hidden="1" x14ac:dyDescent="0.25">
      <c r="A3751" s="16" t="s">
        <v>425</v>
      </c>
      <c r="B3751" s="17"/>
      <c r="C3751" s="16" t="s">
        <v>936</v>
      </c>
      <c r="D3751" s="17"/>
      <c r="E3751" s="22" t="s">
        <v>608</v>
      </c>
      <c r="F3751" s="18" t="s">
        <v>937</v>
      </c>
      <c r="G3751" s="49" t="s">
        <v>938</v>
      </c>
      <c r="H3751" s="17">
        <v>21</v>
      </c>
      <c r="I3751" s="30"/>
      <c r="J3751"/>
      <c r="K3751"/>
      <c r="L3751"/>
      <c r="M3751"/>
      <c r="N3751"/>
      <c r="O3751" s="62" t="str">
        <f>IF(E3751="PA",IF(K3751&lt;&gt;"",ISERROR(VLOOKUP(K3751,ABBR!A:D,1,FALSE)),ISERROR(VLOOKUP(C3751,ABBR!A:D,1,FALSE))),"")</f>
        <v/>
      </c>
      <c r="P3751" t="str">
        <f>VLOOKUP(A3751,Groups!A:L,5,FALSE)</f>
        <v>SAMP</v>
      </c>
      <c r="Q3751" s="62" t="str">
        <f>IF(G3751="PA",IF(M3751&lt;&gt;"",ISERROR(VLOOKUP(M3751,ABBR!C:F,1,FALSE)),ISERROR(VLOOKUP(E3751,ABBR!C:F,1,FALSE))),"")</f>
        <v/>
      </c>
    </row>
    <row r="3752" spans="1:17" s="62" customFormat="1" hidden="1" x14ac:dyDescent="0.25">
      <c r="A3752" s="16" t="s">
        <v>425</v>
      </c>
      <c r="B3752" s="17"/>
      <c r="C3752" s="16" t="s">
        <v>643</v>
      </c>
      <c r="D3752" s="17"/>
      <c r="E3752" s="17" t="s">
        <v>608</v>
      </c>
      <c r="F3752" s="18" t="s">
        <v>954</v>
      </c>
      <c r="G3752" s="49" t="s">
        <v>6075</v>
      </c>
      <c r="H3752" s="17">
        <v>22</v>
      </c>
      <c r="I3752" s="30"/>
      <c r="J3752"/>
      <c r="K3752"/>
      <c r="L3752"/>
      <c r="M3752"/>
      <c r="N3752"/>
      <c r="O3752" s="62" t="str">
        <f>IF(E3752="PA",IF(K3752&lt;&gt;"",ISERROR(VLOOKUP(K3752,ABBR!A:D,1,FALSE)),ISERROR(VLOOKUP(C3752,ABBR!A:D,1,FALSE))),"")</f>
        <v/>
      </c>
      <c r="P3752" t="str">
        <f>VLOOKUP(A3752,Groups!A:L,5,FALSE)</f>
        <v>SAMP</v>
      </c>
      <c r="Q3752" s="62" t="str">
        <f>IF(G3752="PA",IF(M3752&lt;&gt;"",ISERROR(VLOOKUP(M3752,ABBR!C:F,1,FALSE)),ISERROR(VLOOKUP(E3752,ABBR!C:F,1,FALSE))),"")</f>
        <v/>
      </c>
    </row>
    <row r="3753" spans="1:17" s="62" customFormat="1" hidden="1" x14ac:dyDescent="0.25">
      <c r="A3753" s="16" t="s">
        <v>425</v>
      </c>
      <c r="B3753" s="17"/>
      <c r="C3753" s="16" t="s">
        <v>877</v>
      </c>
      <c r="D3753" s="17" t="s">
        <v>600</v>
      </c>
      <c r="E3753" s="17" t="s">
        <v>601</v>
      </c>
      <c r="F3753" s="18" t="s">
        <v>878</v>
      </c>
      <c r="G3753" s="49" t="s">
        <v>879</v>
      </c>
      <c r="H3753" s="17">
        <v>23</v>
      </c>
      <c r="I3753" s="30" t="s">
        <v>955</v>
      </c>
      <c r="J3753" s="80">
        <v>4.0999999999999996</v>
      </c>
      <c r="K3753"/>
      <c r="L3753"/>
      <c r="M3753"/>
      <c r="N3753"/>
      <c r="O3753" s="62" t="str">
        <f>IF(E3753="PA",IF(K3753&lt;&gt;"",ISERROR(VLOOKUP(K3753,ABBR!A:D,1,FALSE)),ISERROR(VLOOKUP(C3753,ABBR!A:D,1,FALSE))),"")</f>
        <v/>
      </c>
      <c r="P3753" t="str">
        <f>VLOOKUP(A3753,Groups!A:L,5,FALSE)</f>
        <v>SAMP</v>
      </c>
      <c r="Q3753" s="62" t="str">
        <f>IF(G3753="PA",IF(M3753&lt;&gt;"",ISERROR(VLOOKUP(M3753,ABBR!C:F,1,FALSE)),ISERROR(VLOOKUP(E3753,ABBR!C:F,1,FALSE))),"")</f>
        <v/>
      </c>
    </row>
    <row r="3754" spans="1:17" s="62" customFormat="1" hidden="1" x14ac:dyDescent="0.25">
      <c r="A3754" s="16" t="s">
        <v>425</v>
      </c>
      <c r="B3754" s="17"/>
      <c r="C3754" s="16" t="s">
        <v>6076</v>
      </c>
      <c r="D3754" s="17"/>
      <c r="E3754" s="17" t="s">
        <v>608</v>
      </c>
      <c r="F3754" s="18" t="s">
        <v>921</v>
      </c>
      <c r="G3754" s="94" t="s">
        <v>922</v>
      </c>
      <c r="H3754" s="17">
        <v>24</v>
      </c>
      <c r="I3754" s="30" t="s">
        <v>955</v>
      </c>
      <c r="J3754" s="80">
        <v>4.0999999999999996</v>
      </c>
      <c r="K3754"/>
      <c r="L3754"/>
      <c r="M3754" s="101"/>
      <c r="N3754"/>
      <c r="O3754" s="62" t="str">
        <f>IF(E3754="PA",IF(K3754&lt;&gt;"",ISERROR(VLOOKUP(K3754,ABBR!A:D,1,FALSE)),ISERROR(VLOOKUP(C3754,ABBR!A:D,1,FALSE))),"")</f>
        <v/>
      </c>
      <c r="P3754" t="str">
        <f>VLOOKUP(A3754,Groups!A:L,5,FALSE)</f>
        <v>SAMP</v>
      </c>
      <c r="Q3754" s="62" t="str">
        <f>IF(G3754="PA",IF(M3754&lt;&gt;"",ISERROR(VLOOKUP(M3754,ABBR!C:F,1,FALSE)),ISERROR(VLOOKUP(E3754,ABBR!C:F,1,FALSE))),"")</f>
        <v/>
      </c>
    </row>
    <row r="3755" spans="1:17" s="62" customFormat="1" hidden="1" x14ac:dyDescent="0.25">
      <c r="A3755" s="16" t="s">
        <v>425</v>
      </c>
      <c r="B3755" s="17"/>
      <c r="C3755" s="16" t="s">
        <v>6077</v>
      </c>
      <c r="D3755" s="17" t="s">
        <v>3630</v>
      </c>
      <c r="E3755" s="17" t="s">
        <v>601</v>
      </c>
      <c r="F3755" s="18" t="s">
        <v>6069</v>
      </c>
      <c r="G3755" s="49" t="s">
        <v>1510</v>
      </c>
      <c r="H3755" s="17">
        <v>25</v>
      </c>
      <c r="I3755" s="30"/>
      <c r="J3755" s="62" t="s">
        <v>473</v>
      </c>
      <c r="O3755" s="62" t="str">
        <f>IF(E3755="PA",IF(K3755&lt;&gt;"",ISERROR(VLOOKUP(K3755,ABBR!A:D,1,FALSE)),ISERROR(VLOOKUP(C3755,ABBR!A:D,1,FALSE))),"")</f>
        <v/>
      </c>
      <c r="P3755" t="str">
        <f>VLOOKUP(A3755,Groups!A:L,5,FALSE)</f>
        <v>SAMP</v>
      </c>
      <c r="Q3755" s="62" t="str">
        <f>IF(G3755="PA",IF(M3755&lt;&gt;"",ISERROR(VLOOKUP(M3755,ABBR!C:F,1,FALSE)),ISERROR(VLOOKUP(E3755,ABBR!C:F,1,FALSE))),"")</f>
        <v/>
      </c>
    </row>
    <row r="3756" spans="1:17" s="62" customFormat="1" hidden="1" x14ac:dyDescent="0.25">
      <c r="A3756" s="16" t="s">
        <v>425</v>
      </c>
      <c r="B3756" s="17"/>
      <c r="C3756" s="16" t="s">
        <v>6078</v>
      </c>
      <c r="D3756" s="17" t="s">
        <v>3739</v>
      </c>
      <c r="E3756" s="17" t="s">
        <v>723</v>
      </c>
      <c r="F3756" s="18" t="s">
        <v>4161</v>
      </c>
      <c r="G3756" s="49" t="s">
        <v>6079</v>
      </c>
      <c r="H3756" s="17">
        <v>26</v>
      </c>
      <c r="I3756" s="30"/>
      <c r="J3756" s="62" t="s">
        <v>473</v>
      </c>
      <c r="O3756" s="62" t="str">
        <f>IF(E3756="PA",IF(K3756&lt;&gt;"",ISERROR(VLOOKUP(K3756,ABBR!A:D,1,FALSE)),ISERROR(VLOOKUP(C3756,ABBR!A:D,1,FALSE))),"")</f>
        <v/>
      </c>
      <c r="P3756" t="str">
        <f>VLOOKUP(A3756,Groups!A:L,5,FALSE)</f>
        <v>SAMP</v>
      </c>
      <c r="Q3756" s="62" t="str">
        <f>IF(G3756="PA",IF(M3756&lt;&gt;"",ISERROR(VLOOKUP(M3756,ABBR!C:F,1,FALSE)),ISERROR(VLOOKUP(E3756,ABBR!C:F,1,FALSE))),"")</f>
        <v/>
      </c>
    </row>
    <row r="3757" spans="1:17" s="62" customFormat="1" hidden="1" x14ac:dyDescent="0.25">
      <c r="A3757" s="16" t="s">
        <v>425</v>
      </c>
      <c r="B3757" s="17"/>
      <c r="C3757" s="16" t="s">
        <v>6080</v>
      </c>
      <c r="D3757" s="17" t="s">
        <v>766</v>
      </c>
      <c r="E3757" s="17" t="s">
        <v>723</v>
      </c>
      <c r="F3757" s="18" t="s">
        <v>6081</v>
      </c>
      <c r="G3757" s="49" t="s">
        <v>6082</v>
      </c>
      <c r="H3757" s="17">
        <v>27</v>
      </c>
      <c r="I3757" s="30"/>
      <c r="J3757" s="62" t="s">
        <v>473</v>
      </c>
      <c r="O3757" s="62" t="str">
        <f>IF(E3757="PA",IF(K3757&lt;&gt;"",ISERROR(VLOOKUP(K3757,ABBR!A:D,1,FALSE)),ISERROR(VLOOKUP(C3757,ABBR!A:D,1,FALSE))),"")</f>
        <v/>
      </c>
      <c r="P3757" t="str">
        <f>VLOOKUP(A3757,Groups!A:L,5,FALSE)</f>
        <v>SAMP</v>
      </c>
      <c r="Q3757" s="62" t="str">
        <f>IF(G3757="PA",IF(M3757&lt;&gt;"",ISERROR(VLOOKUP(M3757,ABBR!C:F,1,FALSE)),ISERROR(VLOOKUP(E3757,ABBR!C:F,1,FALSE))),"")</f>
        <v/>
      </c>
    </row>
    <row r="3758" spans="1:17" s="62" customFormat="1" hidden="1" x14ac:dyDescent="0.25">
      <c r="A3758" s="16" t="s">
        <v>425</v>
      </c>
      <c r="B3758" s="17"/>
      <c r="C3758" s="16" t="s">
        <v>6083</v>
      </c>
      <c r="D3758" s="17" t="s">
        <v>924</v>
      </c>
      <c r="E3758" s="17" t="s">
        <v>925</v>
      </c>
      <c r="F3758" s="18" t="s">
        <v>926</v>
      </c>
      <c r="G3758" s="49" t="s">
        <v>927</v>
      </c>
      <c r="H3758" s="17">
        <v>28</v>
      </c>
      <c r="I3758" s="30"/>
      <c r="J3758" s="62" t="s">
        <v>473</v>
      </c>
      <c r="O3758" s="62" t="str">
        <f>IF(E3758="PA",IF(K3758&lt;&gt;"",ISERROR(VLOOKUP(K3758,ABBR!A:D,1,FALSE)),ISERROR(VLOOKUP(C3758,ABBR!A:D,1,FALSE))),"")</f>
        <v/>
      </c>
      <c r="P3758" t="str">
        <f>VLOOKUP(A3758,Groups!A:L,5,FALSE)</f>
        <v>SAMP</v>
      </c>
      <c r="Q3758" s="62" t="str">
        <f>IF(G3758="PA",IF(M3758&lt;&gt;"",ISERROR(VLOOKUP(M3758,ABBR!C:F,1,FALSE)),ISERROR(VLOOKUP(E3758,ABBR!C:F,1,FALSE))),"")</f>
        <v/>
      </c>
    </row>
    <row r="3759" spans="1:17" s="62" customFormat="1" hidden="1" x14ac:dyDescent="0.25">
      <c r="A3759" s="16" t="s">
        <v>425</v>
      </c>
      <c r="B3759" s="17"/>
      <c r="C3759" s="16" t="s">
        <v>6084</v>
      </c>
      <c r="D3759" s="17"/>
      <c r="E3759" s="17" t="s">
        <v>608</v>
      </c>
      <c r="F3759" s="18" t="s">
        <v>875</v>
      </c>
      <c r="G3759" s="49" t="s">
        <v>876</v>
      </c>
      <c r="H3759" s="17">
        <v>29</v>
      </c>
      <c r="I3759" s="30"/>
      <c r="J3759" s="62" t="s">
        <v>473</v>
      </c>
      <c r="O3759" s="62" t="str">
        <f>IF(E3759="PA",IF(K3759&lt;&gt;"",ISERROR(VLOOKUP(K3759,ABBR!A:D,1,FALSE)),ISERROR(VLOOKUP(C3759,ABBR!A:D,1,FALSE))),"")</f>
        <v/>
      </c>
      <c r="P3759" t="str">
        <f>VLOOKUP(A3759,Groups!A:L,5,FALSE)</f>
        <v>SAMP</v>
      </c>
      <c r="Q3759" s="62" t="str">
        <f>IF(G3759="PA",IF(M3759&lt;&gt;"",ISERROR(VLOOKUP(M3759,ABBR!C:F,1,FALSE)),ISERROR(VLOOKUP(E3759,ABBR!C:F,1,FALSE))),"")</f>
        <v/>
      </c>
    </row>
    <row r="3760" spans="1:17" s="62" customFormat="1" hidden="1" x14ac:dyDescent="0.25">
      <c r="A3760" s="16" t="s">
        <v>425</v>
      </c>
      <c r="B3760" s="17"/>
      <c r="C3760" s="16" t="s">
        <v>6085</v>
      </c>
      <c r="D3760" s="17"/>
      <c r="E3760" s="17" t="s">
        <v>608</v>
      </c>
      <c r="F3760" s="18" t="s">
        <v>929</v>
      </c>
      <c r="G3760" s="49" t="s">
        <v>876</v>
      </c>
      <c r="H3760" s="17">
        <v>30</v>
      </c>
      <c r="I3760" s="30"/>
      <c r="J3760" s="62" t="s">
        <v>473</v>
      </c>
      <c r="O3760" s="62" t="str">
        <f>IF(E3760="PA",IF(K3760&lt;&gt;"",ISERROR(VLOOKUP(K3760,ABBR!A:D,1,FALSE)),ISERROR(VLOOKUP(C3760,ABBR!A:D,1,FALSE))),"")</f>
        <v/>
      </c>
      <c r="P3760" t="str">
        <f>VLOOKUP(A3760,Groups!A:L,5,FALSE)</f>
        <v>SAMP</v>
      </c>
      <c r="Q3760" s="62" t="str">
        <f>IF(G3760="PA",IF(M3760&lt;&gt;"",ISERROR(VLOOKUP(M3760,ABBR!C:F,1,FALSE)),ISERROR(VLOOKUP(E3760,ABBR!C:F,1,FALSE))),"")</f>
        <v/>
      </c>
    </row>
    <row r="3761" spans="1:17" s="62" customFormat="1" hidden="1" x14ac:dyDescent="0.25">
      <c r="A3761" s="16" t="s">
        <v>427</v>
      </c>
      <c r="B3761" s="17" t="s">
        <v>594</v>
      </c>
      <c r="C3761" s="16" t="s">
        <v>595</v>
      </c>
      <c r="D3761" s="17"/>
      <c r="E3761" s="17" t="s">
        <v>596</v>
      </c>
      <c r="F3761" s="18" t="s">
        <v>597</v>
      </c>
      <c r="G3761" s="49" t="s">
        <v>598</v>
      </c>
      <c r="H3761" s="17">
        <v>1</v>
      </c>
      <c r="I3761" s="30"/>
      <c r="J3761"/>
      <c r="K3761"/>
      <c r="L3761"/>
      <c r="M3761"/>
      <c r="N3761"/>
      <c r="O3761" s="62" t="str">
        <f>IF(E3761="PA",IF(K3761&lt;&gt;"",ISERROR(VLOOKUP(K3761,ABBR!A:D,1,FALSE)),ISERROR(VLOOKUP(C3761,ABBR!A:D,1,FALSE))),"")</f>
        <v/>
      </c>
      <c r="P3761" t="str">
        <f>VLOOKUP(A3761,Groups!A:L,5,FALSE)</f>
        <v>SAMP</v>
      </c>
      <c r="Q3761" s="62" t="str">
        <f>IF(G3761="PA",IF(M3761&lt;&gt;"",ISERROR(VLOOKUP(M3761,ABBR!C:F,1,FALSE)),ISERROR(VLOOKUP(E3761,ABBR!C:F,1,FALSE))),"")</f>
        <v/>
      </c>
    </row>
    <row r="3762" spans="1:17" s="62" customFormat="1" hidden="1" x14ac:dyDescent="0.25">
      <c r="A3762" s="16" t="s">
        <v>427</v>
      </c>
      <c r="B3762" s="17" t="s">
        <v>594</v>
      </c>
      <c r="C3762" s="16" t="s">
        <v>851</v>
      </c>
      <c r="D3762" s="17" t="s">
        <v>600</v>
      </c>
      <c r="E3762" s="17" t="s">
        <v>601</v>
      </c>
      <c r="F3762" s="18" t="s">
        <v>852</v>
      </c>
      <c r="G3762" s="49" t="s">
        <v>853</v>
      </c>
      <c r="H3762" s="17">
        <v>2</v>
      </c>
      <c r="I3762" s="30"/>
      <c r="J3762"/>
      <c r="K3762"/>
      <c r="L3762"/>
      <c r="M3762"/>
      <c r="N3762"/>
      <c r="O3762" s="62" t="str">
        <f>IF(E3762="PA",IF(K3762&lt;&gt;"",ISERROR(VLOOKUP(K3762,ABBR!A:D,1,FALSE)),ISERROR(VLOOKUP(C3762,ABBR!A:D,1,FALSE))),"")</f>
        <v/>
      </c>
      <c r="P3762" t="str">
        <f>VLOOKUP(A3762,Groups!A:L,5,FALSE)</f>
        <v>SAMP</v>
      </c>
      <c r="Q3762" s="62" t="str">
        <f>IF(G3762="PA",IF(M3762&lt;&gt;"",ISERROR(VLOOKUP(M3762,ABBR!C:F,1,FALSE)),ISERROR(VLOOKUP(E3762,ABBR!C:F,1,FALSE))),"")</f>
        <v/>
      </c>
    </row>
    <row r="3763" spans="1:17" s="62" customFormat="1" hidden="1" x14ac:dyDescent="0.25">
      <c r="A3763" s="16" t="s">
        <v>427</v>
      </c>
      <c r="B3763" s="17" t="s">
        <v>594</v>
      </c>
      <c r="C3763" s="16" t="s">
        <v>854</v>
      </c>
      <c r="D3763" s="17"/>
      <c r="E3763" s="17" t="s">
        <v>608</v>
      </c>
      <c r="F3763" s="18" t="s">
        <v>855</v>
      </c>
      <c r="G3763" s="49" t="s">
        <v>941</v>
      </c>
      <c r="H3763" s="17">
        <v>3</v>
      </c>
      <c r="I3763" s="30"/>
      <c r="J3763"/>
      <c r="K3763"/>
      <c r="L3763"/>
      <c r="M3763"/>
      <c r="N3763"/>
      <c r="O3763" s="62" t="str">
        <f>IF(E3763="PA",IF(K3763&lt;&gt;"",ISERROR(VLOOKUP(K3763,ABBR!A:D,1,FALSE)),ISERROR(VLOOKUP(C3763,ABBR!A:D,1,FALSE))),"")</f>
        <v/>
      </c>
      <c r="P3763" t="str">
        <f>VLOOKUP(A3763,Groups!A:L,5,FALSE)</f>
        <v>SAMP</v>
      </c>
      <c r="Q3763" s="62" t="str">
        <f>IF(G3763="PA",IF(M3763&lt;&gt;"",ISERROR(VLOOKUP(M3763,ABBR!C:F,1,FALSE)),ISERROR(VLOOKUP(E3763,ABBR!C:F,1,FALSE))),"")</f>
        <v/>
      </c>
    </row>
    <row r="3764" spans="1:17" s="62" customFormat="1" hidden="1" x14ac:dyDescent="0.25">
      <c r="A3764" s="16" t="s">
        <v>427</v>
      </c>
      <c r="B3764" s="17" t="s">
        <v>594</v>
      </c>
      <c r="C3764" s="16" t="s">
        <v>857</v>
      </c>
      <c r="D3764" s="17"/>
      <c r="E3764" s="17" t="s">
        <v>618</v>
      </c>
      <c r="F3764" s="18" t="s">
        <v>858</v>
      </c>
      <c r="G3764" s="49" t="s">
        <v>859</v>
      </c>
      <c r="H3764" s="17">
        <v>4</v>
      </c>
      <c r="I3764" s="30"/>
      <c r="J3764"/>
      <c r="K3764"/>
      <c r="L3764"/>
      <c r="M3764"/>
      <c r="N3764"/>
      <c r="O3764" s="62" t="b">
        <f>IF(E3764="PA",IF(K3764&lt;&gt;"",ISERROR(VLOOKUP(K3764,ABBR!A:D,1,FALSE)),ISERROR(VLOOKUP(C3764,ABBR!A:D,1,FALSE))),"")</f>
        <v>0</v>
      </c>
      <c r="P3764" t="str">
        <f>VLOOKUP(A3764,Groups!A:L,5,FALSE)</f>
        <v>SAMP</v>
      </c>
      <c r="Q3764" s="62" t="str">
        <f>IF(G3764="PA",IF(M3764&lt;&gt;"",ISERROR(VLOOKUP(M3764,ABBR!C:F,1,FALSE)),ISERROR(VLOOKUP(E3764,ABBR!C:F,1,FALSE))),"")</f>
        <v/>
      </c>
    </row>
    <row r="3765" spans="1:17" s="62" customFormat="1" hidden="1" x14ac:dyDescent="0.25">
      <c r="A3765" s="16" t="s">
        <v>427</v>
      </c>
      <c r="B3765" s="17" t="s">
        <v>594</v>
      </c>
      <c r="C3765" s="16" t="s">
        <v>860</v>
      </c>
      <c r="D3765" s="17"/>
      <c r="E3765" s="17" t="s">
        <v>596</v>
      </c>
      <c r="F3765" s="18" t="s">
        <v>942</v>
      </c>
      <c r="G3765" s="49" t="s">
        <v>862</v>
      </c>
      <c r="H3765" s="17">
        <v>5</v>
      </c>
      <c r="I3765" s="30"/>
      <c r="J3765"/>
      <c r="K3765"/>
      <c r="L3765"/>
      <c r="M3765"/>
      <c r="N3765"/>
      <c r="O3765" s="62" t="str">
        <f>IF(E3765="PA",IF(K3765&lt;&gt;"",ISERROR(VLOOKUP(K3765,ABBR!A:D,1,FALSE)),ISERROR(VLOOKUP(C3765,ABBR!A:D,1,FALSE))),"")</f>
        <v/>
      </c>
      <c r="P3765" t="str">
        <f>VLOOKUP(A3765,Groups!A:L,5,FALSE)</f>
        <v>SAMP</v>
      </c>
      <c r="Q3765" s="62" t="str">
        <f>IF(G3765="PA",IF(M3765&lt;&gt;"",ISERROR(VLOOKUP(M3765,ABBR!C:F,1,FALSE)),ISERROR(VLOOKUP(E3765,ABBR!C:F,1,FALSE))),"")</f>
        <v/>
      </c>
    </row>
    <row r="3766" spans="1:17" s="62" customFormat="1" hidden="1" x14ac:dyDescent="0.25">
      <c r="A3766" s="16" t="s">
        <v>427</v>
      </c>
      <c r="B3766" s="17" t="s">
        <v>594</v>
      </c>
      <c r="C3766" s="16" t="s">
        <v>863</v>
      </c>
      <c r="D3766" s="17"/>
      <c r="E3766" s="17" t="s">
        <v>608</v>
      </c>
      <c r="F3766" s="18" t="s">
        <v>864</v>
      </c>
      <c r="G3766" s="49" t="s">
        <v>865</v>
      </c>
      <c r="H3766" s="17">
        <v>6</v>
      </c>
      <c r="I3766" s="30"/>
      <c r="J3766"/>
      <c r="K3766"/>
      <c r="L3766"/>
      <c r="M3766"/>
      <c r="N3766"/>
      <c r="O3766" s="62" t="str">
        <f>IF(E3766="PA",IF(K3766&lt;&gt;"",ISERROR(VLOOKUP(K3766,ABBR!A:D,1,FALSE)),ISERROR(VLOOKUP(C3766,ABBR!A:D,1,FALSE))),"")</f>
        <v/>
      </c>
      <c r="P3766" t="str">
        <f>VLOOKUP(A3766,Groups!A:L,5,FALSE)</f>
        <v>SAMP</v>
      </c>
      <c r="Q3766" s="62" t="str">
        <f>IF(G3766="PA",IF(M3766&lt;&gt;"",ISERROR(VLOOKUP(M3766,ABBR!C:F,1,FALSE)),ISERROR(VLOOKUP(E3766,ABBR!C:F,1,FALSE))),"")</f>
        <v/>
      </c>
    </row>
    <row r="3767" spans="1:17" s="62" customFormat="1" hidden="1" x14ac:dyDescent="0.25">
      <c r="A3767" s="16" t="s">
        <v>427</v>
      </c>
      <c r="B3767" s="17" t="s">
        <v>594</v>
      </c>
      <c r="C3767" s="16" t="s">
        <v>866</v>
      </c>
      <c r="D3767" s="17" t="s">
        <v>600</v>
      </c>
      <c r="E3767" s="17" t="s">
        <v>601</v>
      </c>
      <c r="F3767" s="18" t="s">
        <v>867</v>
      </c>
      <c r="G3767" s="49" t="s">
        <v>853</v>
      </c>
      <c r="H3767" s="17">
        <v>7</v>
      </c>
      <c r="I3767" s="30"/>
      <c r="J3767"/>
      <c r="K3767"/>
      <c r="L3767"/>
      <c r="M3767"/>
      <c r="N3767"/>
      <c r="O3767" s="62" t="str">
        <f>IF(E3767="PA",IF(K3767&lt;&gt;"",ISERROR(VLOOKUP(K3767,ABBR!A:D,1,FALSE)),ISERROR(VLOOKUP(C3767,ABBR!A:D,1,FALSE))),"")</f>
        <v/>
      </c>
      <c r="P3767" t="str">
        <f>VLOOKUP(A3767,Groups!A:L,5,FALSE)</f>
        <v>SAMP</v>
      </c>
      <c r="Q3767" s="62" t="str">
        <f>IF(G3767="PA",IF(M3767&lt;&gt;"",ISERROR(VLOOKUP(M3767,ABBR!C:F,1,FALSE)),ISERROR(VLOOKUP(E3767,ABBR!C:F,1,FALSE))),"")</f>
        <v/>
      </c>
    </row>
    <row r="3768" spans="1:17" s="62" customFormat="1" hidden="1" x14ac:dyDescent="0.25">
      <c r="A3768" s="16" t="s">
        <v>427</v>
      </c>
      <c r="B3768" s="17"/>
      <c r="C3768" s="16" t="s">
        <v>868</v>
      </c>
      <c r="D3768" s="17"/>
      <c r="E3768" s="17" t="s">
        <v>608</v>
      </c>
      <c r="F3768" s="18" t="s">
        <v>869</v>
      </c>
      <c r="G3768" s="51" t="s">
        <v>1269</v>
      </c>
      <c r="H3768" s="17">
        <v>8</v>
      </c>
      <c r="I3768" s="30"/>
      <c r="J3768"/>
      <c r="K3768"/>
      <c r="L3768"/>
      <c r="M3768"/>
      <c r="N3768"/>
      <c r="O3768" s="62" t="str">
        <f>IF(E3768="PA",IF(K3768&lt;&gt;"",ISERROR(VLOOKUP(K3768,ABBR!A:D,1,FALSE)),ISERROR(VLOOKUP(C3768,ABBR!A:D,1,FALSE))),"")</f>
        <v/>
      </c>
      <c r="P3768" t="str">
        <f>VLOOKUP(A3768,Groups!A:L,5,FALSE)</f>
        <v>SAMP</v>
      </c>
      <c r="Q3768" s="62" t="str">
        <f>IF(G3768="PA",IF(M3768&lt;&gt;"",ISERROR(VLOOKUP(M3768,ABBR!C:F,1,FALSE)),ISERROR(VLOOKUP(E3768,ABBR!C:F,1,FALSE))),"")</f>
        <v/>
      </c>
    </row>
    <row r="3769" spans="1:17" s="62" customFormat="1" ht="25" hidden="1" x14ac:dyDescent="0.25">
      <c r="A3769" s="16" t="s">
        <v>427</v>
      </c>
      <c r="B3769" s="17"/>
      <c r="C3769" s="16" t="s">
        <v>871</v>
      </c>
      <c r="D3769" s="17"/>
      <c r="E3769" s="17" t="s">
        <v>608</v>
      </c>
      <c r="F3769" s="18" t="s">
        <v>872</v>
      </c>
      <c r="G3769" s="49" t="s">
        <v>873</v>
      </c>
      <c r="H3769" s="17">
        <v>9</v>
      </c>
      <c r="I3769" s="30"/>
      <c r="J3769"/>
      <c r="K3769"/>
      <c r="L3769"/>
      <c r="M3769"/>
      <c r="N3769"/>
      <c r="O3769" s="62" t="str">
        <f>IF(E3769="PA",IF(K3769&lt;&gt;"",ISERROR(VLOOKUP(K3769,ABBR!A:D,1,FALSE)),ISERROR(VLOOKUP(C3769,ABBR!A:D,1,FALSE))),"")</f>
        <v/>
      </c>
      <c r="P3769" t="str">
        <f>VLOOKUP(A3769,Groups!A:L,5,FALSE)</f>
        <v>SAMP</v>
      </c>
      <c r="Q3769" s="62" t="str">
        <f>IF(G3769="PA",IF(M3769&lt;&gt;"",ISERROR(VLOOKUP(M3769,ABBR!C:F,1,FALSE)),ISERROR(VLOOKUP(E3769,ABBR!C:F,1,FALSE))),"")</f>
        <v/>
      </c>
    </row>
    <row r="3770" spans="1:17" s="62" customFormat="1" hidden="1" x14ac:dyDescent="0.25">
      <c r="A3770" s="16" t="s">
        <v>427</v>
      </c>
      <c r="B3770" s="17"/>
      <c r="C3770" s="16" t="s">
        <v>6086</v>
      </c>
      <c r="D3770" s="17"/>
      <c r="E3770" s="17" t="s">
        <v>608</v>
      </c>
      <c r="F3770" s="18" t="s">
        <v>1323</v>
      </c>
      <c r="G3770" s="49" t="s">
        <v>631</v>
      </c>
      <c r="H3770" s="17">
        <v>10</v>
      </c>
      <c r="I3770" s="30"/>
      <c r="J3770"/>
      <c r="K3770"/>
      <c r="L3770"/>
      <c r="M3770"/>
      <c r="N3770"/>
      <c r="O3770" s="62" t="str">
        <f>IF(E3770="PA",IF(K3770&lt;&gt;"",ISERROR(VLOOKUP(K3770,ABBR!A:D,1,FALSE)),ISERROR(VLOOKUP(C3770,ABBR!A:D,1,FALSE))),"")</f>
        <v/>
      </c>
      <c r="P3770" t="str">
        <f>VLOOKUP(A3770,Groups!A:L,5,FALSE)</f>
        <v>SAMP</v>
      </c>
      <c r="Q3770" s="62" t="str">
        <f>IF(G3770="PA",IF(M3770&lt;&gt;"",ISERROR(VLOOKUP(M3770,ABBR!C:F,1,FALSE)),ISERROR(VLOOKUP(E3770,ABBR!C:F,1,FALSE))),"")</f>
        <v/>
      </c>
    </row>
    <row r="3771" spans="1:17" s="62" customFormat="1" hidden="1" x14ac:dyDescent="0.25">
      <c r="A3771" s="16" t="s">
        <v>427</v>
      </c>
      <c r="B3771" s="17"/>
      <c r="C3771" s="16" t="s">
        <v>6087</v>
      </c>
      <c r="D3771" s="17"/>
      <c r="E3771" s="17" t="s">
        <v>608</v>
      </c>
      <c r="F3771" s="18" t="s">
        <v>6088</v>
      </c>
      <c r="G3771" s="49" t="s">
        <v>1027</v>
      </c>
      <c r="H3771" s="17">
        <v>11</v>
      </c>
      <c r="I3771" s="30"/>
      <c r="J3771"/>
      <c r="K3771"/>
      <c r="L3771"/>
      <c r="M3771"/>
      <c r="N3771"/>
      <c r="O3771" s="62" t="str">
        <f>IF(E3771="PA",IF(K3771&lt;&gt;"",ISERROR(VLOOKUP(K3771,ABBR!A:D,1,FALSE)),ISERROR(VLOOKUP(C3771,ABBR!A:D,1,FALSE))),"")</f>
        <v/>
      </c>
      <c r="P3771" t="str">
        <f>VLOOKUP(A3771,Groups!A:L,5,FALSE)</f>
        <v>SAMP</v>
      </c>
      <c r="Q3771" s="62" t="str">
        <f>IF(G3771="PA",IF(M3771&lt;&gt;"",ISERROR(VLOOKUP(M3771,ABBR!C:F,1,FALSE)),ISERROR(VLOOKUP(E3771,ABBR!C:F,1,FALSE))),"")</f>
        <v/>
      </c>
    </row>
    <row r="3772" spans="1:17" s="62" customFormat="1" hidden="1" x14ac:dyDescent="0.25">
      <c r="A3772" s="16" t="s">
        <v>427</v>
      </c>
      <c r="B3772" s="17"/>
      <c r="C3772" s="16" t="s">
        <v>6089</v>
      </c>
      <c r="D3772" s="17"/>
      <c r="E3772" s="17" t="s">
        <v>608</v>
      </c>
      <c r="F3772" s="18" t="s">
        <v>6090</v>
      </c>
      <c r="G3772" s="49" t="s">
        <v>769</v>
      </c>
      <c r="H3772" s="17">
        <v>12</v>
      </c>
      <c r="I3772" s="30"/>
      <c r="J3772"/>
      <c r="K3772"/>
      <c r="L3772"/>
      <c r="M3772"/>
      <c r="N3772"/>
      <c r="O3772" s="62" t="str">
        <f>IF(E3772="PA",IF(K3772&lt;&gt;"",ISERROR(VLOOKUP(K3772,ABBR!A:D,1,FALSE)),ISERROR(VLOOKUP(C3772,ABBR!A:D,1,FALSE))),"")</f>
        <v/>
      </c>
      <c r="P3772" t="str">
        <f>VLOOKUP(A3772,Groups!A:L,5,FALSE)</f>
        <v>SAMP</v>
      </c>
      <c r="Q3772" s="62" t="str">
        <f>IF(G3772="PA",IF(M3772&lt;&gt;"",ISERROR(VLOOKUP(M3772,ABBR!C:F,1,FALSE)),ISERROR(VLOOKUP(E3772,ABBR!C:F,1,FALSE))),"")</f>
        <v/>
      </c>
    </row>
    <row r="3773" spans="1:17" s="62" customFormat="1" hidden="1" x14ac:dyDescent="0.25">
      <c r="A3773" s="16" t="s">
        <v>427</v>
      </c>
      <c r="B3773" s="17"/>
      <c r="C3773" s="16" t="s">
        <v>6091</v>
      </c>
      <c r="D3773" s="17"/>
      <c r="E3773" s="17" t="s">
        <v>608</v>
      </c>
      <c r="F3773" s="18" t="s">
        <v>642</v>
      </c>
      <c r="G3773" s="49" t="s">
        <v>16</v>
      </c>
      <c r="H3773" s="17">
        <v>13</v>
      </c>
      <c r="I3773" s="30"/>
      <c r="J3773"/>
      <c r="K3773"/>
      <c r="L3773"/>
      <c r="M3773" s="101"/>
      <c r="N3773"/>
      <c r="O3773" s="62" t="str">
        <f>IF(E3773="PA",IF(K3773&lt;&gt;"",ISERROR(VLOOKUP(K3773,ABBR!A:D,1,FALSE)),ISERROR(VLOOKUP(C3773,ABBR!A:D,1,FALSE))),"")</f>
        <v/>
      </c>
      <c r="P3773" t="str">
        <f>VLOOKUP(A3773,Groups!A:L,5,FALSE)</f>
        <v>SAMP</v>
      </c>
      <c r="Q3773" s="62" t="str">
        <f>IF(G3773="PA",IF(M3773&lt;&gt;"",ISERROR(VLOOKUP(M3773,ABBR!C:F,1,FALSE)),ISERROR(VLOOKUP(E3773,ABBR!C:F,1,FALSE))),"")</f>
        <v/>
      </c>
    </row>
    <row r="3774" spans="1:17" s="62" customFormat="1" hidden="1" x14ac:dyDescent="0.25">
      <c r="A3774" s="16" t="s">
        <v>427</v>
      </c>
      <c r="B3774" s="17"/>
      <c r="C3774" s="16" t="s">
        <v>6092</v>
      </c>
      <c r="D3774" s="17"/>
      <c r="E3774" s="17" t="s">
        <v>608</v>
      </c>
      <c r="F3774" s="18" t="s">
        <v>918</v>
      </c>
      <c r="G3774" s="49"/>
      <c r="H3774" s="17">
        <v>14</v>
      </c>
      <c r="I3774" s="30"/>
      <c r="J3774"/>
      <c r="K3774"/>
      <c r="L3774"/>
      <c r="M3774" s="101" t="s">
        <v>1044</v>
      </c>
      <c r="N3774"/>
      <c r="O3774" s="62" t="str">
        <f>IF(E3774="PA",IF(K3774&lt;&gt;"",ISERROR(VLOOKUP(K3774,ABBR!A:D,1,FALSE)),ISERROR(VLOOKUP(C3774,ABBR!A:D,1,FALSE))),"")</f>
        <v/>
      </c>
      <c r="P3774" t="str">
        <f>VLOOKUP(A3774,Groups!A:L,5,FALSE)</f>
        <v>SAMP</v>
      </c>
      <c r="Q3774" s="62" t="str">
        <f>IF(G3774="PA",IF(M3774&lt;&gt;"",ISERROR(VLOOKUP(M3774,ABBR!C:F,1,FALSE)),ISERROR(VLOOKUP(E3774,ABBR!C:F,1,FALSE))),"")</f>
        <v/>
      </c>
    </row>
    <row r="3775" spans="1:17" s="62" customFormat="1" hidden="1" x14ac:dyDescent="0.25">
      <c r="A3775" s="16" t="s">
        <v>427</v>
      </c>
      <c r="B3775" s="17"/>
      <c r="C3775" s="16" t="s">
        <v>6093</v>
      </c>
      <c r="D3775" s="17"/>
      <c r="E3775" s="17" t="s">
        <v>608</v>
      </c>
      <c r="F3775" s="18" t="s">
        <v>950</v>
      </c>
      <c r="G3775" s="27" t="s">
        <v>951</v>
      </c>
      <c r="H3775" s="17">
        <v>15</v>
      </c>
      <c r="I3775" s="30"/>
      <c r="J3775"/>
      <c r="K3775"/>
      <c r="L3775"/>
      <c r="M3775"/>
      <c r="N3775"/>
      <c r="O3775" s="62" t="str">
        <f>IF(E3775="PA",IF(K3775&lt;&gt;"",ISERROR(VLOOKUP(K3775,ABBR!A:D,1,FALSE)),ISERROR(VLOOKUP(C3775,ABBR!A:D,1,FALSE))),"")</f>
        <v/>
      </c>
      <c r="P3775" t="str">
        <f>VLOOKUP(A3775,Groups!A:L,5,FALSE)</f>
        <v>SAMP</v>
      </c>
      <c r="Q3775" s="62" t="str">
        <f>IF(G3775="PA",IF(M3775&lt;&gt;"",ISERROR(VLOOKUP(M3775,ABBR!C:F,1,FALSE)),ISERROR(VLOOKUP(E3775,ABBR!C:F,1,FALSE))),"")</f>
        <v/>
      </c>
    </row>
    <row r="3776" spans="1:17" s="62" customFormat="1" ht="25" hidden="1" x14ac:dyDescent="0.25">
      <c r="A3776" s="16" t="s">
        <v>427</v>
      </c>
      <c r="B3776" s="17"/>
      <c r="C3776" s="16" t="s">
        <v>6094</v>
      </c>
      <c r="D3776" s="17"/>
      <c r="E3776" s="17" t="s">
        <v>608</v>
      </c>
      <c r="F3776" s="18" t="s">
        <v>934</v>
      </c>
      <c r="G3776" s="49" t="s">
        <v>953</v>
      </c>
      <c r="H3776" s="17">
        <v>16</v>
      </c>
      <c r="I3776" s="30"/>
      <c r="J3776"/>
      <c r="K3776"/>
      <c r="L3776"/>
      <c r="M3776"/>
      <c r="N3776"/>
      <c r="O3776" s="62" t="str">
        <f>IF(E3776="PA",IF(K3776&lt;&gt;"",ISERROR(VLOOKUP(K3776,ABBR!A:D,1,FALSE)),ISERROR(VLOOKUP(C3776,ABBR!A:D,1,FALSE))),"")</f>
        <v/>
      </c>
      <c r="P3776" t="str">
        <f>VLOOKUP(A3776,Groups!A:L,5,FALSE)</f>
        <v>SAMP</v>
      </c>
      <c r="Q3776" s="62" t="str">
        <f>IF(G3776="PA",IF(M3776&lt;&gt;"",ISERROR(VLOOKUP(M3776,ABBR!C:F,1,FALSE)),ISERROR(VLOOKUP(E3776,ABBR!C:F,1,FALSE))),"")</f>
        <v/>
      </c>
    </row>
    <row r="3777" spans="1:17" s="62" customFormat="1" hidden="1" x14ac:dyDescent="0.25">
      <c r="A3777" s="16" t="s">
        <v>427</v>
      </c>
      <c r="B3777" s="17"/>
      <c r="C3777" s="16" t="s">
        <v>936</v>
      </c>
      <c r="D3777" s="17"/>
      <c r="E3777" s="22" t="s">
        <v>608</v>
      </c>
      <c r="F3777" s="18" t="s">
        <v>937</v>
      </c>
      <c r="G3777" s="49" t="s">
        <v>938</v>
      </c>
      <c r="H3777" s="17">
        <v>17</v>
      </c>
      <c r="I3777" s="30"/>
      <c r="J3777"/>
      <c r="K3777"/>
      <c r="L3777"/>
      <c r="M3777"/>
      <c r="N3777"/>
      <c r="O3777" s="62" t="str">
        <f>IF(E3777="PA",IF(K3777&lt;&gt;"",ISERROR(VLOOKUP(K3777,ABBR!A:D,1,FALSE)),ISERROR(VLOOKUP(C3777,ABBR!A:D,1,FALSE))),"")</f>
        <v/>
      </c>
      <c r="P3777" t="str">
        <f>VLOOKUP(A3777,Groups!A:L,5,FALSE)</f>
        <v>SAMP</v>
      </c>
      <c r="Q3777" s="62" t="str">
        <f>IF(G3777="PA",IF(M3777&lt;&gt;"",ISERROR(VLOOKUP(M3777,ABBR!C:F,1,FALSE)),ISERROR(VLOOKUP(E3777,ABBR!C:F,1,FALSE))),"")</f>
        <v/>
      </c>
    </row>
    <row r="3778" spans="1:17" s="62" customFormat="1" hidden="1" x14ac:dyDescent="0.25">
      <c r="A3778" s="16" t="s">
        <v>427</v>
      </c>
      <c r="B3778" s="17"/>
      <c r="C3778" s="16" t="s">
        <v>643</v>
      </c>
      <c r="D3778" s="17"/>
      <c r="E3778" s="17" t="s">
        <v>608</v>
      </c>
      <c r="F3778" s="18" t="s">
        <v>954</v>
      </c>
      <c r="G3778" s="49" t="s">
        <v>5670</v>
      </c>
      <c r="H3778" s="17">
        <v>18</v>
      </c>
      <c r="I3778" s="30"/>
      <c r="J3778"/>
      <c r="K3778"/>
      <c r="L3778"/>
      <c r="M3778"/>
      <c r="N3778"/>
      <c r="O3778" s="62" t="str">
        <f>IF(E3778="PA",IF(K3778&lt;&gt;"",ISERROR(VLOOKUP(K3778,ABBR!A:D,1,FALSE)),ISERROR(VLOOKUP(C3778,ABBR!A:D,1,FALSE))),"")</f>
        <v/>
      </c>
      <c r="P3778" t="str">
        <f>VLOOKUP(A3778,Groups!A:L,5,FALSE)</f>
        <v>SAMP</v>
      </c>
      <c r="Q3778" s="62" t="str">
        <f>IF(G3778="PA",IF(M3778&lt;&gt;"",ISERROR(VLOOKUP(M3778,ABBR!C:F,1,FALSE)),ISERROR(VLOOKUP(E3778,ABBR!C:F,1,FALSE))),"")</f>
        <v/>
      </c>
    </row>
    <row r="3779" spans="1:17" s="62" customFormat="1" hidden="1" x14ac:dyDescent="0.25">
      <c r="A3779" s="16" t="s">
        <v>427</v>
      </c>
      <c r="B3779" s="17"/>
      <c r="C3779" s="16" t="s">
        <v>877</v>
      </c>
      <c r="D3779" s="17" t="s">
        <v>600</v>
      </c>
      <c r="E3779" s="17" t="s">
        <v>601</v>
      </c>
      <c r="F3779" s="18" t="s">
        <v>878</v>
      </c>
      <c r="G3779" s="49" t="s">
        <v>879</v>
      </c>
      <c r="H3779" s="17">
        <v>19</v>
      </c>
      <c r="I3779" s="30" t="s">
        <v>955</v>
      </c>
      <c r="J3779" s="80">
        <v>4.0999999999999996</v>
      </c>
      <c r="K3779"/>
      <c r="L3779"/>
      <c r="M3779"/>
      <c r="N3779"/>
      <c r="O3779" s="62" t="str">
        <f>IF(E3779="PA",IF(K3779&lt;&gt;"",ISERROR(VLOOKUP(K3779,ABBR!A:D,1,FALSE)),ISERROR(VLOOKUP(C3779,ABBR!A:D,1,FALSE))),"")</f>
        <v/>
      </c>
      <c r="P3779" t="str">
        <f>VLOOKUP(A3779,Groups!A:L,5,FALSE)</f>
        <v>SAMP</v>
      </c>
      <c r="Q3779" s="62" t="str">
        <f>IF(G3779="PA",IF(M3779&lt;&gt;"",ISERROR(VLOOKUP(M3779,ABBR!C:F,1,FALSE)),ISERROR(VLOOKUP(E3779,ABBR!C:F,1,FALSE))),"")</f>
        <v/>
      </c>
    </row>
    <row r="3780" spans="1:17" s="62" customFormat="1" hidden="1" x14ac:dyDescent="0.25">
      <c r="A3780" s="16" t="s">
        <v>427</v>
      </c>
      <c r="B3780" s="17"/>
      <c r="C3780" s="16" t="s">
        <v>6095</v>
      </c>
      <c r="D3780" s="17"/>
      <c r="E3780" s="17" t="s">
        <v>608</v>
      </c>
      <c r="F3780" s="18" t="s">
        <v>921</v>
      </c>
      <c r="G3780" s="94" t="s">
        <v>922</v>
      </c>
      <c r="H3780" s="17">
        <v>20</v>
      </c>
      <c r="I3780" s="30" t="s">
        <v>955</v>
      </c>
      <c r="J3780" s="80">
        <v>4.0999999999999996</v>
      </c>
      <c r="K3780"/>
      <c r="L3780"/>
      <c r="M3780" s="101"/>
      <c r="N3780"/>
      <c r="O3780" s="62" t="str">
        <f>IF(E3780="PA",IF(K3780&lt;&gt;"",ISERROR(VLOOKUP(K3780,ABBR!A:D,1,FALSE)),ISERROR(VLOOKUP(C3780,ABBR!A:D,1,FALSE))),"")</f>
        <v/>
      </c>
      <c r="P3780" t="str">
        <f>VLOOKUP(A3780,Groups!A:L,5,FALSE)</f>
        <v>SAMP</v>
      </c>
      <c r="Q3780" s="62" t="str">
        <f>IF(G3780="PA",IF(M3780&lt;&gt;"",ISERROR(VLOOKUP(M3780,ABBR!C:F,1,FALSE)),ISERROR(VLOOKUP(E3780,ABBR!C:F,1,FALSE))),"")</f>
        <v/>
      </c>
    </row>
    <row r="3781" spans="1:17" s="62" customFormat="1" hidden="1" x14ac:dyDescent="0.25">
      <c r="A3781" s="16" t="s">
        <v>427</v>
      </c>
      <c r="B3781" s="17"/>
      <c r="C3781" s="16" t="s">
        <v>6096</v>
      </c>
      <c r="D3781" s="17" t="s">
        <v>924</v>
      </c>
      <c r="E3781" s="17" t="s">
        <v>925</v>
      </c>
      <c r="F3781" s="18" t="s">
        <v>926</v>
      </c>
      <c r="G3781" s="49" t="s">
        <v>927</v>
      </c>
      <c r="H3781" s="17">
        <v>21</v>
      </c>
      <c r="I3781" s="30"/>
      <c r="J3781" s="62" t="s">
        <v>473</v>
      </c>
      <c r="O3781" s="62" t="str">
        <f>IF(E3781="PA",IF(K3781&lt;&gt;"",ISERROR(VLOOKUP(K3781,ABBR!A:D,1,FALSE)),ISERROR(VLOOKUP(C3781,ABBR!A:D,1,FALSE))),"")</f>
        <v/>
      </c>
      <c r="P3781" t="str">
        <f>VLOOKUP(A3781,Groups!A:L,5,FALSE)</f>
        <v>SAMP</v>
      </c>
      <c r="Q3781" s="62" t="str">
        <f>IF(G3781="PA",IF(M3781&lt;&gt;"",ISERROR(VLOOKUP(M3781,ABBR!C:F,1,FALSE)),ISERROR(VLOOKUP(E3781,ABBR!C:F,1,FALSE))),"")</f>
        <v/>
      </c>
    </row>
    <row r="3782" spans="1:17" s="62" customFormat="1" hidden="1" x14ac:dyDescent="0.25">
      <c r="A3782" s="16" t="s">
        <v>427</v>
      </c>
      <c r="B3782" s="17"/>
      <c r="C3782" s="16" t="s">
        <v>6097</v>
      </c>
      <c r="D3782" s="17"/>
      <c r="E3782" s="17" t="s">
        <v>608</v>
      </c>
      <c r="F3782" s="18" t="s">
        <v>875</v>
      </c>
      <c r="G3782" s="49" t="s">
        <v>876</v>
      </c>
      <c r="H3782" s="17">
        <v>22</v>
      </c>
      <c r="I3782" s="30"/>
      <c r="J3782" s="62" t="s">
        <v>473</v>
      </c>
      <c r="O3782" s="62" t="str">
        <f>IF(E3782="PA",IF(K3782&lt;&gt;"",ISERROR(VLOOKUP(K3782,ABBR!A:D,1,FALSE)),ISERROR(VLOOKUP(C3782,ABBR!A:D,1,FALSE))),"")</f>
        <v/>
      </c>
      <c r="P3782" t="str">
        <f>VLOOKUP(A3782,Groups!A:L,5,FALSE)</f>
        <v>SAMP</v>
      </c>
      <c r="Q3782" s="62" t="str">
        <f>IF(G3782="PA",IF(M3782&lt;&gt;"",ISERROR(VLOOKUP(M3782,ABBR!C:F,1,FALSE)),ISERROR(VLOOKUP(E3782,ABBR!C:F,1,FALSE))),"")</f>
        <v/>
      </c>
    </row>
    <row r="3783" spans="1:17" s="62" customFormat="1" hidden="1" x14ac:dyDescent="0.25">
      <c r="A3783" s="16" t="s">
        <v>427</v>
      </c>
      <c r="B3783" s="17"/>
      <c r="C3783" s="16" t="s">
        <v>6098</v>
      </c>
      <c r="D3783" s="17"/>
      <c r="E3783" s="17" t="s">
        <v>608</v>
      </c>
      <c r="F3783" s="18" t="s">
        <v>929</v>
      </c>
      <c r="G3783" s="49" t="s">
        <v>876</v>
      </c>
      <c r="H3783" s="17">
        <v>23</v>
      </c>
      <c r="I3783" s="30"/>
      <c r="J3783" s="62" t="s">
        <v>473</v>
      </c>
      <c r="O3783" s="62" t="str">
        <f>IF(E3783="PA",IF(K3783&lt;&gt;"",ISERROR(VLOOKUP(K3783,ABBR!A:D,1,FALSE)),ISERROR(VLOOKUP(C3783,ABBR!A:D,1,FALSE))),"")</f>
        <v/>
      </c>
      <c r="P3783" t="str">
        <f>VLOOKUP(A3783,Groups!A:L,5,FALSE)</f>
        <v>SAMP</v>
      </c>
      <c r="Q3783" s="62" t="str">
        <f>IF(G3783="PA",IF(M3783&lt;&gt;"",ISERROR(VLOOKUP(M3783,ABBR!C:F,1,FALSE)),ISERROR(VLOOKUP(E3783,ABBR!C:F,1,FALSE))),"")</f>
        <v/>
      </c>
    </row>
    <row r="3784" spans="1:17" s="62" customFormat="1" hidden="1" x14ac:dyDescent="0.25">
      <c r="A3784" s="16" t="s">
        <v>39</v>
      </c>
      <c r="B3784" s="17" t="s">
        <v>960</v>
      </c>
      <c r="C3784" s="16" t="s">
        <v>6099</v>
      </c>
      <c r="D3784" s="17"/>
      <c r="E3784" s="17" t="s">
        <v>608</v>
      </c>
      <c r="F3784" s="16" t="s">
        <v>6100</v>
      </c>
      <c r="G3784" s="49" t="s">
        <v>631</v>
      </c>
      <c r="H3784" s="17">
        <v>1</v>
      </c>
      <c r="I3784" s="30"/>
      <c r="J3784"/>
      <c r="K3784"/>
      <c r="L3784"/>
      <c r="M3784"/>
      <c r="N3784"/>
      <c r="O3784" s="62" t="str">
        <f>IF(E3784="PA",IF(K3784&lt;&gt;"",ISERROR(VLOOKUP(K3784,ABBR!A:D,1,FALSE)),ISERROR(VLOOKUP(C3784,ABBR!A:D,1,FALSE))),"")</f>
        <v/>
      </c>
      <c r="P3784" t="str">
        <f>VLOOKUP(A3784,Groups!A:L,5,FALSE)</f>
        <v>-</v>
      </c>
      <c r="Q3784" s="62" t="str">
        <f>IF(G3784="PA",IF(M3784&lt;&gt;"",ISERROR(VLOOKUP(M3784,ABBR!C:F,1,FALSE)),ISERROR(VLOOKUP(E3784,ABBR!C:F,1,FALSE))),"")</f>
        <v/>
      </c>
    </row>
    <row r="3785" spans="1:17" s="62" customFormat="1" hidden="1" x14ac:dyDescent="0.25">
      <c r="A3785" s="16" t="s">
        <v>39</v>
      </c>
      <c r="B3785" s="17" t="s">
        <v>966</v>
      </c>
      <c r="C3785" s="16" t="s">
        <v>6101</v>
      </c>
      <c r="D3785" s="17" t="s">
        <v>924</v>
      </c>
      <c r="E3785" s="17" t="s">
        <v>925</v>
      </c>
      <c r="F3785" s="16" t="s">
        <v>6102</v>
      </c>
      <c r="G3785" s="49" t="s">
        <v>3540</v>
      </c>
      <c r="H3785" s="17">
        <v>2</v>
      </c>
      <c r="I3785" s="30"/>
      <c r="J3785"/>
      <c r="K3785"/>
      <c r="L3785"/>
      <c r="M3785"/>
      <c r="N3785"/>
      <c r="O3785" s="62" t="str">
        <f>IF(E3785="PA",IF(K3785&lt;&gt;"",ISERROR(VLOOKUP(K3785,ABBR!A:D,1,FALSE)),ISERROR(VLOOKUP(C3785,ABBR!A:D,1,FALSE))),"")</f>
        <v/>
      </c>
      <c r="P3785" t="str">
        <f>VLOOKUP(A3785,Groups!A:L,5,FALSE)</f>
        <v>-</v>
      </c>
      <c r="Q3785" s="62" t="str">
        <f>IF(G3785="PA",IF(M3785&lt;&gt;"",ISERROR(VLOOKUP(M3785,ABBR!C:F,1,FALSE)),ISERROR(VLOOKUP(E3785,ABBR!C:F,1,FALSE))),"")</f>
        <v/>
      </c>
    </row>
    <row r="3786" spans="1:17" s="62" customFormat="1" hidden="1" x14ac:dyDescent="0.25">
      <c r="A3786" s="16" t="s">
        <v>39</v>
      </c>
      <c r="B3786" s="17" t="s">
        <v>966</v>
      </c>
      <c r="C3786" s="16" t="s">
        <v>6103</v>
      </c>
      <c r="D3786" s="17"/>
      <c r="E3786" s="17" t="s">
        <v>608</v>
      </c>
      <c r="F3786" s="16" t="s">
        <v>6104</v>
      </c>
      <c r="G3786" s="49" t="s">
        <v>3043</v>
      </c>
      <c r="H3786" s="17">
        <v>3</v>
      </c>
      <c r="I3786" s="30"/>
      <c r="J3786"/>
      <c r="K3786"/>
      <c r="L3786"/>
      <c r="M3786"/>
      <c r="N3786"/>
      <c r="O3786" s="62" t="str">
        <f>IF(E3786="PA",IF(K3786&lt;&gt;"",ISERROR(VLOOKUP(K3786,ABBR!A:D,1,FALSE)),ISERROR(VLOOKUP(C3786,ABBR!A:D,1,FALSE))),"")</f>
        <v/>
      </c>
      <c r="P3786" t="str">
        <f>VLOOKUP(A3786,Groups!A:L,5,FALSE)</f>
        <v>-</v>
      </c>
      <c r="Q3786" s="62" t="str">
        <f>IF(G3786="PA",IF(M3786&lt;&gt;"",ISERROR(VLOOKUP(M3786,ABBR!C:F,1,FALSE)),ISERROR(VLOOKUP(E3786,ABBR!C:F,1,FALSE))),"")</f>
        <v/>
      </c>
    </row>
    <row r="3787" spans="1:17" s="62" customFormat="1" hidden="1" x14ac:dyDescent="0.25">
      <c r="A3787" s="16" t="s">
        <v>39</v>
      </c>
      <c r="B3787" s="17" t="s">
        <v>966</v>
      </c>
      <c r="C3787" s="16" t="s">
        <v>6105</v>
      </c>
      <c r="D3787" s="17"/>
      <c r="E3787" s="17" t="s">
        <v>608</v>
      </c>
      <c r="F3787" s="16" t="s">
        <v>6106</v>
      </c>
      <c r="G3787" s="49" t="s">
        <v>5272</v>
      </c>
      <c r="H3787" s="17">
        <v>4</v>
      </c>
      <c r="I3787" s="30"/>
      <c r="J3787"/>
      <c r="K3787"/>
      <c r="L3787"/>
      <c r="M3787"/>
      <c r="N3787"/>
      <c r="O3787" s="62" t="str">
        <f>IF(E3787="PA",IF(K3787&lt;&gt;"",ISERROR(VLOOKUP(K3787,ABBR!A:D,1,FALSE)),ISERROR(VLOOKUP(C3787,ABBR!A:D,1,FALSE))),"")</f>
        <v/>
      </c>
      <c r="P3787" t="str">
        <f>VLOOKUP(A3787,Groups!A:L,5,FALSE)</f>
        <v>-</v>
      </c>
      <c r="Q3787" s="62" t="str">
        <f>IF(G3787="PA",IF(M3787&lt;&gt;"",ISERROR(VLOOKUP(M3787,ABBR!C:F,1,FALSE)),ISERROR(VLOOKUP(E3787,ABBR!C:F,1,FALSE))),"")</f>
        <v/>
      </c>
    </row>
    <row r="3788" spans="1:17" s="62" customFormat="1" hidden="1" x14ac:dyDescent="0.25">
      <c r="A3788" s="16" t="s">
        <v>39</v>
      </c>
      <c r="B3788" s="17"/>
      <c r="C3788" s="16" t="s">
        <v>6107</v>
      </c>
      <c r="D3788" s="17"/>
      <c r="E3788" s="17" t="s">
        <v>608</v>
      </c>
      <c r="F3788" s="16" t="s">
        <v>6108</v>
      </c>
      <c r="G3788" s="49" t="s">
        <v>6109</v>
      </c>
      <c r="H3788" s="17">
        <v>5</v>
      </c>
      <c r="I3788" s="30"/>
      <c r="J3788"/>
      <c r="K3788"/>
      <c r="L3788"/>
      <c r="M3788"/>
      <c r="N3788"/>
      <c r="O3788" s="62" t="str">
        <f>IF(E3788="PA",IF(K3788&lt;&gt;"",ISERROR(VLOOKUP(K3788,ABBR!A:D,1,FALSE)),ISERROR(VLOOKUP(C3788,ABBR!A:D,1,FALSE))),"")</f>
        <v/>
      </c>
      <c r="P3788" t="str">
        <f>VLOOKUP(A3788,Groups!A:L,5,FALSE)</f>
        <v>-</v>
      </c>
      <c r="Q3788" s="62" t="str">
        <f>IF(G3788="PA",IF(M3788&lt;&gt;"",ISERROR(VLOOKUP(M3788,ABBR!C:F,1,FALSE)),ISERROR(VLOOKUP(E3788,ABBR!C:F,1,FALSE))),"")</f>
        <v/>
      </c>
    </row>
    <row r="3789" spans="1:17" s="62" customFormat="1" hidden="1" x14ac:dyDescent="0.25">
      <c r="A3789" s="16" t="s">
        <v>39</v>
      </c>
      <c r="B3789" s="17" t="s">
        <v>966</v>
      </c>
      <c r="C3789" s="16" t="s">
        <v>6110</v>
      </c>
      <c r="D3789" s="17"/>
      <c r="E3789" s="17" t="s">
        <v>608</v>
      </c>
      <c r="F3789" s="16" t="s">
        <v>6111</v>
      </c>
      <c r="G3789" s="49" t="s">
        <v>6112</v>
      </c>
      <c r="H3789" s="17">
        <v>6</v>
      </c>
      <c r="I3789" s="30"/>
      <c r="J3789"/>
      <c r="K3789"/>
      <c r="L3789"/>
      <c r="M3789"/>
      <c r="N3789"/>
      <c r="O3789" s="62" t="str">
        <f>IF(E3789="PA",IF(K3789&lt;&gt;"",ISERROR(VLOOKUP(K3789,ABBR!A:D,1,FALSE)),ISERROR(VLOOKUP(C3789,ABBR!A:D,1,FALSE))),"")</f>
        <v/>
      </c>
      <c r="P3789" t="str">
        <f>VLOOKUP(A3789,Groups!A:L,5,FALSE)</f>
        <v>-</v>
      </c>
      <c r="Q3789" s="62" t="str">
        <f>IF(G3789="PA",IF(M3789&lt;&gt;"",ISERROR(VLOOKUP(M3789,ABBR!C:F,1,FALSE)),ISERROR(VLOOKUP(E3789,ABBR!C:F,1,FALSE))),"")</f>
        <v/>
      </c>
    </row>
    <row r="3790" spans="1:17" s="62" customFormat="1" hidden="1" x14ac:dyDescent="0.25">
      <c r="A3790" s="16" t="s">
        <v>39</v>
      </c>
      <c r="B3790" s="17" t="s">
        <v>966</v>
      </c>
      <c r="C3790" s="16" t="s">
        <v>6113</v>
      </c>
      <c r="D3790" s="17"/>
      <c r="E3790" s="17" t="s">
        <v>608</v>
      </c>
      <c r="F3790" s="16" t="s">
        <v>6114</v>
      </c>
      <c r="G3790" s="27" t="s">
        <v>3535</v>
      </c>
      <c r="H3790" s="17">
        <v>7</v>
      </c>
      <c r="I3790" s="30"/>
      <c r="J3790"/>
      <c r="K3790"/>
      <c r="L3790"/>
      <c r="M3790"/>
      <c r="N3790"/>
      <c r="O3790" s="62" t="str">
        <f>IF(E3790="PA",IF(K3790&lt;&gt;"",ISERROR(VLOOKUP(K3790,ABBR!A:D,1,FALSE)),ISERROR(VLOOKUP(C3790,ABBR!A:D,1,FALSE))),"")</f>
        <v/>
      </c>
      <c r="P3790" t="str">
        <f>VLOOKUP(A3790,Groups!A:L,5,FALSE)</f>
        <v>-</v>
      </c>
      <c r="Q3790" s="62" t="str">
        <f>IF(G3790="PA",IF(M3790&lt;&gt;"",ISERROR(VLOOKUP(M3790,ABBR!C:F,1,FALSE)),ISERROR(VLOOKUP(E3790,ABBR!C:F,1,FALSE))),"")</f>
        <v/>
      </c>
    </row>
    <row r="3791" spans="1:17" s="62" customFormat="1" hidden="1" x14ac:dyDescent="0.25">
      <c r="A3791" s="16" t="s">
        <v>39</v>
      </c>
      <c r="B3791" s="17"/>
      <c r="C3791" s="16" t="s">
        <v>6115</v>
      </c>
      <c r="D3791" s="17"/>
      <c r="E3791" s="17" t="s">
        <v>608</v>
      </c>
      <c r="F3791" s="16" t="s">
        <v>6116</v>
      </c>
      <c r="G3791" s="27" t="s">
        <v>6117</v>
      </c>
      <c r="H3791" s="17">
        <v>8</v>
      </c>
      <c r="I3791" s="30"/>
      <c r="J3791"/>
      <c r="K3791"/>
      <c r="L3791"/>
      <c r="M3791"/>
      <c r="N3791"/>
      <c r="O3791" s="62" t="str">
        <f>IF(E3791="PA",IF(K3791&lt;&gt;"",ISERROR(VLOOKUP(K3791,ABBR!A:D,1,FALSE)),ISERROR(VLOOKUP(C3791,ABBR!A:D,1,FALSE))),"")</f>
        <v/>
      </c>
      <c r="P3791" t="str">
        <f>VLOOKUP(A3791,Groups!A:L,5,FALSE)</f>
        <v>-</v>
      </c>
      <c r="Q3791" s="62" t="str">
        <f>IF(G3791="PA",IF(M3791&lt;&gt;"",ISERROR(VLOOKUP(M3791,ABBR!C:F,1,FALSE)),ISERROR(VLOOKUP(E3791,ABBR!C:F,1,FALSE))),"")</f>
        <v/>
      </c>
    </row>
    <row r="3792" spans="1:17" s="62" customFormat="1" hidden="1" x14ac:dyDescent="0.25">
      <c r="A3792" s="16" t="s">
        <v>39</v>
      </c>
      <c r="B3792" s="17"/>
      <c r="C3792" s="16" t="s">
        <v>6118</v>
      </c>
      <c r="D3792" s="17"/>
      <c r="E3792" s="17" t="s">
        <v>608</v>
      </c>
      <c r="F3792" s="16" t="s">
        <v>6119</v>
      </c>
      <c r="G3792" s="27" t="s">
        <v>6120</v>
      </c>
      <c r="H3792" s="17">
        <v>9</v>
      </c>
      <c r="I3792" s="30"/>
      <c r="J3792"/>
      <c r="K3792"/>
      <c r="L3792"/>
      <c r="M3792"/>
      <c r="N3792"/>
      <c r="O3792" s="62" t="str">
        <f>IF(E3792="PA",IF(K3792&lt;&gt;"",ISERROR(VLOOKUP(K3792,ABBR!A:D,1,FALSE)),ISERROR(VLOOKUP(C3792,ABBR!A:D,1,FALSE))),"")</f>
        <v/>
      </c>
      <c r="P3792" t="str">
        <f>VLOOKUP(A3792,Groups!A:L,5,FALSE)</f>
        <v>-</v>
      </c>
      <c r="Q3792" s="62" t="str">
        <f>IF(G3792="PA",IF(M3792&lt;&gt;"",ISERROR(VLOOKUP(M3792,ABBR!C:F,1,FALSE)),ISERROR(VLOOKUP(E3792,ABBR!C:F,1,FALSE))),"")</f>
        <v/>
      </c>
    </row>
    <row r="3793" spans="1:17" s="62" customFormat="1" hidden="1" x14ac:dyDescent="0.25">
      <c r="A3793" s="16" t="s">
        <v>39</v>
      </c>
      <c r="B3793" s="17"/>
      <c r="C3793" s="16" t="s">
        <v>6121</v>
      </c>
      <c r="D3793" s="17"/>
      <c r="E3793" s="17" t="s">
        <v>608</v>
      </c>
      <c r="F3793" s="16" t="s">
        <v>642</v>
      </c>
      <c r="G3793" s="49" t="s">
        <v>16</v>
      </c>
      <c r="H3793" s="17">
        <v>10</v>
      </c>
      <c r="I3793" s="30"/>
      <c r="J3793"/>
      <c r="K3793"/>
      <c r="L3793"/>
      <c r="M3793" s="101"/>
      <c r="N3793"/>
      <c r="O3793" s="62" t="str">
        <f>IF(E3793="PA",IF(K3793&lt;&gt;"",ISERROR(VLOOKUP(K3793,ABBR!A:D,1,FALSE)),ISERROR(VLOOKUP(C3793,ABBR!A:D,1,FALSE))),"")</f>
        <v/>
      </c>
      <c r="P3793" t="str">
        <f>VLOOKUP(A3793,Groups!A:L,5,FALSE)</f>
        <v>-</v>
      </c>
      <c r="Q3793" s="62" t="str">
        <f>IF(G3793="PA",IF(M3793&lt;&gt;"",ISERROR(VLOOKUP(M3793,ABBR!C:F,1,FALSE)),ISERROR(VLOOKUP(E3793,ABBR!C:F,1,FALSE))),"")</f>
        <v/>
      </c>
    </row>
    <row r="3794" spans="1:17" s="62" customFormat="1" ht="25" hidden="1" x14ac:dyDescent="0.25">
      <c r="A3794" s="16" t="s">
        <v>39</v>
      </c>
      <c r="B3794" s="17"/>
      <c r="C3794" s="16" t="s">
        <v>643</v>
      </c>
      <c r="D3794" s="17"/>
      <c r="E3794" s="17" t="s">
        <v>608</v>
      </c>
      <c r="F3794" s="18" t="s">
        <v>6122</v>
      </c>
      <c r="G3794" s="49" t="s">
        <v>975</v>
      </c>
      <c r="H3794" s="17">
        <v>11</v>
      </c>
      <c r="I3794" s="30"/>
      <c r="J3794"/>
      <c r="K3794"/>
      <c r="L3794"/>
      <c r="M3794"/>
      <c r="N3794"/>
      <c r="O3794" s="62" t="str">
        <f>IF(E3794="PA",IF(K3794&lt;&gt;"",ISERROR(VLOOKUP(K3794,ABBR!A:D,1,FALSE)),ISERROR(VLOOKUP(C3794,ABBR!A:D,1,FALSE))),"")</f>
        <v/>
      </c>
      <c r="P3794" t="str">
        <f>VLOOKUP(A3794,Groups!A:L,5,FALSE)</f>
        <v>-</v>
      </c>
      <c r="Q3794" s="62" t="str">
        <f>IF(G3794="PA",IF(M3794&lt;&gt;"",ISERROR(VLOOKUP(M3794,ABBR!C:F,1,FALSE)),ISERROR(VLOOKUP(E3794,ABBR!C:F,1,FALSE))),"")</f>
        <v/>
      </c>
    </row>
    <row r="3795" spans="1:17" s="62" customFormat="1" hidden="1" x14ac:dyDescent="0.25">
      <c r="A3795" s="16" t="s">
        <v>429</v>
      </c>
      <c r="B3795" s="17" t="s">
        <v>594</v>
      </c>
      <c r="C3795" s="16" t="s">
        <v>595</v>
      </c>
      <c r="D3795" s="17"/>
      <c r="E3795" s="17" t="s">
        <v>596</v>
      </c>
      <c r="F3795" s="18" t="s">
        <v>597</v>
      </c>
      <c r="G3795" s="49" t="s">
        <v>598</v>
      </c>
      <c r="H3795" s="17">
        <v>1</v>
      </c>
      <c r="I3795" s="30"/>
      <c r="J3795"/>
      <c r="K3795"/>
      <c r="L3795"/>
      <c r="M3795"/>
      <c r="N3795"/>
      <c r="O3795" s="62" t="str">
        <f>IF(E3795="PA",IF(K3795&lt;&gt;"",ISERROR(VLOOKUP(K3795,ABBR!A:D,1,FALSE)),ISERROR(VLOOKUP(C3795,ABBR!A:D,1,FALSE))),"")</f>
        <v/>
      </c>
      <c r="P3795" t="str">
        <f>VLOOKUP(A3795,Groups!A:L,5,FALSE)</f>
        <v>SAMP</v>
      </c>
      <c r="Q3795" s="62" t="str">
        <f>IF(G3795="PA",IF(M3795&lt;&gt;"",ISERROR(VLOOKUP(M3795,ABBR!C:F,1,FALSE)),ISERROR(VLOOKUP(E3795,ABBR!C:F,1,FALSE))),"")</f>
        <v/>
      </c>
    </row>
    <row r="3796" spans="1:17" s="62" customFormat="1" hidden="1" x14ac:dyDescent="0.25">
      <c r="A3796" s="16" t="s">
        <v>429</v>
      </c>
      <c r="B3796" s="17" t="s">
        <v>594</v>
      </c>
      <c r="C3796" s="16" t="s">
        <v>851</v>
      </c>
      <c r="D3796" s="17" t="s">
        <v>600</v>
      </c>
      <c r="E3796" s="17" t="s">
        <v>601</v>
      </c>
      <c r="F3796" s="18" t="s">
        <v>852</v>
      </c>
      <c r="G3796" s="49" t="s">
        <v>853</v>
      </c>
      <c r="H3796" s="17">
        <v>2</v>
      </c>
      <c r="I3796" s="30"/>
      <c r="J3796"/>
      <c r="K3796"/>
      <c r="L3796"/>
      <c r="M3796"/>
      <c r="N3796"/>
      <c r="O3796" s="62" t="str">
        <f>IF(E3796="PA",IF(K3796&lt;&gt;"",ISERROR(VLOOKUP(K3796,ABBR!A:D,1,FALSE)),ISERROR(VLOOKUP(C3796,ABBR!A:D,1,FALSE))),"")</f>
        <v/>
      </c>
      <c r="P3796" t="str">
        <f>VLOOKUP(A3796,Groups!A:L,5,FALSE)</f>
        <v>SAMP</v>
      </c>
      <c r="Q3796" s="62" t="str">
        <f>IF(G3796="PA",IF(M3796&lt;&gt;"",ISERROR(VLOOKUP(M3796,ABBR!C:F,1,FALSE)),ISERROR(VLOOKUP(E3796,ABBR!C:F,1,FALSE))),"")</f>
        <v/>
      </c>
    </row>
    <row r="3797" spans="1:17" s="62" customFormat="1" hidden="1" x14ac:dyDescent="0.25">
      <c r="A3797" s="16" t="s">
        <v>429</v>
      </c>
      <c r="B3797" s="17" t="s">
        <v>594</v>
      </c>
      <c r="C3797" s="16" t="s">
        <v>854</v>
      </c>
      <c r="D3797" s="17"/>
      <c r="E3797" s="17" t="s">
        <v>608</v>
      </c>
      <c r="F3797" s="18" t="s">
        <v>855</v>
      </c>
      <c r="G3797" s="49" t="s">
        <v>941</v>
      </c>
      <c r="H3797" s="17">
        <v>3</v>
      </c>
      <c r="I3797" s="30"/>
      <c r="J3797"/>
      <c r="K3797"/>
      <c r="L3797"/>
      <c r="M3797"/>
      <c r="N3797"/>
      <c r="O3797" s="62" t="str">
        <f>IF(E3797="PA",IF(K3797&lt;&gt;"",ISERROR(VLOOKUP(K3797,ABBR!A:D,1,FALSE)),ISERROR(VLOOKUP(C3797,ABBR!A:D,1,FALSE))),"")</f>
        <v/>
      </c>
      <c r="P3797" t="str">
        <f>VLOOKUP(A3797,Groups!A:L,5,FALSE)</f>
        <v>SAMP</v>
      </c>
      <c r="Q3797" s="62" t="str">
        <f>IF(G3797="PA",IF(M3797&lt;&gt;"",ISERROR(VLOOKUP(M3797,ABBR!C:F,1,FALSE)),ISERROR(VLOOKUP(E3797,ABBR!C:F,1,FALSE))),"")</f>
        <v/>
      </c>
    </row>
    <row r="3798" spans="1:17" s="62" customFormat="1" hidden="1" x14ac:dyDescent="0.25">
      <c r="A3798" s="16" t="s">
        <v>429</v>
      </c>
      <c r="B3798" s="17" t="s">
        <v>594</v>
      </c>
      <c r="C3798" s="16" t="s">
        <v>857</v>
      </c>
      <c r="D3798" s="17"/>
      <c r="E3798" s="17" t="s">
        <v>618</v>
      </c>
      <c r="F3798" s="18" t="s">
        <v>858</v>
      </c>
      <c r="G3798" s="49" t="s">
        <v>859</v>
      </c>
      <c r="H3798" s="17">
        <v>4</v>
      </c>
      <c r="I3798" s="30"/>
      <c r="J3798"/>
      <c r="K3798"/>
      <c r="L3798"/>
      <c r="M3798"/>
      <c r="N3798"/>
      <c r="O3798" s="62" t="b">
        <f>IF(E3798="PA",IF(K3798&lt;&gt;"",ISERROR(VLOOKUP(K3798,ABBR!A:D,1,FALSE)),ISERROR(VLOOKUP(C3798,ABBR!A:D,1,FALSE))),"")</f>
        <v>0</v>
      </c>
      <c r="P3798" t="str">
        <f>VLOOKUP(A3798,Groups!A:L,5,FALSE)</f>
        <v>SAMP</v>
      </c>
      <c r="Q3798" s="62" t="str">
        <f>IF(G3798="PA",IF(M3798&lt;&gt;"",ISERROR(VLOOKUP(M3798,ABBR!C:F,1,FALSE)),ISERROR(VLOOKUP(E3798,ABBR!C:F,1,FALSE))),"")</f>
        <v/>
      </c>
    </row>
    <row r="3799" spans="1:17" s="62" customFormat="1" hidden="1" x14ac:dyDescent="0.25">
      <c r="A3799" s="16" t="s">
        <v>429</v>
      </c>
      <c r="B3799" s="17" t="s">
        <v>594</v>
      </c>
      <c r="C3799" s="16" t="s">
        <v>860</v>
      </c>
      <c r="D3799" s="17"/>
      <c r="E3799" s="17" t="s">
        <v>596</v>
      </c>
      <c r="F3799" s="18" t="s">
        <v>942</v>
      </c>
      <c r="G3799" s="49" t="s">
        <v>862</v>
      </c>
      <c r="H3799" s="17">
        <v>5</v>
      </c>
      <c r="I3799" s="30"/>
      <c r="J3799"/>
      <c r="K3799"/>
      <c r="L3799"/>
      <c r="M3799"/>
      <c r="N3799"/>
      <c r="O3799" s="62" t="str">
        <f>IF(E3799="PA",IF(K3799&lt;&gt;"",ISERROR(VLOOKUP(K3799,ABBR!A:D,1,FALSE)),ISERROR(VLOOKUP(C3799,ABBR!A:D,1,FALSE))),"")</f>
        <v/>
      </c>
      <c r="P3799" t="str">
        <f>VLOOKUP(A3799,Groups!A:L,5,FALSE)</f>
        <v>SAMP</v>
      </c>
      <c r="Q3799" s="62" t="str">
        <f>IF(G3799="PA",IF(M3799&lt;&gt;"",ISERROR(VLOOKUP(M3799,ABBR!C:F,1,FALSE)),ISERROR(VLOOKUP(E3799,ABBR!C:F,1,FALSE))),"")</f>
        <v/>
      </c>
    </row>
    <row r="3800" spans="1:17" s="62" customFormat="1" hidden="1" x14ac:dyDescent="0.25">
      <c r="A3800" s="16" t="s">
        <v>429</v>
      </c>
      <c r="B3800" s="17" t="s">
        <v>594</v>
      </c>
      <c r="C3800" s="16" t="s">
        <v>863</v>
      </c>
      <c r="D3800" s="17"/>
      <c r="E3800" s="17" t="s">
        <v>608</v>
      </c>
      <c r="F3800" s="18" t="s">
        <v>864</v>
      </c>
      <c r="G3800" s="49" t="s">
        <v>865</v>
      </c>
      <c r="H3800" s="17">
        <v>6</v>
      </c>
      <c r="I3800" s="30"/>
      <c r="J3800"/>
      <c r="K3800"/>
      <c r="L3800"/>
      <c r="M3800"/>
      <c r="N3800"/>
      <c r="O3800" s="62" t="str">
        <f>IF(E3800="PA",IF(K3800&lt;&gt;"",ISERROR(VLOOKUP(K3800,ABBR!A:D,1,FALSE)),ISERROR(VLOOKUP(C3800,ABBR!A:D,1,FALSE))),"")</f>
        <v/>
      </c>
      <c r="P3800" t="str">
        <f>VLOOKUP(A3800,Groups!A:L,5,FALSE)</f>
        <v>SAMP</v>
      </c>
      <c r="Q3800" s="62" t="str">
        <f>IF(G3800="PA",IF(M3800&lt;&gt;"",ISERROR(VLOOKUP(M3800,ABBR!C:F,1,FALSE)),ISERROR(VLOOKUP(E3800,ABBR!C:F,1,FALSE))),"")</f>
        <v/>
      </c>
    </row>
    <row r="3801" spans="1:17" s="62" customFormat="1" hidden="1" x14ac:dyDescent="0.25">
      <c r="A3801" s="16" t="s">
        <v>429</v>
      </c>
      <c r="B3801" s="17" t="s">
        <v>594</v>
      </c>
      <c r="C3801" s="16" t="s">
        <v>866</v>
      </c>
      <c r="D3801" s="17" t="s">
        <v>600</v>
      </c>
      <c r="E3801" s="17" t="s">
        <v>601</v>
      </c>
      <c r="F3801" s="18" t="s">
        <v>867</v>
      </c>
      <c r="G3801" s="49" t="s">
        <v>853</v>
      </c>
      <c r="H3801" s="17">
        <v>7</v>
      </c>
      <c r="I3801" s="30"/>
      <c r="J3801"/>
      <c r="K3801"/>
      <c r="L3801"/>
      <c r="M3801"/>
      <c r="N3801"/>
      <c r="O3801" s="62" t="str">
        <f>IF(E3801="PA",IF(K3801&lt;&gt;"",ISERROR(VLOOKUP(K3801,ABBR!A:D,1,FALSE)),ISERROR(VLOOKUP(C3801,ABBR!A:D,1,FALSE))),"")</f>
        <v/>
      </c>
      <c r="P3801" t="str">
        <f>VLOOKUP(A3801,Groups!A:L,5,FALSE)</f>
        <v>SAMP</v>
      </c>
      <c r="Q3801" s="62" t="str">
        <f>IF(G3801="PA",IF(M3801&lt;&gt;"",ISERROR(VLOOKUP(M3801,ABBR!C:F,1,FALSE)),ISERROR(VLOOKUP(E3801,ABBR!C:F,1,FALSE))),"")</f>
        <v/>
      </c>
    </row>
    <row r="3802" spans="1:17" s="62" customFormat="1" hidden="1" x14ac:dyDescent="0.25">
      <c r="A3802" s="16" t="s">
        <v>429</v>
      </c>
      <c r="B3802" s="17"/>
      <c r="C3802" s="16" t="s">
        <v>868</v>
      </c>
      <c r="D3802" s="17"/>
      <c r="E3802" s="17" t="s">
        <v>608</v>
      </c>
      <c r="F3802" s="18" t="s">
        <v>869</v>
      </c>
      <c r="G3802" s="51" t="s">
        <v>1269</v>
      </c>
      <c r="H3802" s="17">
        <v>8</v>
      </c>
      <c r="I3802" s="30"/>
      <c r="J3802"/>
      <c r="K3802"/>
      <c r="L3802"/>
      <c r="M3802"/>
      <c r="N3802"/>
      <c r="O3802" s="62" t="str">
        <f>IF(E3802="PA",IF(K3802&lt;&gt;"",ISERROR(VLOOKUP(K3802,ABBR!A:D,1,FALSE)),ISERROR(VLOOKUP(C3802,ABBR!A:D,1,FALSE))),"")</f>
        <v/>
      </c>
      <c r="P3802" t="str">
        <f>VLOOKUP(A3802,Groups!A:L,5,FALSE)</f>
        <v>SAMP</v>
      </c>
      <c r="Q3802" s="62" t="str">
        <f>IF(G3802="PA",IF(M3802&lt;&gt;"",ISERROR(VLOOKUP(M3802,ABBR!C:F,1,FALSE)),ISERROR(VLOOKUP(E3802,ABBR!C:F,1,FALSE))),"")</f>
        <v/>
      </c>
    </row>
    <row r="3803" spans="1:17" s="62" customFormat="1" ht="25" hidden="1" x14ac:dyDescent="0.25">
      <c r="A3803" s="16" t="s">
        <v>429</v>
      </c>
      <c r="B3803" s="17"/>
      <c r="C3803" s="16" t="s">
        <v>871</v>
      </c>
      <c r="D3803" s="17"/>
      <c r="E3803" s="17" t="s">
        <v>608</v>
      </c>
      <c r="F3803" s="18" t="s">
        <v>872</v>
      </c>
      <c r="G3803" s="49" t="s">
        <v>873</v>
      </c>
      <c r="H3803" s="17">
        <v>9</v>
      </c>
      <c r="I3803" s="30"/>
      <c r="J3803"/>
      <c r="K3803"/>
      <c r="L3803"/>
      <c r="M3803"/>
      <c r="N3803"/>
      <c r="O3803" s="62" t="str">
        <f>IF(E3803="PA",IF(K3803&lt;&gt;"",ISERROR(VLOOKUP(K3803,ABBR!A:D,1,FALSE)),ISERROR(VLOOKUP(C3803,ABBR!A:D,1,FALSE))),"")</f>
        <v/>
      </c>
      <c r="P3803" t="str">
        <f>VLOOKUP(A3803,Groups!A:L,5,FALSE)</f>
        <v>SAMP</v>
      </c>
      <c r="Q3803" s="62" t="str">
        <f>IF(G3803="PA",IF(M3803&lt;&gt;"",ISERROR(VLOOKUP(M3803,ABBR!C:F,1,FALSE)),ISERROR(VLOOKUP(E3803,ABBR!C:F,1,FALSE))),"")</f>
        <v/>
      </c>
    </row>
    <row r="3804" spans="1:17" s="62" customFormat="1" hidden="1" x14ac:dyDescent="0.25">
      <c r="A3804" s="16" t="s">
        <v>429</v>
      </c>
      <c r="B3804" s="17"/>
      <c r="C3804" s="16" t="s">
        <v>6123</v>
      </c>
      <c r="D3804" s="17"/>
      <c r="E3804" s="17" t="s">
        <v>618</v>
      </c>
      <c r="F3804" s="18" t="s">
        <v>2547</v>
      </c>
      <c r="G3804" s="49" t="s">
        <v>6124</v>
      </c>
      <c r="H3804" s="17">
        <v>10</v>
      </c>
      <c r="I3804" s="30"/>
      <c r="J3804"/>
      <c r="K3804"/>
      <c r="L3804"/>
      <c r="M3804"/>
      <c r="N3804"/>
      <c r="O3804" s="62" t="b">
        <f>IF(E3804="PA",IF(K3804&lt;&gt;"",ISERROR(VLOOKUP(K3804,ABBR!A:D,1,FALSE)),ISERROR(VLOOKUP(C3804,ABBR!A:D,1,FALSE))),"")</f>
        <v>0</v>
      </c>
      <c r="P3804" t="str">
        <f>VLOOKUP(A3804,Groups!A:L,5,FALSE)</f>
        <v>SAMP</v>
      </c>
      <c r="Q3804" s="62" t="str">
        <f>IF(G3804="PA",IF(M3804&lt;&gt;"",ISERROR(VLOOKUP(M3804,ABBR!C:F,1,FALSE)),ISERROR(VLOOKUP(E3804,ABBR!C:F,1,FALSE))),"")</f>
        <v/>
      </c>
    </row>
    <row r="3805" spans="1:17" s="62" customFormat="1" hidden="1" x14ac:dyDescent="0.25">
      <c r="A3805" s="16" t="s">
        <v>429</v>
      </c>
      <c r="B3805" s="17"/>
      <c r="C3805" s="16" t="s">
        <v>6125</v>
      </c>
      <c r="D3805" s="17"/>
      <c r="E3805" s="17" t="s">
        <v>618</v>
      </c>
      <c r="F3805" s="18" t="s">
        <v>1272</v>
      </c>
      <c r="G3805" s="49" t="s">
        <v>1273</v>
      </c>
      <c r="H3805" s="17">
        <v>11</v>
      </c>
      <c r="I3805" s="30"/>
      <c r="J3805"/>
      <c r="K3805"/>
      <c r="L3805"/>
      <c r="M3805"/>
      <c r="N3805"/>
      <c r="O3805" s="62" t="b">
        <f>IF(E3805="PA",IF(K3805&lt;&gt;"",ISERROR(VLOOKUP(K3805,ABBR!A:D,1,FALSE)),ISERROR(VLOOKUP(C3805,ABBR!A:D,1,FALSE))),"")</f>
        <v>0</v>
      </c>
      <c r="P3805" t="str">
        <f>VLOOKUP(A3805,Groups!A:L,5,FALSE)</f>
        <v>SAMP</v>
      </c>
      <c r="Q3805" s="62" t="str">
        <f>IF(G3805="PA",IF(M3805&lt;&gt;"",ISERROR(VLOOKUP(M3805,ABBR!C:F,1,FALSE)),ISERROR(VLOOKUP(E3805,ABBR!C:F,1,FALSE))),"")</f>
        <v/>
      </c>
    </row>
    <row r="3806" spans="1:17" s="62" customFormat="1" hidden="1" x14ac:dyDescent="0.25">
      <c r="A3806" s="16" t="s">
        <v>429</v>
      </c>
      <c r="B3806" s="17"/>
      <c r="C3806" s="16" t="s">
        <v>6126</v>
      </c>
      <c r="D3806" s="17" t="s">
        <v>1345</v>
      </c>
      <c r="E3806" s="17" t="s">
        <v>767</v>
      </c>
      <c r="F3806" s="18" t="s">
        <v>6127</v>
      </c>
      <c r="G3806" s="49"/>
      <c r="H3806" s="17">
        <v>12</v>
      </c>
      <c r="I3806" s="30"/>
      <c r="J3806"/>
      <c r="K3806"/>
      <c r="L3806"/>
      <c r="M3806" s="101" t="s">
        <v>1044</v>
      </c>
      <c r="N3806"/>
      <c r="O3806" s="62" t="str">
        <f>IF(E3806="PA",IF(K3806&lt;&gt;"",ISERROR(VLOOKUP(K3806,ABBR!A:D,1,FALSE)),ISERROR(VLOOKUP(C3806,ABBR!A:D,1,FALSE))),"")</f>
        <v/>
      </c>
      <c r="P3806" t="str">
        <f>VLOOKUP(A3806,Groups!A:L,5,FALSE)</f>
        <v>SAMP</v>
      </c>
      <c r="Q3806" s="62" t="str">
        <f>IF(G3806="PA",IF(M3806&lt;&gt;"",ISERROR(VLOOKUP(M3806,ABBR!C:F,1,FALSE)),ISERROR(VLOOKUP(E3806,ABBR!C:F,1,FALSE))),"")</f>
        <v/>
      </c>
    </row>
    <row r="3807" spans="1:17" s="62" customFormat="1" hidden="1" x14ac:dyDescent="0.25">
      <c r="A3807" s="16" t="s">
        <v>429</v>
      </c>
      <c r="B3807" s="17"/>
      <c r="C3807" s="16" t="s">
        <v>6128</v>
      </c>
      <c r="D3807" s="17" t="s">
        <v>2027</v>
      </c>
      <c r="E3807" s="17" t="s">
        <v>723</v>
      </c>
      <c r="F3807" s="18" t="s">
        <v>6129</v>
      </c>
      <c r="G3807" s="49" t="s">
        <v>6130</v>
      </c>
      <c r="H3807" s="17">
        <v>13</v>
      </c>
      <c r="I3807" s="30"/>
      <c r="J3807"/>
      <c r="K3807"/>
      <c r="L3807"/>
      <c r="M3807"/>
      <c r="N3807"/>
      <c r="O3807" s="62" t="str">
        <f>IF(E3807="PA",IF(K3807&lt;&gt;"",ISERROR(VLOOKUP(K3807,ABBR!A:D,1,FALSE)),ISERROR(VLOOKUP(C3807,ABBR!A:D,1,FALSE))),"")</f>
        <v/>
      </c>
      <c r="P3807" t="str">
        <f>VLOOKUP(A3807,Groups!A:L,5,FALSE)</f>
        <v>SAMP</v>
      </c>
      <c r="Q3807" s="62" t="str">
        <f>IF(G3807="PA",IF(M3807&lt;&gt;"",ISERROR(VLOOKUP(M3807,ABBR!C:F,1,FALSE)),ISERROR(VLOOKUP(E3807,ABBR!C:F,1,FALSE))),"")</f>
        <v/>
      </c>
    </row>
    <row r="3808" spans="1:17" s="62" customFormat="1" ht="25" hidden="1" x14ac:dyDescent="0.25">
      <c r="A3808" s="16" t="s">
        <v>429</v>
      </c>
      <c r="B3808" s="17"/>
      <c r="C3808" s="16" t="s">
        <v>6131</v>
      </c>
      <c r="D3808" s="17"/>
      <c r="E3808" s="17" t="s">
        <v>608</v>
      </c>
      <c r="F3808" s="18" t="s">
        <v>6132</v>
      </c>
      <c r="G3808" s="49" t="s">
        <v>6133</v>
      </c>
      <c r="H3808" s="17">
        <v>14</v>
      </c>
      <c r="I3808" s="30"/>
      <c r="J3808"/>
      <c r="K3808"/>
      <c r="L3808"/>
      <c r="M3808"/>
      <c r="N3808"/>
      <c r="O3808" s="62" t="str">
        <f>IF(E3808="PA",IF(K3808&lt;&gt;"",ISERROR(VLOOKUP(K3808,ABBR!A:D,1,FALSE)),ISERROR(VLOOKUP(C3808,ABBR!A:D,1,FALSE))),"")</f>
        <v/>
      </c>
      <c r="P3808" t="str">
        <f>VLOOKUP(A3808,Groups!A:L,5,FALSE)</f>
        <v>SAMP</v>
      </c>
      <c r="Q3808" s="62" t="str">
        <f>IF(G3808="PA",IF(M3808&lt;&gt;"",ISERROR(VLOOKUP(M3808,ABBR!C:F,1,FALSE)),ISERROR(VLOOKUP(E3808,ABBR!C:F,1,FALSE))),"")</f>
        <v/>
      </c>
    </row>
    <row r="3809" spans="1:17" s="62" customFormat="1" ht="25" hidden="1" x14ac:dyDescent="0.25">
      <c r="A3809" s="16" t="s">
        <v>429</v>
      </c>
      <c r="B3809" s="17"/>
      <c r="C3809" s="16" t="s">
        <v>6134</v>
      </c>
      <c r="D3809" s="17"/>
      <c r="E3809" s="17" t="s">
        <v>608</v>
      </c>
      <c r="F3809" s="18" t="s">
        <v>1287</v>
      </c>
      <c r="G3809" s="49" t="s">
        <v>6135</v>
      </c>
      <c r="H3809" s="17">
        <v>15</v>
      </c>
      <c r="I3809" s="30"/>
      <c r="J3809"/>
      <c r="K3809"/>
      <c r="L3809"/>
      <c r="M3809"/>
      <c r="N3809"/>
      <c r="O3809" s="62" t="str">
        <f>IF(E3809="PA",IF(K3809&lt;&gt;"",ISERROR(VLOOKUP(K3809,ABBR!A:D,1,FALSE)),ISERROR(VLOOKUP(C3809,ABBR!A:D,1,FALSE))),"")</f>
        <v/>
      </c>
      <c r="P3809" t="str">
        <f>VLOOKUP(A3809,Groups!A:L,5,FALSE)</f>
        <v>SAMP</v>
      </c>
      <c r="Q3809" s="62" t="str">
        <f>IF(G3809="PA",IF(M3809&lt;&gt;"",ISERROR(VLOOKUP(M3809,ABBR!C:F,1,FALSE)),ISERROR(VLOOKUP(E3809,ABBR!C:F,1,FALSE))),"")</f>
        <v/>
      </c>
    </row>
    <row r="3810" spans="1:17" s="62" customFormat="1" hidden="1" x14ac:dyDescent="0.25">
      <c r="A3810" s="16" t="s">
        <v>429</v>
      </c>
      <c r="B3810" s="17"/>
      <c r="C3810" s="16" t="s">
        <v>6136</v>
      </c>
      <c r="D3810" s="17"/>
      <c r="E3810" s="17" t="s">
        <v>608</v>
      </c>
      <c r="F3810" s="18" t="s">
        <v>918</v>
      </c>
      <c r="G3810" s="49" t="s">
        <v>6137</v>
      </c>
      <c r="H3810" s="17">
        <v>16</v>
      </c>
      <c r="I3810" s="30"/>
      <c r="J3810"/>
      <c r="K3810"/>
      <c r="L3810"/>
      <c r="M3810"/>
      <c r="N3810"/>
      <c r="O3810" s="62" t="str">
        <f>IF(E3810="PA",IF(K3810&lt;&gt;"",ISERROR(VLOOKUP(K3810,ABBR!A:D,1,FALSE)),ISERROR(VLOOKUP(C3810,ABBR!A:D,1,FALSE))),"")</f>
        <v/>
      </c>
      <c r="P3810" t="str">
        <f>VLOOKUP(A3810,Groups!A:L,5,FALSE)</f>
        <v>SAMP</v>
      </c>
      <c r="Q3810" s="62" t="str">
        <f>IF(G3810="PA",IF(M3810&lt;&gt;"",ISERROR(VLOOKUP(M3810,ABBR!C:F,1,FALSE)),ISERROR(VLOOKUP(E3810,ABBR!C:F,1,FALSE))),"")</f>
        <v/>
      </c>
    </row>
    <row r="3811" spans="1:17" s="62" customFormat="1" hidden="1" x14ac:dyDescent="0.25">
      <c r="A3811" s="16" t="s">
        <v>429</v>
      </c>
      <c r="B3811" s="17"/>
      <c r="C3811" s="16" t="s">
        <v>6138</v>
      </c>
      <c r="D3811" s="17"/>
      <c r="E3811" s="17" t="s">
        <v>608</v>
      </c>
      <c r="F3811" s="18" t="s">
        <v>950</v>
      </c>
      <c r="G3811" s="27" t="s">
        <v>951</v>
      </c>
      <c r="H3811" s="17">
        <v>17</v>
      </c>
      <c r="I3811" s="30"/>
      <c r="J3811"/>
      <c r="K3811"/>
      <c r="L3811"/>
      <c r="M3811"/>
      <c r="N3811"/>
      <c r="O3811" s="62" t="str">
        <f>IF(E3811="PA",IF(K3811&lt;&gt;"",ISERROR(VLOOKUP(K3811,ABBR!A:D,1,FALSE)),ISERROR(VLOOKUP(C3811,ABBR!A:D,1,FALSE))),"")</f>
        <v/>
      </c>
      <c r="P3811" t="str">
        <f>VLOOKUP(A3811,Groups!A:L,5,FALSE)</f>
        <v>SAMP</v>
      </c>
      <c r="Q3811" s="62" t="str">
        <f>IF(G3811="PA",IF(M3811&lt;&gt;"",ISERROR(VLOOKUP(M3811,ABBR!C:F,1,FALSE)),ISERROR(VLOOKUP(E3811,ABBR!C:F,1,FALSE))),"")</f>
        <v/>
      </c>
    </row>
    <row r="3812" spans="1:17" s="62" customFormat="1" ht="25" hidden="1" x14ac:dyDescent="0.25">
      <c r="A3812" s="16" t="s">
        <v>429</v>
      </c>
      <c r="B3812" s="17"/>
      <c r="C3812" s="16" t="s">
        <v>6139</v>
      </c>
      <c r="D3812" s="17"/>
      <c r="E3812" s="17" t="s">
        <v>608</v>
      </c>
      <c r="F3812" s="18" t="s">
        <v>934</v>
      </c>
      <c r="G3812" s="49" t="s">
        <v>953</v>
      </c>
      <c r="H3812" s="17">
        <v>18</v>
      </c>
      <c r="I3812" s="30"/>
      <c r="J3812"/>
      <c r="K3812"/>
      <c r="L3812"/>
      <c r="M3812"/>
      <c r="N3812"/>
      <c r="O3812" s="62" t="str">
        <f>IF(E3812="PA",IF(K3812&lt;&gt;"",ISERROR(VLOOKUP(K3812,ABBR!A:D,1,FALSE)),ISERROR(VLOOKUP(C3812,ABBR!A:D,1,FALSE))),"")</f>
        <v/>
      </c>
      <c r="P3812" t="str">
        <f>VLOOKUP(A3812,Groups!A:L,5,FALSE)</f>
        <v>SAMP</v>
      </c>
      <c r="Q3812" s="62" t="str">
        <f>IF(G3812="PA",IF(M3812&lt;&gt;"",ISERROR(VLOOKUP(M3812,ABBR!C:F,1,FALSE)),ISERROR(VLOOKUP(E3812,ABBR!C:F,1,FALSE))),"")</f>
        <v/>
      </c>
    </row>
    <row r="3813" spans="1:17" s="62" customFormat="1" hidden="1" x14ac:dyDescent="0.25">
      <c r="A3813" s="16" t="s">
        <v>429</v>
      </c>
      <c r="B3813" s="17"/>
      <c r="C3813" s="16" t="s">
        <v>936</v>
      </c>
      <c r="D3813" s="17"/>
      <c r="E3813" s="22" t="s">
        <v>608</v>
      </c>
      <c r="F3813" s="18" t="s">
        <v>937</v>
      </c>
      <c r="G3813" s="49" t="s">
        <v>938</v>
      </c>
      <c r="H3813" s="17">
        <v>19</v>
      </c>
      <c r="I3813" s="30"/>
      <c r="J3813"/>
      <c r="K3813"/>
      <c r="L3813"/>
      <c r="M3813"/>
      <c r="N3813"/>
      <c r="O3813" s="62" t="str">
        <f>IF(E3813="PA",IF(K3813&lt;&gt;"",ISERROR(VLOOKUP(K3813,ABBR!A:D,1,FALSE)),ISERROR(VLOOKUP(C3813,ABBR!A:D,1,FALSE))),"")</f>
        <v/>
      </c>
      <c r="P3813" t="str">
        <f>VLOOKUP(A3813,Groups!A:L,5,FALSE)</f>
        <v>SAMP</v>
      </c>
      <c r="Q3813" s="62" t="str">
        <f>IF(G3813="PA",IF(M3813&lt;&gt;"",ISERROR(VLOOKUP(M3813,ABBR!C:F,1,FALSE)),ISERROR(VLOOKUP(E3813,ABBR!C:F,1,FALSE))),"")</f>
        <v/>
      </c>
    </row>
    <row r="3814" spans="1:17" s="62" customFormat="1" hidden="1" x14ac:dyDescent="0.25">
      <c r="A3814" s="16" t="s">
        <v>429</v>
      </c>
      <c r="B3814" s="17"/>
      <c r="C3814" s="16" t="s">
        <v>643</v>
      </c>
      <c r="D3814" s="17"/>
      <c r="E3814" s="17" t="s">
        <v>608</v>
      </c>
      <c r="F3814" s="18" t="s">
        <v>1294</v>
      </c>
      <c r="G3814" s="49" t="s">
        <v>4378</v>
      </c>
      <c r="H3814" s="17">
        <v>20</v>
      </c>
      <c r="I3814" s="30"/>
      <c r="J3814"/>
      <c r="K3814"/>
      <c r="L3814"/>
      <c r="M3814"/>
      <c r="N3814"/>
      <c r="O3814" s="62" t="str">
        <f>IF(E3814="PA",IF(K3814&lt;&gt;"",ISERROR(VLOOKUP(K3814,ABBR!A:D,1,FALSE)),ISERROR(VLOOKUP(C3814,ABBR!A:D,1,FALSE))),"")</f>
        <v/>
      </c>
      <c r="P3814" t="str">
        <f>VLOOKUP(A3814,Groups!A:L,5,FALSE)</f>
        <v>SAMP</v>
      </c>
      <c r="Q3814" s="62" t="str">
        <f>IF(G3814="PA",IF(M3814&lt;&gt;"",ISERROR(VLOOKUP(M3814,ABBR!C:F,1,FALSE)),ISERROR(VLOOKUP(E3814,ABBR!C:F,1,FALSE))),"")</f>
        <v/>
      </c>
    </row>
    <row r="3815" spans="1:17" s="62" customFormat="1" hidden="1" x14ac:dyDescent="0.25">
      <c r="A3815" s="16" t="s">
        <v>429</v>
      </c>
      <c r="B3815" s="17"/>
      <c r="C3815" s="16" t="s">
        <v>877</v>
      </c>
      <c r="D3815" s="17" t="s">
        <v>600</v>
      </c>
      <c r="E3815" s="17" t="s">
        <v>601</v>
      </c>
      <c r="F3815" s="18" t="s">
        <v>878</v>
      </c>
      <c r="G3815" s="49" t="s">
        <v>879</v>
      </c>
      <c r="H3815" s="17">
        <v>21</v>
      </c>
      <c r="I3815" s="30" t="s">
        <v>955</v>
      </c>
      <c r="J3815" s="80">
        <v>4.0999999999999996</v>
      </c>
      <c r="K3815"/>
      <c r="L3815"/>
      <c r="M3815"/>
      <c r="N3815"/>
      <c r="O3815" s="62" t="str">
        <f>IF(E3815="PA",IF(K3815&lt;&gt;"",ISERROR(VLOOKUP(K3815,ABBR!A:D,1,FALSE)),ISERROR(VLOOKUP(C3815,ABBR!A:D,1,FALSE))),"")</f>
        <v/>
      </c>
      <c r="P3815" t="str">
        <f>VLOOKUP(A3815,Groups!A:L,5,FALSE)</f>
        <v>SAMP</v>
      </c>
      <c r="Q3815" s="62" t="str">
        <f>IF(G3815="PA",IF(M3815&lt;&gt;"",ISERROR(VLOOKUP(M3815,ABBR!C:F,1,FALSE)),ISERROR(VLOOKUP(E3815,ABBR!C:F,1,FALSE))),"")</f>
        <v/>
      </c>
    </row>
    <row r="3816" spans="1:17" s="62" customFormat="1" ht="25" hidden="1" x14ac:dyDescent="0.25">
      <c r="A3816" s="16" t="s">
        <v>429</v>
      </c>
      <c r="B3816" s="17"/>
      <c r="C3816" s="16" t="s">
        <v>6140</v>
      </c>
      <c r="D3816" s="17"/>
      <c r="E3816" s="17" t="s">
        <v>608</v>
      </c>
      <c r="F3816" s="18" t="s">
        <v>6141</v>
      </c>
      <c r="G3816" s="94" t="s">
        <v>922</v>
      </c>
      <c r="H3816" s="17">
        <v>22</v>
      </c>
      <c r="I3816" s="30" t="s">
        <v>955</v>
      </c>
      <c r="J3816" s="80">
        <v>4.0999999999999996</v>
      </c>
      <c r="K3816"/>
      <c r="L3816"/>
      <c r="M3816" s="101"/>
      <c r="N3816"/>
      <c r="O3816" s="62" t="str">
        <f>IF(E3816="PA",IF(K3816&lt;&gt;"",ISERROR(VLOOKUP(K3816,ABBR!A:D,1,FALSE)),ISERROR(VLOOKUP(C3816,ABBR!A:D,1,FALSE))),"")</f>
        <v/>
      </c>
      <c r="P3816" t="str">
        <f>VLOOKUP(A3816,Groups!A:L,5,FALSE)</f>
        <v>SAMP</v>
      </c>
      <c r="Q3816" s="62" t="str">
        <f>IF(G3816="PA",IF(M3816&lt;&gt;"",ISERROR(VLOOKUP(M3816,ABBR!C:F,1,FALSE)),ISERROR(VLOOKUP(E3816,ABBR!C:F,1,FALSE))),"")</f>
        <v/>
      </c>
    </row>
    <row r="3817" spans="1:17" s="62" customFormat="1" hidden="1" x14ac:dyDescent="0.25">
      <c r="A3817" s="16" t="s">
        <v>429</v>
      </c>
      <c r="B3817" s="17"/>
      <c r="C3817" s="16" t="s">
        <v>6142</v>
      </c>
      <c r="D3817" s="17" t="s">
        <v>1710</v>
      </c>
      <c r="E3817" s="17" t="s">
        <v>601</v>
      </c>
      <c r="F3817" s="18" t="s">
        <v>6143</v>
      </c>
      <c r="G3817" s="49" t="s">
        <v>6144</v>
      </c>
      <c r="H3817" s="17">
        <v>23</v>
      </c>
      <c r="I3817" s="30"/>
      <c r="J3817" s="62" t="s">
        <v>558</v>
      </c>
      <c r="O3817" s="62" t="str">
        <f>IF(E3817="PA",IF(K3817&lt;&gt;"",ISERROR(VLOOKUP(K3817,ABBR!A:D,1,FALSE)),ISERROR(VLOOKUP(C3817,ABBR!A:D,1,FALSE))),"")</f>
        <v/>
      </c>
      <c r="P3817" t="str">
        <f>VLOOKUP(A3817,Groups!A:L,5,FALSE)</f>
        <v>SAMP</v>
      </c>
      <c r="Q3817" s="62" t="str">
        <f>IF(G3817="PA",IF(M3817&lt;&gt;"",ISERROR(VLOOKUP(M3817,ABBR!C:F,1,FALSE)),ISERROR(VLOOKUP(E3817,ABBR!C:F,1,FALSE))),"")</f>
        <v/>
      </c>
    </row>
    <row r="3818" spans="1:17" s="62" customFormat="1" hidden="1" x14ac:dyDescent="0.25">
      <c r="A3818" s="16" t="s">
        <v>429</v>
      </c>
      <c r="B3818" s="17"/>
      <c r="C3818" s="16" t="s">
        <v>6145</v>
      </c>
      <c r="D3818" s="17" t="s">
        <v>924</v>
      </c>
      <c r="E3818" s="17" t="s">
        <v>925</v>
      </c>
      <c r="F3818" s="18" t="s">
        <v>926</v>
      </c>
      <c r="G3818" s="49" t="s">
        <v>927</v>
      </c>
      <c r="H3818" s="17">
        <v>24</v>
      </c>
      <c r="I3818" s="30"/>
      <c r="J3818" s="62" t="s">
        <v>473</v>
      </c>
      <c r="O3818" s="62" t="str">
        <f>IF(E3818="PA",IF(K3818&lt;&gt;"",ISERROR(VLOOKUP(K3818,ABBR!A:D,1,FALSE)),ISERROR(VLOOKUP(C3818,ABBR!A:D,1,FALSE))),"")</f>
        <v/>
      </c>
      <c r="P3818" t="str">
        <f>VLOOKUP(A3818,Groups!A:L,5,FALSE)</f>
        <v>SAMP</v>
      </c>
      <c r="Q3818" s="62" t="str">
        <f>IF(G3818="PA",IF(M3818&lt;&gt;"",ISERROR(VLOOKUP(M3818,ABBR!C:F,1,FALSE)),ISERROR(VLOOKUP(E3818,ABBR!C:F,1,FALSE))),"")</f>
        <v/>
      </c>
    </row>
    <row r="3819" spans="1:17" s="62" customFormat="1" hidden="1" x14ac:dyDescent="0.25">
      <c r="A3819" s="16" t="s">
        <v>429</v>
      </c>
      <c r="B3819" s="17"/>
      <c r="C3819" s="16" t="s">
        <v>6146</v>
      </c>
      <c r="D3819" s="17"/>
      <c r="E3819" s="17" t="s">
        <v>608</v>
      </c>
      <c r="F3819" s="18" t="s">
        <v>875</v>
      </c>
      <c r="G3819" s="49" t="s">
        <v>876</v>
      </c>
      <c r="H3819" s="17">
        <v>25</v>
      </c>
      <c r="I3819" s="30"/>
      <c r="J3819" s="62" t="s">
        <v>473</v>
      </c>
      <c r="O3819" s="62" t="str">
        <f>IF(E3819="PA",IF(K3819&lt;&gt;"",ISERROR(VLOOKUP(K3819,ABBR!A:D,1,FALSE)),ISERROR(VLOOKUP(C3819,ABBR!A:D,1,FALSE))),"")</f>
        <v/>
      </c>
      <c r="P3819" t="str">
        <f>VLOOKUP(A3819,Groups!A:L,5,FALSE)</f>
        <v>SAMP</v>
      </c>
      <c r="Q3819" s="62" t="str">
        <f>IF(G3819="PA",IF(M3819&lt;&gt;"",ISERROR(VLOOKUP(M3819,ABBR!C:F,1,FALSE)),ISERROR(VLOOKUP(E3819,ABBR!C:F,1,FALSE))),"")</f>
        <v/>
      </c>
    </row>
    <row r="3820" spans="1:17" s="62" customFormat="1" hidden="1" x14ac:dyDescent="0.25">
      <c r="A3820" s="16" t="s">
        <v>429</v>
      </c>
      <c r="B3820" s="17"/>
      <c r="C3820" s="16" t="s">
        <v>6147</v>
      </c>
      <c r="D3820" s="17"/>
      <c r="E3820" s="17" t="s">
        <v>608</v>
      </c>
      <c r="F3820" s="18" t="s">
        <v>929</v>
      </c>
      <c r="G3820" s="49" t="s">
        <v>876</v>
      </c>
      <c r="H3820" s="17">
        <v>26</v>
      </c>
      <c r="I3820" s="30"/>
      <c r="J3820" s="62" t="s">
        <v>473</v>
      </c>
      <c r="O3820" s="62" t="str">
        <f>IF(E3820="PA",IF(K3820&lt;&gt;"",ISERROR(VLOOKUP(K3820,ABBR!A:D,1,FALSE)),ISERROR(VLOOKUP(C3820,ABBR!A:D,1,FALSE))),"")</f>
        <v/>
      </c>
      <c r="P3820" t="str">
        <f>VLOOKUP(A3820,Groups!A:L,5,FALSE)</f>
        <v>SAMP</v>
      </c>
      <c r="Q3820" s="62" t="str">
        <f>IF(G3820="PA",IF(M3820&lt;&gt;"",ISERROR(VLOOKUP(M3820,ABBR!C:F,1,FALSE)),ISERROR(VLOOKUP(E3820,ABBR!C:F,1,FALSE))),"")</f>
        <v/>
      </c>
    </row>
    <row r="3821" spans="1:17" s="62" customFormat="1" hidden="1" x14ac:dyDescent="0.25">
      <c r="A3821" s="16" t="s">
        <v>433</v>
      </c>
      <c r="B3821" s="17" t="s">
        <v>594</v>
      </c>
      <c r="C3821" s="16" t="s">
        <v>595</v>
      </c>
      <c r="D3821" s="17"/>
      <c r="E3821" s="17" t="s">
        <v>596</v>
      </c>
      <c r="F3821" s="18" t="s">
        <v>597</v>
      </c>
      <c r="G3821" s="49" t="s">
        <v>598</v>
      </c>
      <c r="H3821" s="17">
        <v>1</v>
      </c>
      <c r="I3821" s="30"/>
      <c r="J3821"/>
      <c r="K3821"/>
      <c r="L3821"/>
      <c r="M3821"/>
      <c r="N3821"/>
      <c r="O3821" s="62" t="str">
        <f>IF(E3821="PA",IF(K3821&lt;&gt;"",ISERROR(VLOOKUP(K3821,ABBR!A:D,1,FALSE)),ISERROR(VLOOKUP(C3821,ABBR!A:D,1,FALSE))),"")</f>
        <v/>
      </c>
      <c r="P3821" t="str">
        <f>VLOOKUP(A3821,Groups!A:L,5,FALSE)</f>
        <v>LOCA</v>
      </c>
      <c r="Q3821" s="62" t="str">
        <f>IF(G3821="PA",IF(M3821&lt;&gt;"",ISERROR(VLOOKUP(M3821,ABBR!C:F,1,FALSE)),ISERROR(VLOOKUP(E3821,ABBR!C:F,1,FALSE))),"")</f>
        <v/>
      </c>
    </row>
    <row r="3822" spans="1:17" s="62" customFormat="1" ht="25" hidden="1" x14ac:dyDescent="0.25">
      <c r="A3822" s="16" t="s">
        <v>433</v>
      </c>
      <c r="B3822" s="17" t="s">
        <v>594</v>
      </c>
      <c r="C3822" s="16" t="s">
        <v>6148</v>
      </c>
      <c r="D3822" s="17" t="s">
        <v>1421</v>
      </c>
      <c r="E3822" s="17" t="s">
        <v>925</v>
      </c>
      <c r="F3822" s="18" t="s">
        <v>4742</v>
      </c>
      <c r="G3822" s="49" t="s">
        <v>4743</v>
      </c>
      <c r="H3822" s="17">
        <v>2</v>
      </c>
      <c r="I3822" s="30"/>
      <c r="J3822"/>
      <c r="K3822"/>
      <c r="L3822"/>
      <c r="M3822"/>
      <c r="N3822"/>
      <c r="O3822" s="62" t="str">
        <f>IF(E3822="PA",IF(K3822&lt;&gt;"",ISERROR(VLOOKUP(K3822,ABBR!A:D,1,FALSE)),ISERROR(VLOOKUP(C3822,ABBR!A:D,1,FALSE))),"")</f>
        <v/>
      </c>
      <c r="P3822" t="str">
        <f>VLOOKUP(A3822,Groups!A:L,5,FALSE)</f>
        <v>LOCA</v>
      </c>
      <c r="Q3822" s="62" t="str">
        <f>IF(G3822="PA",IF(M3822&lt;&gt;"",ISERROR(VLOOKUP(M3822,ABBR!C:F,1,FALSE)),ISERROR(VLOOKUP(E3822,ABBR!C:F,1,FALSE))),"")</f>
        <v/>
      </c>
    </row>
    <row r="3823" spans="1:17" s="62" customFormat="1" hidden="1" x14ac:dyDescent="0.25">
      <c r="A3823" s="16" t="s">
        <v>433</v>
      </c>
      <c r="B3823" s="17"/>
      <c r="C3823" s="16" t="s">
        <v>6149</v>
      </c>
      <c r="D3823" s="17"/>
      <c r="E3823" s="17" t="s">
        <v>608</v>
      </c>
      <c r="F3823" s="18" t="s">
        <v>4745</v>
      </c>
      <c r="G3823" s="49" t="s">
        <v>4746</v>
      </c>
      <c r="H3823" s="17">
        <v>3</v>
      </c>
      <c r="I3823" s="30"/>
      <c r="J3823"/>
      <c r="K3823"/>
      <c r="L3823"/>
      <c r="M3823"/>
      <c r="N3823"/>
      <c r="O3823" s="62" t="str">
        <f>IF(E3823="PA",IF(K3823&lt;&gt;"",ISERROR(VLOOKUP(K3823,ABBR!A:D,1,FALSE)),ISERROR(VLOOKUP(C3823,ABBR!A:D,1,FALSE))),"")</f>
        <v/>
      </c>
      <c r="P3823" t="str">
        <f>VLOOKUP(A3823,Groups!A:L,5,FALSE)</f>
        <v>LOCA</v>
      </c>
      <c r="Q3823" s="62" t="str">
        <f>IF(G3823="PA",IF(M3823&lt;&gt;"",ISERROR(VLOOKUP(M3823,ABBR!C:F,1,FALSE)),ISERROR(VLOOKUP(E3823,ABBR!C:F,1,FALSE))),"")</f>
        <v/>
      </c>
    </row>
    <row r="3824" spans="1:17" s="62" customFormat="1" ht="25" hidden="1" x14ac:dyDescent="0.25">
      <c r="A3824" s="16" t="s">
        <v>433</v>
      </c>
      <c r="B3824" s="17"/>
      <c r="C3824" s="16" t="s">
        <v>6150</v>
      </c>
      <c r="D3824" s="17"/>
      <c r="E3824" s="17" t="s">
        <v>608</v>
      </c>
      <c r="F3824" s="18" t="s">
        <v>4748</v>
      </c>
      <c r="G3824" s="49" t="s">
        <v>4749</v>
      </c>
      <c r="H3824" s="17">
        <v>4</v>
      </c>
      <c r="I3824" s="30"/>
      <c r="J3824"/>
      <c r="K3824"/>
      <c r="L3824"/>
      <c r="M3824"/>
      <c r="N3824"/>
      <c r="O3824" s="62" t="str">
        <f>IF(E3824="PA",IF(K3824&lt;&gt;"",ISERROR(VLOOKUP(K3824,ABBR!A:D,1,FALSE)),ISERROR(VLOOKUP(C3824,ABBR!A:D,1,FALSE))),"")</f>
        <v/>
      </c>
      <c r="P3824" t="str">
        <f>VLOOKUP(A3824,Groups!A:L,5,FALSE)</f>
        <v>LOCA</v>
      </c>
      <c r="Q3824" s="62" t="str">
        <f>IF(G3824="PA",IF(M3824&lt;&gt;"",ISERROR(VLOOKUP(M3824,ABBR!C:F,1,FALSE)),ISERROR(VLOOKUP(E3824,ABBR!C:F,1,FALSE))),"")</f>
        <v/>
      </c>
    </row>
    <row r="3825" spans="1:17" s="62" customFormat="1" hidden="1" x14ac:dyDescent="0.25">
      <c r="A3825" s="16" t="s">
        <v>433</v>
      </c>
      <c r="B3825" s="17"/>
      <c r="C3825" s="16" t="s">
        <v>6151</v>
      </c>
      <c r="D3825" s="17" t="s">
        <v>1639</v>
      </c>
      <c r="E3825" s="17" t="s">
        <v>1417</v>
      </c>
      <c r="F3825" s="18" t="s">
        <v>4751</v>
      </c>
      <c r="G3825" s="49" t="s">
        <v>4752</v>
      </c>
      <c r="H3825" s="17">
        <v>5</v>
      </c>
      <c r="I3825" s="30"/>
      <c r="J3825"/>
      <c r="K3825"/>
      <c r="L3825"/>
      <c r="M3825"/>
      <c r="N3825"/>
      <c r="O3825" s="62" t="str">
        <f>IF(E3825="PA",IF(K3825&lt;&gt;"",ISERROR(VLOOKUP(K3825,ABBR!A:D,1,FALSE)),ISERROR(VLOOKUP(C3825,ABBR!A:D,1,FALSE))),"")</f>
        <v/>
      </c>
      <c r="P3825" t="str">
        <f>VLOOKUP(A3825,Groups!A:L,5,FALSE)</f>
        <v>LOCA</v>
      </c>
      <c r="Q3825" s="62" t="str">
        <f>IF(G3825="PA",IF(M3825&lt;&gt;"",ISERROR(VLOOKUP(M3825,ABBR!C:F,1,FALSE)),ISERROR(VLOOKUP(E3825,ABBR!C:F,1,FALSE))),"")</f>
        <v/>
      </c>
    </row>
    <row r="3826" spans="1:17" s="62" customFormat="1" ht="25" hidden="1" x14ac:dyDescent="0.25">
      <c r="A3826" s="16" t="s">
        <v>433</v>
      </c>
      <c r="B3826" s="17"/>
      <c r="C3826" s="16" t="s">
        <v>6152</v>
      </c>
      <c r="D3826" s="17" t="s">
        <v>1421</v>
      </c>
      <c r="E3826" s="17" t="s">
        <v>925</v>
      </c>
      <c r="F3826" s="18" t="s">
        <v>4754</v>
      </c>
      <c r="G3826" s="49" t="s">
        <v>6153</v>
      </c>
      <c r="H3826" s="17">
        <v>6</v>
      </c>
      <c r="I3826" s="30"/>
      <c r="J3826"/>
      <c r="K3826"/>
      <c r="L3826"/>
      <c r="M3826"/>
      <c r="N3826"/>
      <c r="O3826" s="62" t="str">
        <f>IF(E3826="PA",IF(K3826&lt;&gt;"",ISERROR(VLOOKUP(K3826,ABBR!A:D,1,FALSE)),ISERROR(VLOOKUP(C3826,ABBR!A:D,1,FALSE))),"")</f>
        <v/>
      </c>
      <c r="P3826" t="str">
        <f>VLOOKUP(A3826,Groups!A:L,5,FALSE)</f>
        <v>LOCA</v>
      </c>
      <c r="Q3826" s="62" t="str">
        <f>IF(G3826="PA",IF(M3826&lt;&gt;"",ISERROR(VLOOKUP(M3826,ABBR!C:F,1,FALSE)),ISERROR(VLOOKUP(E3826,ABBR!C:F,1,FALSE))),"")</f>
        <v/>
      </c>
    </row>
    <row r="3827" spans="1:17" s="62" customFormat="1" hidden="1" x14ac:dyDescent="0.25">
      <c r="A3827" s="16" t="s">
        <v>433</v>
      </c>
      <c r="B3827" s="17"/>
      <c r="C3827" s="16" t="s">
        <v>643</v>
      </c>
      <c r="D3827" s="17"/>
      <c r="E3827" s="17" t="s">
        <v>608</v>
      </c>
      <c r="F3827" s="18" t="s">
        <v>4756</v>
      </c>
      <c r="G3827" s="49" t="s">
        <v>4479</v>
      </c>
      <c r="H3827" s="17">
        <v>7</v>
      </c>
      <c r="I3827" s="30"/>
      <c r="J3827"/>
      <c r="K3827"/>
      <c r="L3827"/>
      <c r="M3827"/>
      <c r="N3827"/>
      <c r="O3827" s="62" t="str">
        <f>IF(E3827="PA",IF(K3827&lt;&gt;"",ISERROR(VLOOKUP(K3827,ABBR!A:D,1,FALSE)),ISERROR(VLOOKUP(C3827,ABBR!A:D,1,FALSE))),"")</f>
        <v/>
      </c>
      <c r="P3827" t="str">
        <f>VLOOKUP(A3827,Groups!A:L,5,FALSE)</f>
        <v>LOCA</v>
      </c>
      <c r="Q3827" s="62" t="str">
        <f>IF(G3827="PA",IF(M3827&lt;&gt;"",ISERROR(VLOOKUP(M3827,ABBR!C:F,1,FALSE)),ISERROR(VLOOKUP(E3827,ABBR!C:F,1,FALSE))),"")</f>
        <v/>
      </c>
    </row>
    <row r="3828" spans="1:17" s="62" customFormat="1" ht="25" hidden="1" x14ac:dyDescent="0.25">
      <c r="A3828" s="16" t="s">
        <v>433</v>
      </c>
      <c r="B3828" s="17"/>
      <c r="C3828" s="16" t="s">
        <v>6154</v>
      </c>
      <c r="D3828" s="17"/>
      <c r="E3828" s="17" t="s">
        <v>608</v>
      </c>
      <c r="F3828" s="18" t="s">
        <v>6155</v>
      </c>
      <c r="G3828" s="49" t="s">
        <v>876</v>
      </c>
      <c r="H3828" s="17">
        <v>8</v>
      </c>
      <c r="I3828" s="30"/>
      <c r="J3828" s="62" t="s">
        <v>473</v>
      </c>
      <c r="O3828" s="62" t="str">
        <f>IF(E3828="PA",IF(K3828&lt;&gt;"",ISERROR(VLOOKUP(K3828,ABBR!A:D,1,FALSE)),ISERROR(VLOOKUP(C3828,ABBR!A:D,1,FALSE))),"")</f>
        <v/>
      </c>
      <c r="P3828" t="str">
        <f>VLOOKUP(A3828,Groups!A:L,5,FALSE)</f>
        <v>LOCA</v>
      </c>
      <c r="Q3828" s="62" t="str">
        <f>IF(G3828="PA",IF(M3828&lt;&gt;"",ISERROR(VLOOKUP(M3828,ABBR!C:F,1,FALSE)),ISERROR(VLOOKUP(E3828,ABBR!C:F,1,FALSE))),"")</f>
        <v/>
      </c>
    </row>
    <row r="3829" spans="1:17" s="62" customFormat="1" hidden="1" x14ac:dyDescent="0.25">
      <c r="A3829" s="16" t="s">
        <v>431</v>
      </c>
      <c r="B3829" s="17" t="s">
        <v>594</v>
      </c>
      <c r="C3829" s="16" t="s">
        <v>595</v>
      </c>
      <c r="D3829" s="17"/>
      <c r="E3829" s="17" t="s">
        <v>596</v>
      </c>
      <c r="F3829" s="18" t="s">
        <v>597</v>
      </c>
      <c r="G3829" s="49" t="s">
        <v>598</v>
      </c>
      <c r="H3829" s="17">
        <v>1</v>
      </c>
      <c r="I3829" s="30"/>
      <c r="J3829"/>
      <c r="K3829"/>
      <c r="L3829"/>
      <c r="M3829"/>
      <c r="N3829"/>
      <c r="O3829" s="62" t="str">
        <f>IF(E3829="PA",IF(K3829&lt;&gt;"",ISERROR(VLOOKUP(K3829,ABBR!A:D,1,FALSE)),ISERROR(VLOOKUP(C3829,ABBR!A:D,1,FALSE))),"")</f>
        <v/>
      </c>
      <c r="P3829" t="str">
        <f>VLOOKUP(A3829,Groups!A:L,5,FALSE)</f>
        <v>TREG</v>
      </c>
      <c r="Q3829" s="62" t="str">
        <f>IF(G3829="PA",IF(M3829&lt;&gt;"",ISERROR(VLOOKUP(M3829,ABBR!C:F,1,FALSE)),ISERROR(VLOOKUP(E3829,ABBR!C:F,1,FALSE))),"")</f>
        <v/>
      </c>
    </row>
    <row r="3830" spans="1:17" s="62" customFormat="1" hidden="1" x14ac:dyDescent="0.25">
      <c r="A3830" s="16" t="s">
        <v>431</v>
      </c>
      <c r="B3830" s="17" t="s">
        <v>594</v>
      </c>
      <c r="C3830" s="16" t="s">
        <v>851</v>
      </c>
      <c r="D3830" s="17" t="s">
        <v>600</v>
      </c>
      <c r="E3830" s="17" t="s">
        <v>601</v>
      </c>
      <c r="F3830" s="18" t="s">
        <v>852</v>
      </c>
      <c r="G3830" s="49" t="s">
        <v>853</v>
      </c>
      <c r="H3830" s="17">
        <v>2</v>
      </c>
      <c r="I3830" s="30"/>
      <c r="J3830"/>
      <c r="K3830"/>
      <c r="L3830"/>
      <c r="M3830"/>
      <c r="N3830"/>
      <c r="O3830" s="62" t="str">
        <f>IF(E3830="PA",IF(K3830&lt;&gt;"",ISERROR(VLOOKUP(K3830,ABBR!A:D,1,FALSE)),ISERROR(VLOOKUP(C3830,ABBR!A:D,1,FALSE))),"")</f>
        <v/>
      </c>
      <c r="P3830" t="str">
        <f>VLOOKUP(A3830,Groups!A:L,5,FALSE)</f>
        <v>TREG</v>
      </c>
      <c r="Q3830" s="62" t="str">
        <f>IF(G3830="PA",IF(M3830&lt;&gt;"",ISERROR(VLOOKUP(M3830,ABBR!C:F,1,FALSE)),ISERROR(VLOOKUP(E3830,ABBR!C:F,1,FALSE))),"")</f>
        <v/>
      </c>
    </row>
    <row r="3831" spans="1:17" s="62" customFormat="1" hidden="1" x14ac:dyDescent="0.25">
      <c r="A3831" s="16" t="s">
        <v>431</v>
      </c>
      <c r="B3831" s="17" t="s">
        <v>594</v>
      </c>
      <c r="C3831" s="16" t="s">
        <v>854</v>
      </c>
      <c r="D3831" s="17"/>
      <c r="E3831" s="17" t="s">
        <v>608</v>
      </c>
      <c r="F3831" s="18" t="s">
        <v>855</v>
      </c>
      <c r="G3831" s="49" t="s">
        <v>941</v>
      </c>
      <c r="H3831" s="17">
        <v>3</v>
      </c>
      <c r="I3831" s="30"/>
      <c r="J3831"/>
      <c r="K3831"/>
      <c r="L3831"/>
      <c r="M3831"/>
      <c r="N3831"/>
      <c r="O3831" s="62" t="str">
        <f>IF(E3831="PA",IF(K3831&lt;&gt;"",ISERROR(VLOOKUP(K3831,ABBR!A:D,1,FALSE)),ISERROR(VLOOKUP(C3831,ABBR!A:D,1,FALSE))),"")</f>
        <v/>
      </c>
      <c r="P3831" t="str">
        <f>VLOOKUP(A3831,Groups!A:L,5,FALSE)</f>
        <v>TREG</v>
      </c>
      <c r="Q3831" s="62" t="str">
        <f>IF(G3831="PA",IF(M3831&lt;&gt;"",ISERROR(VLOOKUP(M3831,ABBR!C:F,1,FALSE)),ISERROR(VLOOKUP(E3831,ABBR!C:F,1,FALSE))),"")</f>
        <v/>
      </c>
    </row>
    <row r="3832" spans="1:17" s="62" customFormat="1" hidden="1" x14ac:dyDescent="0.25">
      <c r="A3832" s="16" t="s">
        <v>431</v>
      </c>
      <c r="B3832" s="17" t="s">
        <v>594</v>
      </c>
      <c r="C3832" s="16" t="s">
        <v>857</v>
      </c>
      <c r="D3832" s="17"/>
      <c r="E3832" s="17" t="s">
        <v>618</v>
      </c>
      <c r="F3832" s="18" t="s">
        <v>858</v>
      </c>
      <c r="G3832" s="49" t="s">
        <v>859</v>
      </c>
      <c r="H3832" s="17">
        <v>4</v>
      </c>
      <c r="I3832" s="30"/>
      <c r="J3832"/>
      <c r="K3832"/>
      <c r="L3832"/>
      <c r="M3832"/>
      <c r="N3832"/>
      <c r="O3832" s="62" t="b">
        <f>IF(E3832="PA",IF(K3832&lt;&gt;"",ISERROR(VLOOKUP(K3832,ABBR!A:D,1,FALSE)),ISERROR(VLOOKUP(C3832,ABBR!A:D,1,FALSE))),"")</f>
        <v>0</v>
      </c>
      <c r="P3832" t="str">
        <f>VLOOKUP(A3832,Groups!A:L,5,FALSE)</f>
        <v>TREG</v>
      </c>
      <c r="Q3832" s="62" t="str">
        <f>IF(G3832="PA",IF(M3832&lt;&gt;"",ISERROR(VLOOKUP(M3832,ABBR!C:F,1,FALSE)),ISERROR(VLOOKUP(E3832,ABBR!C:F,1,FALSE))),"")</f>
        <v/>
      </c>
    </row>
    <row r="3833" spans="1:17" s="62" customFormat="1" hidden="1" x14ac:dyDescent="0.25">
      <c r="A3833" s="16" t="s">
        <v>431</v>
      </c>
      <c r="B3833" s="17" t="s">
        <v>594</v>
      </c>
      <c r="C3833" s="16" t="s">
        <v>860</v>
      </c>
      <c r="D3833" s="17"/>
      <c r="E3833" s="17" t="s">
        <v>596</v>
      </c>
      <c r="F3833" s="18" t="s">
        <v>942</v>
      </c>
      <c r="G3833" s="49" t="s">
        <v>862</v>
      </c>
      <c r="H3833" s="17">
        <v>5</v>
      </c>
      <c r="I3833" s="30"/>
      <c r="J3833"/>
      <c r="K3833"/>
      <c r="L3833"/>
      <c r="M3833"/>
      <c r="N3833"/>
      <c r="O3833" s="62" t="str">
        <f>IF(E3833="PA",IF(K3833&lt;&gt;"",ISERROR(VLOOKUP(K3833,ABBR!A:D,1,FALSE)),ISERROR(VLOOKUP(C3833,ABBR!A:D,1,FALSE))),"")</f>
        <v/>
      </c>
      <c r="P3833" t="str">
        <f>VLOOKUP(A3833,Groups!A:L,5,FALSE)</f>
        <v>TREG</v>
      </c>
      <c r="Q3833" s="62" t="str">
        <f>IF(G3833="PA",IF(M3833&lt;&gt;"",ISERROR(VLOOKUP(M3833,ABBR!C:F,1,FALSE)),ISERROR(VLOOKUP(E3833,ABBR!C:F,1,FALSE))),"")</f>
        <v/>
      </c>
    </row>
    <row r="3834" spans="1:17" s="62" customFormat="1" hidden="1" x14ac:dyDescent="0.25">
      <c r="A3834" s="16" t="s">
        <v>431</v>
      </c>
      <c r="B3834" s="17" t="s">
        <v>594</v>
      </c>
      <c r="C3834" s="16" t="s">
        <v>863</v>
      </c>
      <c r="D3834" s="17"/>
      <c r="E3834" s="17" t="s">
        <v>608</v>
      </c>
      <c r="F3834" s="18" t="s">
        <v>864</v>
      </c>
      <c r="G3834" s="49" t="s">
        <v>865</v>
      </c>
      <c r="H3834" s="17">
        <v>6</v>
      </c>
      <c r="I3834" s="30"/>
      <c r="J3834"/>
      <c r="K3834"/>
      <c r="L3834"/>
      <c r="M3834"/>
      <c r="N3834"/>
      <c r="O3834" s="62" t="str">
        <f>IF(E3834="PA",IF(K3834&lt;&gt;"",ISERROR(VLOOKUP(K3834,ABBR!A:D,1,FALSE)),ISERROR(VLOOKUP(C3834,ABBR!A:D,1,FALSE))),"")</f>
        <v/>
      </c>
      <c r="P3834" t="str">
        <f>VLOOKUP(A3834,Groups!A:L,5,FALSE)</f>
        <v>TREG</v>
      </c>
      <c r="Q3834" s="62" t="str">
        <f>IF(G3834="PA",IF(M3834&lt;&gt;"",ISERROR(VLOOKUP(M3834,ABBR!C:F,1,FALSE)),ISERROR(VLOOKUP(E3834,ABBR!C:F,1,FALSE))),"")</f>
        <v/>
      </c>
    </row>
    <row r="3835" spans="1:17" s="62" customFormat="1" hidden="1" x14ac:dyDescent="0.25">
      <c r="A3835" s="16" t="s">
        <v>431</v>
      </c>
      <c r="B3835" s="17" t="s">
        <v>594</v>
      </c>
      <c r="C3835" s="16" t="s">
        <v>866</v>
      </c>
      <c r="D3835" s="17" t="s">
        <v>600</v>
      </c>
      <c r="E3835" s="17" t="s">
        <v>601</v>
      </c>
      <c r="F3835" s="18" t="s">
        <v>867</v>
      </c>
      <c r="G3835" s="49" t="s">
        <v>853</v>
      </c>
      <c r="H3835" s="17">
        <v>7</v>
      </c>
      <c r="I3835" s="30"/>
      <c r="J3835"/>
      <c r="K3835"/>
      <c r="L3835"/>
      <c r="M3835"/>
      <c r="N3835"/>
      <c r="O3835" s="62" t="str">
        <f>IF(E3835="PA",IF(K3835&lt;&gt;"",ISERROR(VLOOKUP(K3835,ABBR!A:D,1,FALSE)),ISERROR(VLOOKUP(C3835,ABBR!A:D,1,FALSE))),"")</f>
        <v/>
      </c>
      <c r="P3835" t="str">
        <f>VLOOKUP(A3835,Groups!A:L,5,FALSE)</f>
        <v>TREG</v>
      </c>
      <c r="Q3835" s="62" t="str">
        <f>IF(G3835="PA",IF(M3835&lt;&gt;"",ISERROR(VLOOKUP(M3835,ABBR!C:F,1,FALSE)),ISERROR(VLOOKUP(E3835,ABBR!C:F,1,FALSE))),"")</f>
        <v/>
      </c>
    </row>
    <row r="3836" spans="1:17" s="62" customFormat="1" hidden="1" x14ac:dyDescent="0.25">
      <c r="A3836" s="16" t="s">
        <v>431</v>
      </c>
      <c r="B3836" s="17" t="s">
        <v>594</v>
      </c>
      <c r="C3836" s="16" t="s">
        <v>6156</v>
      </c>
      <c r="D3836" s="17"/>
      <c r="E3836" s="17" t="s">
        <v>608</v>
      </c>
      <c r="F3836" s="18" t="s">
        <v>6157</v>
      </c>
      <c r="G3836" s="49" t="s">
        <v>631</v>
      </c>
      <c r="H3836" s="17">
        <v>8</v>
      </c>
      <c r="I3836" s="30"/>
      <c r="J3836"/>
      <c r="K3836"/>
      <c r="L3836"/>
      <c r="M3836"/>
      <c r="N3836"/>
      <c r="O3836" s="62" t="str">
        <f>IF(E3836="PA",IF(K3836&lt;&gt;"",ISERROR(VLOOKUP(K3836,ABBR!A:D,1,FALSE)),ISERROR(VLOOKUP(C3836,ABBR!A:D,1,FALSE))),"")</f>
        <v/>
      </c>
      <c r="P3836" t="str">
        <f>VLOOKUP(A3836,Groups!A:L,5,FALSE)</f>
        <v>TREG</v>
      </c>
      <c r="Q3836" s="62" t="str">
        <f>IF(G3836="PA",IF(M3836&lt;&gt;"",ISERROR(VLOOKUP(M3836,ABBR!C:F,1,FALSE)),ISERROR(VLOOKUP(E3836,ABBR!C:F,1,FALSE))),"")</f>
        <v/>
      </c>
    </row>
    <row r="3837" spans="1:17" s="62" customFormat="1" hidden="1" x14ac:dyDescent="0.25">
      <c r="A3837" s="16" t="s">
        <v>431</v>
      </c>
      <c r="B3837" s="17"/>
      <c r="C3837" s="16" t="s">
        <v>6158</v>
      </c>
      <c r="D3837" s="17" t="s">
        <v>722</v>
      </c>
      <c r="E3837" s="17" t="s">
        <v>601</v>
      </c>
      <c r="F3837" s="18" t="s">
        <v>1725</v>
      </c>
      <c r="G3837" s="49" t="s">
        <v>4355</v>
      </c>
      <c r="H3837" s="17">
        <v>9</v>
      </c>
      <c r="I3837" s="30"/>
      <c r="J3837"/>
      <c r="K3837"/>
      <c r="L3837"/>
      <c r="M3837"/>
      <c r="N3837"/>
      <c r="O3837" s="62" t="str">
        <f>IF(E3837="PA",IF(K3837&lt;&gt;"",ISERROR(VLOOKUP(K3837,ABBR!A:D,1,FALSE)),ISERROR(VLOOKUP(C3837,ABBR!A:D,1,FALSE))),"")</f>
        <v/>
      </c>
      <c r="P3837" t="str">
        <f>VLOOKUP(A3837,Groups!A:L,5,FALSE)</f>
        <v>TREG</v>
      </c>
      <c r="Q3837" s="62" t="str">
        <f>IF(G3837="PA",IF(M3837&lt;&gt;"",ISERROR(VLOOKUP(M3837,ABBR!C:F,1,FALSE)),ISERROR(VLOOKUP(E3837,ABBR!C:F,1,FALSE))),"")</f>
        <v/>
      </c>
    </row>
    <row r="3838" spans="1:17" s="62" customFormat="1" hidden="1" x14ac:dyDescent="0.25">
      <c r="A3838" s="16" t="s">
        <v>431</v>
      </c>
      <c r="B3838" s="17"/>
      <c r="C3838" s="16" t="s">
        <v>6159</v>
      </c>
      <c r="D3838" s="17" t="s">
        <v>722</v>
      </c>
      <c r="E3838" s="17" t="s">
        <v>601</v>
      </c>
      <c r="F3838" s="18" t="s">
        <v>4357</v>
      </c>
      <c r="G3838" s="49" t="s">
        <v>6160</v>
      </c>
      <c r="H3838" s="17">
        <v>10</v>
      </c>
      <c r="I3838" s="30"/>
      <c r="J3838"/>
      <c r="K3838"/>
      <c r="L3838"/>
      <c r="M3838"/>
      <c r="N3838"/>
      <c r="O3838" s="62" t="str">
        <f>IF(E3838="PA",IF(K3838&lt;&gt;"",ISERROR(VLOOKUP(K3838,ABBR!A:D,1,FALSE)),ISERROR(VLOOKUP(C3838,ABBR!A:D,1,FALSE))),"")</f>
        <v/>
      </c>
      <c r="P3838" t="str">
        <f>VLOOKUP(A3838,Groups!A:L,5,FALSE)</f>
        <v>TREG</v>
      </c>
      <c r="Q3838" s="62" t="str">
        <f>IF(G3838="PA",IF(M3838&lt;&gt;"",ISERROR(VLOOKUP(M3838,ABBR!C:F,1,FALSE)),ISERROR(VLOOKUP(E3838,ABBR!C:F,1,FALSE))),"")</f>
        <v/>
      </c>
    </row>
    <row r="3839" spans="1:17" s="62" customFormat="1" hidden="1" x14ac:dyDescent="0.25">
      <c r="A3839" s="16" t="s">
        <v>431</v>
      </c>
      <c r="B3839" s="17"/>
      <c r="C3839" s="16" t="s">
        <v>6161</v>
      </c>
      <c r="D3839" s="17" t="s">
        <v>766</v>
      </c>
      <c r="E3839" s="17" t="s">
        <v>608</v>
      </c>
      <c r="F3839" s="18" t="s">
        <v>6162</v>
      </c>
      <c r="G3839" s="49" t="s">
        <v>6163</v>
      </c>
      <c r="H3839" s="17">
        <v>11</v>
      </c>
      <c r="I3839" s="30"/>
      <c r="J3839"/>
      <c r="K3839"/>
      <c r="L3839"/>
      <c r="M3839"/>
      <c r="N3839"/>
      <c r="O3839" s="62" t="str">
        <f>IF(E3839="PA",IF(K3839&lt;&gt;"",ISERROR(VLOOKUP(K3839,ABBR!A:D,1,FALSE)),ISERROR(VLOOKUP(C3839,ABBR!A:D,1,FALSE))),"")</f>
        <v/>
      </c>
      <c r="P3839" t="str">
        <f>VLOOKUP(A3839,Groups!A:L,5,FALSE)</f>
        <v>TREG</v>
      </c>
      <c r="Q3839" s="62" t="str">
        <f>IF(G3839="PA",IF(M3839&lt;&gt;"",ISERROR(VLOOKUP(M3839,ABBR!C:F,1,FALSE)),ISERROR(VLOOKUP(E3839,ABBR!C:F,1,FALSE))),"")</f>
        <v/>
      </c>
    </row>
    <row r="3840" spans="1:17" s="62" customFormat="1" hidden="1" x14ac:dyDescent="0.25">
      <c r="A3840" s="16" t="s">
        <v>431</v>
      </c>
      <c r="B3840" s="17"/>
      <c r="C3840" s="16" t="s">
        <v>6164</v>
      </c>
      <c r="D3840" s="17" t="s">
        <v>766</v>
      </c>
      <c r="E3840" s="17" t="s">
        <v>608</v>
      </c>
      <c r="F3840" s="18" t="s">
        <v>6165</v>
      </c>
      <c r="G3840" s="49" t="s">
        <v>6166</v>
      </c>
      <c r="H3840" s="17">
        <v>12</v>
      </c>
      <c r="I3840" s="30"/>
      <c r="J3840"/>
      <c r="K3840"/>
      <c r="L3840"/>
      <c r="M3840"/>
      <c r="N3840"/>
      <c r="O3840" s="62" t="str">
        <f>IF(E3840="PA",IF(K3840&lt;&gt;"",ISERROR(VLOOKUP(K3840,ABBR!A:D,1,FALSE)),ISERROR(VLOOKUP(C3840,ABBR!A:D,1,FALSE))),"")</f>
        <v/>
      </c>
      <c r="P3840" t="str">
        <f>VLOOKUP(A3840,Groups!A:L,5,FALSE)</f>
        <v>TREG</v>
      </c>
      <c r="Q3840" s="62" t="str">
        <f>IF(G3840="PA",IF(M3840&lt;&gt;"",ISERROR(VLOOKUP(M3840,ABBR!C:F,1,FALSE)),ISERROR(VLOOKUP(E3840,ABBR!C:F,1,FALSE))),"")</f>
        <v/>
      </c>
    </row>
    <row r="3841" spans="1:17" s="62" customFormat="1" hidden="1" x14ac:dyDescent="0.25">
      <c r="A3841" s="16" t="s">
        <v>431</v>
      </c>
      <c r="B3841" s="17"/>
      <c r="C3841" s="16" t="s">
        <v>6167</v>
      </c>
      <c r="D3841" s="17" t="s">
        <v>1077</v>
      </c>
      <c r="E3841" s="17" t="s">
        <v>601</v>
      </c>
      <c r="F3841" s="18" t="s">
        <v>1339</v>
      </c>
      <c r="G3841" s="49" t="s">
        <v>1530</v>
      </c>
      <c r="H3841" s="17">
        <v>13</v>
      </c>
      <c r="I3841" s="30"/>
      <c r="J3841"/>
      <c r="K3841"/>
      <c r="L3841"/>
      <c r="M3841"/>
      <c r="N3841"/>
      <c r="O3841" s="62" t="str">
        <f>IF(E3841="PA",IF(K3841&lt;&gt;"",ISERROR(VLOOKUP(K3841,ABBR!A:D,1,FALSE)),ISERROR(VLOOKUP(C3841,ABBR!A:D,1,FALSE))),"")</f>
        <v/>
      </c>
      <c r="P3841" t="str">
        <f>VLOOKUP(A3841,Groups!A:L,5,FALSE)</f>
        <v>TREG</v>
      </c>
      <c r="Q3841" s="62" t="str">
        <f>IF(G3841="PA",IF(M3841&lt;&gt;"",ISERROR(VLOOKUP(M3841,ABBR!C:F,1,FALSE)),ISERROR(VLOOKUP(E3841,ABBR!C:F,1,FALSE))),"")</f>
        <v/>
      </c>
    </row>
    <row r="3842" spans="1:17" s="62" customFormat="1" hidden="1" x14ac:dyDescent="0.25">
      <c r="A3842" s="16" t="s">
        <v>431</v>
      </c>
      <c r="B3842" s="17"/>
      <c r="C3842" s="16" t="s">
        <v>6168</v>
      </c>
      <c r="D3842" s="17" t="s">
        <v>1077</v>
      </c>
      <c r="E3842" s="17" t="s">
        <v>601</v>
      </c>
      <c r="F3842" s="18" t="s">
        <v>1532</v>
      </c>
      <c r="G3842" s="49" t="s">
        <v>1340</v>
      </c>
      <c r="H3842" s="17">
        <v>14</v>
      </c>
      <c r="I3842" s="30"/>
      <c r="J3842"/>
      <c r="K3842"/>
      <c r="L3842"/>
      <c r="M3842"/>
      <c r="N3842"/>
      <c r="O3842" s="62" t="str">
        <f>IF(E3842="PA",IF(K3842&lt;&gt;"",ISERROR(VLOOKUP(K3842,ABBR!A:D,1,FALSE)),ISERROR(VLOOKUP(C3842,ABBR!A:D,1,FALSE))),"")</f>
        <v/>
      </c>
      <c r="P3842" t="str">
        <f>VLOOKUP(A3842,Groups!A:L,5,FALSE)</f>
        <v>TREG</v>
      </c>
      <c r="Q3842" s="62" t="str">
        <f>IF(G3842="PA",IF(M3842&lt;&gt;"",ISERROR(VLOOKUP(M3842,ABBR!C:F,1,FALSE)),ISERROR(VLOOKUP(E3842,ABBR!C:F,1,FALSE))),"")</f>
        <v/>
      </c>
    </row>
    <row r="3843" spans="1:17" s="62" customFormat="1" ht="25" hidden="1" x14ac:dyDescent="0.25">
      <c r="A3843" s="16" t="s">
        <v>431</v>
      </c>
      <c r="B3843" s="17"/>
      <c r="C3843" s="16" t="s">
        <v>6169</v>
      </c>
      <c r="D3843" s="17"/>
      <c r="E3843" s="17" t="s">
        <v>608</v>
      </c>
      <c r="F3843" s="18" t="s">
        <v>1822</v>
      </c>
      <c r="G3843" s="49" t="s">
        <v>6170</v>
      </c>
      <c r="H3843" s="17">
        <v>15</v>
      </c>
      <c r="I3843" s="30"/>
      <c r="J3843"/>
      <c r="K3843"/>
      <c r="L3843"/>
      <c r="M3843"/>
      <c r="N3843"/>
      <c r="O3843" s="62" t="str">
        <f>IF(E3843="PA",IF(K3843&lt;&gt;"",ISERROR(VLOOKUP(K3843,ABBR!A:D,1,FALSE)),ISERROR(VLOOKUP(C3843,ABBR!A:D,1,FALSE))),"")</f>
        <v/>
      </c>
      <c r="P3843" t="str">
        <f>VLOOKUP(A3843,Groups!A:L,5,FALSE)</f>
        <v>TREG</v>
      </c>
      <c r="Q3843" s="62" t="str">
        <f>IF(G3843="PA",IF(M3843&lt;&gt;"",ISERROR(VLOOKUP(M3843,ABBR!C:F,1,FALSE)),ISERROR(VLOOKUP(E3843,ABBR!C:F,1,FALSE))),"")</f>
        <v/>
      </c>
    </row>
    <row r="3844" spans="1:17" s="62" customFormat="1" ht="25" hidden="1" x14ac:dyDescent="0.25">
      <c r="A3844" s="16" t="s">
        <v>431</v>
      </c>
      <c r="B3844" s="17"/>
      <c r="C3844" s="16" t="s">
        <v>6171</v>
      </c>
      <c r="D3844" s="17"/>
      <c r="E3844" s="17" t="s">
        <v>608</v>
      </c>
      <c r="F3844" s="18" t="s">
        <v>6172</v>
      </c>
      <c r="G3844" s="49" t="s">
        <v>6173</v>
      </c>
      <c r="H3844" s="17">
        <v>16</v>
      </c>
      <c r="I3844" s="30"/>
      <c r="J3844"/>
      <c r="K3844"/>
      <c r="L3844"/>
      <c r="M3844"/>
      <c r="N3844"/>
      <c r="O3844" s="62" t="str">
        <f>IF(E3844="PA",IF(K3844&lt;&gt;"",ISERROR(VLOOKUP(K3844,ABBR!A:D,1,FALSE)),ISERROR(VLOOKUP(C3844,ABBR!A:D,1,FALSE))),"")</f>
        <v/>
      </c>
      <c r="P3844" t="str">
        <f>VLOOKUP(A3844,Groups!A:L,5,FALSE)</f>
        <v>TREG</v>
      </c>
      <c r="Q3844" s="62" t="str">
        <f>IF(G3844="PA",IF(M3844&lt;&gt;"",ISERROR(VLOOKUP(M3844,ABBR!C:F,1,FALSE)),ISERROR(VLOOKUP(E3844,ABBR!C:F,1,FALSE))),"")</f>
        <v/>
      </c>
    </row>
    <row r="3845" spans="1:17" s="62" customFormat="1" ht="25" hidden="1" x14ac:dyDescent="0.25">
      <c r="A3845" s="16" t="s">
        <v>431</v>
      </c>
      <c r="B3845" s="17"/>
      <c r="C3845" s="16" t="s">
        <v>6174</v>
      </c>
      <c r="D3845" s="17" t="s">
        <v>1345</v>
      </c>
      <c r="E3845" s="17" t="s">
        <v>767</v>
      </c>
      <c r="F3845" s="18" t="s">
        <v>6175</v>
      </c>
      <c r="G3845" s="49" t="s">
        <v>1116</v>
      </c>
      <c r="H3845" s="17">
        <v>17</v>
      </c>
      <c r="I3845" s="30"/>
      <c r="J3845"/>
      <c r="K3845"/>
      <c r="L3845"/>
      <c r="M3845"/>
      <c r="N3845"/>
      <c r="O3845" s="62" t="str">
        <f>IF(E3845="PA",IF(K3845&lt;&gt;"",ISERROR(VLOOKUP(K3845,ABBR!A:D,1,FALSE)),ISERROR(VLOOKUP(C3845,ABBR!A:D,1,FALSE))),"")</f>
        <v/>
      </c>
      <c r="P3845" t="str">
        <f>VLOOKUP(A3845,Groups!A:L,5,FALSE)</f>
        <v>TREG</v>
      </c>
      <c r="Q3845" s="62" t="str">
        <f>IF(G3845="PA",IF(M3845&lt;&gt;"",ISERROR(VLOOKUP(M3845,ABBR!C:F,1,FALSE)),ISERROR(VLOOKUP(E3845,ABBR!C:F,1,FALSE))),"")</f>
        <v/>
      </c>
    </row>
    <row r="3846" spans="1:17" s="62" customFormat="1" hidden="1" x14ac:dyDescent="0.25">
      <c r="A3846" s="16" t="s">
        <v>431</v>
      </c>
      <c r="B3846" s="17"/>
      <c r="C3846" s="16" t="s">
        <v>6176</v>
      </c>
      <c r="D3846" s="17" t="s">
        <v>1345</v>
      </c>
      <c r="E3846" s="17" t="s">
        <v>767</v>
      </c>
      <c r="F3846" s="18" t="s">
        <v>6177</v>
      </c>
      <c r="G3846" s="49" t="s">
        <v>1572</v>
      </c>
      <c r="H3846" s="17">
        <v>18</v>
      </c>
      <c r="I3846" s="30"/>
      <c r="J3846"/>
      <c r="K3846"/>
      <c r="L3846"/>
      <c r="M3846"/>
      <c r="N3846"/>
      <c r="O3846" s="62" t="str">
        <f>IF(E3846="PA",IF(K3846&lt;&gt;"",ISERROR(VLOOKUP(K3846,ABBR!A:D,1,FALSE)),ISERROR(VLOOKUP(C3846,ABBR!A:D,1,FALSE))),"")</f>
        <v/>
      </c>
      <c r="P3846" t="str">
        <f>VLOOKUP(A3846,Groups!A:L,5,FALSE)</f>
        <v>TREG</v>
      </c>
      <c r="Q3846" s="62" t="str">
        <f>IF(G3846="PA",IF(M3846&lt;&gt;"",ISERROR(VLOOKUP(M3846,ABBR!C:F,1,FALSE)),ISERROR(VLOOKUP(E3846,ABBR!C:F,1,FALSE))),"")</f>
        <v/>
      </c>
    </row>
    <row r="3847" spans="1:17" s="62" customFormat="1" hidden="1" x14ac:dyDescent="0.25">
      <c r="A3847" s="16" t="s">
        <v>431</v>
      </c>
      <c r="B3847" s="17"/>
      <c r="C3847" s="16" t="s">
        <v>6178</v>
      </c>
      <c r="D3847" s="17" t="s">
        <v>1345</v>
      </c>
      <c r="E3847" s="17" t="s">
        <v>767</v>
      </c>
      <c r="F3847" s="18" t="s">
        <v>6179</v>
      </c>
      <c r="G3847" s="49" t="s">
        <v>2067</v>
      </c>
      <c r="H3847" s="17">
        <v>19</v>
      </c>
      <c r="I3847" s="30"/>
      <c r="J3847"/>
      <c r="K3847"/>
      <c r="L3847"/>
      <c r="M3847"/>
      <c r="N3847"/>
      <c r="O3847" s="62" t="str">
        <f>IF(E3847="PA",IF(K3847&lt;&gt;"",ISERROR(VLOOKUP(K3847,ABBR!A:D,1,FALSE)),ISERROR(VLOOKUP(C3847,ABBR!A:D,1,FALSE))),"")</f>
        <v/>
      </c>
      <c r="P3847" t="str">
        <f>VLOOKUP(A3847,Groups!A:L,5,FALSE)</f>
        <v>TREG</v>
      </c>
      <c r="Q3847" s="62" t="str">
        <f>IF(G3847="PA",IF(M3847&lt;&gt;"",ISERROR(VLOOKUP(M3847,ABBR!C:F,1,FALSE)),ISERROR(VLOOKUP(E3847,ABBR!C:F,1,FALSE))),"")</f>
        <v/>
      </c>
    </row>
    <row r="3848" spans="1:17" s="62" customFormat="1" hidden="1" x14ac:dyDescent="0.25">
      <c r="A3848" s="16" t="s">
        <v>431</v>
      </c>
      <c r="B3848" s="17"/>
      <c r="C3848" s="16" t="s">
        <v>6180</v>
      </c>
      <c r="D3848" s="17" t="s">
        <v>6181</v>
      </c>
      <c r="E3848" s="17" t="s">
        <v>723</v>
      </c>
      <c r="F3848" s="18" t="s">
        <v>6182</v>
      </c>
      <c r="G3848" s="49" t="s">
        <v>5790</v>
      </c>
      <c r="H3848" s="17">
        <v>20</v>
      </c>
      <c r="I3848" s="30"/>
      <c r="J3848"/>
      <c r="K3848"/>
      <c r="L3848"/>
      <c r="M3848"/>
      <c r="N3848"/>
      <c r="O3848" s="62" t="str">
        <f>IF(E3848="PA",IF(K3848&lt;&gt;"",ISERROR(VLOOKUP(K3848,ABBR!A:D,1,FALSE)),ISERROR(VLOOKUP(C3848,ABBR!A:D,1,FALSE))),"")</f>
        <v/>
      </c>
      <c r="P3848" t="str">
        <f>VLOOKUP(A3848,Groups!A:L,5,FALSE)</f>
        <v>TREG</v>
      </c>
      <c r="Q3848" s="62" t="str">
        <f>IF(G3848="PA",IF(M3848&lt;&gt;"",ISERROR(VLOOKUP(M3848,ABBR!C:F,1,FALSE)),ISERROR(VLOOKUP(E3848,ABBR!C:F,1,FALSE))),"")</f>
        <v/>
      </c>
    </row>
    <row r="3849" spans="1:17" s="62" customFormat="1" hidden="1" x14ac:dyDescent="0.25">
      <c r="A3849" s="16" t="s">
        <v>431</v>
      </c>
      <c r="B3849" s="17"/>
      <c r="C3849" s="16" t="s">
        <v>6183</v>
      </c>
      <c r="D3849" s="17" t="s">
        <v>766</v>
      </c>
      <c r="E3849" s="17" t="s">
        <v>723</v>
      </c>
      <c r="F3849" s="18" t="s">
        <v>1856</v>
      </c>
      <c r="G3849" s="49" t="s">
        <v>1788</v>
      </c>
      <c r="H3849" s="17">
        <v>21</v>
      </c>
      <c r="I3849" s="30"/>
      <c r="J3849"/>
      <c r="K3849"/>
      <c r="L3849"/>
      <c r="M3849"/>
      <c r="N3849"/>
      <c r="O3849" s="62" t="str">
        <f>IF(E3849="PA",IF(K3849&lt;&gt;"",ISERROR(VLOOKUP(K3849,ABBR!A:D,1,FALSE)),ISERROR(VLOOKUP(C3849,ABBR!A:D,1,FALSE))),"")</f>
        <v/>
      </c>
      <c r="P3849" t="str">
        <f>VLOOKUP(A3849,Groups!A:L,5,FALSE)</f>
        <v>TREG</v>
      </c>
      <c r="Q3849" s="62" t="str">
        <f>IF(G3849="PA",IF(M3849&lt;&gt;"",ISERROR(VLOOKUP(M3849,ABBR!C:F,1,FALSE)),ISERROR(VLOOKUP(E3849,ABBR!C:F,1,FALSE))),"")</f>
        <v/>
      </c>
    </row>
    <row r="3850" spans="1:17" s="62" customFormat="1" hidden="1" x14ac:dyDescent="0.25">
      <c r="A3850" s="16" t="s">
        <v>431</v>
      </c>
      <c r="B3850" s="17"/>
      <c r="C3850" s="16" t="s">
        <v>6184</v>
      </c>
      <c r="D3850" s="17" t="s">
        <v>1345</v>
      </c>
      <c r="E3850" s="17" t="s">
        <v>767</v>
      </c>
      <c r="F3850" s="18" t="s">
        <v>6185</v>
      </c>
      <c r="G3850" s="49" t="s">
        <v>6186</v>
      </c>
      <c r="H3850" s="17">
        <v>22</v>
      </c>
      <c r="I3850" s="30"/>
      <c r="J3850"/>
      <c r="K3850"/>
      <c r="L3850"/>
      <c r="M3850"/>
      <c r="N3850"/>
      <c r="O3850" s="62" t="str">
        <f>IF(E3850="PA",IF(K3850&lt;&gt;"",ISERROR(VLOOKUP(K3850,ABBR!A:D,1,FALSE)),ISERROR(VLOOKUP(C3850,ABBR!A:D,1,FALSE))),"")</f>
        <v/>
      </c>
      <c r="P3850" t="str">
        <f>VLOOKUP(A3850,Groups!A:L,5,FALSE)</f>
        <v>TREG</v>
      </c>
      <c r="Q3850" s="62" t="str">
        <f>IF(G3850="PA",IF(M3850&lt;&gt;"",ISERROR(VLOOKUP(M3850,ABBR!C:F,1,FALSE)),ISERROR(VLOOKUP(E3850,ABBR!C:F,1,FALSE))),"")</f>
        <v/>
      </c>
    </row>
    <row r="3851" spans="1:17" s="62" customFormat="1" hidden="1" x14ac:dyDescent="0.25">
      <c r="A3851" s="16" t="s">
        <v>431</v>
      </c>
      <c r="B3851" s="17"/>
      <c r="C3851" s="16" t="s">
        <v>6187</v>
      </c>
      <c r="D3851" s="17" t="s">
        <v>1345</v>
      </c>
      <c r="E3851" s="17" t="s">
        <v>767</v>
      </c>
      <c r="F3851" s="18" t="s">
        <v>1859</v>
      </c>
      <c r="G3851" s="49" t="s">
        <v>6188</v>
      </c>
      <c r="H3851" s="17">
        <v>23</v>
      </c>
      <c r="I3851" s="30"/>
      <c r="J3851"/>
      <c r="K3851"/>
      <c r="L3851"/>
      <c r="M3851"/>
      <c r="N3851"/>
      <c r="O3851" s="62" t="str">
        <f>IF(E3851="PA",IF(K3851&lt;&gt;"",ISERROR(VLOOKUP(K3851,ABBR!A:D,1,FALSE)),ISERROR(VLOOKUP(C3851,ABBR!A:D,1,FALSE))),"")</f>
        <v/>
      </c>
      <c r="P3851" t="str">
        <f>VLOOKUP(A3851,Groups!A:L,5,FALSE)</f>
        <v>TREG</v>
      </c>
      <c r="Q3851" s="62" t="str">
        <f>IF(G3851="PA",IF(M3851&lt;&gt;"",ISERROR(VLOOKUP(M3851,ABBR!C:F,1,FALSE)),ISERROR(VLOOKUP(E3851,ABBR!C:F,1,FALSE))),"")</f>
        <v/>
      </c>
    </row>
    <row r="3852" spans="1:17" s="62" customFormat="1" hidden="1" x14ac:dyDescent="0.25">
      <c r="A3852" s="16" t="s">
        <v>431</v>
      </c>
      <c r="B3852" s="17"/>
      <c r="C3852" s="16" t="s">
        <v>6189</v>
      </c>
      <c r="D3852" s="17" t="s">
        <v>766</v>
      </c>
      <c r="E3852" s="17" t="s">
        <v>601</v>
      </c>
      <c r="F3852" s="18" t="s">
        <v>6190</v>
      </c>
      <c r="G3852" s="49" t="s">
        <v>4977</v>
      </c>
      <c r="H3852" s="17">
        <v>24</v>
      </c>
      <c r="I3852" s="30"/>
      <c r="J3852"/>
      <c r="K3852"/>
      <c r="L3852"/>
      <c r="M3852"/>
      <c r="N3852"/>
      <c r="O3852" s="62" t="str">
        <f>IF(E3852="PA",IF(K3852&lt;&gt;"",ISERROR(VLOOKUP(K3852,ABBR!A:D,1,FALSE)),ISERROR(VLOOKUP(C3852,ABBR!A:D,1,FALSE))),"")</f>
        <v/>
      </c>
      <c r="P3852" t="str">
        <f>VLOOKUP(A3852,Groups!A:L,5,FALSE)</f>
        <v>TREG</v>
      </c>
      <c r="Q3852" s="62" t="str">
        <f>IF(G3852="PA",IF(M3852&lt;&gt;"",ISERROR(VLOOKUP(M3852,ABBR!C:F,1,FALSE)),ISERROR(VLOOKUP(E3852,ABBR!C:F,1,FALSE))),"")</f>
        <v/>
      </c>
    </row>
    <row r="3853" spans="1:17" s="62" customFormat="1" hidden="1" x14ac:dyDescent="0.25">
      <c r="A3853" s="16" t="s">
        <v>431</v>
      </c>
      <c r="B3853" s="17"/>
      <c r="C3853" s="16" t="s">
        <v>6191</v>
      </c>
      <c r="D3853" s="17"/>
      <c r="E3853" s="17" t="s">
        <v>618</v>
      </c>
      <c r="F3853" s="18" t="s">
        <v>1891</v>
      </c>
      <c r="G3853" s="49" t="s">
        <v>1892</v>
      </c>
      <c r="H3853" s="17">
        <v>25</v>
      </c>
      <c r="I3853" s="30" t="s">
        <v>3008</v>
      </c>
      <c r="J3853"/>
      <c r="K3853"/>
      <c r="L3853"/>
      <c r="M3853"/>
      <c r="N3853"/>
      <c r="O3853" s="62" t="b">
        <f>IF(E3853="PA",IF(K3853&lt;&gt;"",ISERROR(VLOOKUP(K3853,ABBR!A:D,1,FALSE)),ISERROR(VLOOKUP(C3853,ABBR!A:D,1,FALSE))),"")</f>
        <v>0</v>
      </c>
      <c r="P3853" t="str">
        <f>VLOOKUP(A3853,Groups!A:L,5,FALSE)</f>
        <v>TREG</v>
      </c>
      <c r="Q3853" s="62" t="str">
        <f>IF(G3853="PA",IF(M3853&lt;&gt;"",ISERROR(VLOOKUP(M3853,ABBR!C:F,1,FALSE)),ISERROR(VLOOKUP(E3853,ABBR!C:F,1,FALSE))),"")</f>
        <v/>
      </c>
    </row>
    <row r="3854" spans="1:17" s="62" customFormat="1" hidden="1" x14ac:dyDescent="0.25">
      <c r="A3854" s="16" t="s">
        <v>431</v>
      </c>
      <c r="B3854" s="17"/>
      <c r="C3854" s="16" t="s">
        <v>6192</v>
      </c>
      <c r="D3854" s="17"/>
      <c r="E3854" s="17" t="s">
        <v>608</v>
      </c>
      <c r="F3854" s="18" t="s">
        <v>5689</v>
      </c>
      <c r="G3854" s="49" t="s">
        <v>16</v>
      </c>
      <c r="H3854" s="17">
        <v>26</v>
      </c>
      <c r="I3854" s="30"/>
      <c r="J3854"/>
      <c r="K3854"/>
      <c r="L3854"/>
      <c r="M3854" s="101"/>
      <c r="N3854"/>
      <c r="O3854" s="62" t="str">
        <f>IF(E3854="PA",IF(K3854&lt;&gt;"",ISERROR(VLOOKUP(K3854,ABBR!A:D,1,FALSE)),ISERROR(VLOOKUP(C3854,ABBR!A:D,1,FALSE))),"")</f>
        <v/>
      </c>
      <c r="P3854" t="str">
        <f>VLOOKUP(A3854,Groups!A:L,5,FALSE)</f>
        <v>TREG</v>
      </c>
      <c r="Q3854" s="62" t="str">
        <f>IF(G3854="PA",IF(M3854&lt;&gt;"",ISERROR(VLOOKUP(M3854,ABBR!C:F,1,FALSE)),ISERROR(VLOOKUP(E3854,ABBR!C:F,1,FALSE))),"")</f>
        <v/>
      </c>
    </row>
    <row r="3855" spans="1:17" s="62" customFormat="1" hidden="1" x14ac:dyDescent="0.25">
      <c r="A3855" s="16" t="s">
        <v>431</v>
      </c>
      <c r="B3855" s="17"/>
      <c r="C3855" s="16" t="s">
        <v>643</v>
      </c>
      <c r="D3855" s="17"/>
      <c r="E3855" s="17" t="s">
        <v>608</v>
      </c>
      <c r="F3855" s="18" t="s">
        <v>954</v>
      </c>
      <c r="G3855" s="49" t="s">
        <v>4378</v>
      </c>
      <c r="H3855" s="17">
        <v>27</v>
      </c>
      <c r="I3855" s="30"/>
      <c r="J3855"/>
      <c r="K3855"/>
      <c r="L3855"/>
      <c r="M3855"/>
      <c r="N3855"/>
      <c r="O3855" s="62" t="str">
        <f>IF(E3855="PA",IF(K3855&lt;&gt;"",ISERROR(VLOOKUP(K3855,ABBR!A:D,1,FALSE)),ISERROR(VLOOKUP(C3855,ABBR!A:D,1,FALSE))),"")</f>
        <v/>
      </c>
      <c r="P3855" t="str">
        <f>VLOOKUP(A3855,Groups!A:L,5,FALSE)</f>
        <v>TREG</v>
      </c>
      <c r="Q3855" s="62" t="str">
        <f>IF(G3855="PA",IF(M3855&lt;&gt;"",ISERROR(VLOOKUP(M3855,ABBR!C:F,1,FALSE)),ISERROR(VLOOKUP(E3855,ABBR!C:F,1,FALSE))),"")</f>
        <v/>
      </c>
    </row>
    <row r="3856" spans="1:17" s="62" customFormat="1" hidden="1" x14ac:dyDescent="0.25">
      <c r="A3856" s="16" t="s">
        <v>431</v>
      </c>
      <c r="B3856" s="17"/>
      <c r="C3856" s="16" t="s">
        <v>6193</v>
      </c>
      <c r="D3856" s="17" t="s">
        <v>1345</v>
      </c>
      <c r="E3856" s="17" t="s">
        <v>767</v>
      </c>
      <c r="F3856" s="18" t="s">
        <v>6194</v>
      </c>
      <c r="G3856" s="49" t="s">
        <v>2593</v>
      </c>
      <c r="H3856" s="17">
        <v>28</v>
      </c>
      <c r="I3856" s="30" t="s">
        <v>955</v>
      </c>
      <c r="J3856" s="80">
        <v>4.0999999999999996</v>
      </c>
      <c r="K3856"/>
      <c r="L3856"/>
      <c r="M3856"/>
      <c r="N3856"/>
      <c r="O3856" s="62" t="str">
        <f>IF(E3856="PA",IF(K3856&lt;&gt;"",ISERROR(VLOOKUP(K3856,ABBR!A:D,1,FALSE)),ISERROR(VLOOKUP(C3856,ABBR!A:D,1,FALSE))),"")</f>
        <v/>
      </c>
      <c r="P3856" t="str">
        <f>VLOOKUP(A3856,Groups!A:L,5,FALSE)</f>
        <v>TREG</v>
      </c>
      <c r="Q3856" s="62" t="str">
        <f>IF(G3856="PA",IF(M3856&lt;&gt;"",ISERROR(VLOOKUP(M3856,ABBR!C:F,1,FALSE)),ISERROR(VLOOKUP(E3856,ABBR!C:F,1,FALSE))),"")</f>
        <v/>
      </c>
    </row>
    <row r="3857" spans="1:17" s="62" customFormat="1" hidden="1" x14ac:dyDescent="0.25">
      <c r="A3857" s="16" t="s">
        <v>431</v>
      </c>
      <c r="B3857" s="17"/>
      <c r="C3857" s="16" t="s">
        <v>6195</v>
      </c>
      <c r="D3857" s="17" t="s">
        <v>766</v>
      </c>
      <c r="E3857" s="17" t="s">
        <v>723</v>
      </c>
      <c r="F3857" s="18" t="s">
        <v>6196</v>
      </c>
      <c r="G3857" s="49" t="s">
        <v>5049</v>
      </c>
      <c r="H3857" s="17">
        <v>29</v>
      </c>
      <c r="I3857" s="30" t="s">
        <v>955</v>
      </c>
      <c r="J3857" s="80">
        <v>4.0999999999999996</v>
      </c>
      <c r="K3857"/>
      <c r="L3857"/>
      <c r="M3857"/>
      <c r="N3857"/>
      <c r="O3857" s="62" t="str">
        <f>IF(E3857="PA",IF(K3857&lt;&gt;"",ISERROR(VLOOKUP(K3857,ABBR!A:D,1,FALSE)),ISERROR(VLOOKUP(C3857,ABBR!A:D,1,FALSE))),"")</f>
        <v/>
      </c>
      <c r="P3857" t="str">
        <f>VLOOKUP(A3857,Groups!A:L,5,FALSE)</f>
        <v>TREG</v>
      </c>
      <c r="Q3857" s="62" t="str">
        <f>IF(G3857="PA",IF(M3857&lt;&gt;"",ISERROR(VLOOKUP(M3857,ABBR!C:F,1,FALSE)),ISERROR(VLOOKUP(E3857,ABBR!C:F,1,FALSE))),"")</f>
        <v/>
      </c>
    </row>
    <row r="3858" spans="1:17" s="62" customFormat="1" hidden="1" x14ac:dyDescent="0.25">
      <c r="A3858" s="16" t="s">
        <v>431</v>
      </c>
      <c r="B3858" s="17"/>
      <c r="C3858" s="16" t="s">
        <v>6197</v>
      </c>
      <c r="D3858" s="17" t="s">
        <v>766</v>
      </c>
      <c r="E3858" s="17" t="s">
        <v>723</v>
      </c>
      <c r="F3858" s="18" t="s">
        <v>6198</v>
      </c>
      <c r="G3858" s="49" t="s">
        <v>2346</v>
      </c>
      <c r="H3858" s="17">
        <v>30</v>
      </c>
      <c r="I3858" s="30" t="s">
        <v>955</v>
      </c>
      <c r="J3858" s="80">
        <v>4.0999999999999996</v>
      </c>
      <c r="K3858"/>
      <c r="L3858"/>
      <c r="M3858"/>
      <c r="N3858"/>
      <c r="O3858" s="62" t="str">
        <f>IF(E3858="PA",IF(K3858&lt;&gt;"",ISERROR(VLOOKUP(K3858,ABBR!A:D,1,FALSE)),ISERROR(VLOOKUP(C3858,ABBR!A:D,1,FALSE))),"")</f>
        <v/>
      </c>
      <c r="P3858" t="str">
        <f>VLOOKUP(A3858,Groups!A:L,5,FALSE)</f>
        <v>TREG</v>
      </c>
      <c r="Q3858" s="62" t="str">
        <f>IF(G3858="PA",IF(M3858&lt;&gt;"",ISERROR(VLOOKUP(M3858,ABBR!C:F,1,FALSE)),ISERROR(VLOOKUP(E3858,ABBR!C:F,1,FALSE))),"")</f>
        <v/>
      </c>
    </row>
    <row r="3859" spans="1:17" s="62" customFormat="1" hidden="1" x14ac:dyDescent="0.25">
      <c r="A3859" s="16" t="s">
        <v>431</v>
      </c>
      <c r="B3859" s="17"/>
      <c r="C3859" s="16" t="s">
        <v>6199</v>
      </c>
      <c r="D3859" s="17" t="s">
        <v>6181</v>
      </c>
      <c r="E3859" s="17" t="s">
        <v>723</v>
      </c>
      <c r="F3859" s="18" t="s">
        <v>6200</v>
      </c>
      <c r="G3859" s="49" t="s">
        <v>5044</v>
      </c>
      <c r="H3859" s="17">
        <v>31</v>
      </c>
      <c r="I3859" s="30" t="s">
        <v>955</v>
      </c>
      <c r="J3859" s="80">
        <v>4.0999999999999996</v>
      </c>
      <c r="K3859"/>
      <c r="L3859"/>
      <c r="M3859"/>
      <c r="N3859"/>
      <c r="O3859" s="62" t="str">
        <f>IF(E3859="PA",IF(K3859&lt;&gt;"",ISERROR(VLOOKUP(K3859,ABBR!A:D,1,FALSE)),ISERROR(VLOOKUP(C3859,ABBR!A:D,1,FALSE))),"")</f>
        <v/>
      </c>
      <c r="P3859" t="str">
        <f>VLOOKUP(A3859,Groups!A:L,5,FALSE)</f>
        <v>TREG</v>
      </c>
      <c r="Q3859" s="62" t="str">
        <f>IF(G3859="PA",IF(M3859&lt;&gt;"",ISERROR(VLOOKUP(M3859,ABBR!C:F,1,FALSE)),ISERROR(VLOOKUP(E3859,ABBR!C:F,1,FALSE))),"")</f>
        <v/>
      </c>
    </row>
    <row r="3860" spans="1:17" s="62" customFormat="1" hidden="1" x14ac:dyDescent="0.25">
      <c r="A3860" s="16" t="s">
        <v>431</v>
      </c>
      <c r="B3860" s="17"/>
      <c r="C3860" s="16" t="s">
        <v>6201</v>
      </c>
      <c r="D3860" s="17"/>
      <c r="E3860" s="17" t="s">
        <v>601</v>
      </c>
      <c r="F3860" s="18" t="s">
        <v>6202</v>
      </c>
      <c r="G3860" s="49" t="s">
        <v>1911</v>
      </c>
      <c r="H3860" s="17">
        <v>32</v>
      </c>
      <c r="I3860" s="30" t="s">
        <v>955</v>
      </c>
      <c r="J3860" s="80">
        <v>4.0999999999999996</v>
      </c>
      <c r="K3860"/>
      <c r="L3860"/>
      <c r="M3860"/>
      <c r="N3860"/>
      <c r="O3860" s="62" t="str">
        <f>IF(E3860="PA",IF(K3860&lt;&gt;"",ISERROR(VLOOKUP(K3860,ABBR!A:D,1,FALSE)),ISERROR(VLOOKUP(C3860,ABBR!A:D,1,FALSE))),"")</f>
        <v/>
      </c>
      <c r="P3860" t="str">
        <f>VLOOKUP(A3860,Groups!A:L,5,FALSE)</f>
        <v>TREG</v>
      </c>
      <c r="Q3860" s="62" t="str">
        <f>IF(G3860="PA",IF(M3860&lt;&gt;"",ISERROR(VLOOKUP(M3860,ABBR!C:F,1,FALSE)),ISERROR(VLOOKUP(E3860,ABBR!C:F,1,FALSE))),"")</f>
        <v/>
      </c>
    </row>
    <row r="3861" spans="1:17" s="62" customFormat="1" ht="14.5" hidden="1" customHeight="1" x14ac:dyDescent="0.25">
      <c r="A3861" s="16" t="s">
        <v>431</v>
      </c>
      <c r="B3861" s="17"/>
      <c r="C3861" s="16" t="s">
        <v>6203</v>
      </c>
      <c r="D3861" s="17"/>
      <c r="E3861" s="17" t="s">
        <v>608</v>
      </c>
      <c r="F3861" s="18" t="s">
        <v>6204</v>
      </c>
      <c r="G3861" s="49" t="s">
        <v>6205</v>
      </c>
      <c r="H3861" s="17">
        <v>33</v>
      </c>
      <c r="I3861" s="30" t="s">
        <v>955</v>
      </c>
      <c r="J3861" s="80">
        <v>4.0999999999999996</v>
      </c>
      <c r="K3861"/>
      <c r="L3861"/>
      <c r="M3861"/>
      <c r="N3861"/>
      <c r="O3861" s="62" t="str">
        <f>IF(E3861="PA",IF(K3861&lt;&gt;"",ISERROR(VLOOKUP(K3861,ABBR!A:D,1,FALSE)),ISERROR(VLOOKUP(C3861,ABBR!A:D,1,FALSE))),"")</f>
        <v/>
      </c>
      <c r="P3861" t="str">
        <f>VLOOKUP(A3861,Groups!A:L,5,FALSE)</f>
        <v>TREG</v>
      </c>
      <c r="Q3861" s="62" t="str">
        <f>IF(G3861="PA",IF(M3861&lt;&gt;"",ISERROR(VLOOKUP(M3861,ABBR!C:F,1,FALSE)),ISERROR(VLOOKUP(E3861,ABBR!C:F,1,FALSE))),"")</f>
        <v/>
      </c>
    </row>
    <row r="3862" spans="1:17" s="62" customFormat="1" ht="14.5" hidden="1" customHeight="1" x14ac:dyDescent="0.25">
      <c r="A3862" s="16" t="s">
        <v>431</v>
      </c>
      <c r="B3862" s="17"/>
      <c r="C3862" s="16" t="s">
        <v>6206</v>
      </c>
      <c r="D3862" s="17" t="s">
        <v>1345</v>
      </c>
      <c r="E3862" s="17" t="s">
        <v>767</v>
      </c>
      <c r="F3862" s="18" t="s">
        <v>6207</v>
      </c>
      <c r="G3862" s="49" t="s">
        <v>1229</v>
      </c>
      <c r="H3862" s="17">
        <v>34</v>
      </c>
      <c r="I3862" s="30" t="s">
        <v>955</v>
      </c>
      <c r="J3862" s="80">
        <v>4.0999999999999996</v>
      </c>
      <c r="K3862"/>
      <c r="L3862"/>
      <c r="M3862"/>
      <c r="N3862"/>
      <c r="O3862" s="62" t="str">
        <f>IF(E3862="PA",IF(K3862&lt;&gt;"",ISERROR(VLOOKUP(K3862,ABBR!A:D,1,FALSE)),ISERROR(VLOOKUP(C3862,ABBR!A:D,1,FALSE))),"")</f>
        <v/>
      </c>
      <c r="P3862" t="str">
        <f>VLOOKUP(A3862,Groups!A:L,5,FALSE)</f>
        <v>TREG</v>
      </c>
      <c r="Q3862" s="62" t="str">
        <f>IF(G3862="PA",IF(M3862&lt;&gt;"",ISERROR(VLOOKUP(M3862,ABBR!C:F,1,FALSE)),ISERROR(VLOOKUP(E3862,ABBR!C:F,1,FALSE))),"")</f>
        <v/>
      </c>
    </row>
    <row r="3863" spans="1:17" s="62" customFormat="1" ht="14.5" hidden="1" customHeight="1" x14ac:dyDescent="0.25">
      <c r="A3863" s="16" t="s">
        <v>431</v>
      </c>
      <c r="B3863" s="17"/>
      <c r="C3863" s="16" t="s">
        <v>6208</v>
      </c>
      <c r="D3863" s="17" t="s">
        <v>1345</v>
      </c>
      <c r="E3863" s="17" t="s">
        <v>767</v>
      </c>
      <c r="F3863" s="18" t="s">
        <v>6209</v>
      </c>
      <c r="G3863" s="49" t="s">
        <v>631</v>
      </c>
      <c r="H3863" s="17">
        <v>35</v>
      </c>
      <c r="I3863" s="30" t="s">
        <v>955</v>
      </c>
      <c r="J3863" s="80">
        <v>4.0999999999999996</v>
      </c>
      <c r="K3863"/>
      <c r="L3863"/>
      <c r="M3863"/>
      <c r="N3863"/>
      <c r="O3863" s="62" t="str">
        <f>IF(E3863="PA",IF(K3863&lt;&gt;"",ISERROR(VLOOKUP(K3863,ABBR!A:D,1,FALSE)),ISERROR(VLOOKUP(C3863,ABBR!A:D,1,FALSE))),"")</f>
        <v/>
      </c>
      <c r="P3863" t="str">
        <f>VLOOKUP(A3863,Groups!A:L,5,FALSE)</f>
        <v>TREG</v>
      </c>
      <c r="Q3863" s="62" t="str">
        <f>IF(G3863="PA",IF(M3863&lt;&gt;"",ISERROR(VLOOKUP(M3863,ABBR!C:F,1,FALSE)),ISERROR(VLOOKUP(E3863,ABBR!C:F,1,FALSE))),"")</f>
        <v/>
      </c>
    </row>
    <row r="3864" spans="1:17" s="62" customFormat="1" ht="14.5" hidden="1" customHeight="1" x14ac:dyDescent="0.25">
      <c r="A3864" s="16" t="s">
        <v>431</v>
      </c>
      <c r="B3864" s="17"/>
      <c r="C3864" s="16" t="s">
        <v>6210</v>
      </c>
      <c r="D3864" s="17"/>
      <c r="E3864" s="17" t="s">
        <v>1321</v>
      </c>
      <c r="F3864" s="18" t="s">
        <v>1544</v>
      </c>
      <c r="G3864" s="8">
        <v>0.79600000000000004</v>
      </c>
      <c r="H3864" s="17">
        <v>36</v>
      </c>
      <c r="I3864" s="30" t="s">
        <v>955</v>
      </c>
      <c r="J3864" s="80">
        <v>4.0999999999999996</v>
      </c>
      <c r="K3864"/>
      <c r="L3864"/>
      <c r="M3864"/>
      <c r="N3864"/>
      <c r="O3864" s="62" t="str">
        <f>IF(E3864="PA",IF(K3864&lt;&gt;"",ISERROR(VLOOKUP(K3864,ABBR!A:D,1,FALSE)),ISERROR(VLOOKUP(C3864,ABBR!A:D,1,FALSE))),"")</f>
        <v/>
      </c>
      <c r="P3864" t="str">
        <f>VLOOKUP(A3864,Groups!A:L,5,FALSE)</f>
        <v>TREG</v>
      </c>
      <c r="Q3864" s="62" t="str">
        <f>IF(G3864="PA",IF(M3864&lt;&gt;"",ISERROR(VLOOKUP(M3864,ABBR!C:F,1,FALSE)),ISERROR(VLOOKUP(E3864,ABBR!C:F,1,FALSE))),"")</f>
        <v/>
      </c>
    </row>
    <row r="3865" spans="1:17" s="62" customFormat="1" ht="14.5" hidden="1" customHeight="1" x14ac:dyDescent="0.25">
      <c r="A3865" s="16" t="s">
        <v>431</v>
      </c>
      <c r="B3865" s="17"/>
      <c r="C3865" s="16" t="s">
        <v>6211</v>
      </c>
      <c r="D3865" s="17" t="s">
        <v>766</v>
      </c>
      <c r="E3865" s="17" t="s">
        <v>767</v>
      </c>
      <c r="F3865" s="18" t="s">
        <v>6212</v>
      </c>
      <c r="G3865" s="8">
        <v>100</v>
      </c>
      <c r="H3865" s="17">
        <v>37</v>
      </c>
      <c r="I3865" s="30" t="s">
        <v>955</v>
      </c>
      <c r="J3865" s="80">
        <v>4.0999999999999996</v>
      </c>
      <c r="K3865"/>
      <c r="L3865"/>
      <c r="M3865"/>
      <c r="N3865"/>
      <c r="O3865" s="62" t="str">
        <f>IF(E3865="PA",IF(K3865&lt;&gt;"",ISERROR(VLOOKUP(K3865,ABBR!A:D,1,FALSE)),ISERROR(VLOOKUP(C3865,ABBR!A:D,1,FALSE))),"")</f>
        <v/>
      </c>
      <c r="P3865" t="str">
        <f>VLOOKUP(A3865,Groups!A:L,5,FALSE)</f>
        <v>TREG</v>
      </c>
      <c r="Q3865" s="62" t="str">
        <f>IF(G3865="PA",IF(M3865&lt;&gt;"",ISERROR(VLOOKUP(M3865,ABBR!C:F,1,FALSE)),ISERROR(VLOOKUP(E3865,ABBR!C:F,1,FALSE))),"")</f>
        <v/>
      </c>
    </row>
    <row r="3866" spans="1:17" s="62" customFormat="1" ht="14.5" hidden="1" customHeight="1" x14ac:dyDescent="0.25">
      <c r="A3866" s="16" t="s">
        <v>431</v>
      </c>
      <c r="B3866" s="17"/>
      <c r="C3866" s="16" t="s">
        <v>6213</v>
      </c>
      <c r="D3866" s="17" t="s">
        <v>1345</v>
      </c>
      <c r="E3866" s="17" t="s">
        <v>767</v>
      </c>
      <c r="F3866" s="18" t="s">
        <v>6214</v>
      </c>
      <c r="G3866" s="8">
        <v>200</v>
      </c>
      <c r="H3866" s="17">
        <v>38</v>
      </c>
      <c r="I3866" s="30" t="s">
        <v>955</v>
      </c>
      <c r="J3866" s="80">
        <v>4.0999999999999996</v>
      </c>
      <c r="K3866"/>
      <c r="L3866"/>
      <c r="M3866"/>
      <c r="N3866"/>
      <c r="O3866" s="62" t="str">
        <f>IF(E3866="PA",IF(K3866&lt;&gt;"",ISERROR(VLOOKUP(K3866,ABBR!A:D,1,FALSE)),ISERROR(VLOOKUP(C3866,ABBR!A:D,1,FALSE))),"")</f>
        <v/>
      </c>
      <c r="P3866" t="str">
        <f>VLOOKUP(A3866,Groups!A:L,5,FALSE)</f>
        <v>TREG</v>
      </c>
      <c r="Q3866" s="62" t="str">
        <f>IF(G3866="PA",IF(M3866&lt;&gt;"",ISERROR(VLOOKUP(M3866,ABBR!C:F,1,FALSE)),ISERROR(VLOOKUP(E3866,ABBR!C:F,1,FALSE))),"")</f>
        <v/>
      </c>
    </row>
    <row r="3867" spans="1:17" s="62" customFormat="1" ht="14.5" hidden="1" customHeight="1" x14ac:dyDescent="0.25">
      <c r="A3867" s="16" t="s">
        <v>431</v>
      </c>
      <c r="B3867" s="17"/>
      <c r="C3867" s="16" t="s">
        <v>6215</v>
      </c>
      <c r="D3867" s="17" t="s">
        <v>1345</v>
      </c>
      <c r="E3867" s="17" t="s">
        <v>767</v>
      </c>
      <c r="F3867" s="18" t="s">
        <v>6216</v>
      </c>
      <c r="G3867" s="8">
        <v>100</v>
      </c>
      <c r="H3867" s="17">
        <v>39</v>
      </c>
      <c r="I3867" s="30" t="s">
        <v>955</v>
      </c>
      <c r="J3867" s="80">
        <v>4.0999999999999996</v>
      </c>
      <c r="K3867"/>
      <c r="L3867"/>
      <c r="M3867"/>
      <c r="N3867"/>
      <c r="O3867" s="62" t="str">
        <f>IF(E3867="PA",IF(K3867&lt;&gt;"",ISERROR(VLOOKUP(K3867,ABBR!A:D,1,FALSE)),ISERROR(VLOOKUP(C3867,ABBR!A:D,1,FALSE))),"")</f>
        <v/>
      </c>
      <c r="P3867" t="str">
        <f>VLOOKUP(A3867,Groups!A:L,5,FALSE)</f>
        <v>TREG</v>
      </c>
      <c r="Q3867" s="62" t="str">
        <f>IF(G3867="PA",IF(M3867&lt;&gt;"",ISERROR(VLOOKUP(M3867,ABBR!C:F,1,FALSE)),ISERROR(VLOOKUP(E3867,ABBR!C:F,1,FALSE))),"")</f>
        <v/>
      </c>
    </row>
    <row r="3868" spans="1:17" s="62" customFormat="1" ht="14.5" hidden="1" customHeight="1" x14ac:dyDescent="0.25">
      <c r="A3868" s="16" t="s">
        <v>431</v>
      </c>
      <c r="B3868" s="17"/>
      <c r="C3868" s="16" t="s">
        <v>6217</v>
      </c>
      <c r="D3868" s="17" t="s">
        <v>1345</v>
      </c>
      <c r="E3868" s="17" t="s">
        <v>767</v>
      </c>
      <c r="F3868" s="18" t="s">
        <v>6218</v>
      </c>
      <c r="G3868" s="8">
        <v>133</v>
      </c>
      <c r="H3868" s="17">
        <v>40</v>
      </c>
      <c r="I3868" s="30" t="s">
        <v>955</v>
      </c>
      <c r="J3868" s="80">
        <v>4.0999999999999996</v>
      </c>
      <c r="K3868"/>
      <c r="L3868"/>
      <c r="M3868"/>
      <c r="N3868"/>
      <c r="O3868" s="62" t="str">
        <f>IF(E3868="PA",IF(K3868&lt;&gt;"",ISERROR(VLOOKUP(K3868,ABBR!A:D,1,FALSE)),ISERROR(VLOOKUP(C3868,ABBR!A:D,1,FALSE))),"")</f>
        <v/>
      </c>
      <c r="P3868" t="str">
        <f>VLOOKUP(A3868,Groups!A:L,5,FALSE)</f>
        <v>TREG</v>
      </c>
      <c r="Q3868" s="62" t="str">
        <f>IF(G3868="PA",IF(M3868&lt;&gt;"",ISERROR(VLOOKUP(M3868,ABBR!C:F,1,FALSE)),ISERROR(VLOOKUP(E3868,ABBR!C:F,1,FALSE))),"")</f>
        <v/>
      </c>
    </row>
    <row r="3869" spans="1:17" s="62" customFormat="1" ht="14.5" hidden="1" customHeight="1" x14ac:dyDescent="0.25">
      <c r="A3869" s="16" t="s">
        <v>431</v>
      </c>
      <c r="B3869" s="17"/>
      <c r="C3869" s="16" t="s">
        <v>6219</v>
      </c>
      <c r="D3869" s="17" t="s">
        <v>1345</v>
      </c>
      <c r="E3869" s="17" t="s">
        <v>767</v>
      </c>
      <c r="F3869" s="18" t="s">
        <v>6220</v>
      </c>
      <c r="G3869" s="8">
        <v>150</v>
      </c>
      <c r="H3869" s="17">
        <v>41</v>
      </c>
      <c r="I3869" s="30" t="s">
        <v>955</v>
      </c>
      <c r="J3869" s="80">
        <v>4.0999999999999996</v>
      </c>
      <c r="K3869"/>
      <c r="L3869"/>
      <c r="M3869"/>
      <c r="N3869"/>
      <c r="O3869" s="62" t="str">
        <f>IF(E3869="PA",IF(K3869&lt;&gt;"",ISERROR(VLOOKUP(K3869,ABBR!A:D,1,FALSE)),ISERROR(VLOOKUP(C3869,ABBR!A:D,1,FALSE))),"")</f>
        <v/>
      </c>
      <c r="P3869" t="str">
        <f>VLOOKUP(A3869,Groups!A:L,5,FALSE)</f>
        <v>TREG</v>
      </c>
      <c r="Q3869" s="62" t="str">
        <f>IF(G3869="PA",IF(M3869&lt;&gt;"",ISERROR(VLOOKUP(M3869,ABBR!C:F,1,FALSE)),ISERROR(VLOOKUP(E3869,ABBR!C:F,1,FALSE))),"")</f>
        <v/>
      </c>
    </row>
    <row r="3870" spans="1:17" s="62" customFormat="1" ht="14.5" hidden="1" customHeight="1" x14ac:dyDescent="0.25">
      <c r="A3870" s="16" t="s">
        <v>431</v>
      </c>
      <c r="B3870" s="17"/>
      <c r="C3870" s="16" t="s">
        <v>6221</v>
      </c>
      <c r="D3870" s="17" t="s">
        <v>766</v>
      </c>
      <c r="E3870" s="17" t="s">
        <v>601</v>
      </c>
      <c r="F3870" s="18" t="s">
        <v>6222</v>
      </c>
      <c r="G3870" s="8">
        <v>3.22</v>
      </c>
      <c r="H3870" s="17">
        <v>42</v>
      </c>
      <c r="I3870" s="30" t="s">
        <v>955</v>
      </c>
      <c r="J3870" s="80">
        <v>4.0999999999999996</v>
      </c>
      <c r="K3870"/>
      <c r="L3870"/>
      <c r="M3870"/>
      <c r="N3870"/>
      <c r="O3870" s="62" t="str">
        <f>IF(E3870="PA",IF(K3870&lt;&gt;"",ISERROR(VLOOKUP(K3870,ABBR!A:D,1,FALSE)),ISERROR(VLOOKUP(C3870,ABBR!A:D,1,FALSE))),"")</f>
        <v/>
      </c>
      <c r="P3870" t="str">
        <f>VLOOKUP(A3870,Groups!A:L,5,FALSE)</f>
        <v>TREG</v>
      </c>
      <c r="Q3870" s="62" t="str">
        <f>IF(G3870="PA",IF(M3870&lt;&gt;"",ISERROR(VLOOKUP(M3870,ABBR!C:F,1,FALSE)),ISERROR(VLOOKUP(E3870,ABBR!C:F,1,FALSE))),"")</f>
        <v/>
      </c>
    </row>
    <row r="3871" spans="1:17" s="62" customFormat="1" ht="14.5" hidden="1" customHeight="1" x14ac:dyDescent="0.25">
      <c r="A3871" s="16" t="s">
        <v>431</v>
      </c>
      <c r="B3871" s="17"/>
      <c r="C3871" s="16" t="s">
        <v>6223</v>
      </c>
      <c r="D3871" s="17" t="s">
        <v>1710</v>
      </c>
      <c r="E3871" s="17" t="s">
        <v>601</v>
      </c>
      <c r="F3871" s="18" t="s">
        <v>6224</v>
      </c>
      <c r="G3871" s="8">
        <v>75.5</v>
      </c>
      <c r="H3871" s="17">
        <v>43</v>
      </c>
      <c r="I3871" s="30" t="s">
        <v>955</v>
      </c>
      <c r="J3871" s="80">
        <v>4.0999999999999996</v>
      </c>
      <c r="K3871"/>
      <c r="L3871"/>
      <c r="M3871"/>
      <c r="N3871"/>
      <c r="O3871" s="62" t="str">
        <f>IF(E3871="PA",IF(K3871&lt;&gt;"",ISERROR(VLOOKUP(K3871,ABBR!A:D,1,FALSE)),ISERROR(VLOOKUP(C3871,ABBR!A:D,1,FALSE))),"")</f>
        <v/>
      </c>
      <c r="P3871" t="str">
        <f>VLOOKUP(A3871,Groups!A:L,5,FALSE)</f>
        <v>TREG</v>
      </c>
      <c r="Q3871" s="62" t="str">
        <f>IF(G3871="PA",IF(M3871&lt;&gt;"",ISERROR(VLOOKUP(M3871,ABBR!C:F,1,FALSE)),ISERROR(VLOOKUP(E3871,ABBR!C:F,1,FALSE))),"")</f>
        <v/>
      </c>
    </row>
    <row r="3872" spans="1:17" s="62" customFormat="1" ht="14.5" hidden="1" customHeight="1" x14ac:dyDescent="0.25">
      <c r="A3872" s="16" t="s">
        <v>431</v>
      </c>
      <c r="B3872" s="17"/>
      <c r="C3872" s="16" t="s">
        <v>6225</v>
      </c>
      <c r="D3872" s="17" t="s">
        <v>1345</v>
      </c>
      <c r="E3872" s="17" t="s">
        <v>767</v>
      </c>
      <c r="F3872" s="18" t="s">
        <v>6226</v>
      </c>
      <c r="G3872" s="49" t="s">
        <v>6227</v>
      </c>
      <c r="H3872" s="17">
        <v>44</v>
      </c>
      <c r="I3872" s="30"/>
      <c r="J3872" s="62" t="s">
        <v>558</v>
      </c>
      <c r="M3872"/>
      <c r="O3872" s="62" t="str">
        <f>IF(E3872="PA",IF(K3872&lt;&gt;"",ISERROR(VLOOKUP(K3872,ABBR!A:D,1,FALSE)),ISERROR(VLOOKUP(C3872,ABBR!A:D,1,FALSE))),"")</f>
        <v/>
      </c>
      <c r="P3872" t="str">
        <f>VLOOKUP(A3872,Groups!A:L,5,FALSE)</f>
        <v>TREG</v>
      </c>
      <c r="Q3872" s="62" t="str">
        <f>IF(G3872="PA",IF(M3872&lt;&gt;"",ISERROR(VLOOKUP(M3872,ABBR!C:F,1,FALSE)),ISERROR(VLOOKUP(E3872,ABBR!C:F,1,FALSE))),"")</f>
        <v/>
      </c>
    </row>
    <row r="3873" spans="1:17" s="62" customFormat="1" ht="14.5" hidden="1" customHeight="1" x14ac:dyDescent="0.25">
      <c r="A3873" s="16" t="s">
        <v>431</v>
      </c>
      <c r="B3873" s="17"/>
      <c r="C3873" s="16" t="s">
        <v>6228</v>
      </c>
      <c r="D3873" s="17" t="s">
        <v>1345</v>
      </c>
      <c r="E3873" s="17" t="s">
        <v>767</v>
      </c>
      <c r="F3873" s="18" t="s">
        <v>6229</v>
      </c>
      <c r="G3873" s="49" t="s">
        <v>6230</v>
      </c>
      <c r="H3873" s="17">
        <v>45</v>
      </c>
      <c r="I3873" s="30"/>
      <c r="J3873" s="62" t="s">
        <v>558</v>
      </c>
      <c r="M3873"/>
      <c r="O3873" s="62" t="str">
        <f>IF(E3873="PA",IF(K3873&lt;&gt;"",ISERROR(VLOOKUP(K3873,ABBR!A:D,1,FALSE)),ISERROR(VLOOKUP(C3873,ABBR!A:D,1,FALSE))),"")</f>
        <v/>
      </c>
      <c r="P3873" t="str">
        <f>VLOOKUP(A3873,Groups!A:L,5,FALSE)</f>
        <v>TREG</v>
      </c>
      <c r="Q3873" s="62" t="str">
        <f>IF(G3873="PA",IF(M3873&lt;&gt;"",ISERROR(VLOOKUP(M3873,ABBR!C:F,1,FALSE)),ISERROR(VLOOKUP(E3873,ABBR!C:F,1,FALSE))),"")</f>
        <v/>
      </c>
    </row>
    <row r="3874" spans="1:17" s="62" customFormat="1" hidden="1" x14ac:dyDescent="0.25">
      <c r="A3874" s="16" t="s">
        <v>431</v>
      </c>
      <c r="B3874" s="17"/>
      <c r="C3874" s="16" t="s">
        <v>6231</v>
      </c>
      <c r="D3874" s="17" t="s">
        <v>1345</v>
      </c>
      <c r="E3874" s="17" t="s">
        <v>767</v>
      </c>
      <c r="F3874" s="18" t="s">
        <v>6232</v>
      </c>
      <c r="G3874" s="49" t="s">
        <v>6233</v>
      </c>
      <c r="H3874" s="17">
        <v>46</v>
      </c>
      <c r="I3874" s="30"/>
      <c r="J3874" s="62" t="s">
        <v>558</v>
      </c>
      <c r="M3874"/>
      <c r="O3874" s="62" t="str">
        <f>IF(E3874="PA",IF(K3874&lt;&gt;"",ISERROR(VLOOKUP(K3874,ABBR!A:D,1,FALSE)),ISERROR(VLOOKUP(C3874,ABBR!A:D,1,FALSE))),"")</f>
        <v/>
      </c>
      <c r="P3874" t="str">
        <f>VLOOKUP(A3874,Groups!A:L,5,FALSE)</f>
        <v>TREG</v>
      </c>
      <c r="Q3874" s="62" t="str">
        <f>IF(G3874="PA",IF(M3874&lt;&gt;"",ISERROR(VLOOKUP(M3874,ABBR!C:F,1,FALSE)),ISERROR(VLOOKUP(E3874,ABBR!C:F,1,FALSE))),"")</f>
        <v/>
      </c>
    </row>
    <row r="3875" spans="1:17" s="62" customFormat="1" hidden="1" x14ac:dyDescent="0.25">
      <c r="A3875" s="16" t="s">
        <v>556</v>
      </c>
      <c r="B3875" s="17" t="s">
        <v>594</v>
      </c>
      <c r="C3875" s="16" t="s">
        <v>595</v>
      </c>
      <c r="D3875" s="17"/>
      <c r="E3875" s="17" t="s">
        <v>596</v>
      </c>
      <c r="F3875" s="18" t="s">
        <v>1953</v>
      </c>
      <c r="G3875" s="49" t="s">
        <v>598</v>
      </c>
      <c r="H3875" s="17">
        <v>1</v>
      </c>
      <c r="I3875" s="30"/>
      <c r="J3875" s="62" t="s">
        <v>558</v>
      </c>
      <c r="M3875"/>
      <c r="O3875" s="62" t="str">
        <f>IF(E3875="PA",IF(K3875&lt;&gt;"",ISERROR(VLOOKUP(K3875,ABBR!A:D,1,FALSE)),ISERROR(VLOOKUP(C3875,ABBR!A:D,1,FALSE))),"")</f>
        <v/>
      </c>
      <c r="P3875" t="str">
        <f>VLOOKUP(A3875,Groups!A:L,5,FALSE)</f>
        <v>TRET</v>
      </c>
      <c r="Q3875" s="62" t="str">
        <f>IF(G3875="PA",IF(M3875&lt;&gt;"",ISERROR(VLOOKUP(M3875,ABBR!C:F,1,FALSE)),ISERROR(VLOOKUP(E3875,ABBR!C:F,1,FALSE))),"")</f>
        <v/>
      </c>
    </row>
    <row r="3876" spans="1:17" s="62" customFormat="1" hidden="1" x14ac:dyDescent="0.25">
      <c r="A3876" s="16" t="s">
        <v>556</v>
      </c>
      <c r="B3876" s="17" t="s">
        <v>594</v>
      </c>
      <c r="C3876" s="16" t="s">
        <v>851</v>
      </c>
      <c r="D3876" s="17" t="s">
        <v>600</v>
      </c>
      <c r="E3876" s="17" t="s">
        <v>601</v>
      </c>
      <c r="F3876" s="18" t="s">
        <v>6234</v>
      </c>
      <c r="G3876" s="49" t="s">
        <v>853</v>
      </c>
      <c r="H3876" s="17">
        <v>2</v>
      </c>
      <c r="I3876" s="30"/>
      <c r="J3876" s="62" t="s">
        <v>558</v>
      </c>
      <c r="M3876"/>
      <c r="O3876" s="62" t="str">
        <f>IF(E3876="PA",IF(K3876&lt;&gt;"",ISERROR(VLOOKUP(K3876,ABBR!A:D,1,FALSE)),ISERROR(VLOOKUP(C3876,ABBR!A:D,1,FALSE))),"")</f>
        <v/>
      </c>
      <c r="P3876" t="str">
        <f>VLOOKUP(A3876,Groups!A:L,5,FALSE)</f>
        <v>TRET</v>
      </c>
      <c r="Q3876" s="62" t="str">
        <f>IF(G3876="PA",IF(M3876&lt;&gt;"",ISERROR(VLOOKUP(M3876,ABBR!C:F,1,FALSE)),ISERROR(VLOOKUP(E3876,ABBR!C:F,1,FALSE))),"")</f>
        <v/>
      </c>
    </row>
    <row r="3877" spans="1:17" s="62" customFormat="1" hidden="1" x14ac:dyDescent="0.25">
      <c r="A3877" s="16" t="s">
        <v>556</v>
      </c>
      <c r="B3877" s="17" t="s">
        <v>594</v>
      </c>
      <c r="C3877" s="16" t="s">
        <v>854</v>
      </c>
      <c r="D3877" s="17"/>
      <c r="E3877" s="17" t="s">
        <v>608</v>
      </c>
      <c r="F3877" s="18" t="s">
        <v>6235</v>
      </c>
      <c r="G3877" s="49" t="s">
        <v>856</v>
      </c>
      <c r="H3877" s="17">
        <v>3</v>
      </c>
      <c r="I3877" s="30"/>
      <c r="J3877" s="62" t="s">
        <v>558</v>
      </c>
      <c r="M3877"/>
      <c r="O3877" s="62" t="str">
        <f>IF(E3877="PA",IF(K3877&lt;&gt;"",ISERROR(VLOOKUP(K3877,ABBR!A:D,1,FALSE)),ISERROR(VLOOKUP(C3877,ABBR!A:D,1,FALSE))),"")</f>
        <v/>
      </c>
      <c r="P3877" t="str">
        <f>VLOOKUP(A3877,Groups!A:L,5,FALSE)</f>
        <v>TRET</v>
      </c>
      <c r="Q3877" s="62" t="str">
        <f>IF(G3877="PA",IF(M3877&lt;&gt;"",ISERROR(VLOOKUP(M3877,ABBR!C:F,1,FALSE)),ISERROR(VLOOKUP(E3877,ABBR!C:F,1,FALSE))),"")</f>
        <v/>
      </c>
    </row>
    <row r="3878" spans="1:17" s="62" customFormat="1" hidden="1" x14ac:dyDescent="0.25">
      <c r="A3878" s="16" t="s">
        <v>556</v>
      </c>
      <c r="B3878" s="17" t="s">
        <v>594</v>
      </c>
      <c r="C3878" s="16" t="s">
        <v>857</v>
      </c>
      <c r="D3878" s="17"/>
      <c r="E3878" s="17" t="s">
        <v>618</v>
      </c>
      <c r="F3878" s="18" t="s">
        <v>6236</v>
      </c>
      <c r="G3878" s="49" t="s">
        <v>859</v>
      </c>
      <c r="H3878" s="17">
        <v>4</v>
      </c>
      <c r="I3878" s="30"/>
      <c r="J3878" s="62" t="s">
        <v>558</v>
      </c>
      <c r="M3878"/>
      <c r="O3878" s="62" t="b">
        <f>IF(E3878="PA",IF(K3878&lt;&gt;"",ISERROR(VLOOKUP(K3878,ABBR!A:D,1,FALSE)),ISERROR(VLOOKUP(C3878,ABBR!A:D,1,FALSE))),"")</f>
        <v>0</v>
      </c>
      <c r="P3878" t="str">
        <f>VLOOKUP(A3878,Groups!A:L,5,FALSE)</f>
        <v>TRET</v>
      </c>
      <c r="Q3878" s="62" t="str">
        <f>IF(G3878="PA",IF(M3878&lt;&gt;"",ISERROR(VLOOKUP(M3878,ABBR!C:F,1,FALSE)),ISERROR(VLOOKUP(E3878,ABBR!C:F,1,FALSE))),"")</f>
        <v/>
      </c>
    </row>
    <row r="3879" spans="1:17" s="62" customFormat="1" hidden="1" x14ac:dyDescent="0.25">
      <c r="A3879" s="16" t="s">
        <v>556</v>
      </c>
      <c r="B3879" s="17" t="s">
        <v>594</v>
      </c>
      <c r="C3879" s="16" t="s">
        <v>860</v>
      </c>
      <c r="D3879" s="17"/>
      <c r="E3879" s="17" t="s">
        <v>596</v>
      </c>
      <c r="F3879" s="18" t="s">
        <v>861</v>
      </c>
      <c r="G3879" s="49" t="s">
        <v>862</v>
      </c>
      <c r="H3879" s="17">
        <v>5</v>
      </c>
      <c r="I3879" s="30"/>
      <c r="J3879" s="62" t="s">
        <v>558</v>
      </c>
      <c r="M3879"/>
      <c r="O3879" s="62" t="str">
        <f>IF(E3879="PA",IF(K3879&lt;&gt;"",ISERROR(VLOOKUP(K3879,ABBR!A:D,1,FALSE)),ISERROR(VLOOKUP(C3879,ABBR!A:D,1,FALSE))),"")</f>
        <v/>
      </c>
      <c r="P3879" t="str">
        <f>VLOOKUP(A3879,Groups!A:L,5,FALSE)</f>
        <v>TRET</v>
      </c>
      <c r="Q3879" s="62" t="str">
        <f>IF(G3879="PA",IF(M3879&lt;&gt;"",ISERROR(VLOOKUP(M3879,ABBR!C:F,1,FALSE)),ISERROR(VLOOKUP(E3879,ABBR!C:F,1,FALSE))),"")</f>
        <v/>
      </c>
    </row>
    <row r="3880" spans="1:17" s="62" customFormat="1" hidden="1" x14ac:dyDescent="0.25">
      <c r="A3880" s="16" t="s">
        <v>556</v>
      </c>
      <c r="B3880" s="17" t="s">
        <v>594</v>
      </c>
      <c r="C3880" s="16" t="s">
        <v>863</v>
      </c>
      <c r="D3880" s="17"/>
      <c r="E3880" s="17" t="s">
        <v>608</v>
      </c>
      <c r="F3880" s="18" t="s">
        <v>6237</v>
      </c>
      <c r="G3880" s="49" t="s">
        <v>865</v>
      </c>
      <c r="H3880" s="17">
        <v>6</v>
      </c>
      <c r="I3880" s="30"/>
      <c r="J3880" s="62" t="s">
        <v>558</v>
      </c>
      <c r="M3880"/>
      <c r="O3880" s="62" t="str">
        <f>IF(E3880="PA",IF(K3880&lt;&gt;"",ISERROR(VLOOKUP(K3880,ABBR!A:D,1,FALSE)),ISERROR(VLOOKUP(C3880,ABBR!A:D,1,FALSE))),"")</f>
        <v/>
      </c>
      <c r="P3880" t="str">
        <f>VLOOKUP(A3880,Groups!A:L,5,FALSE)</f>
        <v>TRET</v>
      </c>
      <c r="Q3880" s="62" t="str">
        <f>IF(G3880="PA",IF(M3880&lt;&gt;"",ISERROR(VLOOKUP(M3880,ABBR!C:F,1,FALSE)),ISERROR(VLOOKUP(E3880,ABBR!C:F,1,FALSE))),"")</f>
        <v/>
      </c>
    </row>
    <row r="3881" spans="1:17" s="62" customFormat="1" hidden="1" x14ac:dyDescent="0.25">
      <c r="A3881" s="16" t="s">
        <v>556</v>
      </c>
      <c r="B3881" s="17" t="s">
        <v>594</v>
      </c>
      <c r="C3881" s="16" t="s">
        <v>866</v>
      </c>
      <c r="D3881" s="17" t="s">
        <v>600</v>
      </c>
      <c r="E3881" s="17" t="s">
        <v>601</v>
      </c>
      <c r="F3881" s="18" t="s">
        <v>6238</v>
      </c>
      <c r="G3881" s="49" t="s">
        <v>853</v>
      </c>
      <c r="H3881" s="17">
        <v>7</v>
      </c>
      <c r="I3881" s="30"/>
      <c r="J3881" s="62" t="s">
        <v>558</v>
      </c>
      <c r="M3881"/>
      <c r="O3881" s="62" t="str">
        <f>IF(E3881="PA",IF(K3881&lt;&gt;"",ISERROR(VLOOKUP(K3881,ABBR!A:D,1,FALSE)),ISERROR(VLOOKUP(C3881,ABBR!A:D,1,FALSE))),"")</f>
        <v/>
      </c>
      <c r="P3881" t="str">
        <f>VLOOKUP(A3881,Groups!A:L,5,FALSE)</f>
        <v>TRET</v>
      </c>
      <c r="Q3881" s="62" t="str">
        <f>IF(G3881="PA",IF(M3881&lt;&gt;"",ISERROR(VLOOKUP(M3881,ABBR!C:F,1,FALSE)),ISERROR(VLOOKUP(E3881,ABBR!C:F,1,FALSE))),"")</f>
        <v/>
      </c>
    </row>
    <row r="3882" spans="1:17" s="62" customFormat="1" hidden="1" x14ac:dyDescent="0.25">
      <c r="A3882" s="16" t="s">
        <v>556</v>
      </c>
      <c r="B3882" s="17" t="s">
        <v>594</v>
      </c>
      <c r="C3882" s="16" t="s">
        <v>6156</v>
      </c>
      <c r="D3882" s="17"/>
      <c r="E3882" s="17" t="s">
        <v>608</v>
      </c>
      <c r="F3882" s="18" t="s">
        <v>1313</v>
      </c>
      <c r="G3882" s="49" t="s">
        <v>631</v>
      </c>
      <c r="H3882" s="17">
        <v>8</v>
      </c>
      <c r="I3882" s="30"/>
      <c r="J3882" s="62" t="s">
        <v>558</v>
      </c>
      <c r="M3882"/>
      <c r="O3882" s="62" t="str">
        <f>IF(E3882="PA",IF(K3882&lt;&gt;"",ISERROR(VLOOKUP(K3882,ABBR!A:D,1,FALSE)),ISERROR(VLOOKUP(C3882,ABBR!A:D,1,FALSE))),"")</f>
        <v/>
      </c>
      <c r="P3882" t="str">
        <f>VLOOKUP(A3882,Groups!A:L,5,FALSE)</f>
        <v>TRET</v>
      </c>
      <c r="Q3882" s="62" t="str">
        <f>IF(G3882="PA",IF(M3882&lt;&gt;"",ISERROR(VLOOKUP(M3882,ABBR!C:F,1,FALSE)),ISERROR(VLOOKUP(E3882,ABBR!C:F,1,FALSE))),"")</f>
        <v/>
      </c>
    </row>
    <row r="3883" spans="1:17" s="62" customFormat="1" hidden="1" x14ac:dyDescent="0.25">
      <c r="A3883" s="16" t="s">
        <v>556</v>
      </c>
      <c r="B3883" s="17" t="s">
        <v>594</v>
      </c>
      <c r="C3883" s="16" t="s">
        <v>6239</v>
      </c>
      <c r="D3883" s="17"/>
      <c r="E3883" s="17" t="s">
        <v>608</v>
      </c>
      <c r="F3883" s="18" t="s">
        <v>6240</v>
      </c>
      <c r="G3883" s="49" t="s">
        <v>4126</v>
      </c>
      <c r="H3883" s="17">
        <v>9</v>
      </c>
      <c r="I3883" s="30"/>
      <c r="J3883" s="62" t="s">
        <v>558</v>
      </c>
      <c r="M3883"/>
      <c r="O3883" s="62" t="str">
        <f>IF(E3883="PA",IF(K3883&lt;&gt;"",ISERROR(VLOOKUP(K3883,ABBR!A:D,1,FALSE)),ISERROR(VLOOKUP(C3883,ABBR!A:D,1,FALSE))),"")</f>
        <v/>
      </c>
      <c r="P3883" t="str">
        <f>VLOOKUP(A3883,Groups!A:L,5,FALSE)</f>
        <v>TRET</v>
      </c>
      <c r="Q3883" s="62" t="str">
        <f>IF(G3883="PA",IF(M3883&lt;&gt;"",ISERROR(VLOOKUP(M3883,ABBR!C:F,1,FALSE)),ISERROR(VLOOKUP(E3883,ABBR!C:F,1,FALSE))),"")</f>
        <v/>
      </c>
    </row>
    <row r="3884" spans="1:17" s="62" customFormat="1" hidden="1" x14ac:dyDescent="0.25">
      <c r="A3884" s="16" t="s">
        <v>556</v>
      </c>
      <c r="B3884" s="17"/>
      <c r="C3884" s="16" t="s">
        <v>6241</v>
      </c>
      <c r="D3884" s="17" t="s">
        <v>1698</v>
      </c>
      <c r="E3884" s="17" t="s">
        <v>767</v>
      </c>
      <c r="F3884" s="18" t="s">
        <v>3383</v>
      </c>
      <c r="G3884" s="49" t="s">
        <v>6242</v>
      </c>
      <c r="H3884" s="17">
        <v>10</v>
      </c>
      <c r="I3884" s="30"/>
      <c r="J3884" s="62" t="s">
        <v>558</v>
      </c>
      <c r="M3884"/>
      <c r="O3884" s="62" t="str">
        <f>IF(E3884="PA",IF(K3884&lt;&gt;"",ISERROR(VLOOKUP(K3884,ABBR!A:D,1,FALSE)),ISERROR(VLOOKUP(C3884,ABBR!A:D,1,FALSE))),"")</f>
        <v/>
      </c>
      <c r="P3884" t="str">
        <f>VLOOKUP(A3884,Groups!A:L,5,FALSE)</f>
        <v>TRET</v>
      </c>
      <c r="Q3884" s="62" t="str">
        <f>IF(G3884="PA",IF(M3884&lt;&gt;"",ISERROR(VLOOKUP(M3884,ABBR!C:F,1,FALSE)),ISERROR(VLOOKUP(E3884,ABBR!C:F,1,FALSE))),"")</f>
        <v/>
      </c>
    </row>
    <row r="3885" spans="1:17" s="62" customFormat="1" hidden="1" x14ac:dyDescent="0.25">
      <c r="A3885" s="16" t="s">
        <v>556</v>
      </c>
      <c r="B3885" s="17"/>
      <c r="C3885" s="16" t="s">
        <v>6243</v>
      </c>
      <c r="D3885" s="17"/>
      <c r="E3885" s="17" t="s">
        <v>608</v>
      </c>
      <c r="F3885" s="18" t="s">
        <v>1716</v>
      </c>
      <c r="G3885" s="49" t="s">
        <v>2112</v>
      </c>
      <c r="H3885" s="17">
        <v>11</v>
      </c>
      <c r="I3885" s="30"/>
      <c r="J3885" s="62" t="s">
        <v>558</v>
      </c>
      <c r="M3885"/>
      <c r="O3885" s="62" t="str">
        <f>IF(E3885="PA",IF(K3885&lt;&gt;"",ISERROR(VLOOKUP(K3885,ABBR!A:D,1,FALSE)),ISERROR(VLOOKUP(C3885,ABBR!A:D,1,FALSE))),"")</f>
        <v/>
      </c>
      <c r="P3885" t="str">
        <f>VLOOKUP(A3885,Groups!A:L,5,FALSE)</f>
        <v>TRET</v>
      </c>
      <c r="Q3885" s="62" t="str">
        <f>IF(G3885="PA",IF(M3885&lt;&gt;"",ISERROR(VLOOKUP(M3885,ABBR!C:F,1,FALSE)),ISERROR(VLOOKUP(E3885,ABBR!C:F,1,FALSE))),"")</f>
        <v/>
      </c>
    </row>
    <row r="3886" spans="1:17" s="62" customFormat="1" hidden="1" x14ac:dyDescent="0.25">
      <c r="A3886" s="16" t="s">
        <v>556</v>
      </c>
      <c r="B3886" s="17"/>
      <c r="C3886" s="16" t="s">
        <v>6244</v>
      </c>
      <c r="D3886" s="17" t="s">
        <v>1345</v>
      </c>
      <c r="E3886" s="17" t="s">
        <v>767</v>
      </c>
      <c r="F3886" s="18" t="s">
        <v>6245</v>
      </c>
      <c r="G3886" s="49" t="s">
        <v>2593</v>
      </c>
      <c r="H3886" s="17">
        <v>12</v>
      </c>
      <c r="I3886" s="30"/>
      <c r="J3886" s="62" t="s">
        <v>558</v>
      </c>
      <c r="M3886"/>
      <c r="O3886" s="62" t="str">
        <f>IF(E3886="PA",IF(K3886&lt;&gt;"",ISERROR(VLOOKUP(K3886,ABBR!A:D,1,FALSE)),ISERROR(VLOOKUP(C3886,ABBR!A:D,1,FALSE))),"")</f>
        <v/>
      </c>
      <c r="P3886" t="str">
        <f>VLOOKUP(A3886,Groups!A:L,5,FALSE)</f>
        <v>TRET</v>
      </c>
      <c r="Q3886" s="62" t="str">
        <f>IF(G3886="PA",IF(M3886&lt;&gt;"",ISERROR(VLOOKUP(M3886,ABBR!C:F,1,FALSE)),ISERROR(VLOOKUP(E3886,ABBR!C:F,1,FALSE))),"")</f>
        <v/>
      </c>
    </row>
    <row r="3887" spans="1:17" s="62" customFormat="1" hidden="1" x14ac:dyDescent="0.25">
      <c r="A3887" s="16" t="s">
        <v>556</v>
      </c>
      <c r="B3887" s="17"/>
      <c r="C3887" s="16" t="s">
        <v>6246</v>
      </c>
      <c r="D3887" s="17" t="s">
        <v>1345</v>
      </c>
      <c r="E3887" s="17" t="s">
        <v>767</v>
      </c>
      <c r="F3887" s="18" t="s">
        <v>6247</v>
      </c>
      <c r="G3887" s="49" t="s">
        <v>769</v>
      </c>
      <c r="H3887" s="17">
        <v>13</v>
      </c>
      <c r="I3887" s="30"/>
      <c r="J3887" s="62" t="s">
        <v>558</v>
      </c>
      <c r="M3887"/>
      <c r="O3887" s="62" t="str">
        <f>IF(E3887="PA",IF(K3887&lt;&gt;"",ISERROR(VLOOKUP(K3887,ABBR!A:D,1,FALSE)),ISERROR(VLOOKUP(C3887,ABBR!A:D,1,FALSE))),"")</f>
        <v/>
      </c>
      <c r="P3887" t="str">
        <f>VLOOKUP(A3887,Groups!A:L,5,FALSE)</f>
        <v>TRET</v>
      </c>
      <c r="Q3887" s="62" t="str">
        <f>IF(G3887="PA",IF(M3887&lt;&gt;"",ISERROR(VLOOKUP(M3887,ABBR!C:F,1,FALSE)),ISERROR(VLOOKUP(E3887,ABBR!C:F,1,FALSE))),"")</f>
        <v/>
      </c>
    </row>
    <row r="3888" spans="1:17" s="62" customFormat="1" hidden="1" x14ac:dyDescent="0.25">
      <c r="A3888" s="16" t="s">
        <v>556</v>
      </c>
      <c r="B3888" s="17"/>
      <c r="C3888" s="16" t="s">
        <v>6248</v>
      </c>
      <c r="D3888" s="17" t="s">
        <v>1345</v>
      </c>
      <c r="E3888" s="17" t="s">
        <v>767</v>
      </c>
      <c r="F3888" s="18" t="s">
        <v>5186</v>
      </c>
      <c r="G3888" s="49" t="s">
        <v>1403</v>
      </c>
      <c r="H3888" s="17">
        <v>14</v>
      </c>
      <c r="I3888" s="30"/>
      <c r="J3888" s="62" t="s">
        <v>558</v>
      </c>
      <c r="M3888"/>
      <c r="O3888" s="62" t="str">
        <f>IF(E3888="PA",IF(K3888&lt;&gt;"",ISERROR(VLOOKUP(K3888,ABBR!A:D,1,FALSE)),ISERROR(VLOOKUP(C3888,ABBR!A:D,1,FALSE))),"")</f>
        <v/>
      </c>
      <c r="P3888" t="str">
        <f>VLOOKUP(A3888,Groups!A:L,5,FALSE)</f>
        <v>TRET</v>
      </c>
      <c r="Q3888" s="62" t="str">
        <f>IF(G3888="PA",IF(M3888&lt;&gt;"",ISERROR(VLOOKUP(M3888,ABBR!C:F,1,FALSE)),ISERROR(VLOOKUP(E3888,ABBR!C:F,1,FALSE))),"")</f>
        <v/>
      </c>
    </row>
    <row r="3889" spans="1:17" s="62" customFormat="1" hidden="1" x14ac:dyDescent="0.25">
      <c r="A3889" s="16" t="s">
        <v>556</v>
      </c>
      <c r="B3889" s="17"/>
      <c r="C3889" s="16" t="s">
        <v>6249</v>
      </c>
      <c r="D3889" s="17" t="s">
        <v>766</v>
      </c>
      <c r="E3889" s="17" t="s">
        <v>601</v>
      </c>
      <c r="F3889" s="18" t="s">
        <v>5206</v>
      </c>
      <c r="G3889" s="49" t="s">
        <v>6250</v>
      </c>
      <c r="H3889" s="17">
        <v>15</v>
      </c>
      <c r="I3889" s="30"/>
      <c r="J3889" s="62" t="s">
        <v>558</v>
      </c>
      <c r="M3889"/>
      <c r="O3889" s="62" t="str">
        <f>IF(E3889="PA",IF(K3889&lt;&gt;"",ISERROR(VLOOKUP(K3889,ABBR!A:D,1,FALSE)),ISERROR(VLOOKUP(C3889,ABBR!A:D,1,FALSE))),"")</f>
        <v/>
      </c>
      <c r="P3889" t="str">
        <f>VLOOKUP(A3889,Groups!A:L,5,FALSE)</f>
        <v>TRET</v>
      </c>
      <c r="Q3889" s="62" t="str">
        <f>IF(G3889="PA",IF(M3889&lt;&gt;"",ISERROR(VLOOKUP(M3889,ABBR!C:F,1,FALSE)),ISERROR(VLOOKUP(E3889,ABBR!C:F,1,FALSE))),"")</f>
        <v/>
      </c>
    </row>
    <row r="3890" spans="1:17" s="62" customFormat="1" hidden="1" x14ac:dyDescent="0.25">
      <c r="A3890" s="16" t="s">
        <v>556</v>
      </c>
      <c r="B3890" s="17"/>
      <c r="C3890" s="16" t="s">
        <v>6251</v>
      </c>
      <c r="D3890" s="17" t="s">
        <v>766</v>
      </c>
      <c r="E3890" s="17" t="s">
        <v>601</v>
      </c>
      <c r="F3890" s="18" t="s">
        <v>6252</v>
      </c>
      <c r="G3890" s="49" t="s">
        <v>6253</v>
      </c>
      <c r="H3890" s="17">
        <v>16</v>
      </c>
      <c r="I3890" s="30"/>
      <c r="J3890" s="62" t="s">
        <v>558</v>
      </c>
      <c r="M3890"/>
      <c r="O3890" s="62" t="str">
        <f>IF(E3890="PA",IF(K3890&lt;&gt;"",ISERROR(VLOOKUP(K3890,ABBR!A:D,1,FALSE)),ISERROR(VLOOKUP(C3890,ABBR!A:D,1,FALSE))),"")</f>
        <v/>
      </c>
      <c r="P3890" t="str">
        <f>VLOOKUP(A3890,Groups!A:L,5,FALSE)</f>
        <v>TRET</v>
      </c>
      <c r="Q3890" s="62" t="str">
        <f>IF(G3890="PA",IF(M3890&lt;&gt;"",ISERROR(VLOOKUP(M3890,ABBR!C:F,1,FALSE)),ISERROR(VLOOKUP(E3890,ABBR!C:F,1,FALSE))),"")</f>
        <v/>
      </c>
    </row>
    <row r="3891" spans="1:17" s="62" customFormat="1" hidden="1" x14ac:dyDescent="0.25">
      <c r="A3891" s="16" t="s">
        <v>556</v>
      </c>
      <c r="B3891" s="17"/>
      <c r="C3891" s="16" t="s">
        <v>6254</v>
      </c>
      <c r="D3891" s="17" t="s">
        <v>1345</v>
      </c>
      <c r="E3891" s="17" t="s">
        <v>723</v>
      </c>
      <c r="F3891" s="18" t="s">
        <v>6255</v>
      </c>
      <c r="G3891" s="49" t="s">
        <v>6256</v>
      </c>
      <c r="H3891" s="17">
        <v>17</v>
      </c>
      <c r="I3891" s="30"/>
      <c r="J3891" s="62" t="s">
        <v>558</v>
      </c>
      <c r="M3891"/>
      <c r="O3891" s="62" t="str">
        <f>IF(E3891="PA",IF(K3891&lt;&gt;"",ISERROR(VLOOKUP(K3891,ABBR!A:D,1,FALSE)),ISERROR(VLOOKUP(C3891,ABBR!A:D,1,FALSE))),"")</f>
        <v/>
      </c>
      <c r="P3891" t="str">
        <f>VLOOKUP(A3891,Groups!A:L,5,FALSE)</f>
        <v>TRET</v>
      </c>
      <c r="Q3891" s="62" t="str">
        <f>IF(G3891="PA",IF(M3891&lt;&gt;"",ISERROR(VLOOKUP(M3891,ABBR!C:F,1,FALSE)),ISERROR(VLOOKUP(E3891,ABBR!C:F,1,FALSE))),"")</f>
        <v/>
      </c>
    </row>
    <row r="3892" spans="1:17" s="62" customFormat="1" hidden="1" x14ac:dyDescent="0.25">
      <c r="A3892" s="16" t="s">
        <v>556</v>
      </c>
      <c r="B3892" s="17"/>
      <c r="C3892" s="16" t="s">
        <v>6257</v>
      </c>
      <c r="D3892" s="17" t="s">
        <v>1345</v>
      </c>
      <c r="E3892" s="17" t="s">
        <v>767</v>
      </c>
      <c r="F3892" s="18" t="s">
        <v>6258</v>
      </c>
      <c r="G3892" s="49" t="s">
        <v>1602</v>
      </c>
      <c r="H3892" s="17">
        <v>18</v>
      </c>
      <c r="I3892" s="30"/>
      <c r="J3892" s="62" t="s">
        <v>558</v>
      </c>
      <c r="M3892"/>
      <c r="O3892" s="62" t="str">
        <f>IF(E3892="PA",IF(K3892&lt;&gt;"",ISERROR(VLOOKUP(K3892,ABBR!A:D,1,FALSE)),ISERROR(VLOOKUP(C3892,ABBR!A:D,1,FALSE))),"")</f>
        <v/>
      </c>
      <c r="P3892" t="str">
        <f>VLOOKUP(A3892,Groups!A:L,5,FALSE)</f>
        <v>TRET</v>
      </c>
      <c r="Q3892" s="62" t="str">
        <f>IF(G3892="PA",IF(M3892&lt;&gt;"",ISERROR(VLOOKUP(M3892,ABBR!C:F,1,FALSE)),ISERROR(VLOOKUP(E3892,ABBR!C:F,1,FALSE))),"")</f>
        <v/>
      </c>
    </row>
    <row r="3893" spans="1:17" s="62" customFormat="1" hidden="1" x14ac:dyDescent="0.25">
      <c r="A3893" s="16" t="s">
        <v>556</v>
      </c>
      <c r="B3893" s="17"/>
      <c r="C3893" s="16" t="s">
        <v>6259</v>
      </c>
      <c r="D3893" s="17" t="s">
        <v>1345</v>
      </c>
      <c r="E3893" s="17" t="s">
        <v>767</v>
      </c>
      <c r="F3893" s="18" t="s">
        <v>6260</v>
      </c>
      <c r="G3893" s="49" t="s">
        <v>6261</v>
      </c>
      <c r="H3893" s="17">
        <v>19</v>
      </c>
      <c r="I3893" s="30"/>
      <c r="J3893" s="62" t="s">
        <v>558</v>
      </c>
      <c r="M3893"/>
      <c r="O3893" s="62" t="str">
        <f>IF(E3893="PA",IF(K3893&lt;&gt;"",ISERROR(VLOOKUP(K3893,ABBR!A:D,1,FALSE)),ISERROR(VLOOKUP(C3893,ABBR!A:D,1,FALSE))),"")</f>
        <v/>
      </c>
      <c r="P3893" t="str">
        <f>VLOOKUP(A3893,Groups!A:L,5,FALSE)</f>
        <v>TRET</v>
      </c>
      <c r="Q3893" s="62" t="str">
        <f>IF(G3893="PA",IF(M3893&lt;&gt;"",ISERROR(VLOOKUP(M3893,ABBR!C:F,1,FALSE)),ISERROR(VLOOKUP(E3893,ABBR!C:F,1,FALSE))),"")</f>
        <v/>
      </c>
    </row>
    <row r="3894" spans="1:17" s="62" customFormat="1" hidden="1" x14ac:dyDescent="0.25">
      <c r="A3894" s="16" t="s">
        <v>556</v>
      </c>
      <c r="B3894" s="17"/>
      <c r="C3894" s="16" t="s">
        <v>6262</v>
      </c>
      <c r="D3894" s="17" t="s">
        <v>1345</v>
      </c>
      <c r="E3894" s="17" t="s">
        <v>767</v>
      </c>
      <c r="F3894" s="18" t="s">
        <v>6263</v>
      </c>
      <c r="G3894" s="49" t="s">
        <v>6264</v>
      </c>
      <c r="H3894" s="17">
        <v>20</v>
      </c>
      <c r="I3894" s="30"/>
      <c r="J3894" s="62" t="s">
        <v>558</v>
      </c>
      <c r="M3894"/>
      <c r="O3894" s="62" t="str">
        <f>IF(E3894="PA",IF(K3894&lt;&gt;"",ISERROR(VLOOKUP(K3894,ABBR!A:D,1,FALSE)),ISERROR(VLOOKUP(C3894,ABBR!A:D,1,FALSE))),"")</f>
        <v/>
      </c>
      <c r="P3894" t="str">
        <f>VLOOKUP(A3894,Groups!A:L,5,FALSE)</f>
        <v>TRET</v>
      </c>
      <c r="Q3894" s="62" t="str">
        <f>IF(G3894="PA",IF(M3894&lt;&gt;"",ISERROR(VLOOKUP(M3894,ABBR!C:F,1,FALSE)),ISERROR(VLOOKUP(E3894,ABBR!C:F,1,FALSE))),"")</f>
        <v/>
      </c>
    </row>
    <row r="3895" spans="1:17" s="62" customFormat="1" hidden="1" x14ac:dyDescent="0.25">
      <c r="A3895" s="16" t="s">
        <v>556</v>
      </c>
      <c r="B3895" s="17"/>
      <c r="C3895" s="16" t="s">
        <v>6265</v>
      </c>
      <c r="D3895" s="17" t="s">
        <v>1345</v>
      </c>
      <c r="E3895" s="17" t="s">
        <v>767</v>
      </c>
      <c r="F3895" s="18" t="s">
        <v>6266</v>
      </c>
      <c r="G3895" s="49" t="s">
        <v>6267</v>
      </c>
      <c r="H3895" s="17">
        <v>21</v>
      </c>
      <c r="I3895" s="30"/>
      <c r="J3895" s="62" t="s">
        <v>558</v>
      </c>
      <c r="M3895"/>
      <c r="O3895" s="62" t="str">
        <f>IF(E3895="PA",IF(K3895&lt;&gt;"",ISERROR(VLOOKUP(K3895,ABBR!A:D,1,FALSE)),ISERROR(VLOOKUP(C3895,ABBR!A:D,1,FALSE))),"")</f>
        <v/>
      </c>
      <c r="P3895" t="str">
        <f>VLOOKUP(A3895,Groups!A:L,5,FALSE)</f>
        <v>TRET</v>
      </c>
      <c r="Q3895" s="62" t="str">
        <f>IF(G3895="PA",IF(M3895&lt;&gt;"",ISERROR(VLOOKUP(M3895,ABBR!C:F,1,FALSE)),ISERROR(VLOOKUP(E3895,ABBR!C:F,1,FALSE))),"")</f>
        <v/>
      </c>
    </row>
    <row r="3896" spans="1:17" s="62" customFormat="1" hidden="1" x14ac:dyDescent="0.25">
      <c r="A3896" s="16" t="s">
        <v>556</v>
      </c>
      <c r="B3896" s="17"/>
      <c r="C3896" s="16" t="s">
        <v>6268</v>
      </c>
      <c r="D3896" s="17"/>
      <c r="E3896" s="17" t="s">
        <v>608</v>
      </c>
      <c r="F3896" s="18" t="s">
        <v>642</v>
      </c>
      <c r="G3896" s="49" t="s">
        <v>16</v>
      </c>
      <c r="H3896" s="17">
        <v>22</v>
      </c>
      <c r="I3896" s="30"/>
      <c r="J3896" s="62" t="s">
        <v>558</v>
      </c>
      <c r="M3896"/>
      <c r="O3896" s="62" t="str">
        <f>IF(E3896="PA",IF(K3896&lt;&gt;"",ISERROR(VLOOKUP(K3896,ABBR!A:D,1,FALSE)),ISERROR(VLOOKUP(C3896,ABBR!A:D,1,FALSE))),"")</f>
        <v/>
      </c>
      <c r="P3896" t="str">
        <f>VLOOKUP(A3896,Groups!A:L,5,FALSE)</f>
        <v>TRET</v>
      </c>
      <c r="Q3896" s="62" t="str">
        <f>IF(G3896="PA",IF(M3896&lt;&gt;"",ISERROR(VLOOKUP(M3896,ABBR!C:F,1,FALSE)),ISERROR(VLOOKUP(E3896,ABBR!C:F,1,FALSE))),"")</f>
        <v/>
      </c>
    </row>
    <row r="3897" spans="1:17" s="62" customFormat="1" hidden="1" x14ac:dyDescent="0.25">
      <c r="A3897" s="16" t="s">
        <v>438</v>
      </c>
      <c r="B3897" s="17" t="s">
        <v>594</v>
      </c>
      <c r="C3897" s="16" t="s">
        <v>595</v>
      </c>
      <c r="D3897" s="17"/>
      <c r="E3897" s="17" t="s">
        <v>596</v>
      </c>
      <c r="F3897" s="18" t="s">
        <v>597</v>
      </c>
      <c r="G3897" s="49" t="s">
        <v>598</v>
      </c>
      <c r="H3897" s="17">
        <v>1</v>
      </c>
      <c r="I3897" s="30"/>
      <c r="J3897"/>
      <c r="K3897"/>
      <c r="L3897"/>
      <c r="M3897"/>
      <c r="N3897"/>
      <c r="O3897" s="62" t="str">
        <f>IF(E3897="PA",IF(K3897&lt;&gt;"",ISERROR(VLOOKUP(K3897,ABBR!A:D,1,FALSE)),ISERROR(VLOOKUP(C3897,ABBR!A:D,1,FALSE))),"")</f>
        <v/>
      </c>
      <c r="P3897" t="str">
        <f>VLOOKUP(A3897,Groups!A:L,5,FALSE)</f>
        <v>SAMP</v>
      </c>
      <c r="Q3897" s="62" t="str">
        <f>IF(G3897="PA",IF(M3897&lt;&gt;"",ISERROR(VLOOKUP(M3897,ABBR!C:F,1,FALSE)),ISERROR(VLOOKUP(E3897,ABBR!C:F,1,FALSE))),"")</f>
        <v/>
      </c>
    </row>
    <row r="3898" spans="1:17" s="62" customFormat="1" hidden="1" x14ac:dyDescent="0.25">
      <c r="A3898" s="16" t="s">
        <v>438</v>
      </c>
      <c r="B3898" s="17" t="s">
        <v>594</v>
      </c>
      <c r="C3898" s="16" t="s">
        <v>851</v>
      </c>
      <c r="D3898" s="17" t="s">
        <v>600</v>
      </c>
      <c r="E3898" s="17" t="s">
        <v>601</v>
      </c>
      <c r="F3898" s="18" t="s">
        <v>852</v>
      </c>
      <c r="G3898" s="49" t="s">
        <v>853</v>
      </c>
      <c r="H3898" s="17">
        <v>2</v>
      </c>
      <c r="I3898" s="30"/>
      <c r="J3898"/>
      <c r="K3898"/>
      <c r="L3898"/>
      <c r="M3898"/>
      <c r="N3898"/>
      <c r="O3898" s="62" t="str">
        <f>IF(E3898="PA",IF(K3898&lt;&gt;"",ISERROR(VLOOKUP(K3898,ABBR!A:D,1,FALSE)),ISERROR(VLOOKUP(C3898,ABBR!A:D,1,FALSE))),"")</f>
        <v/>
      </c>
      <c r="P3898" t="str">
        <f>VLOOKUP(A3898,Groups!A:L,5,FALSE)</f>
        <v>SAMP</v>
      </c>
      <c r="Q3898" s="62" t="str">
        <f>IF(G3898="PA",IF(M3898&lt;&gt;"",ISERROR(VLOOKUP(M3898,ABBR!C:F,1,FALSE)),ISERROR(VLOOKUP(E3898,ABBR!C:F,1,FALSE))),"")</f>
        <v/>
      </c>
    </row>
    <row r="3899" spans="1:17" s="62" customFormat="1" hidden="1" x14ac:dyDescent="0.25">
      <c r="A3899" s="16" t="s">
        <v>438</v>
      </c>
      <c r="B3899" s="17" t="s">
        <v>594</v>
      </c>
      <c r="C3899" s="16" t="s">
        <v>854</v>
      </c>
      <c r="D3899" s="17"/>
      <c r="E3899" s="17" t="s">
        <v>608</v>
      </c>
      <c r="F3899" s="18" t="s">
        <v>855</v>
      </c>
      <c r="G3899" s="49" t="s">
        <v>941</v>
      </c>
      <c r="H3899" s="17">
        <v>3</v>
      </c>
      <c r="I3899" s="30"/>
      <c r="J3899"/>
      <c r="K3899"/>
      <c r="L3899"/>
      <c r="M3899"/>
      <c r="N3899"/>
      <c r="O3899" s="62" t="str">
        <f>IF(E3899="PA",IF(K3899&lt;&gt;"",ISERROR(VLOOKUP(K3899,ABBR!A:D,1,FALSE)),ISERROR(VLOOKUP(C3899,ABBR!A:D,1,FALSE))),"")</f>
        <v/>
      </c>
      <c r="P3899" t="str">
        <f>VLOOKUP(A3899,Groups!A:L,5,FALSE)</f>
        <v>SAMP</v>
      </c>
      <c r="Q3899" s="62" t="str">
        <f>IF(G3899="PA",IF(M3899&lt;&gt;"",ISERROR(VLOOKUP(M3899,ABBR!C:F,1,FALSE)),ISERROR(VLOOKUP(E3899,ABBR!C:F,1,FALSE))),"")</f>
        <v/>
      </c>
    </row>
    <row r="3900" spans="1:17" s="62" customFormat="1" hidden="1" x14ac:dyDescent="0.25">
      <c r="A3900" s="16" t="s">
        <v>438</v>
      </c>
      <c r="B3900" s="17" t="s">
        <v>594</v>
      </c>
      <c r="C3900" s="16" t="s">
        <v>857</v>
      </c>
      <c r="D3900" s="17"/>
      <c r="E3900" s="17" t="s">
        <v>618</v>
      </c>
      <c r="F3900" s="18" t="s">
        <v>858</v>
      </c>
      <c r="G3900" s="49" t="s">
        <v>859</v>
      </c>
      <c r="H3900" s="17">
        <v>4</v>
      </c>
      <c r="I3900" s="30"/>
      <c r="J3900"/>
      <c r="K3900"/>
      <c r="L3900"/>
      <c r="M3900"/>
      <c r="N3900"/>
      <c r="O3900" s="62" t="b">
        <f>IF(E3900="PA",IF(K3900&lt;&gt;"",ISERROR(VLOOKUP(K3900,ABBR!A:D,1,FALSE)),ISERROR(VLOOKUP(C3900,ABBR!A:D,1,FALSE))),"")</f>
        <v>0</v>
      </c>
      <c r="P3900" t="str">
        <f>VLOOKUP(A3900,Groups!A:L,5,FALSE)</f>
        <v>SAMP</v>
      </c>
      <c r="Q3900" s="62" t="str">
        <f>IF(G3900="PA",IF(M3900&lt;&gt;"",ISERROR(VLOOKUP(M3900,ABBR!C:F,1,FALSE)),ISERROR(VLOOKUP(E3900,ABBR!C:F,1,FALSE))),"")</f>
        <v/>
      </c>
    </row>
    <row r="3901" spans="1:17" s="62" customFormat="1" hidden="1" x14ac:dyDescent="0.25">
      <c r="A3901" s="16" t="s">
        <v>438</v>
      </c>
      <c r="B3901" s="17" t="s">
        <v>594</v>
      </c>
      <c r="C3901" s="16" t="s">
        <v>860</v>
      </c>
      <c r="D3901" s="17"/>
      <c r="E3901" s="17" t="s">
        <v>596</v>
      </c>
      <c r="F3901" s="18" t="s">
        <v>942</v>
      </c>
      <c r="G3901" s="49" t="s">
        <v>862</v>
      </c>
      <c r="H3901" s="17">
        <v>5</v>
      </c>
      <c r="I3901" s="30"/>
      <c r="J3901"/>
      <c r="K3901"/>
      <c r="L3901"/>
      <c r="M3901"/>
      <c r="N3901"/>
      <c r="O3901" s="62" t="str">
        <f>IF(E3901="PA",IF(K3901&lt;&gt;"",ISERROR(VLOOKUP(K3901,ABBR!A:D,1,FALSE)),ISERROR(VLOOKUP(C3901,ABBR!A:D,1,FALSE))),"")</f>
        <v/>
      </c>
      <c r="P3901" t="str">
        <f>VLOOKUP(A3901,Groups!A:L,5,FALSE)</f>
        <v>SAMP</v>
      </c>
      <c r="Q3901" s="62" t="str">
        <f>IF(G3901="PA",IF(M3901&lt;&gt;"",ISERROR(VLOOKUP(M3901,ABBR!C:F,1,FALSE)),ISERROR(VLOOKUP(E3901,ABBR!C:F,1,FALSE))),"")</f>
        <v/>
      </c>
    </row>
    <row r="3902" spans="1:17" s="62" customFormat="1" hidden="1" x14ac:dyDescent="0.25">
      <c r="A3902" s="16" t="s">
        <v>438</v>
      </c>
      <c r="B3902" s="17" t="s">
        <v>594</v>
      </c>
      <c r="C3902" s="16" t="s">
        <v>863</v>
      </c>
      <c r="D3902" s="17"/>
      <c r="E3902" s="17" t="s">
        <v>608</v>
      </c>
      <c r="F3902" s="18" t="s">
        <v>864</v>
      </c>
      <c r="G3902" s="49" t="s">
        <v>865</v>
      </c>
      <c r="H3902" s="17">
        <v>6</v>
      </c>
      <c r="I3902" s="30"/>
      <c r="J3902"/>
      <c r="K3902"/>
      <c r="L3902"/>
      <c r="M3902"/>
      <c r="N3902"/>
      <c r="O3902" s="62" t="str">
        <f>IF(E3902="PA",IF(K3902&lt;&gt;"",ISERROR(VLOOKUP(K3902,ABBR!A:D,1,FALSE)),ISERROR(VLOOKUP(C3902,ABBR!A:D,1,FALSE))),"")</f>
        <v/>
      </c>
      <c r="P3902" t="str">
        <f>VLOOKUP(A3902,Groups!A:L,5,FALSE)</f>
        <v>SAMP</v>
      </c>
      <c r="Q3902" s="62" t="str">
        <f>IF(G3902="PA",IF(M3902&lt;&gt;"",ISERROR(VLOOKUP(M3902,ABBR!C:F,1,FALSE)),ISERROR(VLOOKUP(E3902,ABBR!C:F,1,FALSE))),"")</f>
        <v/>
      </c>
    </row>
    <row r="3903" spans="1:17" s="62" customFormat="1" hidden="1" x14ac:dyDescent="0.25">
      <c r="A3903" s="16" t="s">
        <v>438</v>
      </c>
      <c r="B3903" s="17" t="s">
        <v>594</v>
      </c>
      <c r="C3903" s="16" t="s">
        <v>866</v>
      </c>
      <c r="D3903" s="17" t="s">
        <v>600</v>
      </c>
      <c r="E3903" s="17" t="s">
        <v>601</v>
      </c>
      <c r="F3903" s="18" t="s">
        <v>867</v>
      </c>
      <c r="G3903" s="49" t="s">
        <v>853</v>
      </c>
      <c r="H3903" s="17">
        <v>7</v>
      </c>
      <c r="I3903" s="30"/>
      <c r="J3903"/>
      <c r="K3903"/>
      <c r="L3903"/>
      <c r="M3903"/>
      <c r="N3903"/>
      <c r="O3903" s="62" t="str">
        <f>IF(E3903="PA",IF(K3903&lt;&gt;"",ISERROR(VLOOKUP(K3903,ABBR!A:D,1,FALSE)),ISERROR(VLOOKUP(C3903,ABBR!A:D,1,FALSE))),"")</f>
        <v/>
      </c>
      <c r="P3903" t="str">
        <f>VLOOKUP(A3903,Groups!A:L,5,FALSE)</f>
        <v>SAMP</v>
      </c>
      <c r="Q3903" s="62" t="str">
        <f>IF(G3903="PA",IF(M3903&lt;&gt;"",ISERROR(VLOOKUP(M3903,ABBR!C:F,1,FALSE)),ISERROR(VLOOKUP(E3903,ABBR!C:F,1,FALSE))),"")</f>
        <v/>
      </c>
    </row>
    <row r="3904" spans="1:17" s="62" customFormat="1" hidden="1" x14ac:dyDescent="0.25">
      <c r="A3904" s="16" t="s">
        <v>438</v>
      </c>
      <c r="B3904" s="17"/>
      <c r="C3904" s="16" t="s">
        <v>868</v>
      </c>
      <c r="D3904" s="17"/>
      <c r="E3904" s="17" t="s">
        <v>608</v>
      </c>
      <c r="F3904" s="18" t="s">
        <v>869</v>
      </c>
      <c r="G3904" s="51" t="s">
        <v>1269</v>
      </c>
      <c r="H3904" s="17">
        <v>8</v>
      </c>
      <c r="I3904" s="30"/>
      <c r="J3904"/>
      <c r="K3904"/>
      <c r="L3904"/>
      <c r="M3904"/>
      <c r="N3904"/>
      <c r="O3904" s="62" t="str">
        <f>IF(E3904="PA",IF(K3904&lt;&gt;"",ISERROR(VLOOKUP(K3904,ABBR!A:D,1,FALSE)),ISERROR(VLOOKUP(C3904,ABBR!A:D,1,FALSE))),"")</f>
        <v/>
      </c>
      <c r="P3904" t="str">
        <f>VLOOKUP(A3904,Groups!A:L,5,FALSE)</f>
        <v>SAMP</v>
      </c>
      <c r="Q3904" s="62" t="str">
        <f>IF(G3904="PA",IF(M3904&lt;&gt;"",ISERROR(VLOOKUP(M3904,ABBR!C:F,1,FALSE)),ISERROR(VLOOKUP(E3904,ABBR!C:F,1,FALSE))),"")</f>
        <v/>
      </c>
    </row>
    <row r="3905" spans="1:17" s="62" customFormat="1" ht="25" hidden="1" x14ac:dyDescent="0.25">
      <c r="A3905" s="16" t="s">
        <v>438</v>
      </c>
      <c r="B3905" s="17"/>
      <c r="C3905" s="16" t="s">
        <v>871</v>
      </c>
      <c r="D3905" s="17"/>
      <c r="E3905" s="17" t="s">
        <v>608</v>
      </c>
      <c r="F3905" s="18" t="s">
        <v>872</v>
      </c>
      <c r="G3905" s="49" t="s">
        <v>873</v>
      </c>
      <c r="H3905" s="17">
        <v>9</v>
      </c>
      <c r="I3905" s="30"/>
      <c r="J3905"/>
      <c r="K3905"/>
      <c r="L3905"/>
      <c r="M3905"/>
      <c r="N3905"/>
      <c r="O3905" s="62" t="str">
        <f>IF(E3905="PA",IF(K3905&lt;&gt;"",ISERROR(VLOOKUP(K3905,ABBR!A:D,1,FALSE)),ISERROR(VLOOKUP(C3905,ABBR!A:D,1,FALSE))),"")</f>
        <v/>
      </c>
      <c r="P3905" t="str">
        <f>VLOOKUP(A3905,Groups!A:L,5,FALSE)</f>
        <v>SAMP</v>
      </c>
      <c r="Q3905" s="62" t="str">
        <f>IF(G3905="PA",IF(M3905&lt;&gt;"",ISERROR(VLOOKUP(M3905,ABBR!C:F,1,FALSE)),ISERROR(VLOOKUP(E3905,ABBR!C:F,1,FALSE))),"")</f>
        <v/>
      </c>
    </row>
    <row r="3906" spans="1:17" s="62" customFormat="1" hidden="1" x14ac:dyDescent="0.25">
      <c r="A3906" s="16" t="s">
        <v>438</v>
      </c>
      <c r="B3906" s="17"/>
      <c r="C3906" s="16" t="s">
        <v>6269</v>
      </c>
      <c r="D3906" s="17"/>
      <c r="E3906" s="17" t="s">
        <v>618</v>
      </c>
      <c r="F3906" s="18" t="s">
        <v>2547</v>
      </c>
      <c r="G3906" s="49" t="s">
        <v>6270</v>
      </c>
      <c r="H3906" s="17">
        <v>10</v>
      </c>
      <c r="I3906" s="30"/>
      <c r="J3906"/>
      <c r="K3906"/>
      <c r="L3906"/>
      <c r="M3906"/>
      <c r="N3906"/>
      <c r="O3906" s="62" t="b">
        <f>IF(E3906="PA",IF(K3906&lt;&gt;"",ISERROR(VLOOKUP(K3906,ABBR!A:D,1,FALSE)),ISERROR(VLOOKUP(C3906,ABBR!A:D,1,FALSE))),"")</f>
        <v>0</v>
      </c>
      <c r="P3906" t="str">
        <f>VLOOKUP(A3906,Groups!A:L,5,FALSE)</f>
        <v>SAMP</v>
      </c>
      <c r="Q3906" s="62" t="str">
        <f>IF(G3906="PA",IF(M3906&lt;&gt;"",ISERROR(VLOOKUP(M3906,ABBR!C:F,1,FALSE)),ISERROR(VLOOKUP(E3906,ABBR!C:F,1,FALSE))),"")</f>
        <v/>
      </c>
    </row>
    <row r="3907" spans="1:17" s="62" customFormat="1" hidden="1" x14ac:dyDescent="0.25">
      <c r="A3907" s="16" t="s">
        <v>438</v>
      </c>
      <c r="B3907" s="17"/>
      <c r="C3907" s="16" t="s">
        <v>6271</v>
      </c>
      <c r="D3907" s="17"/>
      <c r="E3907" s="17" t="s">
        <v>618</v>
      </c>
      <c r="F3907" s="18" t="s">
        <v>1272</v>
      </c>
      <c r="G3907" s="49" t="s">
        <v>1273</v>
      </c>
      <c r="H3907" s="17">
        <v>11</v>
      </c>
      <c r="I3907" s="30"/>
      <c r="J3907"/>
      <c r="K3907"/>
      <c r="L3907"/>
      <c r="M3907"/>
      <c r="N3907"/>
      <c r="O3907" s="62" t="b">
        <f>IF(E3907="PA",IF(K3907&lt;&gt;"",ISERROR(VLOOKUP(K3907,ABBR!A:D,1,FALSE)),ISERROR(VLOOKUP(C3907,ABBR!A:D,1,FALSE))),"")</f>
        <v>0</v>
      </c>
      <c r="P3907" t="str">
        <f>VLOOKUP(A3907,Groups!A:L,5,FALSE)</f>
        <v>SAMP</v>
      </c>
      <c r="Q3907" s="62" t="str">
        <f>IF(G3907="PA",IF(M3907&lt;&gt;"",ISERROR(VLOOKUP(M3907,ABBR!C:F,1,FALSE)),ISERROR(VLOOKUP(E3907,ABBR!C:F,1,FALSE))),"")</f>
        <v/>
      </c>
    </row>
    <row r="3908" spans="1:17" s="62" customFormat="1" ht="25" hidden="1" x14ac:dyDescent="0.25">
      <c r="A3908" s="16" t="s">
        <v>438</v>
      </c>
      <c r="B3908" s="17"/>
      <c r="C3908" s="16" t="s">
        <v>6272</v>
      </c>
      <c r="D3908" s="17"/>
      <c r="E3908" s="17" t="s">
        <v>608</v>
      </c>
      <c r="F3908" s="18" t="s">
        <v>1287</v>
      </c>
      <c r="G3908" s="49" t="s">
        <v>16</v>
      </c>
      <c r="H3908" s="17">
        <v>12</v>
      </c>
      <c r="I3908" s="30"/>
      <c r="J3908"/>
      <c r="K3908"/>
      <c r="L3908"/>
      <c r="M3908" s="101"/>
      <c r="N3908"/>
      <c r="O3908" s="62" t="str">
        <f>IF(E3908="PA",IF(K3908&lt;&gt;"",ISERROR(VLOOKUP(K3908,ABBR!A:D,1,FALSE)),ISERROR(VLOOKUP(C3908,ABBR!A:D,1,FALSE))),"")</f>
        <v/>
      </c>
      <c r="P3908" t="str">
        <f>VLOOKUP(A3908,Groups!A:L,5,FALSE)</f>
        <v>SAMP</v>
      </c>
      <c r="Q3908" s="62" t="str">
        <f>IF(G3908="PA",IF(M3908&lt;&gt;"",ISERROR(VLOOKUP(M3908,ABBR!C:F,1,FALSE)),ISERROR(VLOOKUP(E3908,ABBR!C:F,1,FALSE))),"")</f>
        <v/>
      </c>
    </row>
    <row r="3909" spans="1:17" s="62" customFormat="1" hidden="1" x14ac:dyDescent="0.25">
      <c r="A3909" s="16" t="s">
        <v>438</v>
      </c>
      <c r="B3909" s="17"/>
      <c r="C3909" s="16" t="s">
        <v>6273</v>
      </c>
      <c r="D3909" s="17"/>
      <c r="E3909" s="17" t="s">
        <v>608</v>
      </c>
      <c r="F3909" s="18" t="s">
        <v>918</v>
      </c>
      <c r="G3909" s="49" t="s">
        <v>6274</v>
      </c>
      <c r="H3909" s="17">
        <v>13</v>
      </c>
      <c r="I3909" s="30"/>
      <c r="J3909"/>
      <c r="K3909"/>
      <c r="L3909"/>
      <c r="M3909"/>
      <c r="N3909"/>
      <c r="O3909" s="62" t="str">
        <f>IF(E3909="PA",IF(K3909&lt;&gt;"",ISERROR(VLOOKUP(K3909,ABBR!A:D,1,FALSE)),ISERROR(VLOOKUP(C3909,ABBR!A:D,1,FALSE))),"")</f>
        <v/>
      </c>
      <c r="P3909" t="str">
        <f>VLOOKUP(A3909,Groups!A:L,5,FALSE)</f>
        <v>SAMP</v>
      </c>
      <c r="Q3909" s="62" t="str">
        <f>IF(G3909="PA",IF(M3909&lt;&gt;"",ISERROR(VLOOKUP(M3909,ABBR!C:F,1,FALSE)),ISERROR(VLOOKUP(E3909,ABBR!C:F,1,FALSE))),"")</f>
        <v/>
      </c>
    </row>
    <row r="3910" spans="1:17" s="62" customFormat="1" hidden="1" x14ac:dyDescent="0.25">
      <c r="A3910" s="16" t="s">
        <v>438</v>
      </c>
      <c r="B3910" s="17"/>
      <c r="C3910" s="16" t="s">
        <v>6275</v>
      </c>
      <c r="D3910" s="17"/>
      <c r="E3910" s="17" t="s">
        <v>608</v>
      </c>
      <c r="F3910" s="18" t="s">
        <v>950</v>
      </c>
      <c r="G3910" s="27" t="s">
        <v>951</v>
      </c>
      <c r="H3910" s="17">
        <v>14</v>
      </c>
      <c r="I3910" s="30"/>
      <c r="J3910"/>
      <c r="K3910"/>
      <c r="L3910"/>
      <c r="M3910"/>
      <c r="N3910"/>
      <c r="O3910" s="62" t="str">
        <f>IF(E3910="PA",IF(K3910&lt;&gt;"",ISERROR(VLOOKUP(K3910,ABBR!A:D,1,FALSE)),ISERROR(VLOOKUP(C3910,ABBR!A:D,1,FALSE))),"")</f>
        <v/>
      </c>
      <c r="P3910" t="str">
        <f>VLOOKUP(A3910,Groups!A:L,5,FALSE)</f>
        <v>SAMP</v>
      </c>
      <c r="Q3910" s="62" t="str">
        <f>IF(G3910="PA",IF(M3910&lt;&gt;"",ISERROR(VLOOKUP(M3910,ABBR!C:F,1,FALSE)),ISERROR(VLOOKUP(E3910,ABBR!C:F,1,FALSE))),"")</f>
        <v/>
      </c>
    </row>
    <row r="3911" spans="1:17" s="62" customFormat="1" ht="25" hidden="1" x14ac:dyDescent="0.25">
      <c r="A3911" s="16" t="s">
        <v>438</v>
      </c>
      <c r="B3911" s="17"/>
      <c r="C3911" s="16" t="s">
        <v>6276</v>
      </c>
      <c r="D3911" s="17"/>
      <c r="E3911" s="17" t="s">
        <v>608</v>
      </c>
      <c r="F3911" s="18" t="s">
        <v>934</v>
      </c>
      <c r="G3911" s="49" t="s">
        <v>953</v>
      </c>
      <c r="H3911" s="17">
        <v>15</v>
      </c>
      <c r="I3911" s="30"/>
      <c r="J3911"/>
      <c r="K3911"/>
      <c r="L3911"/>
      <c r="M3911"/>
      <c r="N3911"/>
      <c r="O3911" s="62" t="str">
        <f>IF(E3911="PA",IF(K3911&lt;&gt;"",ISERROR(VLOOKUP(K3911,ABBR!A:D,1,FALSE)),ISERROR(VLOOKUP(C3911,ABBR!A:D,1,FALSE))),"")</f>
        <v/>
      </c>
      <c r="P3911" t="str">
        <f>VLOOKUP(A3911,Groups!A:L,5,FALSE)</f>
        <v>SAMP</v>
      </c>
      <c r="Q3911" s="62" t="str">
        <f>IF(G3911="PA",IF(M3911&lt;&gt;"",ISERROR(VLOOKUP(M3911,ABBR!C:F,1,FALSE)),ISERROR(VLOOKUP(E3911,ABBR!C:F,1,FALSE))),"")</f>
        <v/>
      </c>
    </row>
    <row r="3912" spans="1:17" s="62" customFormat="1" hidden="1" x14ac:dyDescent="0.25">
      <c r="A3912" s="16" t="s">
        <v>438</v>
      </c>
      <c r="B3912" s="17"/>
      <c r="C3912" s="16" t="s">
        <v>936</v>
      </c>
      <c r="D3912" s="17"/>
      <c r="E3912" s="22" t="s">
        <v>608</v>
      </c>
      <c r="F3912" s="18" t="s">
        <v>937</v>
      </c>
      <c r="G3912" s="49" t="s">
        <v>938</v>
      </c>
      <c r="H3912" s="17">
        <v>16</v>
      </c>
      <c r="I3912" s="30"/>
      <c r="J3912"/>
      <c r="K3912"/>
      <c r="L3912"/>
      <c r="M3912"/>
      <c r="N3912"/>
      <c r="O3912" s="62" t="str">
        <f>IF(E3912="PA",IF(K3912&lt;&gt;"",ISERROR(VLOOKUP(K3912,ABBR!A:D,1,FALSE)),ISERROR(VLOOKUP(C3912,ABBR!A:D,1,FALSE))),"")</f>
        <v/>
      </c>
      <c r="P3912" t="str">
        <f>VLOOKUP(A3912,Groups!A:L,5,FALSE)</f>
        <v>SAMP</v>
      </c>
      <c r="Q3912" s="62" t="str">
        <f>IF(G3912="PA",IF(M3912&lt;&gt;"",ISERROR(VLOOKUP(M3912,ABBR!C:F,1,FALSE)),ISERROR(VLOOKUP(E3912,ABBR!C:F,1,FALSE))),"")</f>
        <v/>
      </c>
    </row>
    <row r="3913" spans="1:17" s="62" customFormat="1" hidden="1" x14ac:dyDescent="0.25">
      <c r="A3913" s="16" t="s">
        <v>438</v>
      </c>
      <c r="B3913" s="17"/>
      <c r="C3913" s="16" t="s">
        <v>643</v>
      </c>
      <c r="D3913" s="17"/>
      <c r="E3913" s="17" t="s">
        <v>608</v>
      </c>
      <c r="F3913" s="18" t="s">
        <v>1294</v>
      </c>
      <c r="G3913" s="49" t="s">
        <v>4378</v>
      </c>
      <c r="H3913" s="17">
        <v>17</v>
      </c>
      <c r="I3913" s="30"/>
      <c r="J3913"/>
      <c r="K3913"/>
      <c r="L3913"/>
      <c r="M3913"/>
      <c r="N3913"/>
      <c r="O3913" s="62" t="str">
        <f>IF(E3913="PA",IF(K3913&lt;&gt;"",ISERROR(VLOOKUP(K3913,ABBR!A:D,1,FALSE)),ISERROR(VLOOKUP(C3913,ABBR!A:D,1,FALSE))),"")</f>
        <v/>
      </c>
      <c r="P3913" t="str">
        <f>VLOOKUP(A3913,Groups!A:L,5,FALSE)</f>
        <v>SAMP</v>
      </c>
      <c r="Q3913" s="62" t="str">
        <f>IF(G3913="PA",IF(M3913&lt;&gt;"",ISERROR(VLOOKUP(M3913,ABBR!C:F,1,FALSE)),ISERROR(VLOOKUP(E3913,ABBR!C:F,1,FALSE))),"")</f>
        <v/>
      </c>
    </row>
    <row r="3914" spans="1:17" s="62" customFormat="1" hidden="1" x14ac:dyDescent="0.25">
      <c r="A3914" s="16" t="s">
        <v>438</v>
      </c>
      <c r="B3914" s="17"/>
      <c r="C3914" s="16" t="s">
        <v>877</v>
      </c>
      <c r="D3914" s="17" t="s">
        <v>600</v>
      </c>
      <c r="E3914" s="17" t="s">
        <v>601</v>
      </c>
      <c r="F3914" s="18" t="s">
        <v>878</v>
      </c>
      <c r="G3914" s="49" t="s">
        <v>879</v>
      </c>
      <c r="H3914" s="17">
        <v>18</v>
      </c>
      <c r="I3914" s="30" t="s">
        <v>955</v>
      </c>
      <c r="J3914" s="80">
        <v>4.0999999999999996</v>
      </c>
      <c r="K3914"/>
      <c r="L3914"/>
      <c r="M3914"/>
      <c r="N3914"/>
      <c r="O3914" s="62" t="str">
        <f>IF(E3914="PA",IF(K3914&lt;&gt;"",ISERROR(VLOOKUP(K3914,ABBR!A:D,1,FALSE)),ISERROR(VLOOKUP(C3914,ABBR!A:D,1,FALSE))),"")</f>
        <v/>
      </c>
      <c r="P3914" t="str">
        <f>VLOOKUP(A3914,Groups!A:L,5,FALSE)</f>
        <v>SAMP</v>
      </c>
      <c r="Q3914" s="62" t="str">
        <f>IF(G3914="PA",IF(M3914&lt;&gt;"",ISERROR(VLOOKUP(M3914,ABBR!C:F,1,FALSE)),ISERROR(VLOOKUP(E3914,ABBR!C:F,1,FALSE))),"")</f>
        <v/>
      </c>
    </row>
    <row r="3915" spans="1:17" s="62" customFormat="1" hidden="1" x14ac:dyDescent="0.25">
      <c r="A3915" s="16" t="s">
        <v>438</v>
      </c>
      <c r="B3915" s="17"/>
      <c r="C3915" s="16" t="s">
        <v>6277</v>
      </c>
      <c r="D3915" s="17"/>
      <c r="E3915" s="17" t="s">
        <v>608</v>
      </c>
      <c r="F3915" s="18" t="s">
        <v>921</v>
      </c>
      <c r="G3915" s="94" t="s">
        <v>922</v>
      </c>
      <c r="H3915" s="17">
        <v>19</v>
      </c>
      <c r="I3915" s="30" t="s">
        <v>955</v>
      </c>
      <c r="J3915" s="80">
        <v>4.0999999999999996</v>
      </c>
      <c r="K3915"/>
      <c r="L3915"/>
      <c r="M3915" s="101"/>
      <c r="N3915"/>
      <c r="O3915" s="62" t="str">
        <f>IF(E3915="PA",IF(K3915&lt;&gt;"",ISERROR(VLOOKUP(K3915,ABBR!A:D,1,FALSE)),ISERROR(VLOOKUP(C3915,ABBR!A:D,1,FALSE))),"")</f>
        <v/>
      </c>
      <c r="P3915" t="str">
        <f>VLOOKUP(A3915,Groups!A:L,5,FALSE)</f>
        <v>SAMP</v>
      </c>
      <c r="Q3915" s="62" t="str">
        <f>IF(G3915="PA",IF(M3915&lt;&gt;"",ISERROR(VLOOKUP(M3915,ABBR!C:F,1,FALSE)),ISERROR(VLOOKUP(E3915,ABBR!C:F,1,FALSE))),"")</f>
        <v/>
      </c>
    </row>
    <row r="3916" spans="1:17" s="62" customFormat="1" hidden="1" x14ac:dyDescent="0.25">
      <c r="A3916" s="16" t="s">
        <v>438</v>
      </c>
      <c r="B3916" s="17"/>
      <c r="C3916" s="16" t="s">
        <v>6278</v>
      </c>
      <c r="D3916" s="17" t="s">
        <v>924</v>
      </c>
      <c r="E3916" s="17" t="s">
        <v>925</v>
      </c>
      <c r="F3916" s="18" t="s">
        <v>926</v>
      </c>
      <c r="G3916" s="49" t="s">
        <v>927</v>
      </c>
      <c r="H3916" s="17">
        <v>20</v>
      </c>
      <c r="I3916" s="30"/>
      <c r="J3916" s="62" t="s">
        <v>473</v>
      </c>
      <c r="O3916" s="62" t="str">
        <f>IF(E3916="PA",IF(K3916&lt;&gt;"",ISERROR(VLOOKUP(K3916,ABBR!A:D,1,FALSE)),ISERROR(VLOOKUP(C3916,ABBR!A:D,1,FALSE))),"")</f>
        <v/>
      </c>
      <c r="P3916" t="str">
        <f>VLOOKUP(A3916,Groups!A:L,5,FALSE)</f>
        <v>SAMP</v>
      </c>
      <c r="Q3916" s="62" t="str">
        <f>IF(G3916="PA",IF(M3916&lt;&gt;"",ISERROR(VLOOKUP(M3916,ABBR!C:F,1,FALSE)),ISERROR(VLOOKUP(E3916,ABBR!C:F,1,FALSE))),"")</f>
        <v/>
      </c>
    </row>
    <row r="3917" spans="1:17" s="62" customFormat="1" hidden="1" x14ac:dyDescent="0.25">
      <c r="A3917" s="16" t="s">
        <v>438</v>
      </c>
      <c r="B3917" s="17"/>
      <c r="C3917" s="16" t="s">
        <v>6279</v>
      </c>
      <c r="D3917" s="17"/>
      <c r="E3917" s="17" t="s">
        <v>2869</v>
      </c>
      <c r="F3917" s="18" t="s">
        <v>875</v>
      </c>
      <c r="G3917" s="49" t="s">
        <v>876</v>
      </c>
      <c r="H3917" s="17">
        <v>21</v>
      </c>
      <c r="I3917" s="30"/>
      <c r="J3917" s="62" t="s">
        <v>473</v>
      </c>
      <c r="O3917" s="62" t="str">
        <f>IF(E3917="PA",IF(K3917&lt;&gt;"",ISERROR(VLOOKUP(K3917,ABBR!A:D,1,FALSE)),ISERROR(VLOOKUP(C3917,ABBR!A:D,1,FALSE))),"")</f>
        <v/>
      </c>
      <c r="P3917" t="str">
        <f>VLOOKUP(A3917,Groups!A:L,5,FALSE)</f>
        <v>SAMP</v>
      </c>
      <c r="Q3917" s="62" t="str">
        <f>IF(G3917="PA",IF(M3917&lt;&gt;"",ISERROR(VLOOKUP(M3917,ABBR!C:F,1,FALSE)),ISERROR(VLOOKUP(E3917,ABBR!C:F,1,FALSE))),"")</f>
        <v/>
      </c>
    </row>
    <row r="3918" spans="1:17" s="62" customFormat="1" hidden="1" x14ac:dyDescent="0.25">
      <c r="A3918" s="16" t="s">
        <v>438</v>
      </c>
      <c r="B3918" s="17"/>
      <c r="C3918" s="16" t="s">
        <v>6280</v>
      </c>
      <c r="D3918" s="17"/>
      <c r="E3918" s="17" t="s">
        <v>2869</v>
      </c>
      <c r="F3918" s="18" t="s">
        <v>929</v>
      </c>
      <c r="G3918" s="49" t="s">
        <v>876</v>
      </c>
      <c r="H3918" s="17">
        <v>22</v>
      </c>
      <c r="I3918" s="30"/>
      <c r="J3918" s="62" t="s">
        <v>473</v>
      </c>
      <c r="O3918" s="62" t="str">
        <f>IF(E3918="PA",IF(K3918&lt;&gt;"",ISERROR(VLOOKUP(K3918,ABBR!A:D,1,FALSE)),ISERROR(VLOOKUP(C3918,ABBR!A:D,1,FALSE))),"")</f>
        <v/>
      </c>
      <c r="P3918" t="str">
        <f>VLOOKUP(A3918,Groups!A:L,5,FALSE)</f>
        <v>SAMP</v>
      </c>
      <c r="Q3918" s="62" t="str">
        <f>IF(G3918="PA",IF(M3918&lt;&gt;"",ISERROR(VLOOKUP(M3918,ABBR!C:F,1,FALSE)),ISERROR(VLOOKUP(E3918,ABBR!C:F,1,FALSE))),"")</f>
        <v/>
      </c>
    </row>
    <row r="3919" spans="1:17" s="62" customFormat="1" hidden="1" x14ac:dyDescent="0.25">
      <c r="A3919" s="16" t="s">
        <v>440</v>
      </c>
      <c r="B3919" s="17" t="s">
        <v>594</v>
      </c>
      <c r="C3919" s="16" t="s">
        <v>595</v>
      </c>
      <c r="D3919" s="17"/>
      <c r="E3919" s="17" t="s">
        <v>596</v>
      </c>
      <c r="F3919" s="18" t="s">
        <v>597</v>
      </c>
      <c r="G3919" s="49" t="s">
        <v>598</v>
      </c>
      <c r="H3919" s="17">
        <v>1</v>
      </c>
      <c r="I3919" s="30"/>
      <c r="K3919"/>
      <c r="L3919"/>
      <c r="M3919"/>
      <c r="N3919"/>
      <c r="O3919" s="62" t="str">
        <f>IF(E3919="PA",IF(K3919&lt;&gt;"",ISERROR(VLOOKUP(K3919,ABBR!A:D,1,FALSE)),ISERROR(VLOOKUP(C3919,ABBR!A:D,1,FALSE))),"")</f>
        <v/>
      </c>
      <c r="P3919" t="str">
        <f>VLOOKUP(A3919,Groups!A:L,5,FALSE)</f>
        <v>TRIG</v>
      </c>
      <c r="Q3919" s="62" t="str">
        <f>IF(G3919="PA",IF(M3919&lt;&gt;"",ISERROR(VLOOKUP(M3919,ABBR!C:F,1,FALSE)),ISERROR(VLOOKUP(E3919,ABBR!C:F,1,FALSE))),"")</f>
        <v/>
      </c>
    </row>
    <row r="3920" spans="1:17" s="62" customFormat="1" hidden="1" x14ac:dyDescent="0.25">
      <c r="A3920" s="16" t="s">
        <v>440</v>
      </c>
      <c r="B3920" s="17" t="s">
        <v>594</v>
      </c>
      <c r="C3920" s="16" t="s">
        <v>851</v>
      </c>
      <c r="D3920" s="17" t="s">
        <v>600</v>
      </c>
      <c r="E3920" s="17" t="s">
        <v>601</v>
      </c>
      <c r="F3920" s="18" t="s">
        <v>852</v>
      </c>
      <c r="G3920" s="49" t="s">
        <v>853</v>
      </c>
      <c r="H3920" s="17">
        <v>2</v>
      </c>
      <c r="I3920" s="30"/>
      <c r="J3920"/>
      <c r="K3920"/>
      <c r="L3920"/>
      <c r="M3920"/>
      <c r="N3920"/>
      <c r="O3920" s="62" t="str">
        <f>IF(E3920="PA",IF(K3920&lt;&gt;"",ISERROR(VLOOKUP(K3920,ABBR!A:D,1,FALSE)),ISERROR(VLOOKUP(C3920,ABBR!A:D,1,FALSE))),"")</f>
        <v/>
      </c>
      <c r="P3920" t="str">
        <f>VLOOKUP(A3920,Groups!A:L,5,FALSE)</f>
        <v>TRIG</v>
      </c>
      <c r="Q3920" s="62" t="str">
        <f>IF(G3920="PA",IF(M3920&lt;&gt;"",ISERROR(VLOOKUP(M3920,ABBR!C:F,1,FALSE)),ISERROR(VLOOKUP(E3920,ABBR!C:F,1,FALSE))),"")</f>
        <v/>
      </c>
    </row>
    <row r="3921" spans="1:17" s="62" customFormat="1" hidden="1" x14ac:dyDescent="0.25">
      <c r="A3921" s="16" t="s">
        <v>440</v>
      </c>
      <c r="B3921" s="17" t="s">
        <v>594</v>
      </c>
      <c r="C3921" s="16" t="s">
        <v>854</v>
      </c>
      <c r="D3921" s="17"/>
      <c r="E3921" s="17" t="s">
        <v>608</v>
      </c>
      <c r="F3921" s="18" t="s">
        <v>855</v>
      </c>
      <c r="G3921" s="49" t="s">
        <v>941</v>
      </c>
      <c r="H3921" s="17">
        <v>3</v>
      </c>
      <c r="I3921" s="30"/>
      <c r="J3921"/>
      <c r="K3921"/>
      <c r="L3921"/>
      <c r="M3921"/>
      <c r="N3921"/>
      <c r="O3921" s="62" t="str">
        <f>IF(E3921="PA",IF(K3921&lt;&gt;"",ISERROR(VLOOKUP(K3921,ABBR!A:D,1,FALSE)),ISERROR(VLOOKUP(C3921,ABBR!A:D,1,FALSE))),"")</f>
        <v/>
      </c>
      <c r="P3921" t="str">
        <f>VLOOKUP(A3921,Groups!A:L,5,FALSE)</f>
        <v>TRIG</v>
      </c>
      <c r="Q3921" s="62" t="str">
        <f>IF(G3921="PA",IF(M3921&lt;&gt;"",ISERROR(VLOOKUP(M3921,ABBR!C:F,1,FALSE)),ISERROR(VLOOKUP(E3921,ABBR!C:F,1,FALSE))),"")</f>
        <v/>
      </c>
    </row>
    <row r="3922" spans="1:17" s="62" customFormat="1" hidden="1" x14ac:dyDescent="0.25">
      <c r="A3922" s="16" t="s">
        <v>440</v>
      </c>
      <c r="B3922" s="17" t="s">
        <v>594</v>
      </c>
      <c r="C3922" s="16" t="s">
        <v>857</v>
      </c>
      <c r="D3922" s="17"/>
      <c r="E3922" s="17" t="s">
        <v>618</v>
      </c>
      <c r="F3922" s="18" t="s">
        <v>858</v>
      </c>
      <c r="G3922" s="49" t="s">
        <v>859</v>
      </c>
      <c r="H3922" s="17">
        <v>4</v>
      </c>
      <c r="I3922" s="30"/>
      <c r="J3922"/>
      <c r="K3922"/>
      <c r="L3922"/>
      <c r="M3922"/>
      <c r="N3922"/>
      <c r="O3922" s="62" t="b">
        <f>IF(E3922="PA",IF(K3922&lt;&gt;"",ISERROR(VLOOKUP(K3922,ABBR!A:D,1,FALSE)),ISERROR(VLOOKUP(C3922,ABBR!A:D,1,FALSE))),"")</f>
        <v>0</v>
      </c>
      <c r="P3922" t="str">
        <f>VLOOKUP(A3922,Groups!A:L,5,FALSE)</f>
        <v>TRIG</v>
      </c>
      <c r="Q3922" s="62" t="str">
        <f>IF(G3922="PA",IF(M3922&lt;&gt;"",ISERROR(VLOOKUP(M3922,ABBR!C:F,1,FALSE)),ISERROR(VLOOKUP(E3922,ABBR!C:F,1,FALSE))),"")</f>
        <v/>
      </c>
    </row>
    <row r="3923" spans="1:17" s="62" customFormat="1" hidden="1" x14ac:dyDescent="0.25">
      <c r="A3923" s="16" t="s">
        <v>440</v>
      </c>
      <c r="B3923" s="17" t="s">
        <v>594</v>
      </c>
      <c r="C3923" s="16" t="s">
        <v>860</v>
      </c>
      <c r="D3923" s="17"/>
      <c r="E3923" s="17" t="s">
        <v>596</v>
      </c>
      <c r="F3923" s="18" t="s">
        <v>942</v>
      </c>
      <c r="G3923" s="49" t="s">
        <v>862</v>
      </c>
      <c r="H3923" s="17">
        <v>5</v>
      </c>
      <c r="I3923" s="30"/>
      <c r="J3923"/>
      <c r="K3923"/>
      <c r="L3923"/>
      <c r="M3923"/>
      <c r="N3923"/>
      <c r="O3923" s="62" t="str">
        <f>IF(E3923="PA",IF(K3923&lt;&gt;"",ISERROR(VLOOKUP(K3923,ABBR!A:D,1,FALSE)),ISERROR(VLOOKUP(C3923,ABBR!A:D,1,FALSE))),"")</f>
        <v/>
      </c>
      <c r="P3923" t="str">
        <f>VLOOKUP(A3923,Groups!A:L,5,FALSE)</f>
        <v>TRIG</v>
      </c>
      <c r="Q3923" s="62" t="str">
        <f>IF(G3923="PA",IF(M3923&lt;&gt;"",ISERROR(VLOOKUP(M3923,ABBR!C:F,1,FALSE)),ISERROR(VLOOKUP(E3923,ABBR!C:F,1,FALSE))),"")</f>
        <v/>
      </c>
    </row>
    <row r="3924" spans="1:17" s="62" customFormat="1" hidden="1" x14ac:dyDescent="0.25">
      <c r="A3924" s="16" t="s">
        <v>440</v>
      </c>
      <c r="B3924" s="17" t="s">
        <v>594</v>
      </c>
      <c r="C3924" s="16" t="s">
        <v>863</v>
      </c>
      <c r="D3924" s="17"/>
      <c r="E3924" s="17" t="s">
        <v>608</v>
      </c>
      <c r="F3924" s="18" t="s">
        <v>864</v>
      </c>
      <c r="G3924" s="49" t="s">
        <v>865</v>
      </c>
      <c r="H3924" s="17">
        <v>6</v>
      </c>
      <c r="I3924" s="30"/>
      <c r="J3924"/>
      <c r="K3924"/>
      <c r="L3924"/>
      <c r="M3924"/>
      <c r="N3924"/>
      <c r="O3924" s="62" t="str">
        <f>IF(E3924="PA",IF(K3924&lt;&gt;"",ISERROR(VLOOKUP(K3924,ABBR!A:D,1,FALSE)),ISERROR(VLOOKUP(C3924,ABBR!A:D,1,FALSE))),"")</f>
        <v/>
      </c>
      <c r="P3924" t="str">
        <f>VLOOKUP(A3924,Groups!A:L,5,FALSE)</f>
        <v>TRIG</v>
      </c>
      <c r="Q3924" s="62" t="str">
        <f>IF(G3924="PA",IF(M3924&lt;&gt;"",ISERROR(VLOOKUP(M3924,ABBR!C:F,1,FALSE)),ISERROR(VLOOKUP(E3924,ABBR!C:F,1,FALSE))),"")</f>
        <v/>
      </c>
    </row>
    <row r="3925" spans="1:17" s="62" customFormat="1" hidden="1" x14ac:dyDescent="0.25">
      <c r="A3925" s="16" t="s">
        <v>440</v>
      </c>
      <c r="B3925" s="17" t="s">
        <v>594</v>
      </c>
      <c r="C3925" s="16" t="s">
        <v>866</v>
      </c>
      <c r="D3925" s="17" t="s">
        <v>600</v>
      </c>
      <c r="E3925" s="17" t="s">
        <v>601</v>
      </c>
      <c r="F3925" s="18" t="s">
        <v>867</v>
      </c>
      <c r="G3925" s="49" t="s">
        <v>6281</v>
      </c>
      <c r="H3925" s="17">
        <v>7</v>
      </c>
      <c r="I3925" s="30"/>
      <c r="J3925"/>
      <c r="K3925"/>
      <c r="L3925"/>
      <c r="M3925"/>
      <c r="N3925"/>
      <c r="O3925" s="62" t="str">
        <f>IF(E3925="PA",IF(K3925&lt;&gt;"",ISERROR(VLOOKUP(K3925,ABBR!A:D,1,FALSE)),ISERROR(VLOOKUP(C3925,ABBR!A:D,1,FALSE))),"")</f>
        <v/>
      </c>
      <c r="P3925" t="str">
        <f>VLOOKUP(A3925,Groups!A:L,5,FALSE)</f>
        <v>TRIG</v>
      </c>
      <c r="Q3925" s="62" t="str">
        <f>IF(G3925="PA",IF(M3925&lt;&gt;"",ISERROR(VLOOKUP(M3925,ABBR!C:F,1,FALSE)),ISERROR(VLOOKUP(E3925,ABBR!C:F,1,FALSE))),"")</f>
        <v/>
      </c>
    </row>
    <row r="3926" spans="1:17" s="62" customFormat="1" hidden="1" x14ac:dyDescent="0.25">
      <c r="A3926" s="16" t="s">
        <v>440</v>
      </c>
      <c r="B3926" s="17" t="s">
        <v>594</v>
      </c>
      <c r="C3926" s="16" t="s">
        <v>6282</v>
      </c>
      <c r="D3926" s="17"/>
      <c r="E3926" s="17" t="s">
        <v>608</v>
      </c>
      <c r="F3926" s="18" t="s">
        <v>6283</v>
      </c>
      <c r="G3926" s="49" t="s">
        <v>631</v>
      </c>
      <c r="H3926" s="17">
        <v>8</v>
      </c>
      <c r="I3926" s="30"/>
      <c r="J3926"/>
      <c r="K3926"/>
      <c r="L3926"/>
      <c r="M3926"/>
      <c r="N3926"/>
      <c r="O3926" s="62" t="str">
        <f>IF(E3926="PA",IF(K3926&lt;&gt;"",ISERROR(VLOOKUP(K3926,ABBR!A:D,1,FALSE)),ISERROR(VLOOKUP(C3926,ABBR!A:D,1,FALSE))),"")</f>
        <v/>
      </c>
      <c r="P3926" t="str">
        <f>VLOOKUP(A3926,Groups!A:L,5,FALSE)</f>
        <v>TRIG</v>
      </c>
      <c r="Q3926" s="62" t="str">
        <f>IF(G3926="PA",IF(M3926&lt;&gt;"",ISERROR(VLOOKUP(M3926,ABBR!C:F,1,FALSE)),ISERROR(VLOOKUP(E3926,ABBR!C:F,1,FALSE))),"")</f>
        <v/>
      </c>
    </row>
    <row r="3927" spans="1:17" s="62" customFormat="1" hidden="1" x14ac:dyDescent="0.25">
      <c r="A3927" s="16" t="s">
        <v>440</v>
      </c>
      <c r="B3927" s="17"/>
      <c r="C3927" s="16" t="s">
        <v>6284</v>
      </c>
      <c r="D3927" s="17" t="s">
        <v>722</v>
      </c>
      <c r="E3927" s="17" t="s">
        <v>601</v>
      </c>
      <c r="F3927" s="18" t="s">
        <v>1725</v>
      </c>
      <c r="G3927" s="49" t="s">
        <v>4355</v>
      </c>
      <c r="H3927" s="17">
        <v>9</v>
      </c>
      <c r="I3927" s="30"/>
      <c r="J3927"/>
      <c r="K3927"/>
      <c r="L3927"/>
      <c r="M3927"/>
      <c r="N3927"/>
      <c r="O3927" s="62" t="str">
        <f>IF(E3927="PA",IF(K3927&lt;&gt;"",ISERROR(VLOOKUP(K3927,ABBR!A:D,1,FALSE)),ISERROR(VLOOKUP(C3927,ABBR!A:D,1,FALSE))),"")</f>
        <v/>
      </c>
      <c r="P3927" t="str">
        <f>VLOOKUP(A3927,Groups!A:L,5,FALSE)</f>
        <v>TRIG</v>
      </c>
      <c r="Q3927" s="62" t="str">
        <f>IF(G3927="PA",IF(M3927&lt;&gt;"",ISERROR(VLOOKUP(M3927,ABBR!C:F,1,FALSE)),ISERROR(VLOOKUP(E3927,ABBR!C:F,1,FALSE))),"")</f>
        <v/>
      </c>
    </row>
    <row r="3928" spans="1:17" s="62" customFormat="1" hidden="1" x14ac:dyDescent="0.25">
      <c r="A3928" s="16" t="s">
        <v>440</v>
      </c>
      <c r="B3928" s="17"/>
      <c r="C3928" s="16" t="s">
        <v>6285</v>
      </c>
      <c r="D3928" s="17" t="s">
        <v>722</v>
      </c>
      <c r="E3928" s="17" t="s">
        <v>601</v>
      </c>
      <c r="F3928" s="18" t="s">
        <v>4357</v>
      </c>
      <c r="G3928" s="49" t="s">
        <v>4358</v>
      </c>
      <c r="H3928" s="17">
        <v>10</v>
      </c>
      <c r="I3928" s="30"/>
      <c r="J3928"/>
      <c r="K3928"/>
      <c r="L3928"/>
      <c r="M3928"/>
      <c r="N3928"/>
      <c r="O3928" s="62" t="str">
        <f>IF(E3928="PA",IF(K3928&lt;&gt;"",ISERROR(VLOOKUP(K3928,ABBR!A:D,1,FALSE)),ISERROR(VLOOKUP(C3928,ABBR!A:D,1,FALSE))),"")</f>
        <v/>
      </c>
      <c r="P3928" t="str">
        <f>VLOOKUP(A3928,Groups!A:L,5,FALSE)</f>
        <v>TRIG</v>
      </c>
      <c r="Q3928" s="62" t="str">
        <f>IF(G3928="PA",IF(M3928&lt;&gt;"",ISERROR(VLOOKUP(M3928,ABBR!C:F,1,FALSE)),ISERROR(VLOOKUP(E3928,ABBR!C:F,1,FALSE))),"")</f>
        <v/>
      </c>
    </row>
    <row r="3929" spans="1:17" s="62" customFormat="1" ht="12.65" hidden="1" customHeight="1" x14ac:dyDescent="0.25">
      <c r="A3929" s="16" t="s">
        <v>440</v>
      </c>
      <c r="B3929" s="17"/>
      <c r="C3929" s="16" t="s">
        <v>6286</v>
      </c>
      <c r="D3929" s="17" t="s">
        <v>766</v>
      </c>
      <c r="E3929" s="17" t="s">
        <v>608</v>
      </c>
      <c r="F3929" s="18" t="s">
        <v>6162</v>
      </c>
      <c r="G3929" s="49" t="s">
        <v>4361</v>
      </c>
      <c r="H3929" s="17">
        <v>11</v>
      </c>
      <c r="I3929" s="30"/>
      <c r="J3929"/>
      <c r="K3929"/>
      <c r="L3929"/>
      <c r="M3929"/>
      <c r="N3929"/>
      <c r="O3929" s="62" t="str">
        <f>IF(E3929="PA",IF(K3929&lt;&gt;"",ISERROR(VLOOKUP(K3929,ABBR!A:D,1,FALSE)),ISERROR(VLOOKUP(C3929,ABBR!A:D,1,FALSE))),"")</f>
        <v/>
      </c>
      <c r="P3929" t="str">
        <f>VLOOKUP(A3929,Groups!A:L,5,FALSE)</f>
        <v>TRIG</v>
      </c>
      <c r="Q3929" s="62" t="str">
        <f>IF(G3929="PA",IF(M3929&lt;&gt;"",ISERROR(VLOOKUP(M3929,ABBR!C:F,1,FALSE)),ISERROR(VLOOKUP(E3929,ABBR!C:F,1,FALSE))),"")</f>
        <v/>
      </c>
    </row>
    <row r="3930" spans="1:17" s="62" customFormat="1" ht="12.65" hidden="1" customHeight="1" x14ac:dyDescent="0.25">
      <c r="A3930" s="16" t="s">
        <v>440</v>
      </c>
      <c r="B3930" s="17"/>
      <c r="C3930" s="16" t="s">
        <v>6287</v>
      </c>
      <c r="D3930" s="17" t="s">
        <v>766</v>
      </c>
      <c r="E3930" s="17" t="s">
        <v>608</v>
      </c>
      <c r="F3930" s="18" t="s">
        <v>6165</v>
      </c>
      <c r="G3930" s="49" t="s">
        <v>6166</v>
      </c>
      <c r="H3930" s="17">
        <v>12</v>
      </c>
      <c r="I3930" s="30"/>
      <c r="J3930"/>
      <c r="K3930"/>
      <c r="L3930"/>
      <c r="M3930"/>
      <c r="N3930"/>
      <c r="O3930" s="62" t="str">
        <f>IF(E3930="PA",IF(K3930&lt;&gt;"",ISERROR(VLOOKUP(K3930,ABBR!A:D,1,FALSE)),ISERROR(VLOOKUP(C3930,ABBR!A:D,1,FALSE))),"")</f>
        <v/>
      </c>
      <c r="P3930" t="str">
        <f>VLOOKUP(A3930,Groups!A:L,5,FALSE)</f>
        <v>TRIG</v>
      </c>
      <c r="Q3930" s="62" t="str">
        <f>IF(G3930="PA",IF(M3930&lt;&gt;"",ISERROR(VLOOKUP(M3930,ABBR!C:F,1,FALSE)),ISERROR(VLOOKUP(E3930,ABBR!C:F,1,FALSE))),"")</f>
        <v/>
      </c>
    </row>
    <row r="3931" spans="1:17" s="62" customFormat="1" ht="12.65" hidden="1" customHeight="1" x14ac:dyDescent="0.25">
      <c r="A3931" s="16" t="s">
        <v>440</v>
      </c>
      <c r="B3931" s="17"/>
      <c r="C3931" s="16" t="s">
        <v>6288</v>
      </c>
      <c r="D3931" s="17" t="s">
        <v>1345</v>
      </c>
      <c r="E3931" s="17" t="s">
        <v>767</v>
      </c>
      <c r="F3931" s="18" t="s">
        <v>6289</v>
      </c>
      <c r="G3931" s="49" t="s">
        <v>1116</v>
      </c>
      <c r="H3931" s="17">
        <v>13</v>
      </c>
      <c r="I3931" s="30"/>
      <c r="J3931"/>
      <c r="K3931"/>
      <c r="L3931"/>
      <c r="M3931"/>
      <c r="N3931"/>
      <c r="O3931" s="62" t="str">
        <f>IF(E3931="PA",IF(K3931&lt;&gt;"",ISERROR(VLOOKUP(K3931,ABBR!A:D,1,FALSE)),ISERROR(VLOOKUP(C3931,ABBR!A:D,1,FALSE))),"")</f>
        <v/>
      </c>
      <c r="P3931" t="str">
        <f>VLOOKUP(A3931,Groups!A:L,5,FALSE)</f>
        <v>TRIG</v>
      </c>
      <c r="Q3931" s="62" t="str">
        <f>IF(G3931="PA",IF(M3931&lt;&gt;"",ISERROR(VLOOKUP(M3931,ABBR!C:F,1,FALSE)),ISERROR(VLOOKUP(E3931,ABBR!C:F,1,FALSE))),"")</f>
        <v/>
      </c>
    </row>
    <row r="3932" spans="1:17" s="62" customFormat="1" ht="12.65" hidden="1" customHeight="1" x14ac:dyDescent="0.25">
      <c r="A3932" s="16" t="s">
        <v>440</v>
      </c>
      <c r="B3932" s="17"/>
      <c r="C3932" s="16" t="s">
        <v>6290</v>
      </c>
      <c r="D3932" s="17" t="s">
        <v>1345</v>
      </c>
      <c r="E3932" s="17" t="s">
        <v>767</v>
      </c>
      <c r="F3932" s="18" t="s">
        <v>6291</v>
      </c>
      <c r="G3932" s="49" t="s">
        <v>6186</v>
      </c>
      <c r="H3932" s="17">
        <v>14</v>
      </c>
      <c r="I3932" s="30"/>
      <c r="J3932"/>
      <c r="K3932"/>
      <c r="L3932"/>
      <c r="M3932"/>
      <c r="N3932"/>
      <c r="O3932" s="62" t="str">
        <f>IF(E3932="PA",IF(K3932&lt;&gt;"",ISERROR(VLOOKUP(K3932,ABBR!A:D,1,FALSE)),ISERROR(VLOOKUP(C3932,ABBR!A:D,1,FALSE))),"")</f>
        <v/>
      </c>
      <c r="P3932" t="str">
        <f>VLOOKUP(A3932,Groups!A:L,5,FALSE)</f>
        <v>TRIG</v>
      </c>
      <c r="Q3932" s="62" t="str">
        <f>IF(G3932="PA",IF(M3932&lt;&gt;"",ISERROR(VLOOKUP(M3932,ABBR!C:F,1,FALSE)),ISERROR(VLOOKUP(E3932,ABBR!C:F,1,FALSE))),"")</f>
        <v/>
      </c>
    </row>
    <row r="3933" spans="1:17" s="62" customFormat="1" ht="12.65" hidden="1" customHeight="1" x14ac:dyDescent="0.25">
      <c r="A3933" s="16" t="s">
        <v>440</v>
      </c>
      <c r="B3933" s="17"/>
      <c r="C3933" s="16" t="s">
        <v>6292</v>
      </c>
      <c r="D3933" s="17" t="s">
        <v>1077</v>
      </c>
      <c r="E3933" s="17" t="s">
        <v>601</v>
      </c>
      <c r="F3933" s="18" t="s">
        <v>1339</v>
      </c>
      <c r="G3933" s="49" t="s">
        <v>1530</v>
      </c>
      <c r="H3933" s="17">
        <v>15</v>
      </c>
      <c r="I3933" s="30"/>
      <c r="J3933"/>
      <c r="K3933"/>
      <c r="L3933"/>
      <c r="M3933"/>
      <c r="N3933"/>
      <c r="O3933" s="62" t="str">
        <f>IF(E3933="PA",IF(K3933&lt;&gt;"",ISERROR(VLOOKUP(K3933,ABBR!A:D,1,FALSE)),ISERROR(VLOOKUP(C3933,ABBR!A:D,1,FALSE))),"")</f>
        <v/>
      </c>
      <c r="P3933" t="str">
        <f>VLOOKUP(A3933,Groups!A:L,5,FALSE)</f>
        <v>TRIG</v>
      </c>
      <c r="Q3933" s="62" t="str">
        <f>IF(G3933="PA",IF(M3933&lt;&gt;"",ISERROR(VLOOKUP(M3933,ABBR!C:F,1,FALSE)),ISERROR(VLOOKUP(E3933,ABBR!C:F,1,FALSE))),"")</f>
        <v/>
      </c>
    </row>
    <row r="3934" spans="1:17" s="62" customFormat="1" ht="12.65" hidden="1" customHeight="1" x14ac:dyDescent="0.25">
      <c r="A3934" s="16" t="s">
        <v>440</v>
      </c>
      <c r="B3934" s="17"/>
      <c r="C3934" s="16" t="s">
        <v>6293</v>
      </c>
      <c r="D3934" s="17" t="s">
        <v>1077</v>
      </c>
      <c r="E3934" s="17" t="s">
        <v>601</v>
      </c>
      <c r="F3934" s="18" t="s">
        <v>1532</v>
      </c>
      <c r="G3934" s="49" t="s">
        <v>1340</v>
      </c>
      <c r="H3934" s="17">
        <v>16</v>
      </c>
      <c r="I3934" s="30"/>
      <c r="J3934"/>
      <c r="K3934"/>
      <c r="L3934"/>
      <c r="M3934"/>
      <c r="N3934"/>
      <c r="O3934" s="62" t="str">
        <f>IF(E3934="PA",IF(K3934&lt;&gt;"",ISERROR(VLOOKUP(K3934,ABBR!A:D,1,FALSE)),ISERROR(VLOOKUP(C3934,ABBR!A:D,1,FALSE))),"")</f>
        <v/>
      </c>
      <c r="P3934" t="str">
        <f>VLOOKUP(A3934,Groups!A:L,5,FALSE)</f>
        <v>TRIG</v>
      </c>
      <c r="Q3934" s="62" t="str">
        <f>IF(G3934="PA",IF(M3934&lt;&gt;"",ISERROR(VLOOKUP(M3934,ABBR!C:F,1,FALSE)),ISERROR(VLOOKUP(E3934,ABBR!C:F,1,FALSE))),"")</f>
        <v/>
      </c>
    </row>
    <row r="3935" spans="1:17" s="62" customFormat="1" ht="12.65" hidden="1" customHeight="1" x14ac:dyDescent="0.25">
      <c r="A3935" s="16" t="s">
        <v>440</v>
      </c>
      <c r="B3935" s="17"/>
      <c r="C3935" s="16" t="s">
        <v>6294</v>
      </c>
      <c r="D3935" s="17" t="s">
        <v>766</v>
      </c>
      <c r="E3935" s="17" t="s">
        <v>882</v>
      </c>
      <c r="F3935" s="18" t="s">
        <v>1856</v>
      </c>
      <c r="G3935" s="49" t="s">
        <v>1000</v>
      </c>
      <c r="H3935" s="17">
        <v>17</v>
      </c>
      <c r="I3935" s="30"/>
      <c r="J3935"/>
      <c r="K3935"/>
      <c r="L3935"/>
      <c r="M3935"/>
      <c r="N3935"/>
      <c r="O3935" s="62" t="str">
        <f>IF(E3935="PA",IF(K3935&lt;&gt;"",ISERROR(VLOOKUP(K3935,ABBR!A:D,1,FALSE)),ISERROR(VLOOKUP(C3935,ABBR!A:D,1,FALSE))),"")</f>
        <v/>
      </c>
      <c r="P3935" t="str">
        <f>VLOOKUP(A3935,Groups!A:L,5,FALSE)</f>
        <v>TRIG</v>
      </c>
      <c r="Q3935" s="62" t="str">
        <f>IF(G3935="PA",IF(M3935&lt;&gt;"",ISERROR(VLOOKUP(M3935,ABBR!C:F,1,FALSE)),ISERROR(VLOOKUP(E3935,ABBR!C:F,1,FALSE))),"")</f>
        <v/>
      </c>
    </row>
    <row r="3936" spans="1:17" s="62" customFormat="1" ht="12.65" hidden="1" customHeight="1" x14ac:dyDescent="0.25">
      <c r="A3936" s="16" t="s">
        <v>440</v>
      </c>
      <c r="B3936" s="17"/>
      <c r="C3936" s="16" t="s">
        <v>6295</v>
      </c>
      <c r="D3936" s="17" t="s">
        <v>1345</v>
      </c>
      <c r="E3936" s="17" t="s">
        <v>767</v>
      </c>
      <c r="F3936" s="18" t="s">
        <v>6296</v>
      </c>
      <c r="G3936" s="49" t="s">
        <v>4504</v>
      </c>
      <c r="H3936" s="17">
        <v>18</v>
      </c>
      <c r="I3936" s="30"/>
      <c r="J3936"/>
      <c r="K3936"/>
      <c r="L3936"/>
      <c r="M3936"/>
      <c r="N3936"/>
      <c r="O3936" s="62" t="str">
        <f>IF(E3936="PA",IF(K3936&lt;&gt;"",ISERROR(VLOOKUP(K3936,ABBR!A:D,1,FALSE)),ISERROR(VLOOKUP(C3936,ABBR!A:D,1,FALSE))),"")</f>
        <v/>
      </c>
      <c r="P3936" t="str">
        <f>VLOOKUP(A3936,Groups!A:L,5,FALSE)</f>
        <v>TRIG</v>
      </c>
      <c r="Q3936" s="62" t="str">
        <f>IF(G3936="PA",IF(M3936&lt;&gt;"",ISERROR(VLOOKUP(M3936,ABBR!C:F,1,FALSE)),ISERROR(VLOOKUP(E3936,ABBR!C:F,1,FALSE))),"")</f>
        <v/>
      </c>
    </row>
    <row r="3937" spans="1:17" s="62" customFormat="1" ht="12.65" hidden="1" customHeight="1" x14ac:dyDescent="0.25">
      <c r="A3937" s="16" t="s">
        <v>440</v>
      </c>
      <c r="B3937" s="17"/>
      <c r="C3937" s="16" t="s">
        <v>6297</v>
      </c>
      <c r="D3937" s="17"/>
      <c r="E3937" s="17" t="s">
        <v>618</v>
      </c>
      <c r="F3937" s="18" t="s">
        <v>1891</v>
      </c>
      <c r="G3937" s="49" t="s">
        <v>1892</v>
      </c>
      <c r="H3937" s="17">
        <v>19</v>
      </c>
      <c r="I3937" s="30" t="s">
        <v>3008</v>
      </c>
      <c r="J3937"/>
      <c r="K3937"/>
      <c r="L3937"/>
      <c r="M3937"/>
      <c r="N3937"/>
      <c r="O3937" s="62" t="b">
        <f>IF(E3937="PA",IF(K3937&lt;&gt;"",ISERROR(VLOOKUP(K3937,ABBR!A:D,1,FALSE)),ISERROR(VLOOKUP(C3937,ABBR!A:D,1,FALSE))),"")</f>
        <v>0</v>
      </c>
      <c r="P3937" t="str">
        <f>VLOOKUP(A3937,Groups!A:L,5,FALSE)</f>
        <v>TRIG</v>
      </c>
      <c r="Q3937" s="62" t="str">
        <f>IF(G3937="PA",IF(M3937&lt;&gt;"",ISERROR(VLOOKUP(M3937,ABBR!C:F,1,FALSE)),ISERROR(VLOOKUP(E3937,ABBR!C:F,1,FALSE))),"")</f>
        <v/>
      </c>
    </row>
    <row r="3938" spans="1:17" s="62" customFormat="1" ht="12.65" hidden="1" customHeight="1" x14ac:dyDescent="0.25">
      <c r="A3938" s="16" t="s">
        <v>440</v>
      </c>
      <c r="B3938" s="17"/>
      <c r="C3938" s="16" t="s">
        <v>6298</v>
      </c>
      <c r="D3938" s="17"/>
      <c r="E3938" s="17" t="s">
        <v>608</v>
      </c>
      <c r="F3938" s="18" t="s">
        <v>5689</v>
      </c>
      <c r="G3938" s="49" t="s">
        <v>16</v>
      </c>
      <c r="H3938" s="17">
        <v>20</v>
      </c>
      <c r="I3938" s="30"/>
      <c r="J3938"/>
      <c r="K3938"/>
      <c r="L3938"/>
      <c r="M3938" s="101"/>
      <c r="N3938"/>
      <c r="O3938" s="62" t="str">
        <f>IF(E3938="PA",IF(K3938&lt;&gt;"",ISERROR(VLOOKUP(K3938,ABBR!A:D,1,FALSE)),ISERROR(VLOOKUP(C3938,ABBR!A:D,1,FALSE))),"")</f>
        <v/>
      </c>
      <c r="P3938" t="str">
        <f>VLOOKUP(A3938,Groups!A:L,5,FALSE)</f>
        <v>TRIG</v>
      </c>
      <c r="Q3938" s="62" t="str">
        <f>IF(G3938="PA",IF(M3938&lt;&gt;"",ISERROR(VLOOKUP(M3938,ABBR!C:F,1,FALSE)),ISERROR(VLOOKUP(E3938,ABBR!C:F,1,FALSE))),"")</f>
        <v/>
      </c>
    </row>
    <row r="3939" spans="1:17" s="62" customFormat="1" ht="12.65" hidden="1" customHeight="1" x14ac:dyDescent="0.25">
      <c r="A3939" s="16" t="s">
        <v>440</v>
      </c>
      <c r="B3939" s="17"/>
      <c r="C3939" s="16" t="s">
        <v>643</v>
      </c>
      <c r="D3939" s="17"/>
      <c r="E3939" s="17" t="s">
        <v>608</v>
      </c>
      <c r="F3939" s="18" t="s">
        <v>954</v>
      </c>
      <c r="G3939" s="49" t="s">
        <v>4378</v>
      </c>
      <c r="H3939" s="17">
        <v>21</v>
      </c>
      <c r="I3939" s="30"/>
      <c r="J3939"/>
      <c r="K3939"/>
      <c r="L3939"/>
      <c r="M3939"/>
      <c r="N3939"/>
      <c r="O3939" s="62" t="str">
        <f>IF(E3939="PA",IF(K3939&lt;&gt;"",ISERROR(VLOOKUP(K3939,ABBR!A:D,1,FALSE)),ISERROR(VLOOKUP(C3939,ABBR!A:D,1,FALSE))),"")</f>
        <v/>
      </c>
      <c r="P3939" t="str">
        <f>VLOOKUP(A3939,Groups!A:L,5,FALSE)</f>
        <v>TRIG</v>
      </c>
      <c r="Q3939" s="62" t="str">
        <f>IF(G3939="PA",IF(M3939&lt;&gt;"",ISERROR(VLOOKUP(M3939,ABBR!C:F,1,FALSE)),ISERROR(VLOOKUP(E3939,ABBR!C:F,1,FALSE))),"")</f>
        <v/>
      </c>
    </row>
    <row r="3940" spans="1:17" s="62" customFormat="1" ht="12.65" hidden="1" customHeight="1" x14ac:dyDescent="0.25">
      <c r="A3940" s="16" t="s">
        <v>440</v>
      </c>
      <c r="B3940" s="17"/>
      <c r="C3940" s="16" t="s">
        <v>6299</v>
      </c>
      <c r="D3940" s="17" t="s">
        <v>6300</v>
      </c>
      <c r="E3940" s="17" t="s">
        <v>6301</v>
      </c>
      <c r="F3940" s="18" t="s">
        <v>6302</v>
      </c>
      <c r="G3940" s="49" t="s">
        <v>6303</v>
      </c>
      <c r="H3940" s="17">
        <v>22</v>
      </c>
      <c r="I3940" s="30" t="s">
        <v>955</v>
      </c>
      <c r="J3940" s="80">
        <v>4.0999999999999996</v>
      </c>
      <c r="K3940"/>
      <c r="L3940"/>
      <c r="M3940"/>
      <c r="N3940"/>
      <c r="O3940" s="62" t="str">
        <f>IF(E3940="PA",IF(K3940&lt;&gt;"",ISERROR(VLOOKUP(K3940,ABBR!A:D,1,FALSE)),ISERROR(VLOOKUP(C3940,ABBR!A:D,1,FALSE))),"")</f>
        <v/>
      </c>
      <c r="P3940" t="str">
        <f>VLOOKUP(A3940,Groups!A:L,5,FALSE)</f>
        <v>TRIG</v>
      </c>
      <c r="Q3940" s="62" t="str">
        <f>IF(G3940="PA",IF(M3940&lt;&gt;"",ISERROR(VLOOKUP(M3940,ABBR!C:F,1,FALSE)),ISERROR(VLOOKUP(E3940,ABBR!C:F,1,FALSE))),"")</f>
        <v/>
      </c>
    </row>
    <row r="3941" spans="1:17" s="62" customFormat="1" ht="12.65" hidden="1" customHeight="1" x14ac:dyDescent="0.25">
      <c r="A3941" s="16" t="s">
        <v>440</v>
      </c>
      <c r="B3941" s="17"/>
      <c r="C3941" s="16" t="s">
        <v>6304</v>
      </c>
      <c r="D3941" s="17" t="s">
        <v>6305</v>
      </c>
      <c r="E3941" s="17" t="s">
        <v>6306</v>
      </c>
      <c r="F3941" s="18" t="s">
        <v>6307</v>
      </c>
      <c r="G3941" s="49" t="s">
        <v>6308</v>
      </c>
      <c r="H3941" s="17">
        <v>23</v>
      </c>
      <c r="I3941" s="30" t="s">
        <v>955</v>
      </c>
      <c r="J3941" s="80">
        <v>4.0999999999999996</v>
      </c>
      <c r="K3941"/>
      <c r="L3941"/>
      <c r="M3941"/>
      <c r="N3941"/>
      <c r="O3941" s="62" t="str">
        <f>IF(E3941="PA",IF(K3941&lt;&gt;"",ISERROR(VLOOKUP(K3941,ABBR!A:D,1,FALSE)),ISERROR(VLOOKUP(C3941,ABBR!A:D,1,FALSE))),"")</f>
        <v/>
      </c>
      <c r="P3941" t="str">
        <f>VLOOKUP(A3941,Groups!A:L,5,FALSE)</f>
        <v>TRIG</v>
      </c>
      <c r="Q3941" s="62" t="str">
        <f>IF(G3941="PA",IF(M3941&lt;&gt;"",ISERROR(VLOOKUP(M3941,ABBR!C:F,1,FALSE)),ISERROR(VLOOKUP(E3941,ABBR!C:F,1,FALSE))),"")</f>
        <v/>
      </c>
    </row>
    <row r="3942" spans="1:17" s="62" customFormat="1" ht="12.65" hidden="1" customHeight="1" x14ac:dyDescent="0.35">
      <c r="A3942" s="16" t="s">
        <v>559</v>
      </c>
      <c r="B3942" s="17" t="s">
        <v>594</v>
      </c>
      <c r="C3942" s="16" t="s">
        <v>595</v>
      </c>
      <c r="D3942" s="17"/>
      <c r="E3942" s="17" t="s">
        <v>596</v>
      </c>
      <c r="F3942" s="18" t="s">
        <v>1953</v>
      </c>
      <c r="G3942" s="49" t="s">
        <v>598</v>
      </c>
      <c r="H3942" s="17">
        <v>1</v>
      </c>
      <c r="I3942" s="30"/>
      <c r="J3942" s="62" t="s">
        <v>558</v>
      </c>
      <c r="M3942" s="99"/>
      <c r="O3942" s="62" t="str">
        <f>IF(E3942="PA",IF(K3942&lt;&gt;"",ISERROR(VLOOKUP(K3942,ABBR!A:D,1,FALSE)),ISERROR(VLOOKUP(C3942,ABBR!A:D,1,FALSE))),"")</f>
        <v/>
      </c>
      <c r="P3942" t="str">
        <f>VLOOKUP(A3942,Groups!A:L,5,FALSE)</f>
        <v>TRIT</v>
      </c>
      <c r="Q3942" s="62" t="str">
        <f>IF(G3942="PA",IF(M3942&lt;&gt;"",ISERROR(VLOOKUP(M3942,ABBR!C:F,1,FALSE)),ISERROR(VLOOKUP(E3942,ABBR!C:F,1,FALSE))),"")</f>
        <v/>
      </c>
    </row>
    <row r="3943" spans="1:17" s="62" customFormat="1" ht="25" hidden="1" customHeight="1" x14ac:dyDescent="0.35">
      <c r="A3943" s="16" t="s">
        <v>559</v>
      </c>
      <c r="B3943" s="17" t="s">
        <v>594</v>
      </c>
      <c r="C3943" s="16" t="s">
        <v>851</v>
      </c>
      <c r="D3943" s="17" t="s">
        <v>600</v>
      </c>
      <c r="E3943" s="17" t="s">
        <v>601</v>
      </c>
      <c r="F3943" s="18" t="s">
        <v>6234</v>
      </c>
      <c r="G3943" s="49" t="s">
        <v>853</v>
      </c>
      <c r="H3943" s="17">
        <v>2</v>
      </c>
      <c r="I3943" s="30"/>
      <c r="J3943" s="62" t="s">
        <v>558</v>
      </c>
      <c r="M3943" s="99"/>
      <c r="O3943" s="62" t="str">
        <f>IF(E3943="PA",IF(K3943&lt;&gt;"",ISERROR(VLOOKUP(K3943,ABBR!A:D,1,FALSE)),ISERROR(VLOOKUP(C3943,ABBR!A:D,1,FALSE))),"")</f>
        <v/>
      </c>
      <c r="P3943" t="str">
        <f>VLOOKUP(A3943,Groups!A:L,5,FALSE)</f>
        <v>TRIT</v>
      </c>
      <c r="Q3943" s="62" t="str">
        <f>IF(G3943="PA",IF(M3943&lt;&gt;"",ISERROR(VLOOKUP(M3943,ABBR!C:F,1,FALSE)),ISERROR(VLOOKUP(E3943,ABBR!C:F,1,FALSE))),"")</f>
        <v/>
      </c>
    </row>
    <row r="3944" spans="1:17" s="62" customFormat="1" ht="12.65" hidden="1" customHeight="1" x14ac:dyDescent="0.35">
      <c r="A3944" s="16" t="s">
        <v>559</v>
      </c>
      <c r="B3944" s="17" t="s">
        <v>594</v>
      </c>
      <c r="C3944" s="16" t="s">
        <v>854</v>
      </c>
      <c r="D3944" s="17"/>
      <c r="E3944" s="17" t="s">
        <v>608</v>
      </c>
      <c r="F3944" s="18" t="s">
        <v>6235</v>
      </c>
      <c r="G3944" s="49" t="s">
        <v>856</v>
      </c>
      <c r="H3944" s="17">
        <v>3</v>
      </c>
      <c r="I3944" s="30"/>
      <c r="J3944" s="62" t="s">
        <v>558</v>
      </c>
      <c r="M3944" s="99"/>
      <c r="O3944" s="62" t="str">
        <f>IF(E3944="PA",IF(K3944&lt;&gt;"",ISERROR(VLOOKUP(K3944,ABBR!A:D,1,FALSE)),ISERROR(VLOOKUP(C3944,ABBR!A:D,1,FALSE))),"")</f>
        <v/>
      </c>
      <c r="P3944" t="str">
        <f>VLOOKUP(A3944,Groups!A:L,5,FALSE)</f>
        <v>TRIT</v>
      </c>
      <c r="Q3944" s="62" t="str">
        <f>IF(G3944="PA",IF(M3944&lt;&gt;"",ISERROR(VLOOKUP(M3944,ABBR!C:F,1,FALSE)),ISERROR(VLOOKUP(E3944,ABBR!C:F,1,FALSE))),"")</f>
        <v/>
      </c>
    </row>
    <row r="3945" spans="1:17" s="62" customFormat="1" ht="12.65" hidden="1" customHeight="1" x14ac:dyDescent="0.35">
      <c r="A3945" s="16" t="s">
        <v>559</v>
      </c>
      <c r="B3945" s="17" t="s">
        <v>594</v>
      </c>
      <c r="C3945" s="16" t="s">
        <v>857</v>
      </c>
      <c r="D3945" s="17"/>
      <c r="E3945" s="17" t="s">
        <v>618</v>
      </c>
      <c r="F3945" s="18" t="s">
        <v>6236</v>
      </c>
      <c r="G3945" s="49" t="s">
        <v>859</v>
      </c>
      <c r="H3945" s="17">
        <v>4</v>
      </c>
      <c r="I3945" s="30"/>
      <c r="J3945" s="62" t="s">
        <v>558</v>
      </c>
      <c r="M3945" s="99"/>
      <c r="O3945" s="62" t="b">
        <f>IF(E3945="PA",IF(K3945&lt;&gt;"",ISERROR(VLOOKUP(K3945,ABBR!A:D,1,FALSE)),ISERROR(VLOOKUP(C3945,ABBR!A:D,1,FALSE))),"")</f>
        <v>0</v>
      </c>
      <c r="P3945" t="str">
        <f>VLOOKUP(A3945,Groups!A:L,5,FALSE)</f>
        <v>TRIT</v>
      </c>
      <c r="Q3945" s="62" t="str">
        <f>IF(G3945="PA",IF(M3945&lt;&gt;"",ISERROR(VLOOKUP(M3945,ABBR!C:F,1,FALSE)),ISERROR(VLOOKUP(E3945,ABBR!C:F,1,FALSE))),"")</f>
        <v/>
      </c>
    </row>
    <row r="3946" spans="1:17" s="62" customFormat="1" ht="12.65" hidden="1" customHeight="1" x14ac:dyDescent="0.35">
      <c r="A3946" s="16" t="s">
        <v>559</v>
      </c>
      <c r="B3946" s="17" t="s">
        <v>594</v>
      </c>
      <c r="C3946" s="16" t="s">
        <v>860</v>
      </c>
      <c r="D3946" s="17"/>
      <c r="E3946" s="17" t="s">
        <v>596</v>
      </c>
      <c r="F3946" s="18" t="s">
        <v>861</v>
      </c>
      <c r="G3946" s="49" t="s">
        <v>862</v>
      </c>
      <c r="H3946" s="17">
        <v>5</v>
      </c>
      <c r="I3946" s="30"/>
      <c r="J3946" s="62" t="s">
        <v>558</v>
      </c>
      <c r="M3946" s="99"/>
      <c r="O3946" s="62" t="str">
        <f>IF(E3946="PA",IF(K3946&lt;&gt;"",ISERROR(VLOOKUP(K3946,ABBR!A:D,1,FALSE)),ISERROR(VLOOKUP(C3946,ABBR!A:D,1,FALSE))),"")</f>
        <v/>
      </c>
      <c r="P3946" t="str">
        <f>VLOOKUP(A3946,Groups!A:L,5,FALSE)</f>
        <v>TRIT</v>
      </c>
      <c r="Q3946" s="62" t="str">
        <f>IF(G3946="PA",IF(M3946&lt;&gt;"",ISERROR(VLOOKUP(M3946,ABBR!C:F,1,FALSE)),ISERROR(VLOOKUP(E3946,ABBR!C:F,1,FALSE))),"")</f>
        <v/>
      </c>
    </row>
    <row r="3947" spans="1:17" s="62" customFormat="1" ht="12.65" hidden="1" customHeight="1" x14ac:dyDescent="0.35">
      <c r="A3947" s="16" t="s">
        <v>559</v>
      </c>
      <c r="B3947" s="17" t="s">
        <v>594</v>
      </c>
      <c r="C3947" s="16" t="s">
        <v>863</v>
      </c>
      <c r="D3947" s="17"/>
      <c r="E3947" s="17" t="s">
        <v>608</v>
      </c>
      <c r="F3947" s="18" t="s">
        <v>6237</v>
      </c>
      <c r="G3947" s="49" t="s">
        <v>865</v>
      </c>
      <c r="H3947" s="17">
        <v>6</v>
      </c>
      <c r="I3947" s="30"/>
      <c r="J3947" s="62" t="s">
        <v>558</v>
      </c>
      <c r="M3947" s="99"/>
      <c r="O3947" s="62" t="str">
        <f>IF(E3947="PA",IF(K3947&lt;&gt;"",ISERROR(VLOOKUP(K3947,ABBR!A:D,1,FALSE)),ISERROR(VLOOKUP(C3947,ABBR!A:D,1,FALSE))),"")</f>
        <v/>
      </c>
      <c r="P3947" t="str">
        <f>VLOOKUP(A3947,Groups!A:L,5,FALSE)</f>
        <v>TRIT</v>
      </c>
      <c r="Q3947" s="62" t="str">
        <f>IF(G3947="PA",IF(M3947&lt;&gt;"",ISERROR(VLOOKUP(M3947,ABBR!C:F,1,FALSE)),ISERROR(VLOOKUP(E3947,ABBR!C:F,1,FALSE))),"")</f>
        <v/>
      </c>
    </row>
    <row r="3948" spans="1:17" s="62" customFormat="1" ht="12.65" hidden="1" customHeight="1" x14ac:dyDescent="0.35">
      <c r="A3948" s="16" t="s">
        <v>559</v>
      </c>
      <c r="B3948" s="17" t="s">
        <v>594</v>
      </c>
      <c r="C3948" s="16" t="s">
        <v>866</v>
      </c>
      <c r="D3948" s="17" t="s">
        <v>600</v>
      </c>
      <c r="E3948" s="17" t="s">
        <v>601</v>
      </c>
      <c r="F3948" s="18" t="s">
        <v>6238</v>
      </c>
      <c r="G3948" s="49" t="s">
        <v>853</v>
      </c>
      <c r="H3948" s="17">
        <v>7</v>
      </c>
      <c r="I3948" s="30"/>
      <c r="J3948" s="62" t="s">
        <v>558</v>
      </c>
      <c r="M3948" s="99"/>
      <c r="O3948" s="62" t="str">
        <f>IF(E3948="PA",IF(K3948&lt;&gt;"",ISERROR(VLOOKUP(K3948,ABBR!A:D,1,FALSE)),ISERROR(VLOOKUP(C3948,ABBR!A:D,1,FALSE))),"")</f>
        <v/>
      </c>
      <c r="P3948" t="str">
        <f>VLOOKUP(A3948,Groups!A:L,5,FALSE)</f>
        <v>TRIT</v>
      </c>
      <c r="Q3948" s="62" t="str">
        <f>IF(G3948="PA",IF(M3948&lt;&gt;"",ISERROR(VLOOKUP(M3948,ABBR!C:F,1,FALSE)),ISERROR(VLOOKUP(E3948,ABBR!C:F,1,FALSE))),"")</f>
        <v/>
      </c>
    </row>
    <row r="3949" spans="1:17" s="62" customFormat="1" ht="12.65" hidden="1" customHeight="1" x14ac:dyDescent="0.35">
      <c r="A3949" s="16" t="s">
        <v>559</v>
      </c>
      <c r="B3949" s="17" t="s">
        <v>594</v>
      </c>
      <c r="C3949" s="16" t="s">
        <v>6282</v>
      </c>
      <c r="D3949" s="17"/>
      <c r="E3949" s="17" t="s">
        <v>608</v>
      </c>
      <c r="F3949" s="18" t="s">
        <v>1313</v>
      </c>
      <c r="G3949" s="49" t="s">
        <v>631</v>
      </c>
      <c r="H3949" s="17">
        <v>8</v>
      </c>
      <c r="I3949" s="30"/>
      <c r="J3949" s="62" t="s">
        <v>558</v>
      </c>
      <c r="M3949" s="99"/>
      <c r="O3949" s="62" t="str">
        <f>IF(E3949="PA",IF(K3949&lt;&gt;"",ISERROR(VLOOKUP(K3949,ABBR!A:D,1,FALSE)),ISERROR(VLOOKUP(C3949,ABBR!A:D,1,FALSE))),"")</f>
        <v/>
      </c>
      <c r="P3949" t="str">
        <f>VLOOKUP(A3949,Groups!A:L,5,FALSE)</f>
        <v>TRIT</v>
      </c>
      <c r="Q3949" s="62" t="str">
        <f>IF(G3949="PA",IF(M3949&lt;&gt;"",ISERROR(VLOOKUP(M3949,ABBR!C:F,1,FALSE)),ISERROR(VLOOKUP(E3949,ABBR!C:F,1,FALSE))),"")</f>
        <v/>
      </c>
    </row>
    <row r="3950" spans="1:17" s="62" customFormat="1" ht="12.65" hidden="1" customHeight="1" x14ac:dyDescent="0.35">
      <c r="A3950" s="16" t="s">
        <v>559</v>
      </c>
      <c r="B3950" s="17" t="s">
        <v>594</v>
      </c>
      <c r="C3950" s="16" t="s">
        <v>6309</v>
      </c>
      <c r="D3950" s="17"/>
      <c r="E3950" s="17" t="s">
        <v>608</v>
      </c>
      <c r="F3950" s="18" t="s">
        <v>4620</v>
      </c>
      <c r="G3950" s="49" t="s">
        <v>631</v>
      </c>
      <c r="H3950" s="17">
        <v>9</v>
      </c>
      <c r="I3950" s="30"/>
      <c r="J3950" s="62" t="s">
        <v>558</v>
      </c>
      <c r="M3950" s="99"/>
      <c r="O3950" s="62" t="str">
        <f>IF(E3950="PA",IF(K3950&lt;&gt;"",ISERROR(VLOOKUP(K3950,ABBR!A:D,1,FALSE)),ISERROR(VLOOKUP(C3950,ABBR!A:D,1,FALSE))),"")</f>
        <v/>
      </c>
      <c r="P3950" t="str">
        <f>VLOOKUP(A3950,Groups!A:L,5,FALSE)</f>
        <v>TRIT</v>
      </c>
      <c r="Q3950" s="62" t="str">
        <f>IF(G3950="PA",IF(M3950&lt;&gt;"",ISERROR(VLOOKUP(M3950,ABBR!C:F,1,FALSE)),ISERROR(VLOOKUP(E3950,ABBR!C:F,1,FALSE))),"")</f>
        <v/>
      </c>
    </row>
    <row r="3951" spans="1:17" s="62" customFormat="1" ht="12.65" hidden="1" customHeight="1" x14ac:dyDescent="0.35">
      <c r="A3951" s="16" t="s">
        <v>559</v>
      </c>
      <c r="B3951" s="17"/>
      <c r="C3951" s="16" t="s">
        <v>6310</v>
      </c>
      <c r="D3951" s="17" t="s">
        <v>1698</v>
      </c>
      <c r="E3951" s="17" t="s">
        <v>767</v>
      </c>
      <c r="F3951" s="31" t="s">
        <v>3383</v>
      </c>
      <c r="G3951" s="49" t="s">
        <v>3324</v>
      </c>
      <c r="H3951" s="17">
        <v>10</v>
      </c>
      <c r="I3951" s="30"/>
      <c r="J3951" s="62" t="s">
        <v>558</v>
      </c>
      <c r="M3951" s="99"/>
      <c r="O3951" s="62" t="str">
        <f>IF(E3951="PA",IF(K3951&lt;&gt;"",ISERROR(VLOOKUP(K3951,ABBR!A:D,1,FALSE)),ISERROR(VLOOKUP(C3951,ABBR!A:D,1,FALSE))),"")</f>
        <v/>
      </c>
      <c r="P3951" t="str">
        <f>VLOOKUP(A3951,Groups!A:L,5,FALSE)</f>
        <v>TRIT</v>
      </c>
      <c r="Q3951" s="62" t="str">
        <f>IF(G3951="PA",IF(M3951&lt;&gt;"",ISERROR(VLOOKUP(M3951,ABBR!C:F,1,FALSE)),ISERROR(VLOOKUP(E3951,ABBR!C:F,1,FALSE))),"")</f>
        <v/>
      </c>
    </row>
    <row r="3952" spans="1:17" s="62" customFormat="1" ht="12.65" hidden="1" customHeight="1" x14ac:dyDescent="0.35">
      <c r="A3952" s="16" t="s">
        <v>559</v>
      </c>
      <c r="B3952" s="17"/>
      <c r="C3952" s="16" t="s">
        <v>6311</v>
      </c>
      <c r="D3952" s="17" t="s">
        <v>1345</v>
      </c>
      <c r="E3952" s="17" t="s">
        <v>767</v>
      </c>
      <c r="F3952" s="18" t="s">
        <v>6245</v>
      </c>
      <c r="G3952" s="49" t="s">
        <v>2593</v>
      </c>
      <c r="H3952" s="17">
        <v>11</v>
      </c>
      <c r="I3952" s="30"/>
      <c r="J3952" s="62" t="s">
        <v>558</v>
      </c>
      <c r="M3952" s="99"/>
      <c r="O3952" s="62" t="str">
        <f>IF(E3952="PA",IF(K3952&lt;&gt;"",ISERROR(VLOOKUP(K3952,ABBR!A:D,1,FALSE)),ISERROR(VLOOKUP(C3952,ABBR!A:D,1,FALSE))),"")</f>
        <v/>
      </c>
      <c r="P3952" t="str">
        <f>VLOOKUP(A3952,Groups!A:L,5,FALSE)</f>
        <v>TRIT</v>
      </c>
      <c r="Q3952" s="62" t="str">
        <f>IF(G3952="PA",IF(M3952&lt;&gt;"",ISERROR(VLOOKUP(M3952,ABBR!C:F,1,FALSE)),ISERROR(VLOOKUP(E3952,ABBR!C:F,1,FALSE))),"")</f>
        <v/>
      </c>
    </row>
    <row r="3953" spans="1:17" s="62" customFormat="1" ht="25" hidden="1" customHeight="1" x14ac:dyDescent="0.35">
      <c r="A3953" s="16" t="s">
        <v>559</v>
      </c>
      <c r="B3953" s="17"/>
      <c r="C3953" s="16" t="s">
        <v>6312</v>
      </c>
      <c r="D3953" s="17" t="s">
        <v>766</v>
      </c>
      <c r="E3953" s="17" t="s">
        <v>601</v>
      </c>
      <c r="F3953" s="18" t="s">
        <v>6313</v>
      </c>
      <c r="G3953" s="49" t="s">
        <v>2355</v>
      </c>
      <c r="H3953" s="17">
        <v>12</v>
      </c>
      <c r="I3953" s="30"/>
      <c r="J3953" s="62" t="s">
        <v>558</v>
      </c>
      <c r="M3953" s="99"/>
      <c r="O3953" s="62" t="str">
        <f>IF(E3953="PA",IF(K3953&lt;&gt;"",ISERROR(VLOOKUP(K3953,ABBR!A:D,1,FALSE)),ISERROR(VLOOKUP(C3953,ABBR!A:D,1,FALSE))),"")</f>
        <v/>
      </c>
      <c r="P3953" t="str">
        <f>VLOOKUP(A3953,Groups!A:L,5,FALSE)</f>
        <v>TRIT</v>
      </c>
      <c r="Q3953" s="62" t="str">
        <f>IF(G3953="PA",IF(M3953&lt;&gt;"",ISERROR(VLOOKUP(M3953,ABBR!C:F,1,FALSE)),ISERROR(VLOOKUP(E3953,ABBR!C:F,1,FALSE))),"")</f>
        <v/>
      </c>
    </row>
    <row r="3954" spans="1:17" s="62" customFormat="1" ht="25" hidden="1" customHeight="1" x14ac:dyDescent="0.35">
      <c r="A3954" s="16" t="s">
        <v>559</v>
      </c>
      <c r="B3954" s="17"/>
      <c r="C3954" s="16" t="s">
        <v>6314</v>
      </c>
      <c r="D3954" s="17"/>
      <c r="E3954" s="17" t="s">
        <v>608</v>
      </c>
      <c r="F3954" s="18" t="s">
        <v>642</v>
      </c>
      <c r="G3954" s="49" t="s">
        <v>16</v>
      </c>
      <c r="H3954" s="17">
        <v>13</v>
      </c>
      <c r="I3954" s="30"/>
      <c r="J3954" s="62" t="s">
        <v>558</v>
      </c>
      <c r="M3954" s="99"/>
      <c r="O3954" s="62" t="str">
        <f>IF(E3954="PA",IF(K3954&lt;&gt;"",ISERROR(VLOOKUP(K3954,ABBR!A:D,1,FALSE)),ISERROR(VLOOKUP(C3954,ABBR!A:D,1,FALSE))),"")</f>
        <v/>
      </c>
      <c r="P3954" t="str">
        <f>VLOOKUP(A3954,Groups!A:L,5,FALSE)</f>
        <v>TRIT</v>
      </c>
      <c r="Q3954" s="62" t="str">
        <f>IF(G3954="PA",IF(M3954&lt;&gt;"",ISERROR(VLOOKUP(M3954,ABBR!C:F,1,FALSE)),ISERROR(VLOOKUP(E3954,ABBR!C:F,1,FALSE))),"")</f>
        <v/>
      </c>
    </row>
    <row r="3955" spans="1:17" s="62" customFormat="1" hidden="1" x14ac:dyDescent="0.25">
      <c r="A3955" s="16" t="s">
        <v>43</v>
      </c>
      <c r="B3955" s="17" t="s">
        <v>960</v>
      </c>
      <c r="C3955" s="16" t="s">
        <v>6315</v>
      </c>
      <c r="D3955" s="17"/>
      <c r="E3955" s="17" t="s">
        <v>608</v>
      </c>
      <c r="F3955" s="18" t="s">
        <v>6316</v>
      </c>
      <c r="G3955" s="49" t="s">
        <v>767</v>
      </c>
      <c r="H3955" s="17">
        <v>1</v>
      </c>
      <c r="I3955" s="30"/>
      <c r="J3955"/>
      <c r="K3955"/>
      <c r="L3955"/>
      <c r="M3955"/>
      <c r="N3955"/>
      <c r="O3955" s="62" t="str">
        <f>IF(E3955="PA",IF(K3955&lt;&gt;"",ISERROR(VLOOKUP(K3955,ABBR!A:D,1,FALSE)),ISERROR(VLOOKUP(C3955,ABBR!A:D,1,FALSE))),"")</f>
        <v/>
      </c>
      <c r="P3955" t="str">
        <f>VLOOKUP(A3955,Groups!A:L,5,FALSE)</f>
        <v>-</v>
      </c>
      <c r="Q3955" s="62" t="str">
        <f>IF(G3955="PA",IF(M3955&lt;&gt;"",ISERROR(VLOOKUP(M3955,ABBR!C:F,1,FALSE)),ISERROR(VLOOKUP(E3955,ABBR!C:F,1,FALSE))),"")</f>
        <v/>
      </c>
    </row>
    <row r="3956" spans="1:17" s="62" customFormat="1" ht="25" hidden="1" x14ac:dyDescent="0.25">
      <c r="A3956" s="16" t="s">
        <v>43</v>
      </c>
      <c r="B3956" s="17" t="s">
        <v>966</v>
      </c>
      <c r="C3956" s="16" t="s">
        <v>6317</v>
      </c>
      <c r="D3956" s="17"/>
      <c r="E3956" s="17" t="s">
        <v>608</v>
      </c>
      <c r="F3956" s="18" t="s">
        <v>589</v>
      </c>
      <c r="G3956" s="49" t="s">
        <v>6318</v>
      </c>
      <c r="H3956" s="17">
        <v>2</v>
      </c>
      <c r="I3956" s="30"/>
      <c r="J3956"/>
      <c r="K3956"/>
      <c r="L3956"/>
      <c r="M3956"/>
      <c r="N3956"/>
      <c r="O3956" s="62" t="str">
        <f>IF(E3956="PA",IF(K3956&lt;&gt;"",ISERROR(VLOOKUP(K3956,ABBR!A:D,1,FALSE)),ISERROR(VLOOKUP(C3956,ABBR!A:D,1,FALSE))),"")</f>
        <v/>
      </c>
      <c r="P3956" t="str">
        <f>VLOOKUP(A3956,Groups!A:L,5,FALSE)</f>
        <v>-</v>
      </c>
      <c r="Q3956" s="62" t="str">
        <f>IF(G3956="PA",IF(M3956&lt;&gt;"",ISERROR(VLOOKUP(M3956,ABBR!C:F,1,FALSE)),ISERROR(VLOOKUP(E3956,ABBR!C:F,1,FALSE))),"")</f>
        <v/>
      </c>
    </row>
    <row r="3957" spans="1:17" s="62" customFormat="1" hidden="1" x14ac:dyDescent="0.25">
      <c r="A3957" s="16" t="s">
        <v>43</v>
      </c>
      <c r="B3957" s="17"/>
      <c r="C3957" s="16" t="s">
        <v>643</v>
      </c>
      <c r="D3957" s="17"/>
      <c r="E3957" s="17" t="s">
        <v>608</v>
      </c>
      <c r="F3957" s="18" t="s">
        <v>1714</v>
      </c>
      <c r="G3957" s="49" t="s">
        <v>975</v>
      </c>
      <c r="H3957" s="17">
        <v>3</v>
      </c>
      <c r="I3957" s="30"/>
      <c r="J3957"/>
      <c r="K3957"/>
      <c r="L3957"/>
      <c r="M3957"/>
      <c r="N3957"/>
      <c r="O3957" s="62" t="str">
        <f>IF(E3957="PA",IF(K3957&lt;&gt;"",ISERROR(VLOOKUP(K3957,ABBR!A:D,1,FALSE)),ISERROR(VLOOKUP(C3957,ABBR!A:D,1,FALSE))),"")</f>
        <v/>
      </c>
      <c r="P3957" t="str">
        <f>VLOOKUP(A3957,Groups!A:L,5,FALSE)</f>
        <v>-</v>
      </c>
      <c r="Q3957" s="62" t="str">
        <f>IF(G3957="PA",IF(M3957&lt;&gt;"",ISERROR(VLOOKUP(M3957,ABBR!C:F,1,FALSE)),ISERROR(VLOOKUP(E3957,ABBR!C:F,1,FALSE))),"")</f>
        <v/>
      </c>
    </row>
    <row r="3958" spans="1:17" hidden="1" x14ac:dyDescent="0.25">
      <c r="A3958" s="16" t="s">
        <v>47</v>
      </c>
      <c r="B3958" s="17" t="s">
        <v>960</v>
      </c>
      <c r="C3958" s="16" t="s">
        <v>6319</v>
      </c>
      <c r="D3958" s="17"/>
      <c r="E3958" s="17" t="s">
        <v>608</v>
      </c>
      <c r="F3958" s="18" t="s">
        <v>6320</v>
      </c>
      <c r="G3958" s="49" t="s">
        <v>6321</v>
      </c>
      <c r="H3958" s="17">
        <v>1</v>
      </c>
      <c r="O3958" s="62" t="str">
        <f>IF(E3958="PA",IF(K3958&lt;&gt;"",ISERROR(VLOOKUP(K3958,ABBR!A:D,1,FALSE)),ISERROR(VLOOKUP(C3958,ABBR!A:D,1,FALSE))),"")</f>
        <v/>
      </c>
      <c r="P3958" t="str">
        <f>VLOOKUP(A3958,Groups!A:L,5,FALSE)</f>
        <v>-</v>
      </c>
      <c r="Q3958" s="62" t="str">
        <f>IF(G3958="PA",IF(M3958&lt;&gt;"",ISERROR(VLOOKUP(M3958,ABBR!C:F,1,FALSE)),ISERROR(VLOOKUP(E3958,ABBR!C:F,1,FALSE))),"")</f>
        <v/>
      </c>
    </row>
    <row r="3959" spans="1:17" s="62" customFormat="1" hidden="1" x14ac:dyDescent="0.25">
      <c r="A3959" s="16" t="s">
        <v>47</v>
      </c>
      <c r="B3959" s="17" t="s">
        <v>966</v>
      </c>
      <c r="C3959" s="16" t="s">
        <v>6322</v>
      </c>
      <c r="D3959" s="17"/>
      <c r="E3959" s="17" t="s">
        <v>608</v>
      </c>
      <c r="F3959" s="18" t="s">
        <v>589</v>
      </c>
      <c r="G3959" s="49" t="s">
        <v>6323</v>
      </c>
      <c r="H3959" s="17">
        <v>2</v>
      </c>
      <c r="I3959" s="30"/>
      <c r="J3959"/>
      <c r="K3959"/>
      <c r="L3959"/>
      <c r="M3959"/>
      <c r="N3959"/>
      <c r="O3959" s="62" t="str">
        <f>IF(E3959="PA",IF(K3959&lt;&gt;"",ISERROR(VLOOKUP(K3959,ABBR!A:D,1,FALSE)),ISERROR(VLOOKUP(C3959,ABBR!A:D,1,FALSE))),"")</f>
        <v/>
      </c>
      <c r="P3959" t="str">
        <f>VLOOKUP(A3959,Groups!A:L,5,FALSE)</f>
        <v>-</v>
      </c>
      <c r="Q3959" s="62" t="str">
        <f>IF(G3959="PA",IF(M3959&lt;&gt;"",ISERROR(VLOOKUP(M3959,ABBR!C:F,1,FALSE)),ISERROR(VLOOKUP(E3959,ABBR!C:F,1,FALSE))),"")</f>
        <v/>
      </c>
    </row>
    <row r="3960" spans="1:17" s="62" customFormat="1" hidden="1" x14ac:dyDescent="0.25">
      <c r="A3960" s="16" t="s">
        <v>47</v>
      </c>
      <c r="B3960" s="17"/>
      <c r="C3960" s="16" t="s">
        <v>6324</v>
      </c>
      <c r="D3960" s="17"/>
      <c r="E3960" s="17" t="s">
        <v>608</v>
      </c>
      <c r="F3960" s="18" t="s">
        <v>642</v>
      </c>
      <c r="G3960" s="49" t="s">
        <v>16</v>
      </c>
      <c r="H3960" s="17">
        <v>3</v>
      </c>
      <c r="I3960" s="30"/>
      <c r="J3960"/>
      <c r="K3960"/>
      <c r="L3960"/>
      <c r="M3960" s="101"/>
      <c r="N3960"/>
      <c r="O3960" s="62" t="str">
        <f>IF(E3960="PA",IF(K3960&lt;&gt;"",ISERROR(VLOOKUP(K3960,ABBR!A:D,1,FALSE)),ISERROR(VLOOKUP(C3960,ABBR!A:D,1,FALSE))),"")</f>
        <v/>
      </c>
      <c r="P3960" t="str">
        <f>VLOOKUP(A3960,Groups!A:L,5,FALSE)</f>
        <v>-</v>
      </c>
      <c r="Q3960" s="62" t="str">
        <f>IF(G3960="PA",IF(M3960&lt;&gt;"",ISERROR(VLOOKUP(M3960,ABBR!C:F,1,FALSE)),ISERROR(VLOOKUP(E3960,ABBR!C:F,1,FALSE))),"")</f>
        <v/>
      </c>
    </row>
    <row r="3961" spans="1:17" s="62" customFormat="1" hidden="1" x14ac:dyDescent="0.25">
      <c r="A3961" s="16" t="s">
        <v>47</v>
      </c>
      <c r="B3961" s="17"/>
      <c r="C3961" s="16" t="s">
        <v>643</v>
      </c>
      <c r="D3961" s="17"/>
      <c r="E3961" s="17" t="s">
        <v>608</v>
      </c>
      <c r="F3961" s="18" t="s">
        <v>1714</v>
      </c>
      <c r="G3961" s="49" t="s">
        <v>975</v>
      </c>
      <c r="H3961" s="17">
        <v>4</v>
      </c>
      <c r="I3961" s="30"/>
      <c r="J3961"/>
      <c r="K3961"/>
      <c r="L3961"/>
      <c r="M3961"/>
      <c r="N3961"/>
      <c r="O3961" s="62" t="str">
        <f>IF(E3961="PA",IF(K3961&lt;&gt;"",ISERROR(VLOOKUP(K3961,ABBR!A:D,1,FALSE)),ISERROR(VLOOKUP(C3961,ABBR!A:D,1,FALSE))),"")</f>
        <v/>
      </c>
      <c r="P3961" t="str">
        <f>VLOOKUP(A3961,Groups!A:L,5,FALSE)</f>
        <v>-</v>
      </c>
      <c r="Q3961" s="62" t="str">
        <f>IF(G3961="PA",IF(M3961&lt;&gt;"",ISERROR(VLOOKUP(M3961,ABBR!C:F,1,FALSE)),ISERROR(VLOOKUP(E3961,ABBR!C:F,1,FALSE))),"")</f>
        <v/>
      </c>
    </row>
    <row r="3962" spans="1:17" s="62" customFormat="1" hidden="1" x14ac:dyDescent="0.25">
      <c r="A3962" s="16" t="s">
        <v>444</v>
      </c>
      <c r="B3962" s="17" t="s">
        <v>594</v>
      </c>
      <c r="C3962" s="16" t="s">
        <v>595</v>
      </c>
      <c r="D3962" s="17"/>
      <c r="E3962" s="17" t="s">
        <v>596</v>
      </c>
      <c r="F3962" s="18" t="s">
        <v>597</v>
      </c>
      <c r="G3962" s="49" t="s">
        <v>598</v>
      </c>
      <c r="H3962" s="17">
        <v>1</v>
      </c>
      <c r="I3962" s="30"/>
      <c r="J3962"/>
      <c r="K3962"/>
      <c r="L3962"/>
      <c r="M3962"/>
      <c r="N3962"/>
      <c r="O3962" s="62" t="str">
        <f>IF(E3962="PA",IF(K3962&lt;&gt;"",ISERROR(VLOOKUP(K3962,ABBR!A:D,1,FALSE)),ISERROR(VLOOKUP(C3962,ABBR!A:D,1,FALSE))),"")</f>
        <v/>
      </c>
      <c r="P3962" t="str">
        <f>VLOOKUP(A3962,Groups!A:L,5,FALSE)</f>
        <v>LOCA</v>
      </c>
      <c r="Q3962" s="62" t="str">
        <f>IF(G3962="PA",IF(M3962&lt;&gt;"",ISERROR(VLOOKUP(M3962,ABBR!C:F,1,FALSE)),ISERROR(VLOOKUP(E3962,ABBR!C:F,1,FALSE))),"")</f>
        <v/>
      </c>
    </row>
    <row r="3963" spans="1:17" s="62" customFormat="1" hidden="1" x14ac:dyDescent="0.25">
      <c r="A3963" s="16" t="s">
        <v>444</v>
      </c>
      <c r="B3963" s="17" t="s">
        <v>594</v>
      </c>
      <c r="C3963" s="16" t="s">
        <v>6325</v>
      </c>
      <c r="D3963" s="17" t="s">
        <v>600</v>
      </c>
      <c r="E3963" s="17" t="s">
        <v>601</v>
      </c>
      <c r="F3963" s="18" t="s">
        <v>2288</v>
      </c>
      <c r="G3963" s="49" t="s">
        <v>6326</v>
      </c>
      <c r="H3963" s="17">
        <v>2</v>
      </c>
      <c r="I3963" s="30"/>
      <c r="J3963"/>
      <c r="K3963"/>
      <c r="L3963"/>
      <c r="M3963"/>
      <c r="N3963"/>
      <c r="O3963" s="62" t="str">
        <f>IF(E3963="PA",IF(K3963&lt;&gt;"",ISERROR(VLOOKUP(K3963,ABBR!A:D,1,FALSE)),ISERROR(VLOOKUP(C3963,ABBR!A:D,1,FALSE))),"")</f>
        <v/>
      </c>
      <c r="P3963" t="str">
        <f>VLOOKUP(A3963,Groups!A:L,5,FALSE)</f>
        <v>LOCA</v>
      </c>
      <c r="Q3963" s="62" t="str">
        <f>IF(G3963="PA",IF(M3963&lt;&gt;"",ISERROR(VLOOKUP(M3963,ABBR!C:F,1,FALSE)),ISERROR(VLOOKUP(E3963,ABBR!C:F,1,FALSE))),"")</f>
        <v/>
      </c>
    </row>
    <row r="3964" spans="1:17" s="62" customFormat="1" ht="13" hidden="1" thickBot="1" x14ac:dyDescent="0.3">
      <c r="A3964" s="16" t="s">
        <v>444</v>
      </c>
      <c r="B3964" s="17" t="s">
        <v>594</v>
      </c>
      <c r="C3964" s="16" t="s">
        <v>6327</v>
      </c>
      <c r="D3964" s="17" t="s">
        <v>600</v>
      </c>
      <c r="E3964" s="17" t="s">
        <v>601</v>
      </c>
      <c r="F3964" s="174" t="s">
        <v>2291</v>
      </c>
      <c r="G3964" s="49" t="s">
        <v>4783</v>
      </c>
      <c r="H3964" s="17">
        <v>3</v>
      </c>
      <c r="I3964" s="30"/>
      <c r="J3964"/>
      <c r="K3964"/>
      <c r="L3964"/>
      <c r="M3964"/>
      <c r="N3964"/>
      <c r="O3964" s="62" t="str">
        <f>IF(E3964="PA",IF(K3964&lt;&gt;"",ISERROR(VLOOKUP(K3964,ABBR!A:D,1,FALSE)),ISERROR(VLOOKUP(C3964,ABBR!A:D,1,FALSE))),"")</f>
        <v/>
      </c>
      <c r="P3964" t="str">
        <f>VLOOKUP(A3964,Groups!A:L,5,FALSE)</f>
        <v>LOCA</v>
      </c>
      <c r="Q3964" s="62" t="str">
        <f>IF(G3964="PA",IF(M3964&lt;&gt;"",ISERROR(VLOOKUP(M3964,ABBR!C:F,1,FALSE)),ISERROR(VLOOKUP(E3964,ABBR!C:F,1,FALSE))),"")</f>
        <v/>
      </c>
    </row>
    <row r="3965" spans="1:17" s="62" customFormat="1" hidden="1" x14ac:dyDescent="0.25">
      <c r="A3965" s="16" t="s">
        <v>444</v>
      </c>
      <c r="B3965" s="17"/>
      <c r="C3965" s="16" t="s">
        <v>6328</v>
      </c>
      <c r="D3965" s="17" t="s">
        <v>6329</v>
      </c>
      <c r="E3965" s="17" t="s">
        <v>767</v>
      </c>
      <c r="F3965" s="18" t="s">
        <v>6330</v>
      </c>
      <c r="G3965" s="49" t="s">
        <v>910</v>
      </c>
      <c r="H3965" s="17">
        <v>4</v>
      </c>
      <c r="I3965" s="30"/>
      <c r="J3965"/>
      <c r="K3965"/>
      <c r="L3965"/>
      <c r="M3965"/>
      <c r="N3965"/>
      <c r="O3965" s="62" t="str">
        <f>IF(E3965="PA",IF(K3965&lt;&gt;"",ISERROR(VLOOKUP(K3965,ABBR!A:D,1,FALSE)),ISERROR(VLOOKUP(C3965,ABBR!A:D,1,FALSE))),"")</f>
        <v/>
      </c>
      <c r="P3965" t="str">
        <f>VLOOKUP(A3965,Groups!A:L,5,FALSE)</f>
        <v>LOCA</v>
      </c>
      <c r="Q3965" s="62" t="str">
        <f>IF(G3965="PA",IF(M3965&lt;&gt;"",ISERROR(VLOOKUP(M3965,ABBR!C:F,1,FALSE)),ISERROR(VLOOKUP(E3965,ABBR!C:F,1,FALSE))),"")</f>
        <v/>
      </c>
    </row>
    <row r="3966" spans="1:17" s="62" customFormat="1" ht="25" hidden="1" x14ac:dyDescent="0.25">
      <c r="A3966" s="16" t="s">
        <v>444</v>
      </c>
      <c r="B3966" s="17"/>
      <c r="C3966" s="16" t="s">
        <v>6331</v>
      </c>
      <c r="D3966" s="17"/>
      <c r="E3966" s="17" t="s">
        <v>608</v>
      </c>
      <c r="F3966" s="18" t="s">
        <v>6332</v>
      </c>
      <c r="G3966" s="49" t="s">
        <v>6333</v>
      </c>
      <c r="H3966" s="17">
        <v>5</v>
      </c>
      <c r="I3966" s="30"/>
      <c r="J3966"/>
      <c r="K3966"/>
      <c r="L3966"/>
      <c r="M3966"/>
      <c r="N3966"/>
      <c r="O3966" s="62" t="str">
        <f>IF(E3966="PA",IF(K3966&lt;&gt;"",ISERROR(VLOOKUP(K3966,ABBR!A:D,1,FALSE)),ISERROR(VLOOKUP(C3966,ABBR!A:D,1,FALSE))),"")</f>
        <v/>
      </c>
      <c r="P3966" t="str">
        <f>VLOOKUP(A3966,Groups!A:L,5,FALSE)</f>
        <v>LOCA</v>
      </c>
      <c r="Q3966" s="62" t="str">
        <f>IF(G3966="PA",IF(M3966&lt;&gt;"",ISERROR(VLOOKUP(M3966,ABBR!C:F,1,FALSE)),ISERROR(VLOOKUP(E3966,ABBR!C:F,1,FALSE))),"")</f>
        <v/>
      </c>
    </row>
    <row r="3967" spans="1:17" ht="25" hidden="1" x14ac:dyDescent="0.25">
      <c r="A3967" s="16" t="s">
        <v>444</v>
      </c>
      <c r="B3967" s="17"/>
      <c r="C3967" s="16" t="s">
        <v>6334</v>
      </c>
      <c r="D3967" s="17"/>
      <c r="E3967" s="17" t="s">
        <v>608</v>
      </c>
      <c r="F3967" s="18" t="s">
        <v>6335</v>
      </c>
      <c r="G3967" s="49" t="s">
        <v>16</v>
      </c>
      <c r="H3967" s="17">
        <v>6</v>
      </c>
      <c r="M3967" s="101"/>
      <c r="O3967" s="62" t="str">
        <f>IF(E3967="PA",IF(K3967&lt;&gt;"",ISERROR(VLOOKUP(K3967,ABBR!A:D,1,FALSE)),ISERROR(VLOOKUP(C3967,ABBR!A:D,1,FALSE))),"")</f>
        <v/>
      </c>
      <c r="P3967" t="str">
        <f>VLOOKUP(A3967,Groups!A:L,5,FALSE)</f>
        <v>LOCA</v>
      </c>
      <c r="Q3967" s="62" t="str">
        <f>IF(G3967="PA",IF(M3967&lt;&gt;"",ISERROR(VLOOKUP(M3967,ABBR!C:F,1,FALSE)),ISERROR(VLOOKUP(E3967,ABBR!C:F,1,FALSE))),"")</f>
        <v/>
      </c>
    </row>
    <row r="3968" spans="1:17" s="62" customFormat="1" hidden="1" x14ac:dyDescent="0.25">
      <c r="A3968" s="16" t="s">
        <v>444</v>
      </c>
      <c r="B3968" s="17"/>
      <c r="C3968" s="16" t="s">
        <v>643</v>
      </c>
      <c r="D3968" s="17"/>
      <c r="E3968" s="17" t="s">
        <v>608</v>
      </c>
      <c r="F3968" s="18" t="s">
        <v>6336</v>
      </c>
      <c r="G3968" s="49" t="s">
        <v>1268</v>
      </c>
      <c r="H3968" s="17">
        <v>7</v>
      </c>
      <c r="I3968" s="30"/>
      <c r="J3968"/>
      <c r="K3968"/>
      <c r="L3968"/>
      <c r="M3968"/>
      <c r="N3968"/>
      <c r="O3968" s="62" t="str">
        <f>IF(E3968="PA",IF(K3968&lt;&gt;"",ISERROR(VLOOKUP(K3968,ABBR!A:D,1,FALSE)),ISERROR(VLOOKUP(C3968,ABBR!A:D,1,FALSE))),"")</f>
        <v/>
      </c>
      <c r="P3968" t="str">
        <f>VLOOKUP(A3968,Groups!A:L,5,FALSE)</f>
        <v>LOCA</v>
      </c>
      <c r="Q3968" s="62" t="str">
        <f>IF(G3968="PA",IF(M3968&lt;&gt;"",ISERROR(VLOOKUP(M3968,ABBR!C:F,1,FALSE)),ISERROR(VLOOKUP(E3968,ABBR!C:F,1,FALSE))),"")</f>
        <v/>
      </c>
    </row>
    <row r="3969" spans="1:17" hidden="1" x14ac:dyDescent="0.25">
      <c r="A3969" s="16" t="s">
        <v>447</v>
      </c>
      <c r="B3969" s="17" t="s">
        <v>594</v>
      </c>
      <c r="C3969" s="16" t="s">
        <v>595</v>
      </c>
      <c r="D3969" s="17"/>
      <c r="E3969" s="17" t="s">
        <v>596</v>
      </c>
      <c r="F3969" s="18" t="s">
        <v>597</v>
      </c>
      <c r="G3969" s="49" t="s">
        <v>598</v>
      </c>
      <c r="H3969" s="17">
        <v>1</v>
      </c>
      <c r="O3969" s="62" t="str">
        <f>IF(E3969="PA",IF(K3969&lt;&gt;"",ISERROR(VLOOKUP(K3969,ABBR!A:D,1,FALSE)),ISERROR(VLOOKUP(C3969,ABBR!A:D,1,FALSE))),"")</f>
        <v/>
      </c>
      <c r="P3969" t="str">
        <f>VLOOKUP(A3969,Groups!A:L,5,FALSE)</f>
        <v>LOCA</v>
      </c>
      <c r="Q3969" s="62" t="str">
        <f>IF(G3969="PA",IF(M3969&lt;&gt;"",ISERROR(VLOOKUP(M3969,ABBR!C:F,1,FALSE)),ISERROR(VLOOKUP(E3969,ABBR!C:F,1,FALSE))),"")</f>
        <v/>
      </c>
    </row>
    <row r="3970" spans="1:17" hidden="1" x14ac:dyDescent="0.25">
      <c r="A3970" s="16" t="s">
        <v>447</v>
      </c>
      <c r="B3970" s="17" t="s">
        <v>594</v>
      </c>
      <c r="C3970" s="16" t="s">
        <v>6337</v>
      </c>
      <c r="D3970" s="17" t="s">
        <v>600</v>
      </c>
      <c r="E3970" s="17" t="s">
        <v>601</v>
      </c>
      <c r="F3970" s="18" t="s">
        <v>6338</v>
      </c>
      <c r="G3970" s="49" t="s">
        <v>4081</v>
      </c>
      <c r="H3970" s="17">
        <v>2</v>
      </c>
      <c r="O3970" s="62" t="str">
        <f>IF(E3970="PA",IF(K3970&lt;&gt;"",ISERROR(VLOOKUP(K3970,ABBR!A:D,1,FALSE)),ISERROR(VLOOKUP(C3970,ABBR!A:D,1,FALSE))),"")</f>
        <v/>
      </c>
      <c r="P3970" t="str">
        <f>VLOOKUP(A3970,Groups!A:L,5,FALSE)</f>
        <v>LOCA</v>
      </c>
      <c r="Q3970" s="62" t="str">
        <f>IF(G3970="PA",IF(M3970&lt;&gt;"",ISERROR(VLOOKUP(M3970,ABBR!C:F,1,FALSE)),ISERROR(VLOOKUP(E3970,ABBR!C:F,1,FALSE))),"")</f>
        <v/>
      </c>
    </row>
    <row r="3971" spans="1:17" hidden="1" x14ac:dyDescent="0.25">
      <c r="A3971" s="16" t="s">
        <v>447</v>
      </c>
      <c r="B3971" s="17" t="s">
        <v>594</v>
      </c>
      <c r="C3971" s="16" t="s">
        <v>6339</v>
      </c>
      <c r="D3971" s="17" t="s">
        <v>600</v>
      </c>
      <c r="E3971" s="17" t="s">
        <v>601</v>
      </c>
      <c r="F3971" s="18" t="s">
        <v>6340</v>
      </c>
      <c r="G3971" s="49" t="s">
        <v>6341</v>
      </c>
      <c r="H3971" s="17">
        <v>3</v>
      </c>
      <c r="O3971" s="62" t="str">
        <f>IF(E3971="PA",IF(K3971&lt;&gt;"",ISERROR(VLOOKUP(K3971,ABBR!A:D,1,FALSE)),ISERROR(VLOOKUP(C3971,ABBR!A:D,1,FALSE))),"")</f>
        <v/>
      </c>
      <c r="P3971" t="str">
        <f>VLOOKUP(A3971,Groups!A:L,5,FALSE)</f>
        <v>LOCA</v>
      </c>
      <c r="Q3971" s="62" t="str">
        <f>IF(G3971="PA",IF(M3971&lt;&gt;"",ISERROR(VLOOKUP(M3971,ABBR!C:F,1,FALSE)),ISERROR(VLOOKUP(E3971,ABBR!C:F,1,FALSE))),"")</f>
        <v/>
      </c>
    </row>
    <row r="3972" spans="1:17" hidden="1" x14ac:dyDescent="0.25">
      <c r="A3972" s="16" t="s">
        <v>447</v>
      </c>
      <c r="B3972" s="17"/>
      <c r="C3972" s="16" t="s">
        <v>6342</v>
      </c>
      <c r="D3972" s="17"/>
      <c r="E3972" s="17" t="s">
        <v>618</v>
      </c>
      <c r="F3972" s="18" t="s">
        <v>6343</v>
      </c>
      <c r="G3972" s="49" t="s">
        <v>6344</v>
      </c>
      <c r="H3972" s="17">
        <v>4</v>
      </c>
      <c r="O3972" s="62" t="b">
        <f>IF(E3972="PA",IF(K3972&lt;&gt;"",ISERROR(VLOOKUP(K3972,ABBR!A:D,1,FALSE)),ISERROR(VLOOKUP(C3972,ABBR!A:D,1,FALSE))),"")</f>
        <v>0</v>
      </c>
      <c r="P3972" t="str">
        <f>VLOOKUP(A3972,Groups!A:L,5,FALSE)</f>
        <v>LOCA</v>
      </c>
      <c r="Q3972" s="62" t="str">
        <f>IF(G3972="PA",IF(M3972&lt;&gt;"",ISERROR(VLOOKUP(M3972,ABBR!C:F,1,FALSE)),ISERROR(VLOOKUP(E3972,ABBR!C:F,1,FALSE))),"")</f>
        <v/>
      </c>
    </row>
    <row r="3973" spans="1:17" hidden="1" x14ac:dyDescent="0.25">
      <c r="A3973" s="16" t="s">
        <v>447</v>
      </c>
      <c r="B3973" s="17"/>
      <c r="C3973" s="16" t="s">
        <v>6345</v>
      </c>
      <c r="D3973" s="17"/>
      <c r="E3973" s="17" t="s">
        <v>618</v>
      </c>
      <c r="F3973" s="18" t="s">
        <v>6346</v>
      </c>
      <c r="G3973" s="49" t="s">
        <v>6347</v>
      </c>
      <c r="H3973" s="17">
        <v>5</v>
      </c>
      <c r="O3973" s="62" t="b">
        <f>IF(E3973="PA",IF(K3973&lt;&gt;"",ISERROR(VLOOKUP(K3973,ABBR!A:D,1,FALSE)),ISERROR(VLOOKUP(C3973,ABBR!A:D,1,FALSE))),"")</f>
        <v>0</v>
      </c>
      <c r="P3973" t="str">
        <f>VLOOKUP(A3973,Groups!A:L,5,FALSE)</f>
        <v>LOCA</v>
      </c>
      <c r="Q3973" s="62" t="str">
        <f>IF(G3973="PA",IF(M3973&lt;&gt;"",ISERROR(VLOOKUP(M3973,ABBR!C:F,1,FALSE)),ISERROR(VLOOKUP(E3973,ABBR!C:F,1,FALSE))),"")</f>
        <v/>
      </c>
    </row>
    <row r="3974" spans="1:17" ht="37.5" hidden="1" x14ac:dyDescent="0.25">
      <c r="A3974" s="16" t="s">
        <v>447</v>
      </c>
      <c r="B3974" s="17"/>
      <c r="C3974" s="16" t="s">
        <v>6348</v>
      </c>
      <c r="D3974" s="17"/>
      <c r="E3974" s="17" t="s">
        <v>618</v>
      </c>
      <c r="F3974" s="18" t="s">
        <v>6349</v>
      </c>
      <c r="G3974" s="49" t="s">
        <v>6350</v>
      </c>
      <c r="H3974" s="17">
        <v>6</v>
      </c>
      <c r="J3974" s="62" t="s">
        <v>1279</v>
      </c>
      <c r="K3974" s="62" t="s">
        <v>6351</v>
      </c>
      <c r="L3974" s="62"/>
      <c r="M3974" s="62"/>
      <c r="N3974" s="62"/>
      <c r="O3974" s="62" t="b">
        <f>IF(E3974="PA",IF(K3974&lt;&gt;"",ISERROR(VLOOKUP(K3974,ABBR!A:D,1,FALSE)),ISERROR(VLOOKUP(C3974,ABBR!A:D,1,FALSE))),"")</f>
        <v>0</v>
      </c>
      <c r="P3974" t="str">
        <f>VLOOKUP(A3974,Groups!A:L,5,FALSE)</f>
        <v>LOCA</v>
      </c>
      <c r="Q3974" s="62" t="str">
        <f>IF(G3974="PA",IF(M3974&lt;&gt;"",ISERROR(VLOOKUP(M3974,ABBR!C:F,1,FALSE)),ISERROR(VLOOKUP(E3974,ABBR!C:F,1,FALSE))),"")</f>
        <v/>
      </c>
    </row>
    <row r="3975" spans="1:17" hidden="1" x14ac:dyDescent="0.25">
      <c r="A3975" s="16" t="s">
        <v>447</v>
      </c>
      <c r="B3975" s="17"/>
      <c r="C3975" s="16" t="s">
        <v>6352</v>
      </c>
      <c r="D3975" s="17"/>
      <c r="E3975" s="17" t="s">
        <v>608</v>
      </c>
      <c r="F3975" s="18" t="s">
        <v>642</v>
      </c>
      <c r="G3975" s="49" t="s">
        <v>16</v>
      </c>
      <c r="H3975" s="17">
        <v>7</v>
      </c>
      <c r="M3975" s="101"/>
      <c r="O3975" s="62" t="str">
        <f>IF(E3975="PA",IF(K3975&lt;&gt;"",ISERROR(VLOOKUP(K3975,ABBR!A:D,1,FALSE)),ISERROR(VLOOKUP(C3975,ABBR!A:D,1,FALSE))),"")</f>
        <v/>
      </c>
      <c r="P3975" t="str">
        <f>VLOOKUP(A3975,Groups!A:L,5,FALSE)</f>
        <v>LOCA</v>
      </c>
      <c r="Q3975" s="62" t="str">
        <f>IF(G3975="PA",IF(M3975&lt;&gt;"",ISERROR(VLOOKUP(M3975,ABBR!C:F,1,FALSE)),ISERROR(VLOOKUP(E3975,ABBR!C:F,1,FALSE))),"")</f>
        <v/>
      </c>
    </row>
    <row r="3976" spans="1:17" hidden="1" x14ac:dyDescent="0.25">
      <c r="A3976" s="16" t="s">
        <v>447</v>
      </c>
      <c r="B3976" s="17"/>
      <c r="C3976" s="16" t="s">
        <v>643</v>
      </c>
      <c r="D3976" s="17"/>
      <c r="E3976" s="17" t="s">
        <v>608</v>
      </c>
      <c r="F3976" s="18" t="s">
        <v>6353</v>
      </c>
      <c r="G3976" s="49" t="s">
        <v>645</v>
      </c>
      <c r="H3976" s="17">
        <v>8</v>
      </c>
      <c r="O3976" s="62" t="str">
        <f>IF(E3976="PA",IF(K3976&lt;&gt;"",ISERROR(VLOOKUP(K3976,ABBR!A:D,1,FALSE)),ISERROR(VLOOKUP(C3976,ABBR!A:D,1,FALSE))),"")</f>
        <v/>
      </c>
      <c r="P3976" t="str">
        <f>VLOOKUP(A3976,Groups!A:L,5,FALSE)</f>
        <v>LOCA</v>
      </c>
      <c r="Q3976" s="62" t="str">
        <f>IF(G3976="PA",IF(M3976&lt;&gt;"",ISERROR(VLOOKUP(M3976,ABBR!C:F,1,FALSE)),ISERROR(VLOOKUP(E3976,ABBR!C:F,1,FALSE))),"")</f>
        <v/>
      </c>
    </row>
    <row r="3977" spans="1:17" hidden="1" x14ac:dyDescent="0.25">
      <c r="A3977" s="16" t="s">
        <v>447</v>
      </c>
      <c r="B3977" s="17"/>
      <c r="C3977" s="16" t="s">
        <v>6354</v>
      </c>
      <c r="D3977" s="17"/>
      <c r="E3977" s="17" t="s">
        <v>618</v>
      </c>
      <c r="F3977" s="18" t="s">
        <v>4983</v>
      </c>
      <c r="G3977" s="49" t="s">
        <v>718</v>
      </c>
      <c r="H3977" s="17">
        <v>9</v>
      </c>
      <c r="J3977" s="62" t="s">
        <v>473</v>
      </c>
      <c r="K3977" s="62" t="s">
        <v>2895</v>
      </c>
      <c r="L3977" s="62"/>
      <c r="M3977" s="62"/>
      <c r="N3977" s="62"/>
      <c r="O3977" s="62" t="b">
        <f>IF(E3977="PA",IF(K3977&lt;&gt;"",ISERROR(VLOOKUP(K3977,ABBR!A:D,1,FALSE)),ISERROR(VLOOKUP(C3977,ABBR!A:D,1,FALSE))),"")</f>
        <v>0</v>
      </c>
      <c r="P3977" t="str">
        <f>VLOOKUP(A3977,Groups!A:L,5,FALSE)</f>
        <v>LOCA</v>
      </c>
      <c r="Q3977" s="62" t="str">
        <f>IF(G3977="PA",IF(M3977&lt;&gt;"",ISERROR(VLOOKUP(M3977,ABBR!C:F,1,FALSE)),ISERROR(VLOOKUP(E3977,ABBR!C:F,1,FALSE))),"")</f>
        <v/>
      </c>
    </row>
    <row r="3978" spans="1:17" ht="25" hidden="1" x14ac:dyDescent="0.25">
      <c r="A3978" s="16" t="s">
        <v>447</v>
      </c>
      <c r="B3978" s="17"/>
      <c r="C3978" s="16" t="s">
        <v>6355</v>
      </c>
      <c r="D3978" s="17"/>
      <c r="E3978" s="17" t="s">
        <v>618</v>
      </c>
      <c r="F3978" s="18" t="s">
        <v>6356</v>
      </c>
      <c r="G3978" s="49" t="s">
        <v>6357</v>
      </c>
      <c r="H3978" s="17">
        <v>10</v>
      </c>
      <c r="J3978" s="62" t="s">
        <v>473</v>
      </c>
      <c r="K3978" s="62" t="s">
        <v>6351</v>
      </c>
      <c r="L3978" s="62"/>
      <c r="M3978" s="62"/>
      <c r="N3978" s="62"/>
      <c r="O3978" s="62" t="b">
        <f>IF(E3978="PA",IF(K3978&lt;&gt;"",ISERROR(VLOOKUP(K3978,ABBR!A:D,1,FALSE)),ISERROR(VLOOKUP(C3978,ABBR!A:D,1,FALSE))),"")</f>
        <v>0</v>
      </c>
      <c r="P3978" t="str">
        <f>VLOOKUP(A3978,Groups!A:L,5,FALSE)</f>
        <v>LOCA</v>
      </c>
      <c r="Q3978" s="62" t="str">
        <f>IF(G3978="PA",IF(M3978&lt;&gt;"",ISERROR(VLOOKUP(M3978,ABBR!C:F,1,FALSE)),ISERROR(VLOOKUP(E3978,ABBR!C:F,1,FALSE))),"")</f>
        <v/>
      </c>
    </row>
    <row r="3979" spans="1:17" hidden="1" x14ac:dyDescent="0.25">
      <c r="A3979" s="16" t="s">
        <v>452</v>
      </c>
      <c r="B3979" s="17" t="s">
        <v>594</v>
      </c>
      <c r="C3979" s="16" t="s">
        <v>595</v>
      </c>
      <c r="D3979" s="17"/>
      <c r="E3979" s="17" t="s">
        <v>596</v>
      </c>
      <c r="F3979" s="18" t="s">
        <v>597</v>
      </c>
      <c r="G3979" s="49" t="s">
        <v>598</v>
      </c>
      <c r="H3979" s="17">
        <v>1</v>
      </c>
      <c r="I3979" s="30" t="s">
        <v>955</v>
      </c>
      <c r="J3979" s="80">
        <v>4.0999999999999996</v>
      </c>
      <c r="O3979" s="62" t="str">
        <f>IF(E3979="PA",IF(K3979&lt;&gt;"",ISERROR(VLOOKUP(K3979,ABBR!A:D,1,FALSE)),ISERROR(VLOOKUP(C3979,ABBR!A:D,1,FALSE))),"")</f>
        <v/>
      </c>
      <c r="P3979" t="str">
        <f>VLOOKUP(A3979,Groups!A:L,5,FALSE)</f>
        <v>LOCA</v>
      </c>
      <c r="Q3979" s="62" t="str">
        <f>IF(G3979="PA",IF(M3979&lt;&gt;"",ISERROR(VLOOKUP(M3979,ABBR!C:F,1,FALSE)),ISERROR(VLOOKUP(E3979,ABBR!C:F,1,FALSE))),"")</f>
        <v/>
      </c>
    </row>
    <row r="3980" spans="1:17" hidden="1" x14ac:dyDescent="0.25">
      <c r="A3980" s="16" t="s">
        <v>452</v>
      </c>
      <c r="B3980" s="17" t="s">
        <v>594</v>
      </c>
      <c r="C3980" s="16" t="s">
        <v>6358</v>
      </c>
      <c r="D3980" s="17"/>
      <c r="E3980" s="17" t="s">
        <v>608</v>
      </c>
      <c r="F3980" s="18" t="s">
        <v>1323</v>
      </c>
      <c r="G3980" s="49" t="s">
        <v>6359</v>
      </c>
      <c r="H3980" s="17">
        <v>2</v>
      </c>
      <c r="I3980" s="30" t="s">
        <v>955</v>
      </c>
      <c r="J3980" s="80">
        <v>4.0999999999999996</v>
      </c>
      <c r="O3980" s="62" t="str">
        <f>IF(E3980="PA",IF(K3980&lt;&gt;"",ISERROR(VLOOKUP(K3980,ABBR!A:D,1,FALSE)),ISERROR(VLOOKUP(C3980,ABBR!A:D,1,FALSE))),"")</f>
        <v/>
      </c>
      <c r="P3980" t="str">
        <f>VLOOKUP(A3980,Groups!A:L,5,FALSE)</f>
        <v>LOCA</v>
      </c>
      <c r="Q3980" s="62" t="str">
        <f>IF(G3980="PA",IF(M3980&lt;&gt;"",ISERROR(VLOOKUP(M3980,ABBR!C:F,1,FALSE)),ISERROR(VLOOKUP(E3980,ABBR!C:F,1,FALSE))),"")</f>
        <v/>
      </c>
    </row>
    <row r="3981" spans="1:17" hidden="1" x14ac:dyDescent="0.25">
      <c r="A3981" s="16" t="s">
        <v>452</v>
      </c>
      <c r="B3981" s="17" t="s">
        <v>594</v>
      </c>
      <c r="C3981" s="16" t="s">
        <v>6360</v>
      </c>
      <c r="D3981" s="17"/>
      <c r="E3981" s="17" t="s">
        <v>618</v>
      </c>
      <c r="F3981" s="18" t="s">
        <v>6361</v>
      </c>
      <c r="G3981" s="49" t="s">
        <v>6362</v>
      </c>
      <c r="H3981" s="17">
        <v>3</v>
      </c>
      <c r="I3981" s="30" t="s">
        <v>955</v>
      </c>
      <c r="J3981" s="80">
        <v>4.0999999999999996</v>
      </c>
      <c r="O3981" s="62" t="b">
        <f>IF(E3981="PA",IF(K3981&lt;&gt;"",ISERROR(VLOOKUP(K3981,ABBR!A:D,1,FALSE)),ISERROR(VLOOKUP(C3981,ABBR!A:D,1,FALSE))),"")</f>
        <v>0</v>
      </c>
      <c r="P3981" t="str">
        <f>VLOOKUP(A3981,Groups!A:L,5,FALSE)</f>
        <v>LOCA</v>
      </c>
      <c r="Q3981" s="62" t="str">
        <f>IF(G3981="PA",IF(M3981&lt;&gt;"",ISERROR(VLOOKUP(M3981,ABBR!C:F,1,FALSE)),ISERROR(VLOOKUP(E3981,ABBR!C:F,1,FALSE))),"")</f>
        <v/>
      </c>
    </row>
    <row r="3982" spans="1:17" hidden="1" x14ac:dyDescent="0.25">
      <c r="A3982" s="16" t="s">
        <v>452</v>
      </c>
      <c r="B3982" s="17"/>
      <c r="C3982" s="16" t="s">
        <v>6363</v>
      </c>
      <c r="D3982" s="17" t="s">
        <v>924</v>
      </c>
      <c r="E3982" s="17" t="s">
        <v>925</v>
      </c>
      <c r="F3982" s="18" t="s">
        <v>1922</v>
      </c>
      <c r="G3982" s="49" t="s">
        <v>6364</v>
      </c>
      <c r="H3982" s="17">
        <v>4</v>
      </c>
      <c r="I3982" s="30" t="s">
        <v>955</v>
      </c>
      <c r="J3982" s="80">
        <v>4.0999999999999996</v>
      </c>
      <c r="O3982" s="62" t="str">
        <f>IF(E3982="PA",IF(K3982&lt;&gt;"",ISERROR(VLOOKUP(K3982,ABBR!A:D,1,FALSE)),ISERROR(VLOOKUP(C3982,ABBR!A:D,1,FALSE))),"")</f>
        <v/>
      </c>
      <c r="P3982" t="str">
        <f>VLOOKUP(A3982,Groups!A:L,5,FALSE)</f>
        <v>LOCA</v>
      </c>
      <c r="Q3982" s="62" t="str">
        <f>IF(G3982="PA",IF(M3982&lt;&gt;"",ISERROR(VLOOKUP(M3982,ABBR!C:F,1,FALSE)),ISERROR(VLOOKUP(E3982,ABBR!C:F,1,FALSE))),"")</f>
        <v/>
      </c>
    </row>
    <row r="3983" spans="1:17" hidden="1" x14ac:dyDescent="0.25">
      <c r="A3983" s="16" t="s">
        <v>452</v>
      </c>
      <c r="B3983" s="17"/>
      <c r="C3983" s="16" t="s">
        <v>6365</v>
      </c>
      <c r="D3983" s="17" t="s">
        <v>600</v>
      </c>
      <c r="E3983" s="17" t="s">
        <v>601</v>
      </c>
      <c r="F3983" s="18" t="s">
        <v>6366</v>
      </c>
      <c r="G3983" s="49" t="s">
        <v>6367</v>
      </c>
      <c r="H3983" s="17">
        <v>5</v>
      </c>
      <c r="I3983" s="30" t="s">
        <v>955</v>
      </c>
      <c r="J3983" s="80">
        <v>4.0999999999999996</v>
      </c>
      <c r="O3983" s="62" t="str">
        <f>IF(E3983="PA",IF(K3983&lt;&gt;"",ISERROR(VLOOKUP(K3983,ABBR!A:D,1,FALSE)),ISERROR(VLOOKUP(C3983,ABBR!A:D,1,FALSE))),"")</f>
        <v/>
      </c>
      <c r="P3983" t="str">
        <f>VLOOKUP(A3983,Groups!A:L,5,FALSE)</f>
        <v>LOCA</v>
      </c>
      <c r="Q3983" s="62" t="str">
        <f>IF(G3983="PA",IF(M3983&lt;&gt;"",ISERROR(VLOOKUP(M3983,ABBR!C:F,1,FALSE)),ISERROR(VLOOKUP(E3983,ABBR!C:F,1,FALSE))),"")</f>
        <v/>
      </c>
    </row>
    <row r="3984" spans="1:17" hidden="1" x14ac:dyDescent="0.25">
      <c r="A3984" s="16" t="s">
        <v>452</v>
      </c>
      <c r="B3984" s="17"/>
      <c r="C3984" s="16" t="s">
        <v>6368</v>
      </c>
      <c r="D3984" s="17" t="s">
        <v>600</v>
      </c>
      <c r="E3984" s="17" t="s">
        <v>601</v>
      </c>
      <c r="F3984" s="18" t="s">
        <v>6369</v>
      </c>
      <c r="G3984" s="49" t="s">
        <v>6370</v>
      </c>
      <c r="H3984" s="17">
        <v>6</v>
      </c>
      <c r="I3984" s="30" t="s">
        <v>955</v>
      </c>
      <c r="J3984" s="80">
        <v>4.0999999999999996</v>
      </c>
      <c r="O3984" s="62" t="str">
        <f>IF(E3984="PA",IF(K3984&lt;&gt;"",ISERROR(VLOOKUP(K3984,ABBR!A:D,1,FALSE)),ISERROR(VLOOKUP(C3984,ABBR!A:D,1,FALSE))),"")</f>
        <v/>
      </c>
      <c r="P3984" t="str">
        <f>VLOOKUP(A3984,Groups!A:L,5,FALSE)</f>
        <v>LOCA</v>
      </c>
      <c r="Q3984" s="62" t="str">
        <f>IF(G3984="PA",IF(M3984&lt;&gt;"",ISERROR(VLOOKUP(M3984,ABBR!C:F,1,FALSE)),ISERROR(VLOOKUP(E3984,ABBR!C:F,1,FALSE))),"")</f>
        <v/>
      </c>
    </row>
    <row r="3985" spans="1:17" hidden="1" x14ac:dyDescent="0.25">
      <c r="A3985" s="16" t="s">
        <v>452</v>
      </c>
      <c r="B3985" s="17"/>
      <c r="C3985" s="16" t="s">
        <v>6371</v>
      </c>
      <c r="D3985" s="17" t="s">
        <v>600</v>
      </c>
      <c r="E3985" s="17" t="s">
        <v>601</v>
      </c>
      <c r="F3985" s="18" t="s">
        <v>6372</v>
      </c>
      <c r="G3985" s="49" t="s">
        <v>6373</v>
      </c>
      <c r="H3985" s="17">
        <v>7</v>
      </c>
      <c r="I3985" s="30" t="s">
        <v>955</v>
      </c>
      <c r="J3985" s="80">
        <v>4.0999999999999996</v>
      </c>
      <c r="O3985" s="62" t="str">
        <f>IF(E3985="PA",IF(K3985&lt;&gt;"",ISERROR(VLOOKUP(K3985,ABBR!A:D,1,FALSE)),ISERROR(VLOOKUP(C3985,ABBR!A:D,1,FALSE))),"")</f>
        <v/>
      </c>
      <c r="P3985" t="str">
        <f>VLOOKUP(A3985,Groups!A:L,5,FALSE)</f>
        <v>LOCA</v>
      </c>
      <c r="Q3985" s="62" t="str">
        <f>IF(G3985="PA",IF(M3985&lt;&gt;"",ISERROR(VLOOKUP(M3985,ABBR!C:F,1,FALSE)),ISERROR(VLOOKUP(E3985,ABBR!C:F,1,FALSE))),"")</f>
        <v/>
      </c>
    </row>
    <row r="3986" spans="1:17" hidden="1" x14ac:dyDescent="0.25">
      <c r="A3986" s="38" t="s">
        <v>452</v>
      </c>
      <c r="B3986" s="17"/>
      <c r="C3986" s="16" t="s">
        <v>6374</v>
      </c>
      <c r="D3986" s="17" t="s">
        <v>600</v>
      </c>
      <c r="E3986" s="17" t="s">
        <v>1391</v>
      </c>
      <c r="F3986" s="18" t="s">
        <v>6375</v>
      </c>
      <c r="G3986" s="49" t="s">
        <v>6376</v>
      </c>
      <c r="H3986" s="17">
        <v>8</v>
      </c>
      <c r="I3986" s="30" t="s">
        <v>955</v>
      </c>
      <c r="J3986" s="80">
        <v>4.0999999999999996</v>
      </c>
      <c r="O3986" s="62" t="str">
        <f>IF(E3986="PA",IF(K3986&lt;&gt;"",ISERROR(VLOOKUP(K3986,ABBR!A:D,1,FALSE)),ISERROR(VLOOKUP(C3986,ABBR!A:D,1,FALSE))),"")</f>
        <v/>
      </c>
      <c r="P3986" t="str">
        <f>VLOOKUP(A3986,Groups!A:L,5,FALSE)</f>
        <v>LOCA</v>
      </c>
      <c r="Q3986" s="62" t="str">
        <f>IF(G3986="PA",IF(M3986&lt;&gt;"",ISERROR(VLOOKUP(M3986,ABBR!C:F,1,FALSE)),ISERROR(VLOOKUP(E3986,ABBR!C:F,1,FALSE))),"")</f>
        <v/>
      </c>
    </row>
    <row r="3987" spans="1:17" hidden="1" x14ac:dyDescent="0.25">
      <c r="A3987" s="38" t="s">
        <v>452</v>
      </c>
      <c r="B3987" s="17"/>
      <c r="C3987" s="16" t="s">
        <v>6377</v>
      </c>
      <c r="D3987" s="17"/>
      <c r="E3987" s="17" t="s">
        <v>608</v>
      </c>
      <c r="F3987" s="18" t="s">
        <v>2716</v>
      </c>
      <c r="G3987" s="49"/>
      <c r="H3987" s="17">
        <v>9</v>
      </c>
      <c r="I3987" s="30" t="s">
        <v>955</v>
      </c>
      <c r="J3987" s="80">
        <v>4.0999999999999996</v>
      </c>
      <c r="M3987" s="101" t="s">
        <v>1044</v>
      </c>
      <c r="O3987" s="62" t="str">
        <f>IF(E3987="PA",IF(K3987&lt;&gt;"",ISERROR(VLOOKUP(K3987,ABBR!A:D,1,FALSE)),ISERROR(VLOOKUP(C3987,ABBR!A:D,1,FALSE))),"")</f>
        <v/>
      </c>
      <c r="P3987" t="str">
        <f>VLOOKUP(A3987,Groups!A:L,5,FALSE)</f>
        <v>LOCA</v>
      </c>
      <c r="Q3987" s="62" t="str">
        <f>IF(G3987="PA",IF(M3987&lt;&gt;"",ISERROR(VLOOKUP(M3987,ABBR!C:F,1,FALSE)),ISERROR(VLOOKUP(E3987,ABBR!C:F,1,FALSE))),"")</f>
        <v/>
      </c>
    </row>
    <row r="3988" spans="1:17" hidden="1" x14ac:dyDescent="0.25">
      <c r="A3988" s="38" t="s">
        <v>452</v>
      </c>
      <c r="B3988" s="17"/>
      <c r="C3988" s="16" t="s">
        <v>6378</v>
      </c>
      <c r="D3988" s="17"/>
      <c r="E3988" s="17" t="s">
        <v>859</v>
      </c>
      <c r="F3988" s="18" t="s">
        <v>4468</v>
      </c>
      <c r="G3988" s="49"/>
      <c r="H3988" s="17">
        <v>10</v>
      </c>
      <c r="I3988" s="30" t="s">
        <v>955</v>
      </c>
      <c r="J3988" s="80">
        <v>4.0999999999999996</v>
      </c>
      <c r="M3988" s="101" t="s">
        <v>1044</v>
      </c>
      <c r="O3988" s="62" t="str">
        <f>IF(E3988="PA",IF(K3988&lt;&gt;"",ISERROR(VLOOKUP(K3988,ABBR!A:D,1,FALSE)),ISERROR(VLOOKUP(C3988,ABBR!A:D,1,FALSE))),"")</f>
        <v/>
      </c>
      <c r="P3988" t="str">
        <f>VLOOKUP(A3988,Groups!A:L,5,FALSE)</f>
        <v>LOCA</v>
      </c>
      <c r="Q3988" s="62" t="str">
        <f>IF(G3988="PA",IF(M3988&lt;&gt;"",ISERROR(VLOOKUP(M3988,ABBR!C:F,1,FALSE)),ISERROR(VLOOKUP(E3988,ABBR!C:F,1,FALSE))),"")</f>
        <v/>
      </c>
    </row>
    <row r="3989" spans="1:17" ht="25" hidden="1" x14ac:dyDescent="0.25">
      <c r="A3989" s="38" t="s">
        <v>452</v>
      </c>
      <c r="B3989" s="17"/>
      <c r="C3989" s="16" t="s">
        <v>6379</v>
      </c>
      <c r="D3989" s="17"/>
      <c r="E3989" s="17" t="s">
        <v>859</v>
      </c>
      <c r="F3989" s="18" t="s">
        <v>6380</v>
      </c>
      <c r="G3989" s="49"/>
      <c r="H3989" s="17">
        <v>11</v>
      </c>
      <c r="I3989" s="30" t="s">
        <v>955</v>
      </c>
      <c r="J3989" s="80">
        <v>4.0999999999999996</v>
      </c>
      <c r="M3989" s="101" t="s">
        <v>1044</v>
      </c>
      <c r="O3989" s="62" t="str">
        <f>IF(E3989="PA",IF(K3989&lt;&gt;"",ISERROR(VLOOKUP(K3989,ABBR!A:D,1,FALSE)),ISERROR(VLOOKUP(C3989,ABBR!A:D,1,FALSE))),"")</f>
        <v/>
      </c>
      <c r="P3989" t="str">
        <f>VLOOKUP(A3989,Groups!A:L,5,FALSE)</f>
        <v>LOCA</v>
      </c>
      <c r="Q3989" s="62" t="str">
        <f>IF(G3989="PA",IF(M3989&lt;&gt;"",ISERROR(VLOOKUP(M3989,ABBR!C:F,1,FALSE)),ISERROR(VLOOKUP(E3989,ABBR!C:F,1,FALSE))),"")</f>
        <v/>
      </c>
    </row>
    <row r="3990" spans="1:17" ht="37.5" hidden="1" x14ac:dyDescent="0.25">
      <c r="A3990" s="38" t="s">
        <v>452</v>
      </c>
      <c r="B3990" s="17"/>
      <c r="C3990" s="16" t="s">
        <v>6381</v>
      </c>
      <c r="D3990" s="17"/>
      <c r="E3990" s="17" t="s">
        <v>608</v>
      </c>
      <c r="F3990" s="18" t="s">
        <v>6382</v>
      </c>
      <c r="G3990" s="49" t="s">
        <v>6383</v>
      </c>
      <c r="H3990" s="17">
        <v>12</v>
      </c>
      <c r="I3990" s="30" t="s">
        <v>955</v>
      </c>
      <c r="J3990" s="80">
        <v>4.0999999999999996</v>
      </c>
      <c r="O3990" s="62" t="str">
        <f>IF(E3990="PA",IF(K3990&lt;&gt;"",ISERROR(VLOOKUP(K3990,ABBR!A:D,1,FALSE)),ISERROR(VLOOKUP(C3990,ABBR!A:D,1,FALSE))),"")</f>
        <v/>
      </c>
      <c r="P3990" t="str">
        <f>VLOOKUP(A3990,Groups!A:L,5,FALSE)</f>
        <v>LOCA</v>
      </c>
      <c r="Q3990" s="62" t="str">
        <f>IF(G3990="PA",IF(M3990&lt;&gt;"",ISERROR(VLOOKUP(M3990,ABBR!C:F,1,FALSE)),ISERROR(VLOOKUP(E3990,ABBR!C:F,1,FALSE))),"")</f>
        <v/>
      </c>
    </row>
    <row r="3991" spans="1:17" hidden="1" x14ac:dyDescent="0.25">
      <c r="A3991" s="38" t="s">
        <v>452</v>
      </c>
      <c r="B3991" s="17"/>
      <c r="C3991" s="16" t="s">
        <v>6384</v>
      </c>
      <c r="D3991" s="17"/>
      <c r="E3991" s="17" t="s">
        <v>608</v>
      </c>
      <c r="F3991" s="18" t="s">
        <v>642</v>
      </c>
      <c r="G3991" s="49" t="s">
        <v>16</v>
      </c>
      <c r="H3991" s="17">
        <v>13</v>
      </c>
      <c r="I3991" s="30" t="s">
        <v>955</v>
      </c>
      <c r="J3991" s="80">
        <v>4.0999999999999996</v>
      </c>
      <c r="M3991" s="101"/>
      <c r="O3991" s="62" t="str">
        <f>IF(E3991="PA",IF(K3991&lt;&gt;"",ISERROR(VLOOKUP(K3991,ABBR!A:D,1,FALSE)),ISERROR(VLOOKUP(C3991,ABBR!A:D,1,FALSE))),"")</f>
        <v/>
      </c>
      <c r="P3991" t="str">
        <f>VLOOKUP(A3991,Groups!A:L,5,FALSE)</f>
        <v>LOCA</v>
      </c>
      <c r="Q3991" s="62" t="str">
        <f>IF(G3991="PA",IF(M3991&lt;&gt;"",ISERROR(VLOOKUP(M3991,ABBR!C:F,1,FALSE)),ISERROR(VLOOKUP(E3991,ABBR!C:F,1,FALSE))),"")</f>
        <v/>
      </c>
    </row>
    <row r="3992" spans="1:17" ht="25" hidden="1" x14ac:dyDescent="0.25">
      <c r="A3992" s="38" t="s">
        <v>452</v>
      </c>
      <c r="B3992" s="17"/>
      <c r="C3992" s="16" t="s">
        <v>6385</v>
      </c>
      <c r="D3992" s="17"/>
      <c r="E3992" s="17" t="s">
        <v>608</v>
      </c>
      <c r="F3992" s="18" t="s">
        <v>1938</v>
      </c>
      <c r="G3992" s="49"/>
      <c r="H3992" s="17">
        <v>14</v>
      </c>
      <c r="I3992" s="30" t="s">
        <v>955</v>
      </c>
      <c r="J3992" s="80">
        <v>4.0999999999999996</v>
      </c>
      <c r="M3992" s="101" t="s">
        <v>1044</v>
      </c>
      <c r="O3992" s="62" t="str">
        <f>IF(E3992="PA",IF(K3992&lt;&gt;"",ISERROR(VLOOKUP(K3992,ABBR!A:D,1,FALSE)),ISERROR(VLOOKUP(C3992,ABBR!A:D,1,FALSE))),"")</f>
        <v/>
      </c>
      <c r="P3992" t="str">
        <f>VLOOKUP(A3992,Groups!A:L,5,FALSE)</f>
        <v>LOCA</v>
      </c>
      <c r="Q3992" s="62" t="str">
        <f>IF(G3992="PA",IF(M3992&lt;&gt;"",ISERROR(VLOOKUP(M3992,ABBR!C:F,1,FALSE)),ISERROR(VLOOKUP(E3992,ABBR!C:F,1,FALSE))),"")</f>
        <v/>
      </c>
    </row>
    <row r="3993" spans="1:17" hidden="1" x14ac:dyDescent="0.25">
      <c r="A3993" s="38" t="s">
        <v>452</v>
      </c>
      <c r="B3993" s="17"/>
      <c r="C3993" s="16" t="s">
        <v>6386</v>
      </c>
      <c r="D3993" s="17"/>
      <c r="E3993" s="17" t="s">
        <v>608</v>
      </c>
      <c r="F3993" s="18" t="s">
        <v>4466</v>
      </c>
      <c r="G3993" s="49"/>
      <c r="H3993" s="17">
        <v>15</v>
      </c>
      <c r="I3993" s="30" t="s">
        <v>955</v>
      </c>
      <c r="J3993" s="80">
        <v>4.0999999999999996</v>
      </c>
      <c r="M3993" s="101" t="s">
        <v>1044</v>
      </c>
      <c r="O3993" s="62" t="str">
        <f>IF(E3993="PA",IF(K3993&lt;&gt;"",ISERROR(VLOOKUP(K3993,ABBR!A:D,1,FALSE)),ISERROR(VLOOKUP(C3993,ABBR!A:D,1,FALSE))),"")</f>
        <v/>
      </c>
      <c r="P3993" t="str">
        <f>VLOOKUP(A3993,Groups!A:L,5,FALSE)</f>
        <v>LOCA</v>
      </c>
      <c r="Q3993" s="62" t="str">
        <f>IF(G3993="PA",IF(M3993&lt;&gt;"",ISERROR(VLOOKUP(M3993,ABBR!C:F,1,FALSE)),ISERROR(VLOOKUP(E3993,ABBR!C:F,1,FALSE))),"")</f>
        <v/>
      </c>
    </row>
    <row r="3994" spans="1:17" hidden="1" x14ac:dyDescent="0.25">
      <c r="A3994" s="38" t="s">
        <v>452</v>
      </c>
      <c r="B3994" s="17"/>
      <c r="C3994" s="16" t="s">
        <v>6387</v>
      </c>
      <c r="D3994" s="17"/>
      <c r="E3994" s="17" t="s">
        <v>608</v>
      </c>
      <c r="F3994" s="18" t="s">
        <v>6388</v>
      </c>
      <c r="G3994" s="49" t="s">
        <v>4527</v>
      </c>
      <c r="H3994" s="17">
        <v>16</v>
      </c>
      <c r="I3994" s="30" t="s">
        <v>955</v>
      </c>
      <c r="J3994" s="80">
        <v>4.0999999999999996</v>
      </c>
      <c r="O3994" s="62" t="str">
        <f>IF(E3994="PA",IF(K3994&lt;&gt;"",ISERROR(VLOOKUP(K3994,ABBR!A:D,1,FALSE)),ISERROR(VLOOKUP(C3994,ABBR!A:D,1,FALSE))),"")</f>
        <v/>
      </c>
      <c r="P3994" t="str">
        <f>VLOOKUP(A3994,Groups!A:L,5,FALSE)</f>
        <v>LOCA</v>
      </c>
      <c r="Q3994" s="62" t="str">
        <f>IF(G3994="PA",IF(M3994&lt;&gt;"",ISERROR(VLOOKUP(M3994,ABBR!C:F,1,FALSE)),ISERROR(VLOOKUP(E3994,ABBR!C:F,1,FALSE))),"")</f>
        <v/>
      </c>
    </row>
    <row r="3995" spans="1:17" ht="25" hidden="1" x14ac:dyDescent="0.25">
      <c r="A3995" s="38" t="s">
        <v>452</v>
      </c>
      <c r="B3995" s="17"/>
      <c r="C3995" s="16" t="s">
        <v>6389</v>
      </c>
      <c r="D3995" s="17"/>
      <c r="E3995" s="17" t="s">
        <v>608</v>
      </c>
      <c r="F3995" s="18" t="s">
        <v>6390</v>
      </c>
      <c r="G3995" s="49"/>
      <c r="H3995" s="17">
        <v>17</v>
      </c>
      <c r="I3995" s="30" t="s">
        <v>955</v>
      </c>
      <c r="J3995" s="80">
        <v>4.0999999999999996</v>
      </c>
      <c r="M3995" s="101" t="s">
        <v>1044</v>
      </c>
      <c r="O3995" s="62" t="str">
        <f>IF(E3995="PA",IF(K3995&lt;&gt;"",ISERROR(VLOOKUP(K3995,ABBR!A:D,1,FALSE)),ISERROR(VLOOKUP(C3995,ABBR!A:D,1,FALSE))),"")</f>
        <v/>
      </c>
      <c r="P3995" t="str">
        <f>VLOOKUP(A3995,Groups!A:L,5,FALSE)</f>
        <v>LOCA</v>
      </c>
      <c r="Q3995" s="62" t="str">
        <f>IF(G3995="PA",IF(M3995&lt;&gt;"",ISERROR(VLOOKUP(M3995,ABBR!C:F,1,FALSE)),ISERROR(VLOOKUP(E3995,ABBR!C:F,1,FALSE))),"")</f>
        <v/>
      </c>
    </row>
    <row r="3996" spans="1:17" hidden="1" x14ac:dyDescent="0.25">
      <c r="A3996" s="38" t="s">
        <v>452</v>
      </c>
      <c r="B3996" s="17"/>
      <c r="C3996" s="16" t="s">
        <v>6391</v>
      </c>
      <c r="D3996" s="17"/>
      <c r="E3996" s="17" t="s">
        <v>608</v>
      </c>
      <c r="F3996" s="18" t="s">
        <v>937</v>
      </c>
      <c r="G3996" s="49" t="s">
        <v>938</v>
      </c>
      <c r="H3996" s="17">
        <v>18</v>
      </c>
      <c r="I3996" s="30" t="s">
        <v>955</v>
      </c>
      <c r="J3996" s="80">
        <v>4.0999999999999996</v>
      </c>
      <c r="O3996" s="62" t="str">
        <f>IF(E3996="PA",IF(K3996&lt;&gt;"",ISERROR(VLOOKUP(K3996,ABBR!A:D,1,FALSE)),ISERROR(VLOOKUP(C3996,ABBR!A:D,1,FALSE))),"")</f>
        <v/>
      </c>
      <c r="P3996" t="str">
        <f>VLOOKUP(A3996,Groups!A:L,5,FALSE)</f>
        <v>LOCA</v>
      </c>
      <c r="Q3996" s="62" t="str">
        <f>IF(G3996="PA",IF(M3996&lt;&gt;"",ISERROR(VLOOKUP(M3996,ABBR!C:F,1,FALSE)),ISERROR(VLOOKUP(E3996,ABBR!C:F,1,FALSE))),"")</f>
        <v/>
      </c>
    </row>
    <row r="3997" spans="1:17" hidden="1" x14ac:dyDescent="0.25">
      <c r="A3997" s="38" t="s">
        <v>452</v>
      </c>
      <c r="B3997" s="17"/>
      <c r="C3997" s="16" t="s">
        <v>643</v>
      </c>
      <c r="D3997" s="17"/>
      <c r="E3997" s="17" t="s">
        <v>608</v>
      </c>
      <c r="F3997" s="18" t="s">
        <v>1294</v>
      </c>
      <c r="G3997" s="49" t="s">
        <v>6392</v>
      </c>
      <c r="H3997" s="17">
        <v>19</v>
      </c>
      <c r="I3997" s="30" t="s">
        <v>955</v>
      </c>
      <c r="J3997" s="80">
        <v>4.0999999999999996</v>
      </c>
      <c r="O3997" s="62" t="str">
        <f>IF(E3997="PA",IF(K3997&lt;&gt;"",ISERROR(VLOOKUP(K3997,ABBR!A:D,1,FALSE)),ISERROR(VLOOKUP(C3997,ABBR!A:D,1,FALSE))),"")</f>
        <v/>
      </c>
      <c r="P3997" t="str">
        <f>VLOOKUP(A3997,Groups!A:L,5,FALSE)</f>
        <v>LOCA</v>
      </c>
      <c r="Q3997" s="62" t="str">
        <f>IF(G3997="PA",IF(M3997&lt;&gt;"",ISERROR(VLOOKUP(M3997,ABBR!C:F,1,FALSE)),ISERROR(VLOOKUP(E3997,ABBR!C:F,1,FALSE))),"")</f>
        <v/>
      </c>
    </row>
    <row r="3998" spans="1:17" hidden="1" x14ac:dyDescent="0.25">
      <c r="A3998" s="38" t="s">
        <v>452</v>
      </c>
      <c r="B3998" s="17"/>
      <c r="C3998" s="9" t="s">
        <v>6393</v>
      </c>
      <c r="D3998" s="46"/>
      <c r="E3998" s="46" t="s">
        <v>608</v>
      </c>
      <c r="F3998" s="93" t="s">
        <v>1952</v>
      </c>
      <c r="G3998" s="179" t="s">
        <v>876</v>
      </c>
      <c r="H3998" s="46">
        <v>20</v>
      </c>
      <c r="I3998" s="180"/>
      <c r="J3998" s="62" t="s">
        <v>473</v>
      </c>
      <c r="O3998" s="62" t="str">
        <f>IF(E3998="PA",IF(K3998&lt;&gt;"",ISERROR(VLOOKUP(K3998,ABBR!A:D,1,FALSE)),ISERROR(VLOOKUP(C3998,ABBR!A:D,1,FALSE))),"")</f>
        <v/>
      </c>
      <c r="P3998" t="str">
        <f>VLOOKUP(A3998,Groups!A:L,5,FALSE)</f>
        <v>LOCA</v>
      </c>
      <c r="Q3998" s="62" t="str">
        <f>IF(G3998="PA",IF(M3998&lt;&gt;"",ISERROR(VLOOKUP(M3998,ABBR!C:F,1,FALSE)),ISERROR(VLOOKUP(E3998,ABBR!C:F,1,FALSE))),"")</f>
        <v/>
      </c>
    </row>
    <row r="3999" spans="1:17" hidden="1" x14ac:dyDescent="0.25">
      <c r="A3999" s="38" t="s">
        <v>455</v>
      </c>
      <c r="B3999" s="17" t="s">
        <v>594</v>
      </c>
      <c r="C3999" s="16" t="s">
        <v>595</v>
      </c>
      <c r="D3999" s="17"/>
      <c r="E3999" s="17" t="s">
        <v>596</v>
      </c>
      <c r="F3999" s="18" t="s">
        <v>597</v>
      </c>
      <c r="G3999" s="49" t="s">
        <v>598</v>
      </c>
      <c r="H3999" s="17">
        <v>1</v>
      </c>
      <c r="I3999" s="30" t="s">
        <v>955</v>
      </c>
      <c r="J3999" s="80">
        <v>4.0999999999999996</v>
      </c>
      <c r="O3999" s="62" t="str">
        <f>IF(E3999="PA",IF(K3999&lt;&gt;"",ISERROR(VLOOKUP(K3999,ABBR!A:D,1,FALSE)),ISERROR(VLOOKUP(C3999,ABBR!A:D,1,FALSE))),"")</f>
        <v/>
      </c>
      <c r="P3999" t="str">
        <f>VLOOKUP(A3999,Groups!A:L,5,FALSE)</f>
        <v>WGPG</v>
      </c>
      <c r="Q3999" s="62" t="str">
        <f>IF(G3999="PA",IF(M3999&lt;&gt;"",ISERROR(VLOOKUP(M3999,ABBR!C:F,1,FALSE)),ISERROR(VLOOKUP(E3999,ABBR!C:F,1,FALSE))),"")</f>
        <v/>
      </c>
    </row>
    <row r="4000" spans="1:17" hidden="1" x14ac:dyDescent="0.25">
      <c r="A4000" s="38" t="s">
        <v>455</v>
      </c>
      <c r="B4000" s="17" t="s">
        <v>594</v>
      </c>
      <c r="C4000" s="16" t="s">
        <v>6358</v>
      </c>
      <c r="D4000" s="17"/>
      <c r="E4000" s="17" t="s">
        <v>608</v>
      </c>
      <c r="F4000" s="18" t="s">
        <v>1323</v>
      </c>
      <c r="G4000" s="49" t="s">
        <v>6359</v>
      </c>
      <c r="H4000" s="17">
        <v>2</v>
      </c>
      <c r="I4000" s="30" t="s">
        <v>955</v>
      </c>
      <c r="J4000" s="80">
        <v>4.0999999999999996</v>
      </c>
      <c r="O4000" s="62" t="str">
        <f>IF(E4000="PA",IF(K4000&lt;&gt;"",ISERROR(VLOOKUP(K4000,ABBR!A:D,1,FALSE)),ISERROR(VLOOKUP(C4000,ABBR!A:D,1,FALSE))),"")</f>
        <v/>
      </c>
      <c r="P4000" t="str">
        <f>VLOOKUP(A4000,Groups!A:L,5,FALSE)</f>
        <v>WGPG</v>
      </c>
      <c r="Q4000" s="62" t="str">
        <f>IF(G4000="PA",IF(M4000&lt;&gt;"",ISERROR(VLOOKUP(M4000,ABBR!C:F,1,FALSE)),ISERROR(VLOOKUP(E4000,ABBR!C:F,1,FALSE))),"")</f>
        <v/>
      </c>
    </row>
    <row r="4001" spans="1:17" hidden="1" x14ac:dyDescent="0.25">
      <c r="A4001" s="38" t="s">
        <v>455</v>
      </c>
      <c r="B4001" s="17" t="s">
        <v>594</v>
      </c>
      <c r="C4001" s="16" t="s">
        <v>6360</v>
      </c>
      <c r="D4001" s="17"/>
      <c r="E4001" s="17" t="s">
        <v>618</v>
      </c>
      <c r="F4001" s="18" t="s">
        <v>6361</v>
      </c>
      <c r="G4001" s="49" t="s">
        <v>6394</v>
      </c>
      <c r="H4001" s="17">
        <v>3</v>
      </c>
      <c r="I4001" s="30" t="s">
        <v>955</v>
      </c>
      <c r="J4001" s="80">
        <v>4.0999999999999996</v>
      </c>
      <c r="O4001" s="62" t="b">
        <f>IF(E4001="PA",IF(K4001&lt;&gt;"",ISERROR(VLOOKUP(K4001,ABBR!A:D,1,FALSE)),ISERROR(VLOOKUP(C4001,ABBR!A:D,1,FALSE))),"")</f>
        <v>0</v>
      </c>
      <c r="P4001" t="str">
        <f>VLOOKUP(A4001,Groups!A:L,5,FALSE)</f>
        <v>WGPG</v>
      </c>
      <c r="Q4001" s="62" t="str">
        <f>IF(G4001="PA",IF(M4001&lt;&gt;"",ISERROR(VLOOKUP(M4001,ABBR!C:F,1,FALSE)),ISERROR(VLOOKUP(E4001,ABBR!C:F,1,FALSE))),"")</f>
        <v/>
      </c>
    </row>
    <row r="4002" spans="1:17" hidden="1" x14ac:dyDescent="0.25">
      <c r="A4002" s="38" t="s">
        <v>455</v>
      </c>
      <c r="B4002" s="17" t="s">
        <v>594</v>
      </c>
      <c r="C4002" s="16" t="s">
        <v>6395</v>
      </c>
      <c r="D4002" s="17"/>
      <c r="E4002" s="17" t="s">
        <v>618</v>
      </c>
      <c r="F4002" s="18" t="s">
        <v>6396</v>
      </c>
      <c r="G4002" s="49" t="s">
        <v>6397</v>
      </c>
      <c r="H4002" s="17">
        <v>4</v>
      </c>
      <c r="I4002" s="30" t="s">
        <v>955</v>
      </c>
      <c r="J4002" s="80">
        <v>4.0999999999999996</v>
      </c>
      <c r="O4002" s="62" t="b">
        <f>IF(E4002="PA",IF(K4002&lt;&gt;"",ISERROR(VLOOKUP(K4002,ABBR!A:D,1,FALSE)),ISERROR(VLOOKUP(C4002,ABBR!A:D,1,FALSE))),"")</f>
        <v>0</v>
      </c>
      <c r="P4002" t="str">
        <f>VLOOKUP(A4002,Groups!A:L,5,FALSE)</f>
        <v>WGPG</v>
      </c>
      <c r="Q4002" s="62" t="str">
        <f>IF(G4002="PA",IF(M4002&lt;&gt;"",ISERROR(VLOOKUP(M4002,ABBR!C:F,1,FALSE)),ISERROR(VLOOKUP(E4002,ABBR!C:F,1,FALSE))),"")</f>
        <v/>
      </c>
    </row>
    <row r="4003" spans="1:17" hidden="1" x14ac:dyDescent="0.25">
      <c r="A4003" s="38" t="s">
        <v>455</v>
      </c>
      <c r="B4003" s="17" t="s">
        <v>960</v>
      </c>
      <c r="C4003" s="16" t="s">
        <v>6398</v>
      </c>
      <c r="D4003" s="17"/>
      <c r="E4003" s="17" t="s">
        <v>2004</v>
      </c>
      <c r="F4003" s="18" t="s">
        <v>2852</v>
      </c>
      <c r="G4003" s="49" t="s">
        <v>600</v>
      </c>
      <c r="H4003" s="17">
        <v>5</v>
      </c>
      <c r="I4003" s="30" t="s">
        <v>955</v>
      </c>
      <c r="J4003" s="80">
        <v>4.0999999999999996</v>
      </c>
      <c r="O4003" s="62" t="str">
        <f>IF(E4003="PA",IF(K4003&lt;&gt;"",ISERROR(VLOOKUP(K4003,ABBR!A:D,1,FALSE)),ISERROR(VLOOKUP(C4003,ABBR!A:D,1,FALSE))),"")</f>
        <v/>
      </c>
      <c r="P4003" t="str">
        <f>VLOOKUP(A4003,Groups!A:L,5,FALSE)</f>
        <v>WGPG</v>
      </c>
      <c r="Q4003" s="62" t="str">
        <f>IF(G4003="PA",IF(M4003&lt;&gt;"",ISERROR(VLOOKUP(M4003,ABBR!C:F,1,FALSE)),ISERROR(VLOOKUP(E4003,ABBR!C:F,1,FALSE))),"")</f>
        <v/>
      </c>
    </row>
    <row r="4004" spans="1:17" hidden="1" x14ac:dyDescent="0.25">
      <c r="A4004" s="38" t="s">
        <v>455</v>
      </c>
      <c r="B4004" s="17" t="s">
        <v>594</v>
      </c>
      <c r="C4004" s="16" t="s">
        <v>6399</v>
      </c>
      <c r="D4004" s="17"/>
      <c r="E4004" s="17" t="s">
        <v>601</v>
      </c>
      <c r="F4004" s="18" t="s">
        <v>6400</v>
      </c>
      <c r="G4004" s="49" t="s">
        <v>6401</v>
      </c>
      <c r="H4004" s="17">
        <v>6</v>
      </c>
      <c r="I4004" s="30" t="s">
        <v>955</v>
      </c>
      <c r="J4004" s="80">
        <v>4.0999999999999996</v>
      </c>
      <c r="O4004" s="62" t="str">
        <f>IF(E4004="PA",IF(K4004&lt;&gt;"",ISERROR(VLOOKUP(K4004,ABBR!A:D,1,FALSE)),ISERROR(VLOOKUP(C4004,ABBR!A:D,1,FALSE))),"")</f>
        <v/>
      </c>
      <c r="P4004" t="str">
        <f>VLOOKUP(A4004,Groups!A:L,5,FALSE)</f>
        <v>WGPG</v>
      </c>
      <c r="Q4004" s="62" t="str">
        <f>IF(G4004="PA",IF(M4004&lt;&gt;"",ISERROR(VLOOKUP(M4004,ABBR!C:F,1,FALSE)),ISERROR(VLOOKUP(E4004,ABBR!C:F,1,FALSE))),"")</f>
        <v/>
      </c>
    </row>
    <row r="4005" spans="1:17" ht="25" hidden="1" x14ac:dyDescent="0.25">
      <c r="A4005" s="38" t="s">
        <v>455</v>
      </c>
      <c r="B4005" s="17"/>
      <c r="C4005" s="16" t="s">
        <v>6402</v>
      </c>
      <c r="D4005" s="17"/>
      <c r="E4005" s="17" t="s">
        <v>859</v>
      </c>
      <c r="F4005" s="18" t="s">
        <v>4461</v>
      </c>
      <c r="G4005" s="49" t="s">
        <v>2746</v>
      </c>
      <c r="H4005" s="17">
        <v>7</v>
      </c>
      <c r="I4005" s="30" t="s">
        <v>955</v>
      </c>
      <c r="J4005" s="80">
        <v>4.0999999999999996</v>
      </c>
      <c r="O4005" s="62" t="str">
        <f>IF(E4005="PA",IF(K4005&lt;&gt;"",ISERROR(VLOOKUP(K4005,ABBR!A:D,1,FALSE)),ISERROR(VLOOKUP(C4005,ABBR!A:D,1,FALSE))),"")</f>
        <v/>
      </c>
      <c r="P4005" t="str">
        <f>VLOOKUP(A4005,Groups!A:L,5,FALSE)</f>
        <v>WGPG</v>
      </c>
      <c r="Q4005" s="62" t="str">
        <f>IF(G4005="PA",IF(M4005&lt;&gt;"",ISERROR(VLOOKUP(M4005,ABBR!C:F,1,FALSE)),ISERROR(VLOOKUP(E4005,ABBR!C:F,1,FALSE))),"")</f>
        <v/>
      </c>
    </row>
    <row r="4006" spans="1:17" hidden="1" x14ac:dyDescent="0.25">
      <c r="A4006" s="38" t="s">
        <v>455</v>
      </c>
      <c r="B4006" s="17"/>
      <c r="C4006" s="16" t="s">
        <v>6403</v>
      </c>
      <c r="D4006" s="17"/>
      <c r="E4006" s="17" t="s">
        <v>618</v>
      </c>
      <c r="F4006" s="18" t="s">
        <v>6404</v>
      </c>
      <c r="G4006" s="49" t="s">
        <v>6405</v>
      </c>
      <c r="H4006" s="17">
        <v>8</v>
      </c>
      <c r="I4006" s="30" t="s">
        <v>955</v>
      </c>
      <c r="J4006" s="80">
        <v>4.0999999999999996</v>
      </c>
      <c r="O4006" s="62" t="b">
        <f>IF(E4006="PA",IF(K4006&lt;&gt;"",ISERROR(VLOOKUP(K4006,ABBR!A:D,1,FALSE)),ISERROR(VLOOKUP(C4006,ABBR!A:D,1,FALSE))),"")</f>
        <v>0</v>
      </c>
      <c r="P4006" t="str">
        <f>VLOOKUP(A4006,Groups!A:L,5,FALSE)</f>
        <v>WGPG</v>
      </c>
      <c r="Q4006" s="62" t="str">
        <f>IF(G4006="PA",IF(M4006&lt;&gt;"",ISERROR(VLOOKUP(M4006,ABBR!C:F,1,FALSE)),ISERROR(VLOOKUP(E4006,ABBR!C:F,1,FALSE))),"")</f>
        <v/>
      </c>
    </row>
    <row r="4007" spans="1:17" hidden="1" x14ac:dyDescent="0.25">
      <c r="A4007" s="38" t="s">
        <v>455</v>
      </c>
      <c r="B4007" s="17"/>
      <c r="C4007" s="16" t="s">
        <v>6406</v>
      </c>
      <c r="D4007" s="17"/>
      <c r="E4007" s="17" t="s">
        <v>608</v>
      </c>
      <c r="F4007" s="18" t="s">
        <v>642</v>
      </c>
      <c r="G4007" s="49" t="s">
        <v>16</v>
      </c>
      <c r="H4007" s="17">
        <v>9</v>
      </c>
      <c r="I4007" s="30" t="s">
        <v>955</v>
      </c>
      <c r="J4007" s="80">
        <v>4.0999999999999996</v>
      </c>
      <c r="M4007" s="101"/>
      <c r="O4007" s="62" t="str">
        <f>IF(E4007="PA",IF(K4007&lt;&gt;"",ISERROR(VLOOKUP(K4007,ABBR!A:D,1,FALSE)),ISERROR(VLOOKUP(C4007,ABBR!A:D,1,FALSE))),"")</f>
        <v/>
      </c>
      <c r="P4007" t="str">
        <f>VLOOKUP(A4007,Groups!A:L,5,FALSE)</f>
        <v>WGPG</v>
      </c>
      <c r="Q4007" s="62" t="str">
        <f>IF(G4007="PA",IF(M4007&lt;&gt;"",ISERROR(VLOOKUP(M4007,ABBR!C:F,1,FALSE)),ISERROR(VLOOKUP(E4007,ABBR!C:F,1,FALSE))),"")</f>
        <v/>
      </c>
    </row>
    <row r="4008" spans="1:17" hidden="1" x14ac:dyDescent="0.25">
      <c r="A4008" s="38" t="s">
        <v>455</v>
      </c>
      <c r="B4008" s="17"/>
      <c r="C4008" s="16" t="s">
        <v>643</v>
      </c>
      <c r="D4008" s="17"/>
      <c r="E4008" s="17" t="s">
        <v>608</v>
      </c>
      <c r="F4008" s="18" t="s">
        <v>1714</v>
      </c>
      <c r="G4008" s="49" t="s">
        <v>6392</v>
      </c>
      <c r="H4008" s="17">
        <v>10</v>
      </c>
      <c r="I4008" s="30" t="s">
        <v>955</v>
      </c>
      <c r="J4008" s="80">
        <v>4.0999999999999996</v>
      </c>
      <c r="O4008" s="62" t="str">
        <f>IF(E4008="PA",IF(K4008&lt;&gt;"",ISERROR(VLOOKUP(K4008,ABBR!A:D,1,FALSE)),ISERROR(VLOOKUP(C4008,ABBR!A:D,1,FALSE))),"")</f>
        <v/>
      </c>
      <c r="P4008" t="str">
        <f>VLOOKUP(A4008,Groups!A:L,5,FALSE)</f>
        <v>WGPG</v>
      </c>
      <c r="Q4008" s="62" t="str">
        <f>IF(G4008="PA",IF(M4008&lt;&gt;"",ISERROR(VLOOKUP(M4008,ABBR!C:F,1,FALSE)),ISERROR(VLOOKUP(E4008,ABBR!C:F,1,FALSE))),"")</f>
        <v/>
      </c>
    </row>
    <row r="4009" spans="1:17" hidden="1" x14ac:dyDescent="0.25">
      <c r="A4009" s="38" t="s">
        <v>460</v>
      </c>
      <c r="B4009" s="17" t="s">
        <v>594</v>
      </c>
      <c r="C4009" s="16" t="s">
        <v>595</v>
      </c>
      <c r="D4009" s="17"/>
      <c r="E4009" s="17" t="s">
        <v>596</v>
      </c>
      <c r="F4009" s="18" t="s">
        <v>597</v>
      </c>
      <c r="G4009" s="49" t="s">
        <v>598</v>
      </c>
      <c r="H4009" s="17">
        <v>1</v>
      </c>
      <c r="O4009" s="62" t="str">
        <f>IF(E4009="PA",IF(K4009&lt;&gt;"",ISERROR(VLOOKUP(K4009,ABBR!A:D,1,FALSE)),ISERROR(VLOOKUP(C4009,ABBR!A:D,1,FALSE))),"")</f>
        <v/>
      </c>
      <c r="P4009" t="str">
        <f>VLOOKUP(A4009,Groups!A:L,5,FALSE)</f>
        <v>LOCA</v>
      </c>
      <c r="Q4009" s="62" t="str">
        <f>IF(G4009="PA",IF(M4009&lt;&gt;"",ISERROR(VLOOKUP(M4009,ABBR!C:F,1,FALSE)),ISERROR(VLOOKUP(E4009,ABBR!C:F,1,FALSE))),"")</f>
        <v/>
      </c>
    </row>
    <row r="4010" spans="1:17" hidden="1" x14ac:dyDescent="0.25">
      <c r="A4010" s="38" t="s">
        <v>460</v>
      </c>
      <c r="B4010" s="17" t="s">
        <v>594</v>
      </c>
      <c r="C4010" s="16" t="s">
        <v>6407</v>
      </c>
      <c r="D4010" s="17"/>
      <c r="E4010" s="17" t="s">
        <v>608</v>
      </c>
      <c r="F4010" s="18" t="s">
        <v>6408</v>
      </c>
      <c r="G4010" s="49" t="s">
        <v>1229</v>
      </c>
      <c r="H4010" s="17">
        <v>2</v>
      </c>
      <c r="O4010" s="62" t="str">
        <f>IF(E4010="PA",IF(K4010&lt;&gt;"",ISERROR(VLOOKUP(K4010,ABBR!A:D,1,FALSE)),ISERROR(VLOOKUP(C4010,ABBR!A:D,1,FALSE))),"")</f>
        <v/>
      </c>
      <c r="P4010" t="str">
        <f>VLOOKUP(A4010,Groups!A:L,5,FALSE)</f>
        <v>LOCA</v>
      </c>
      <c r="Q4010" s="62" t="str">
        <f>IF(G4010="PA",IF(M4010&lt;&gt;"",ISERROR(VLOOKUP(M4010,ABBR!C:F,1,FALSE)),ISERROR(VLOOKUP(E4010,ABBR!C:F,1,FALSE))),"")</f>
        <v/>
      </c>
    </row>
    <row r="4011" spans="1:17" hidden="1" x14ac:dyDescent="0.25">
      <c r="A4011" s="38" t="s">
        <v>460</v>
      </c>
      <c r="B4011" s="17" t="s">
        <v>594</v>
      </c>
      <c r="C4011" s="16" t="s">
        <v>6409</v>
      </c>
      <c r="D4011" s="17" t="s">
        <v>600</v>
      </c>
      <c r="E4011" s="17" t="s">
        <v>601</v>
      </c>
      <c r="F4011" s="18" t="s">
        <v>6410</v>
      </c>
      <c r="G4011" s="49" t="s">
        <v>6411</v>
      </c>
      <c r="H4011" s="17">
        <v>3</v>
      </c>
      <c r="O4011" s="62" t="str">
        <f>IF(E4011="PA",IF(K4011&lt;&gt;"",ISERROR(VLOOKUP(K4011,ABBR!A:D,1,FALSE)),ISERROR(VLOOKUP(C4011,ABBR!A:D,1,FALSE))),"")</f>
        <v/>
      </c>
      <c r="P4011" t="str">
        <f>VLOOKUP(A4011,Groups!A:L,5,FALSE)</f>
        <v>LOCA</v>
      </c>
      <c r="Q4011" s="62" t="str">
        <f>IF(G4011="PA",IF(M4011&lt;&gt;"",ISERROR(VLOOKUP(M4011,ABBR!C:F,1,FALSE)),ISERROR(VLOOKUP(E4011,ABBR!C:F,1,FALSE))),"")</f>
        <v/>
      </c>
    </row>
    <row r="4012" spans="1:17" hidden="1" x14ac:dyDescent="0.25">
      <c r="A4012" s="38" t="s">
        <v>460</v>
      </c>
      <c r="B4012" s="17" t="s">
        <v>594</v>
      </c>
      <c r="C4012" s="16" t="s">
        <v>6412</v>
      </c>
      <c r="D4012" s="17" t="s">
        <v>600</v>
      </c>
      <c r="E4012" s="17" t="s">
        <v>601</v>
      </c>
      <c r="F4012" s="18" t="s">
        <v>6413</v>
      </c>
      <c r="G4012" s="49" t="s">
        <v>2778</v>
      </c>
      <c r="H4012" s="17">
        <v>4</v>
      </c>
      <c r="O4012" s="62" t="str">
        <f>IF(E4012="PA",IF(K4012&lt;&gt;"",ISERROR(VLOOKUP(K4012,ABBR!A:D,1,FALSE)),ISERROR(VLOOKUP(C4012,ABBR!A:D,1,FALSE))),"")</f>
        <v/>
      </c>
      <c r="P4012" t="str">
        <f>VLOOKUP(A4012,Groups!A:L,5,FALSE)</f>
        <v>LOCA</v>
      </c>
      <c r="Q4012" s="62" t="str">
        <f>IF(G4012="PA",IF(M4012&lt;&gt;"",ISERROR(VLOOKUP(M4012,ABBR!C:F,1,FALSE)),ISERROR(VLOOKUP(E4012,ABBR!C:F,1,FALSE))),"")</f>
        <v/>
      </c>
    </row>
    <row r="4013" spans="1:17" hidden="1" x14ac:dyDescent="0.25">
      <c r="A4013" s="38" t="s">
        <v>460</v>
      </c>
      <c r="B4013" s="17"/>
      <c r="C4013" s="16" t="s">
        <v>6414</v>
      </c>
      <c r="D4013" s="17" t="s">
        <v>722</v>
      </c>
      <c r="E4013" s="17" t="s">
        <v>767</v>
      </c>
      <c r="F4013" s="18" t="s">
        <v>6415</v>
      </c>
      <c r="G4013" s="49" t="s">
        <v>6416</v>
      </c>
      <c r="H4013" s="17">
        <v>5</v>
      </c>
      <c r="O4013" s="62" t="str">
        <f>IF(E4013="PA",IF(K4013&lt;&gt;"",ISERROR(VLOOKUP(K4013,ABBR!A:D,1,FALSE)),ISERROR(VLOOKUP(C4013,ABBR!A:D,1,FALSE))),"")</f>
        <v/>
      </c>
      <c r="P4013" t="str">
        <f>VLOOKUP(A4013,Groups!A:L,5,FALSE)</f>
        <v>LOCA</v>
      </c>
      <c r="Q4013" s="62" t="str">
        <f>IF(G4013="PA",IF(M4013&lt;&gt;"",ISERROR(VLOOKUP(M4013,ABBR!C:F,1,FALSE)),ISERROR(VLOOKUP(E4013,ABBR!C:F,1,FALSE))),"")</f>
        <v/>
      </c>
    </row>
    <row r="4014" spans="1:17" hidden="1" x14ac:dyDescent="0.25">
      <c r="A4014" s="38" t="s">
        <v>460</v>
      </c>
      <c r="B4014" s="17"/>
      <c r="C4014" s="16" t="s">
        <v>6417</v>
      </c>
      <c r="D4014" s="17" t="s">
        <v>1639</v>
      </c>
      <c r="E4014" s="17" t="s">
        <v>1417</v>
      </c>
      <c r="F4014" s="18" t="s">
        <v>6418</v>
      </c>
      <c r="G4014" s="49" t="s">
        <v>6419</v>
      </c>
      <c r="H4014" s="17">
        <v>6</v>
      </c>
      <c r="O4014" s="62" t="str">
        <f>IF(E4014="PA",IF(K4014&lt;&gt;"",ISERROR(VLOOKUP(K4014,ABBR!A:D,1,FALSE)),ISERROR(VLOOKUP(C4014,ABBR!A:D,1,FALSE))),"")</f>
        <v/>
      </c>
      <c r="P4014" t="str">
        <f>VLOOKUP(A4014,Groups!A:L,5,FALSE)</f>
        <v>LOCA</v>
      </c>
      <c r="Q4014" s="62" t="str">
        <f>IF(G4014="PA",IF(M4014&lt;&gt;"",ISERROR(VLOOKUP(M4014,ABBR!C:F,1,FALSE)),ISERROR(VLOOKUP(E4014,ABBR!C:F,1,FALSE))),"")</f>
        <v/>
      </c>
    </row>
    <row r="4015" spans="1:17" hidden="1" x14ac:dyDescent="0.25">
      <c r="A4015" s="38" t="s">
        <v>460</v>
      </c>
      <c r="B4015" s="17"/>
      <c r="C4015" s="16" t="s">
        <v>6420</v>
      </c>
      <c r="D4015" s="17" t="s">
        <v>766</v>
      </c>
      <c r="E4015" s="17" t="s">
        <v>767</v>
      </c>
      <c r="F4015" s="18" t="s">
        <v>6421</v>
      </c>
      <c r="G4015" s="49" t="s">
        <v>2067</v>
      </c>
      <c r="H4015" s="17">
        <v>7</v>
      </c>
      <c r="O4015" s="62" t="str">
        <f>IF(E4015="PA",IF(K4015&lt;&gt;"",ISERROR(VLOOKUP(K4015,ABBR!A:D,1,FALSE)),ISERROR(VLOOKUP(C4015,ABBR!A:D,1,FALSE))),"")</f>
        <v/>
      </c>
      <c r="P4015" t="str">
        <f>VLOOKUP(A4015,Groups!A:L,5,FALSE)</f>
        <v>LOCA</v>
      </c>
      <c r="Q4015" s="62" t="str">
        <f>IF(G4015="PA",IF(M4015&lt;&gt;"",ISERROR(VLOOKUP(M4015,ABBR!C:F,1,FALSE)),ISERROR(VLOOKUP(E4015,ABBR!C:F,1,FALSE))),"")</f>
        <v/>
      </c>
    </row>
    <row r="4016" spans="1:17" hidden="1" x14ac:dyDescent="0.25">
      <c r="A4016" s="38" t="s">
        <v>460</v>
      </c>
      <c r="B4016" s="17"/>
      <c r="C4016" s="16" t="s">
        <v>6422</v>
      </c>
      <c r="D4016" s="17"/>
      <c r="E4016" s="17" t="s">
        <v>608</v>
      </c>
      <c r="F4016" s="18" t="s">
        <v>6423</v>
      </c>
      <c r="G4016" s="49" t="s">
        <v>16</v>
      </c>
      <c r="H4016" s="17">
        <v>8</v>
      </c>
      <c r="M4016" s="101"/>
      <c r="O4016" s="62" t="str">
        <f>IF(E4016="PA",IF(K4016&lt;&gt;"",ISERROR(VLOOKUP(K4016,ABBR!A:D,1,FALSE)),ISERROR(VLOOKUP(C4016,ABBR!A:D,1,FALSE))),"")</f>
        <v/>
      </c>
      <c r="P4016" t="str">
        <f>VLOOKUP(A4016,Groups!A:L,5,FALSE)</f>
        <v>LOCA</v>
      </c>
      <c r="Q4016" s="62" t="str">
        <f>IF(G4016="PA",IF(M4016&lt;&gt;"",ISERROR(VLOOKUP(M4016,ABBR!C:F,1,FALSE)),ISERROR(VLOOKUP(E4016,ABBR!C:F,1,FALSE))),"")</f>
        <v/>
      </c>
    </row>
    <row r="4017" spans="1:17" hidden="1" x14ac:dyDescent="0.25">
      <c r="A4017" s="38" t="s">
        <v>460</v>
      </c>
      <c r="B4017" s="17"/>
      <c r="C4017" s="16" t="s">
        <v>643</v>
      </c>
      <c r="D4017" s="17"/>
      <c r="E4017" s="17" t="s">
        <v>608</v>
      </c>
      <c r="F4017" s="18" t="s">
        <v>6424</v>
      </c>
      <c r="G4017" s="49" t="s">
        <v>4479</v>
      </c>
      <c r="H4017" s="17">
        <v>9</v>
      </c>
      <c r="O4017" s="62" t="str">
        <f>IF(E4017="PA",IF(K4017&lt;&gt;"",ISERROR(VLOOKUP(K4017,ABBR!A:D,1,FALSE)),ISERROR(VLOOKUP(C4017,ABBR!A:D,1,FALSE))),"")</f>
        <v/>
      </c>
      <c r="P4017" t="str">
        <f>VLOOKUP(A4017,Groups!A:L,5,FALSE)</f>
        <v>LOCA</v>
      </c>
      <c r="Q4017" s="62" t="str">
        <f>IF(G4017="PA",IF(M4017&lt;&gt;"",ISERROR(VLOOKUP(M4017,ABBR!C:F,1,FALSE)),ISERROR(VLOOKUP(E4017,ABBR!C:F,1,FALSE))),"")</f>
        <v/>
      </c>
    </row>
    <row r="4018" spans="1:17" s="62" customFormat="1" hidden="1" x14ac:dyDescent="0.25">
      <c r="A4018" s="16" t="s">
        <v>463</v>
      </c>
      <c r="B4018" s="17" t="s">
        <v>594</v>
      </c>
      <c r="C4018" s="16" t="s">
        <v>595</v>
      </c>
      <c r="D4018" s="17"/>
      <c r="E4018" s="17" t="s">
        <v>596</v>
      </c>
      <c r="F4018" s="18" t="s">
        <v>597</v>
      </c>
      <c r="G4018" s="49" t="s">
        <v>598</v>
      </c>
      <c r="H4018" s="17">
        <v>1</v>
      </c>
      <c r="I4018" s="30"/>
      <c r="J4018"/>
      <c r="K4018"/>
      <c r="L4018"/>
      <c r="M4018"/>
      <c r="N4018"/>
      <c r="O4018" s="62" t="str">
        <f>IF(E4018="PA",IF(K4018&lt;&gt;"",ISERROR(VLOOKUP(K4018,ABBR!A:D,1,FALSE)),ISERROR(VLOOKUP(C4018,ABBR!A:D,1,FALSE))),"")</f>
        <v/>
      </c>
      <c r="P4018" t="str">
        <f>VLOOKUP(A4018,Groups!A:L,5,FALSE)</f>
        <v>WSTG</v>
      </c>
      <c r="Q4018" s="62" t="str">
        <f>IF(G4018="PA",IF(M4018&lt;&gt;"",ISERROR(VLOOKUP(M4018,ABBR!C:F,1,FALSE)),ISERROR(VLOOKUP(E4018,ABBR!C:F,1,FALSE))),"")</f>
        <v/>
      </c>
    </row>
    <row r="4019" spans="1:17" hidden="1" x14ac:dyDescent="0.25">
      <c r="A4019" s="16" t="s">
        <v>463</v>
      </c>
      <c r="B4019" s="17" t="s">
        <v>594</v>
      </c>
      <c r="C4019" s="16" t="s">
        <v>6425</v>
      </c>
      <c r="D4019" s="17" t="s">
        <v>600</v>
      </c>
      <c r="E4019" s="17" t="s">
        <v>601</v>
      </c>
      <c r="F4019" s="18" t="s">
        <v>6426</v>
      </c>
      <c r="G4019" s="49" t="s">
        <v>6411</v>
      </c>
      <c r="H4019" s="17">
        <v>2</v>
      </c>
      <c r="O4019" s="62" t="str">
        <f>IF(E4019="PA",IF(K4019&lt;&gt;"",ISERROR(VLOOKUP(K4019,ABBR!A:D,1,FALSE)),ISERROR(VLOOKUP(C4019,ABBR!A:D,1,FALSE))),"")</f>
        <v/>
      </c>
      <c r="P4019" t="str">
        <f>VLOOKUP(A4019,Groups!A:L,5,FALSE)</f>
        <v>WSTG</v>
      </c>
      <c r="Q4019" s="62" t="str">
        <f>IF(G4019="PA",IF(M4019&lt;&gt;"",ISERROR(VLOOKUP(M4019,ABBR!C:F,1,FALSE)),ISERROR(VLOOKUP(E4019,ABBR!C:F,1,FALSE))),"")</f>
        <v/>
      </c>
    </row>
    <row r="4020" spans="1:17" hidden="1" x14ac:dyDescent="0.25">
      <c r="A4020" s="16" t="s">
        <v>463</v>
      </c>
      <c r="B4020" s="17" t="s">
        <v>594</v>
      </c>
      <c r="C4020" s="16" t="s">
        <v>6427</v>
      </c>
      <c r="D4020" s="17" t="s">
        <v>893</v>
      </c>
      <c r="E4020" s="17" t="s">
        <v>767</v>
      </c>
      <c r="F4020" s="18" t="s">
        <v>6428</v>
      </c>
      <c r="G4020" s="49" t="s">
        <v>897</v>
      </c>
      <c r="H4020" s="17">
        <v>3</v>
      </c>
      <c r="O4020" s="62" t="str">
        <f>IF(E4020="PA",IF(K4020&lt;&gt;"",ISERROR(VLOOKUP(K4020,ABBR!A:D,1,FALSE)),ISERROR(VLOOKUP(C4020,ABBR!A:D,1,FALSE))),"")</f>
        <v/>
      </c>
      <c r="P4020" t="str">
        <f>VLOOKUP(A4020,Groups!A:L,5,FALSE)</f>
        <v>WSTG</v>
      </c>
      <c r="Q4020" s="62" t="str">
        <f>IF(G4020="PA",IF(M4020&lt;&gt;"",ISERROR(VLOOKUP(M4020,ABBR!C:F,1,FALSE)),ISERROR(VLOOKUP(E4020,ABBR!C:F,1,FALSE))),"")</f>
        <v/>
      </c>
    </row>
    <row r="4021" spans="1:17" hidden="1" x14ac:dyDescent="0.25">
      <c r="A4021" s="16" t="s">
        <v>463</v>
      </c>
      <c r="B4021" s="17"/>
      <c r="C4021" s="16" t="s">
        <v>6429</v>
      </c>
      <c r="D4021" s="17" t="s">
        <v>600</v>
      </c>
      <c r="E4021" s="17" t="s">
        <v>601</v>
      </c>
      <c r="F4021" s="18" t="s">
        <v>6430</v>
      </c>
      <c r="G4021" s="49" t="s">
        <v>6431</v>
      </c>
      <c r="H4021" s="17">
        <v>4</v>
      </c>
      <c r="O4021" s="62" t="str">
        <f>IF(E4021="PA",IF(K4021&lt;&gt;"",ISERROR(VLOOKUP(K4021,ABBR!A:D,1,FALSE)),ISERROR(VLOOKUP(C4021,ABBR!A:D,1,FALSE))),"")</f>
        <v/>
      </c>
      <c r="P4021" t="str">
        <f>VLOOKUP(A4021,Groups!A:L,5,FALSE)</f>
        <v>WSTG</v>
      </c>
      <c r="Q4021" s="62" t="str">
        <f>IF(G4021="PA",IF(M4021&lt;&gt;"",ISERROR(VLOOKUP(M4021,ABBR!C:F,1,FALSE)),ISERROR(VLOOKUP(E4021,ABBR!C:F,1,FALSE))),"")</f>
        <v/>
      </c>
    </row>
    <row r="4022" spans="1:17" hidden="1" x14ac:dyDescent="0.25">
      <c r="A4022" s="16" t="s">
        <v>463</v>
      </c>
      <c r="B4022" s="17"/>
      <c r="C4022" s="16" t="s">
        <v>6432</v>
      </c>
      <c r="D4022" s="17"/>
      <c r="E4022" s="17" t="s">
        <v>608</v>
      </c>
      <c r="F4022" s="18" t="s">
        <v>642</v>
      </c>
      <c r="G4022" s="49" t="s">
        <v>16</v>
      </c>
      <c r="H4022" s="17">
        <v>5</v>
      </c>
      <c r="M4022" s="101"/>
      <c r="O4022" s="62" t="str">
        <f>IF(E4022="PA",IF(K4022&lt;&gt;"",ISERROR(VLOOKUP(K4022,ABBR!A:D,1,FALSE)),ISERROR(VLOOKUP(C4022,ABBR!A:D,1,FALSE))),"")</f>
        <v/>
      </c>
      <c r="P4022" t="str">
        <f>VLOOKUP(A4022,Groups!A:L,5,FALSE)</f>
        <v>WSTG</v>
      </c>
      <c r="Q4022" s="62" t="str">
        <f>IF(G4022="PA",IF(M4022&lt;&gt;"",ISERROR(VLOOKUP(M4022,ABBR!C:F,1,FALSE)),ISERROR(VLOOKUP(E4022,ABBR!C:F,1,FALSE))),"")</f>
        <v/>
      </c>
    </row>
    <row r="4023" spans="1:17" hidden="1" x14ac:dyDescent="0.25">
      <c r="A4023" s="16" t="s">
        <v>463</v>
      </c>
      <c r="B4023" s="17"/>
      <c r="C4023" s="16" t="s">
        <v>643</v>
      </c>
      <c r="D4023" s="17"/>
      <c r="E4023" s="17" t="s">
        <v>608</v>
      </c>
      <c r="F4023" s="18" t="s">
        <v>954</v>
      </c>
      <c r="G4023" s="49" t="s">
        <v>4479</v>
      </c>
      <c r="H4023" s="17">
        <v>6</v>
      </c>
      <c r="O4023" s="62" t="str">
        <f>IF(E4023="PA",IF(K4023&lt;&gt;"",ISERROR(VLOOKUP(K4023,ABBR!A:D,1,FALSE)),ISERROR(VLOOKUP(C4023,ABBR!A:D,1,FALSE))),"")</f>
        <v/>
      </c>
      <c r="P4023" t="str">
        <f>VLOOKUP(A4023,Groups!A:L,5,FALSE)</f>
        <v>WSTG</v>
      </c>
      <c r="Q4023" s="62" t="str">
        <f>IF(G4023="PA",IF(M4023&lt;&gt;"",ISERROR(VLOOKUP(M4023,ABBR!C:F,1,FALSE)),ISERROR(VLOOKUP(E4023,ABBR!C:F,1,FALSE))),"")</f>
        <v/>
      </c>
    </row>
    <row r="4024" spans="1:17" hidden="1" x14ac:dyDescent="0.25">
      <c r="A4024" s="16" t="s">
        <v>465</v>
      </c>
      <c r="B4024" s="17" t="s">
        <v>594</v>
      </c>
      <c r="C4024" s="16" t="s">
        <v>595</v>
      </c>
      <c r="D4024" s="17"/>
      <c r="E4024" s="17" t="s">
        <v>596</v>
      </c>
      <c r="F4024" s="18" t="s">
        <v>597</v>
      </c>
      <c r="G4024" s="49" t="s">
        <v>598</v>
      </c>
      <c r="H4024" s="17">
        <v>1</v>
      </c>
      <c r="O4024" s="62" t="str">
        <f>IF(E4024="PA",IF(K4024&lt;&gt;"",ISERROR(VLOOKUP(K4024,ABBR!A:D,1,FALSE)),ISERROR(VLOOKUP(C4024,ABBR!A:D,1,FALSE))),"")</f>
        <v/>
      </c>
      <c r="P4024" t="str">
        <f>VLOOKUP(A4024,Groups!A:L,5,FALSE)</f>
        <v>LOCA</v>
      </c>
      <c r="Q4024" s="62" t="str">
        <f>IF(G4024="PA",IF(M4024&lt;&gt;"",ISERROR(VLOOKUP(M4024,ABBR!C:F,1,FALSE)),ISERROR(VLOOKUP(E4024,ABBR!C:F,1,FALSE))),"")</f>
        <v/>
      </c>
    </row>
    <row r="4025" spans="1:17" hidden="1" x14ac:dyDescent="0.25">
      <c r="A4025" s="16" t="s">
        <v>465</v>
      </c>
      <c r="B4025" s="17" t="s">
        <v>594</v>
      </c>
      <c r="C4025" s="16" t="s">
        <v>6425</v>
      </c>
      <c r="D4025" s="17" t="s">
        <v>600</v>
      </c>
      <c r="E4025" s="17" t="s">
        <v>601</v>
      </c>
      <c r="F4025" s="18" t="s">
        <v>6426</v>
      </c>
      <c r="G4025" s="49" t="s">
        <v>6411</v>
      </c>
      <c r="H4025" s="17">
        <v>2</v>
      </c>
      <c r="O4025" s="62" t="str">
        <f>IF(E4025="PA",IF(K4025&lt;&gt;"",ISERROR(VLOOKUP(K4025,ABBR!A:D,1,FALSE)),ISERROR(VLOOKUP(C4025,ABBR!A:D,1,FALSE))),"")</f>
        <v/>
      </c>
      <c r="P4025" t="str">
        <f>VLOOKUP(A4025,Groups!A:L,5,FALSE)</f>
        <v>LOCA</v>
      </c>
      <c r="Q4025" s="62" t="str">
        <f>IF(G4025="PA",IF(M4025&lt;&gt;"",ISERROR(VLOOKUP(M4025,ABBR!C:F,1,FALSE)),ISERROR(VLOOKUP(E4025,ABBR!C:F,1,FALSE))),"")</f>
        <v/>
      </c>
    </row>
    <row r="4026" spans="1:17" ht="25" hidden="1" x14ac:dyDescent="0.25">
      <c r="A4026" s="16" t="s">
        <v>465</v>
      </c>
      <c r="B4026" s="17"/>
      <c r="C4026" s="16" t="s">
        <v>6433</v>
      </c>
      <c r="D4026" s="17" t="s">
        <v>1421</v>
      </c>
      <c r="E4026" s="17" t="s">
        <v>925</v>
      </c>
      <c r="F4026" s="18" t="s">
        <v>6434</v>
      </c>
      <c r="G4026" s="49" t="s">
        <v>3110</v>
      </c>
      <c r="H4026" s="17">
        <v>3</v>
      </c>
      <c r="O4026" s="62" t="str">
        <f>IF(E4026="PA",IF(K4026&lt;&gt;"",ISERROR(VLOOKUP(K4026,ABBR!A:D,1,FALSE)),ISERROR(VLOOKUP(C4026,ABBR!A:D,1,FALSE))),"")</f>
        <v/>
      </c>
      <c r="P4026" t="str">
        <f>VLOOKUP(A4026,Groups!A:L,5,FALSE)</f>
        <v>LOCA</v>
      </c>
      <c r="Q4026" s="62" t="str">
        <f>IF(G4026="PA",IF(M4026&lt;&gt;"",ISERROR(VLOOKUP(M4026,ABBR!C:F,1,FALSE)),ISERROR(VLOOKUP(E4026,ABBR!C:F,1,FALSE))),"")</f>
        <v/>
      </c>
    </row>
    <row r="4027" spans="1:17" hidden="1" x14ac:dyDescent="0.25">
      <c r="A4027" s="16" t="s">
        <v>465</v>
      </c>
      <c r="B4027" s="17"/>
      <c r="C4027" s="16" t="s">
        <v>6435</v>
      </c>
      <c r="D4027" s="17" t="s">
        <v>600</v>
      </c>
      <c r="E4027" s="17" t="s">
        <v>601</v>
      </c>
      <c r="F4027" s="18" t="s">
        <v>6436</v>
      </c>
      <c r="G4027" s="49" t="s">
        <v>6437</v>
      </c>
      <c r="H4027" s="17">
        <v>4</v>
      </c>
      <c r="O4027" s="62" t="str">
        <f>IF(E4027="PA",IF(K4027&lt;&gt;"",ISERROR(VLOOKUP(K4027,ABBR!A:D,1,FALSE)),ISERROR(VLOOKUP(C4027,ABBR!A:D,1,FALSE))),"")</f>
        <v/>
      </c>
      <c r="P4027" t="str">
        <f>VLOOKUP(A4027,Groups!A:L,5,FALSE)</f>
        <v>LOCA</v>
      </c>
      <c r="Q4027" s="62" t="str">
        <f>IF(G4027="PA",IF(M4027&lt;&gt;"",ISERROR(VLOOKUP(M4027,ABBR!C:F,1,FALSE)),ISERROR(VLOOKUP(E4027,ABBR!C:F,1,FALSE))),"")</f>
        <v/>
      </c>
    </row>
    <row r="4028" spans="1:17" hidden="1" x14ac:dyDescent="0.25">
      <c r="A4028" s="16" t="s">
        <v>465</v>
      </c>
      <c r="B4028" s="17"/>
      <c r="C4028" s="16" t="s">
        <v>6438</v>
      </c>
      <c r="D4028" s="17" t="s">
        <v>600</v>
      </c>
      <c r="E4028" s="17" t="s">
        <v>601</v>
      </c>
      <c r="F4028" s="18" t="s">
        <v>6439</v>
      </c>
      <c r="G4028" s="49" t="s">
        <v>6440</v>
      </c>
      <c r="H4028" s="17">
        <v>5</v>
      </c>
      <c r="O4028" s="62" t="str">
        <f>IF(E4028="PA",IF(K4028&lt;&gt;"",ISERROR(VLOOKUP(K4028,ABBR!A:D,1,FALSE)),ISERROR(VLOOKUP(C4028,ABBR!A:D,1,FALSE))),"")</f>
        <v/>
      </c>
      <c r="P4028" t="str">
        <f>VLOOKUP(A4028,Groups!A:L,5,FALSE)</f>
        <v>LOCA</v>
      </c>
      <c r="Q4028" s="62" t="str">
        <f>IF(G4028="PA",IF(M4028&lt;&gt;"",ISERROR(VLOOKUP(M4028,ABBR!C:F,1,FALSE)),ISERROR(VLOOKUP(E4028,ABBR!C:F,1,FALSE))),"")</f>
        <v/>
      </c>
    </row>
    <row r="4029" spans="1:17" ht="25" hidden="1" x14ac:dyDescent="0.25">
      <c r="A4029" s="16" t="s">
        <v>465</v>
      </c>
      <c r="B4029" s="17"/>
      <c r="C4029" s="16" t="s">
        <v>6441</v>
      </c>
      <c r="D4029" s="17"/>
      <c r="E4029" s="17" t="s">
        <v>608</v>
      </c>
      <c r="F4029" s="18" t="s">
        <v>642</v>
      </c>
      <c r="G4029" s="49" t="s">
        <v>6442</v>
      </c>
      <c r="H4029" s="17">
        <v>6</v>
      </c>
      <c r="O4029" s="62" t="str">
        <f>IF(E4029="PA",IF(K4029&lt;&gt;"",ISERROR(VLOOKUP(K4029,ABBR!A:D,1,FALSE)),ISERROR(VLOOKUP(C4029,ABBR!A:D,1,FALSE))),"")</f>
        <v/>
      </c>
      <c r="P4029" t="str">
        <f>VLOOKUP(A4029,Groups!A:L,5,FALSE)</f>
        <v>LOCA</v>
      </c>
      <c r="Q4029" s="62" t="str">
        <f>IF(G4029="PA",IF(M4029&lt;&gt;"",ISERROR(VLOOKUP(M4029,ABBR!C:F,1,FALSE)),ISERROR(VLOOKUP(E4029,ABBR!C:F,1,FALSE))),"")</f>
        <v/>
      </c>
    </row>
    <row r="4030" spans="1:17" hidden="1" x14ac:dyDescent="0.25">
      <c r="A4030" s="16" t="s">
        <v>465</v>
      </c>
      <c r="B4030" s="17"/>
      <c r="C4030" s="16" t="s">
        <v>643</v>
      </c>
      <c r="D4030" s="17"/>
      <c r="E4030" s="17" t="s">
        <v>608</v>
      </c>
      <c r="F4030" s="18" t="s">
        <v>954</v>
      </c>
      <c r="G4030" s="49" t="s">
        <v>4479</v>
      </c>
      <c r="H4030" s="17">
        <v>7</v>
      </c>
      <c r="O4030" s="62" t="str">
        <f>IF(E4030="PA",IF(K4030&lt;&gt;"",ISERROR(VLOOKUP(K4030,ABBR!A:D,1,FALSE)),ISERROR(VLOOKUP(C4030,ABBR!A:D,1,FALSE))),"")</f>
        <v/>
      </c>
      <c r="P4030" t="str">
        <f>VLOOKUP(A4030,Groups!A:L,5,FALSE)</f>
        <v>LOCA</v>
      </c>
      <c r="Q4030" s="62" t="str">
        <f>IF(G4030="PA",IF(M4030&lt;&gt;"",ISERROR(VLOOKUP(M4030,ABBR!C:F,1,FALSE)),ISERROR(VLOOKUP(E4030,ABBR!C:F,1,FALSE))),"")</f>
        <v/>
      </c>
    </row>
    <row r="4031" spans="1:17" s="62" customFormat="1" hidden="1" x14ac:dyDescent="0.25">
      <c r="A4031" s="16" t="s">
        <v>8816</v>
      </c>
      <c r="B4031" s="17" t="s">
        <v>594</v>
      </c>
      <c r="C4031" s="16" t="s">
        <v>595</v>
      </c>
      <c r="D4031" s="17"/>
      <c r="E4031" s="17" t="s">
        <v>596</v>
      </c>
      <c r="F4031" s="18" t="s">
        <v>1953</v>
      </c>
      <c r="G4031" s="49" t="s">
        <v>598</v>
      </c>
      <c r="H4031" s="17">
        <v>1</v>
      </c>
      <c r="I4031" s="30"/>
      <c r="J4031" s="62" t="s">
        <v>473</v>
      </c>
      <c r="O4031" s="62" t="str">
        <f>IF(E4031="PA",IF(K4031&lt;&gt;"",ISERROR(VLOOKUP(K4031,ABBR!A:D,1,FALSE)),ISERROR(VLOOKUP(C4031,ABBR!A:D,1,FALSE))),"")</f>
        <v/>
      </c>
      <c r="P4031" t="str">
        <f>VLOOKUP(A4031,Groups!A:L,5,FALSE)</f>
        <v>LOCA</v>
      </c>
      <c r="Q4031" s="62" t="str">
        <f>IF(G4031="PA",IF(M4031&lt;&gt;"",ISERROR(VLOOKUP(M4031,ABBR!C:F,1,FALSE)),ISERROR(VLOOKUP(E4031,ABBR!C:F,1,FALSE))),"")</f>
        <v/>
      </c>
    </row>
    <row r="4032" spans="1:17" s="62" customFormat="1" hidden="1" x14ac:dyDescent="0.25">
      <c r="A4032" s="16" t="s">
        <v>8816</v>
      </c>
      <c r="B4032" s="17" t="s">
        <v>594</v>
      </c>
      <c r="C4032" s="16" t="s">
        <v>8823</v>
      </c>
      <c r="D4032" s="17" t="s">
        <v>600</v>
      </c>
      <c r="E4032" s="17" t="s">
        <v>601</v>
      </c>
      <c r="F4032" s="18" t="s">
        <v>4975</v>
      </c>
      <c r="G4032" s="49" t="s">
        <v>2271</v>
      </c>
      <c r="H4032" s="17">
        <v>2</v>
      </c>
      <c r="I4032" s="30"/>
      <c r="J4032" s="62" t="s">
        <v>473</v>
      </c>
      <c r="O4032" s="62" t="str">
        <f>IF(E4032="PA",IF(K4032&lt;&gt;"",ISERROR(VLOOKUP(K4032,ABBR!A:D,1,FALSE)),ISERROR(VLOOKUP(C4032,ABBR!A:D,1,FALSE))),"")</f>
        <v/>
      </c>
      <c r="P4032" t="str">
        <f>VLOOKUP(A4032,Groups!A:L,5,FALSE)</f>
        <v>LOCA</v>
      </c>
      <c r="Q4032" s="62" t="str">
        <f>IF(G4032="PA",IF(M4032&lt;&gt;"",ISERROR(VLOOKUP(M4032,ABBR!C:F,1,FALSE)),ISERROR(VLOOKUP(E4032,ABBR!C:F,1,FALSE))),"")</f>
        <v/>
      </c>
    </row>
    <row r="4033" spans="1:17" s="62" customFormat="1" hidden="1" x14ac:dyDescent="0.25">
      <c r="A4033" s="16" t="s">
        <v>8816</v>
      </c>
      <c r="B4033" s="17"/>
      <c r="C4033" s="16" t="s">
        <v>8824</v>
      </c>
      <c r="D4033" s="17" t="s">
        <v>600</v>
      </c>
      <c r="E4033" s="17" t="s">
        <v>601</v>
      </c>
      <c r="F4033" s="18" t="s">
        <v>1254</v>
      </c>
      <c r="G4033" s="49" t="s">
        <v>2355</v>
      </c>
      <c r="H4033" s="17">
        <v>3</v>
      </c>
      <c r="I4033" s="30"/>
      <c r="J4033" s="62" t="s">
        <v>473</v>
      </c>
      <c r="O4033" s="62" t="str">
        <f>IF(E4033="PA",IF(K4033&lt;&gt;"",ISERROR(VLOOKUP(K4033,ABBR!A:D,1,FALSE)),ISERROR(VLOOKUP(C4033,ABBR!A:D,1,FALSE))),"")</f>
        <v/>
      </c>
      <c r="P4033" t="str">
        <f>VLOOKUP(A4033,Groups!A:L,5,FALSE)</f>
        <v>LOCA</v>
      </c>
      <c r="Q4033" s="62" t="str">
        <f>IF(G4033="PA",IF(M4033&lt;&gt;"",ISERROR(VLOOKUP(M4033,ABBR!C:F,1,FALSE)),ISERROR(VLOOKUP(E4033,ABBR!C:F,1,FALSE))),"")</f>
        <v/>
      </c>
    </row>
    <row r="4034" spans="1:17" s="62" customFormat="1" hidden="1" x14ac:dyDescent="0.25">
      <c r="A4034" s="16" t="s">
        <v>8816</v>
      </c>
      <c r="B4034" s="17"/>
      <c r="C4034" s="16" t="s">
        <v>8827</v>
      </c>
      <c r="D4034" s="17"/>
      <c r="E4034" s="17" t="s">
        <v>618</v>
      </c>
      <c r="F4034" s="4" t="s">
        <v>8818</v>
      </c>
      <c r="G4034" s="49" t="s">
        <v>2187</v>
      </c>
      <c r="H4034" s="17">
        <v>4</v>
      </c>
      <c r="I4034" s="30"/>
      <c r="J4034" s="62" t="s">
        <v>473</v>
      </c>
      <c r="O4034" s="62" t="b">
        <f>IF(E4034="PA",IF(K4034&lt;&gt;"",ISERROR(VLOOKUP(K4034,ABBR!A:D,1,FALSE)),ISERROR(VLOOKUP(C4034,ABBR!A:D,1,FALSE))),"")</f>
        <v>1</v>
      </c>
      <c r="P4034" t="str">
        <f>VLOOKUP(A4034,Groups!A:L,5,FALSE)</f>
        <v>LOCA</v>
      </c>
      <c r="Q4034" s="62" t="str">
        <f>IF(G4034="PA",IF(M4034&lt;&gt;"",ISERROR(VLOOKUP(M4034,ABBR!C:F,1,FALSE)),ISERROR(VLOOKUP(E4034,ABBR!C:F,1,FALSE))),"")</f>
        <v/>
      </c>
    </row>
    <row r="4035" spans="1:17" s="62" customFormat="1" hidden="1" x14ac:dyDescent="0.25">
      <c r="A4035" s="16" t="s">
        <v>8816</v>
      </c>
      <c r="B4035" s="17"/>
      <c r="C4035" s="16" t="s">
        <v>8825</v>
      </c>
      <c r="D4035" s="17"/>
      <c r="E4035" s="17" t="s">
        <v>618</v>
      </c>
      <c r="F4035" s="18" t="s">
        <v>4540</v>
      </c>
      <c r="G4035" s="49" t="s">
        <v>631</v>
      </c>
      <c r="H4035" s="17">
        <v>5</v>
      </c>
      <c r="I4035" s="30"/>
      <c r="J4035" s="62" t="s">
        <v>473</v>
      </c>
      <c r="K4035" s="62" t="s">
        <v>2891</v>
      </c>
      <c r="O4035" s="62" t="b">
        <f>IF(E4035="PA",IF(K4035&lt;&gt;"",ISERROR(VLOOKUP(K4035,ABBR!A:D,1,FALSE)),ISERROR(VLOOKUP(C4035,ABBR!A:D,1,FALSE))),"")</f>
        <v>0</v>
      </c>
      <c r="P4035" t="str">
        <f>VLOOKUP(A4035,Groups!A:L,5,FALSE)</f>
        <v>LOCA</v>
      </c>
      <c r="Q4035" s="62" t="str">
        <f>IF(G4035="PA",IF(M4035&lt;&gt;"",ISERROR(VLOOKUP(M4035,ABBR!C:F,1,FALSE)),ISERROR(VLOOKUP(E4035,ABBR!C:F,1,FALSE))),"")</f>
        <v/>
      </c>
    </row>
    <row r="4036" spans="1:17" s="62" customFormat="1" hidden="1" x14ac:dyDescent="0.25">
      <c r="A4036" s="16" t="s">
        <v>8816</v>
      </c>
      <c r="B4036" s="17"/>
      <c r="C4036" s="16" t="s">
        <v>8826</v>
      </c>
      <c r="D4036" s="17"/>
      <c r="E4036" s="17" t="s">
        <v>608</v>
      </c>
      <c r="F4036" s="18" t="s">
        <v>642</v>
      </c>
      <c r="G4036" s="49" t="s">
        <v>631</v>
      </c>
      <c r="H4036" s="17">
        <v>6</v>
      </c>
      <c r="I4036" s="30"/>
      <c r="J4036" s="62" t="s">
        <v>473</v>
      </c>
      <c r="O4036" s="62" t="str">
        <f>IF(E4036="PA",IF(K4036&lt;&gt;"",ISERROR(VLOOKUP(K4036,ABBR!A:D,1,FALSE)),ISERROR(VLOOKUP(C4036,ABBR!A:D,1,FALSE))),"")</f>
        <v/>
      </c>
      <c r="P4036" t="str">
        <f>VLOOKUP(A4036,Groups!A:L,5,FALSE)</f>
        <v>LOCA</v>
      </c>
      <c r="Q4036" s="62" t="str">
        <f>IF(G4036="PA",IF(M4036&lt;&gt;"",ISERROR(VLOOKUP(M4036,ABBR!C:F,1,FALSE)),ISERROR(VLOOKUP(E4036,ABBR!C:F,1,FALSE))),"")</f>
        <v/>
      </c>
    </row>
    <row r="4037" spans="1:17" s="62" customFormat="1" hidden="1" x14ac:dyDescent="0.25">
      <c r="A4037" s="16" t="s">
        <v>8817</v>
      </c>
      <c r="B4037" s="17" t="s">
        <v>594</v>
      </c>
      <c r="C4037" s="16" t="s">
        <v>595</v>
      </c>
      <c r="D4037" s="17"/>
      <c r="E4037" s="17" t="s">
        <v>596</v>
      </c>
      <c r="F4037" s="18" t="s">
        <v>1953</v>
      </c>
      <c r="G4037" s="49" t="s">
        <v>598</v>
      </c>
      <c r="H4037" s="17">
        <v>1</v>
      </c>
      <c r="I4037" s="30"/>
      <c r="J4037" s="62" t="s">
        <v>473</v>
      </c>
      <c r="O4037" s="62" t="str">
        <f>IF(E4037="PA",IF(K4037&lt;&gt;"",ISERROR(VLOOKUP(K4037,ABBR!A:D,1,FALSE)),ISERROR(VLOOKUP(C4037,ABBR!A:D,1,FALSE))),"")</f>
        <v/>
      </c>
      <c r="P4037" t="str">
        <f>VLOOKUP(A4037,Groups!A:L,5,FALSE)</f>
        <v>LOCA</v>
      </c>
      <c r="Q4037" s="62" t="str">
        <f>IF(G4037="PA",IF(M4037&lt;&gt;"",ISERROR(VLOOKUP(M4037,ABBR!C:F,1,FALSE)),ISERROR(VLOOKUP(E4037,ABBR!C:F,1,FALSE))),"")</f>
        <v/>
      </c>
    </row>
    <row r="4038" spans="1:17" s="62" customFormat="1" hidden="1" x14ac:dyDescent="0.25">
      <c r="A4038" s="16" t="s">
        <v>8817</v>
      </c>
      <c r="B4038" s="17" t="s">
        <v>594</v>
      </c>
      <c r="C4038" s="16" t="s">
        <v>8828</v>
      </c>
      <c r="D4038" s="17" t="s">
        <v>600</v>
      </c>
      <c r="E4038" s="17" t="s">
        <v>601</v>
      </c>
      <c r="F4038" s="18" t="s">
        <v>4975</v>
      </c>
      <c r="G4038" s="49" t="s">
        <v>2271</v>
      </c>
      <c r="H4038" s="17">
        <v>2</v>
      </c>
      <c r="I4038" s="30"/>
      <c r="J4038" s="62" t="s">
        <v>473</v>
      </c>
      <c r="O4038" s="62" t="str">
        <f>IF(E4038="PA",IF(K4038&lt;&gt;"",ISERROR(VLOOKUP(K4038,ABBR!A:D,1,FALSE)),ISERROR(VLOOKUP(C4038,ABBR!A:D,1,FALSE))),"")</f>
        <v/>
      </c>
      <c r="P4038" t="str">
        <f>VLOOKUP(A4038,Groups!A:L,5,FALSE)</f>
        <v>LOCA</v>
      </c>
      <c r="Q4038" s="62" t="str">
        <f>IF(G4038="PA",IF(M4038&lt;&gt;"",ISERROR(VLOOKUP(M4038,ABBR!C:F,1,FALSE)),ISERROR(VLOOKUP(E4038,ABBR!C:F,1,FALSE))),"")</f>
        <v/>
      </c>
    </row>
    <row r="4039" spans="1:17" s="62" customFormat="1" hidden="1" x14ac:dyDescent="0.25">
      <c r="A4039" s="16" t="s">
        <v>8817</v>
      </c>
      <c r="B4039" s="17"/>
      <c r="C4039" s="16" t="s">
        <v>8829</v>
      </c>
      <c r="D4039" s="17" t="s">
        <v>600</v>
      </c>
      <c r="E4039" s="17" t="s">
        <v>601</v>
      </c>
      <c r="F4039" s="18" t="s">
        <v>1254</v>
      </c>
      <c r="G4039" s="49" t="s">
        <v>2355</v>
      </c>
      <c r="H4039" s="17">
        <v>3</v>
      </c>
      <c r="I4039" s="30"/>
      <c r="J4039" s="62" t="s">
        <v>473</v>
      </c>
      <c r="O4039" s="62" t="str">
        <f>IF(E4039="PA",IF(K4039&lt;&gt;"",ISERROR(VLOOKUP(K4039,ABBR!A:D,1,FALSE)),ISERROR(VLOOKUP(C4039,ABBR!A:D,1,FALSE))),"")</f>
        <v/>
      </c>
      <c r="P4039" t="str">
        <f>VLOOKUP(A4039,Groups!A:L,5,FALSE)</f>
        <v>LOCA</v>
      </c>
      <c r="Q4039" s="62" t="str">
        <f>IF(G4039="PA",IF(M4039&lt;&gt;"",ISERROR(VLOOKUP(M4039,ABBR!C:F,1,FALSE)),ISERROR(VLOOKUP(E4039,ABBR!C:F,1,FALSE))),"")</f>
        <v/>
      </c>
    </row>
    <row r="4040" spans="1:17" s="62" customFormat="1" hidden="1" x14ac:dyDescent="0.25">
      <c r="A4040" s="16" t="s">
        <v>8817</v>
      </c>
      <c r="B4040" s="17"/>
      <c r="C4040" s="16" t="s">
        <v>8830</v>
      </c>
      <c r="D4040" s="17"/>
      <c r="E4040" s="17" t="s">
        <v>618</v>
      </c>
      <c r="F4040" s="4" t="s">
        <v>8818</v>
      </c>
      <c r="G4040" s="49" t="s">
        <v>2187</v>
      </c>
      <c r="H4040" s="17">
        <v>4</v>
      </c>
      <c r="I4040" s="30"/>
      <c r="J4040" s="62" t="s">
        <v>473</v>
      </c>
      <c r="O4040" s="62" t="b">
        <f>IF(E4040="PA",IF(K4040&lt;&gt;"",ISERROR(VLOOKUP(K4040,ABBR!A:D,1,FALSE)),ISERROR(VLOOKUP(C4040,ABBR!A:D,1,FALSE))),"")</f>
        <v>1</v>
      </c>
      <c r="P4040" t="str">
        <f>VLOOKUP(A4040,Groups!A:L,5,FALSE)</f>
        <v>LOCA</v>
      </c>
      <c r="Q4040" s="62" t="str">
        <f>IF(G4040="PA",IF(M4040&lt;&gt;"",ISERROR(VLOOKUP(M4040,ABBR!C:F,1,FALSE)),ISERROR(VLOOKUP(E4040,ABBR!C:F,1,FALSE))),"")</f>
        <v/>
      </c>
    </row>
    <row r="4041" spans="1:17" s="62" customFormat="1" hidden="1" x14ac:dyDescent="0.25">
      <c r="A4041" s="16" t="s">
        <v>8817</v>
      </c>
      <c r="B4041" s="17"/>
      <c r="C4041" s="16" t="s">
        <v>8831</v>
      </c>
      <c r="D4041" s="17"/>
      <c r="E4041" s="17" t="s">
        <v>618</v>
      </c>
      <c r="F4041" s="18" t="s">
        <v>4540</v>
      </c>
      <c r="G4041" s="49" t="s">
        <v>631</v>
      </c>
      <c r="H4041" s="17">
        <v>5</v>
      </c>
      <c r="I4041" s="30"/>
      <c r="J4041" s="62" t="s">
        <v>473</v>
      </c>
      <c r="K4041" s="62" t="s">
        <v>2891</v>
      </c>
      <c r="O4041" s="62" t="b">
        <f>IF(E4041="PA",IF(K4041&lt;&gt;"",ISERROR(VLOOKUP(K4041,ABBR!A:D,1,FALSE)),ISERROR(VLOOKUP(C4041,ABBR!A:D,1,FALSE))),"")</f>
        <v>0</v>
      </c>
      <c r="P4041" t="str">
        <f>VLOOKUP(A4041,Groups!A:L,5,FALSE)</f>
        <v>LOCA</v>
      </c>
      <c r="Q4041" s="62" t="str">
        <f>IF(G4041="PA",IF(M4041&lt;&gt;"",ISERROR(VLOOKUP(M4041,ABBR!C:F,1,FALSE)),ISERROR(VLOOKUP(E4041,ABBR!C:F,1,FALSE))),"")</f>
        <v/>
      </c>
    </row>
    <row r="4042" spans="1:17" s="62" customFormat="1" hidden="1" x14ac:dyDescent="0.25">
      <c r="A4042" s="16" t="s">
        <v>8817</v>
      </c>
      <c r="B4042" s="17"/>
      <c r="C4042" s="16" t="s">
        <v>8832</v>
      </c>
      <c r="D4042" s="17"/>
      <c r="E4042" s="17" t="s">
        <v>608</v>
      </c>
      <c r="F4042" s="18" t="s">
        <v>642</v>
      </c>
      <c r="G4042" s="49" t="s">
        <v>631</v>
      </c>
      <c r="H4042" s="17">
        <v>6</v>
      </c>
      <c r="I4042" s="30"/>
      <c r="J4042" s="62" t="s">
        <v>473</v>
      </c>
      <c r="O4042" s="62" t="str">
        <f>IF(E4042="PA",IF(K4042&lt;&gt;"",ISERROR(VLOOKUP(K4042,ABBR!A:D,1,FALSE)),ISERROR(VLOOKUP(C4042,ABBR!A:D,1,FALSE))),"")</f>
        <v/>
      </c>
      <c r="P4042" t="str">
        <f>VLOOKUP(A4042,Groups!A:L,5,FALSE)</f>
        <v>LOCA</v>
      </c>
      <c r="Q4042" s="62" t="str">
        <f>IF(G4042="PA",IF(M4042&lt;&gt;"",ISERROR(VLOOKUP(M4042,ABBR!C:F,1,FALSE)),ISERROR(VLOOKUP(E4042,ABBR!C:F,1,FALSE))),"")</f>
        <v/>
      </c>
    </row>
    <row r="4043" spans="1:17" s="62" customFormat="1" x14ac:dyDescent="0.25">
      <c r="A4043" s="16" t="s">
        <v>8944</v>
      </c>
      <c r="B4043" s="17" t="s">
        <v>594</v>
      </c>
      <c r="C4043" s="16" t="s">
        <v>595</v>
      </c>
      <c r="D4043" s="17"/>
      <c r="E4043" s="17" t="s">
        <v>596</v>
      </c>
      <c r="F4043" s="18" t="s">
        <v>1953</v>
      </c>
      <c r="G4043" s="49" t="s">
        <v>598</v>
      </c>
      <c r="H4043" s="17">
        <v>1</v>
      </c>
      <c r="I4043" s="30"/>
      <c r="J4043" s="62" t="s">
        <v>478</v>
      </c>
      <c r="O4043" s="62" t="str">
        <f>IF(E4043="PA",IF(K4043&lt;&gt;"",ISERROR(VLOOKUP(K4043,ABBR!A:D,1,FALSE)),ISERROR(VLOOKUP(C4043,ABBR!A:D,1,FALSE))),"")</f>
        <v/>
      </c>
      <c r="P4043" t="str">
        <f>VLOOKUP(A4043,Groups!A:L,5,FALSE)</f>
        <v>LOCA</v>
      </c>
      <c r="Q4043" s="62" t="str">
        <f>IF(G4043="PA",IF(M4043&lt;&gt;"",ISERROR(VLOOKUP(M4043,ABBR!C:F,1,FALSE)),ISERROR(VLOOKUP(E4043,ABBR!C:F,1,FALSE))),"")</f>
        <v/>
      </c>
    </row>
    <row r="4044" spans="1:17" s="62" customFormat="1" x14ac:dyDescent="0.25">
      <c r="A4044" s="16" t="s">
        <v>8944</v>
      </c>
      <c r="B4044" s="17" t="s">
        <v>594</v>
      </c>
      <c r="C4044" s="16" t="s">
        <v>8945</v>
      </c>
      <c r="D4044" s="17" t="s">
        <v>600</v>
      </c>
      <c r="E4044" s="17" t="s">
        <v>601</v>
      </c>
      <c r="F4044" s="18" t="s">
        <v>4975</v>
      </c>
      <c r="G4044" s="49" t="s">
        <v>2271</v>
      </c>
      <c r="H4044" s="17">
        <v>2</v>
      </c>
      <c r="I4044" s="30"/>
      <c r="J4044" s="62" t="s">
        <v>478</v>
      </c>
      <c r="O4044" s="62" t="str">
        <f>IF(E4044="PA",IF(K4044&lt;&gt;"",ISERROR(VLOOKUP(K4044,ABBR!A:D,1,FALSE)),ISERROR(VLOOKUP(C4044,ABBR!A:D,1,FALSE))),"")</f>
        <v/>
      </c>
      <c r="P4044" t="str">
        <f>VLOOKUP(A4044,Groups!A:L,5,FALSE)</f>
        <v>LOCA</v>
      </c>
      <c r="Q4044" s="62" t="str">
        <f>IF(G4044="PA",IF(M4044&lt;&gt;"",ISERROR(VLOOKUP(M4044,ABBR!C:F,1,FALSE)),ISERROR(VLOOKUP(E4044,ABBR!C:F,1,FALSE))),"")</f>
        <v/>
      </c>
    </row>
    <row r="4045" spans="1:17" s="62" customFormat="1" x14ac:dyDescent="0.25">
      <c r="A4045" s="16" t="s">
        <v>8944</v>
      </c>
      <c r="B4045" s="17"/>
      <c r="C4045" s="16" t="s">
        <v>8946</v>
      </c>
      <c r="D4045" s="17" t="s">
        <v>600</v>
      </c>
      <c r="E4045" s="17" t="s">
        <v>601</v>
      </c>
      <c r="F4045" s="18" t="s">
        <v>1254</v>
      </c>
      <c r="G4045" s="49" t="s">
        <v>2355</v>
      </c>
      <c r="H4045" s="17">
        <v>3</v>
      </c>
      <c r="I4045" s="30"/>
      <c r="J4045" s="62" t="s">
        <v>478</v>
      </c>
      <c r="O4045" s="62" t="str">
        <f>IF(E4045="PA",IF(K4045&lt;&gt;"",ISERROR(VLOOKUP(K4045,ABBR!A:D,1,FALSE)),ISERROR(VLOOKUP(C4045,ABBR!A:D,1,FALSE))),"")</f>
        <v/>
      </c>
      <c r="P4045" t="str">
        <f>VLOOKUP(A4045,Groups!A:L,5,FALSE)</f>
        <v>LOCA</v>
      </c>
      <c r="Q4045" s="62" t="str">
        <f>IF(G4045="PA",IF(M4045&lt;&gt;"",ISERROR(VLOOKUP(M4045,ABBR!C:F,1,FALSE)),ISERROR(VLOOKUP(E4045,ABBR!C:F,1,FALSE))),"")</f>
        <v/>
      </c>
    </row>
    <row r="4046" spans="1:17" s="62" customFormat="1" x14ac:dyDescent="0.25">
      <c r="A4046" s="16" t="s">
        <v>8944</v>
      </c>
      <c r="B4046" s="17"/>
      <c r="C4046" s="16" t="s">
        <v>8951</v>
      </c>
      <c r="D4046" s="17"/>
      <c r="E4046" s="17" t="s">
        <v>618</v>
      </c>
      <c r="F4046" s="18" t="s">
        <v>8949</v>
      </c>
      <c r="G4046" s="49" t="s">
        <v>6023</v>
      </c>
      <c r="H4046" s="17">
        <v>4</v>
      </c>
      <c r="I4046" s="30"/>
      <c r="J4046" s="62" t="s">
        <v>478</v>
      </c>
      <c r="K4046" s="62" t="s">
        <v>8953</v>
      </c>
      <c r="O4046" s="62" t="b">
        <f>IF(E4046="PA",IF(K4046&lt;&gt;"",ISERROR(VLOOKUP(K4046,ABBR!A:D,1,FALSE)),ISERROR(VLOOKUP(C4046,ABBR!A:D,1,FALSE))),"")</f>
        <v>0</v>
      </c>
      <c r="P4046" t="str">
        <f>VLOOKUP(A4046,Groups!A:L,5,FALSE)</f>
        <v>LOCA</v>
      </c>
      <c r="Q4046" s="62" t="str">
        <f>IF(G4046="PA",IF(M4046&lt;&gt;"",ISERROR(VLOOKUP(M4046,ABBR!C:F,1,FALSE)),ISERROR(VLOOKUP(E4046,ABBR!C:F,1,FALSE))),"")</f>
        <v/>
      </c>
    </row>
    <row r="4047" spans="1:17" s="62" customFormat="1" x14ac:dyDescent="0.25">
      <c r="A4047" s="16" t="s">
        <v>8944</v>
      </c>
      <c r="B4047" s="17"/>
      <c r="C4047" s="16" t="s">
        <v>8947</v>
      </c>
      <c r="D4047" s="17"/>
      <c r="E4047" s="17" t="s">
        <v>618</v>
      </c>
      <c r="F4047" s="18" t="s">
        <v>4983</v>
      </c>
      <c r="G4047" s="49" t="s">
        <v>22</v>
      </c>
      <c r="H4047" s="17">
        <v>5</v>
      </c>
      <c r="I4047" s="30"/>
      <c r="J4047" s="62" t="s">
        <v>478</v>
      </c>
      <c r="K4047" s="62" t="s">
        <v>2895</v>
      </c>
      <c r="O4047" s="62" t="b">
        <f>IF(E4047="PA",IF(K4047&lt;&gt;"",ISERROR(VLOOKUP(K4047,ABBR!A:D,1,FALSE)),ISERROR(VLOOKUP(C4047,ABBR!A:D,1,FALSE))),"")</f>
        <v>0</v>
      </c>
      <c r="P4047" t="str">
        <f>VLOOKUP(A4047,Groups!A:L,5,FALSE)</f>
        <v>LOCA</v>
      </c>
      <c r="Q4047" s="62" t="str">
        <f>IF(G4047="PA",IF(M4047&lt;&gt;"",ISERROR(VLOOKUP(M4047,ABBR!C:F,1,FALSE)),ISERROR(VLOOKUP(E4047,ABBR!C:F,1,FALSE))),"")</f>
        <v/>
      </c>
    </row>
    <row r="4048" spans="1:17" s="62" customFormat="1" x14ac:dyDescent="0.25">
      <c r="A4048" s="16" t="s">
        <v>8944</v>
      </c>
      <c r="B4048" s="17"/>
      <c r="C4048" s="16" t="s">
        <v>8952</v>
      </c>
      <c r="D4048" s="17"/>
      <c r="E4048" s="17" t="s">
        <v>618</v>
      </c>
      <c r="F4048" s="18" t="s">
        <v>8950</v>
      </c>
      <c r="G4048" s="49" t="s">
        <v>6028</v>
      </c>
      <c r="H4048" s="17">
        <v>6</v>
      </c>
      <c r="I4048" s="30"/>
      <c r="J4048" s="62" t="s">
        <v>478</v>
      </c>
      <c r="K4048" s="62" t="s">
        <v>8953</v>
      </c>
      <c r="O4048" s="62" t="b">
        <f>IF(E4048="PA",IF(K4048&lt;&gt;"",ISERROR(VLOOKUP(K4048,ABBR!A:D,1,FALSE)),ISERROR(VLOOKUP(C4048,ABBR!A:D,1,FALSE))),"")</f>
        <v>0</v>
      </c>
      <c r="P4048" t="str">
        <f>VLOOKUP(A4048,Groups!A:L,5,FALSE)</f>
        <v>LOCA</v>
      </c>
      <c r="Q4048" s="62" t="str">
        <f>IF(G4048="PA",IF(M4048&lt;&gt;"",ISERROR(VLOOKUP(M4048,ABBR!C:F,1,FALSE)),ISERROR(VLOOKUP(E4048,ABBR!C:F,1,FALSE))),"")</f>
        <v/>
      </c>
    </row>
    <row r="4049" spans="1:17" s="62" customFormat="1" x14ac:dyDescent="0.25">
      <c r="A4049" s="16" t="s">
        <v>8944</v>
      </c>
      <c r="B4049" s="17"/>
      <c r="C4049" s="16" t="s">
        <v>8948</v>
      </c>
      <c r="D4049" s="17"/>
      <c r="E4049" s="17" t="s">
        <v>618</v>
      </c>
      <c r="F4049" s="18" t="s">
        <v>4540</v>
      </c>
      <c r="G4049" s="49" t="s">
        <v>631</v>
      </c>
      <c r="H4049" s="17">
        <v>7</v>
      </c>
      <c r="I4049" s="30"/>
      <c r="J4049" s="62" t="s">
        <v>478</v>
      </c>
      <c r="K4049" s="62" t="s">
        <v>2891</v>
      </c>
      <c r="O4049" s="62" t="b">
        <f>IF(E4049="PA",IF(K4049&lt;&gt;"",ISERROR(VLOOKUP(K4049,ABBR!A:D,1,FALSE)),ISERROR(VLOOKUP(C4049,ABBR!A:D,1,FALSE))),"")</f>
        <v>0</v>
      </c>
      <c r="P4049" t="str">
        <f>VLOOKUP(A4049,Groups!A:L,5,FALSE)</f>
        <v>LOCA</v>
      </c>
      <c r="Q4049" s="62" t="str">
        <f>IF(G4049="PA",IF(M4049&lt;&gt;"",ISERROR(VLOOKUP(M4049,ABBR!C:F,1,FALSE)),ISERROR(VLOOKUP(E4049,ABBR!C:F,1,FALSE))),"")</f>
        <v/>
      </c>
    </row>
  </sheetData>
  <autoFilter ref="A1:Q4042" xr:uid="{36749B22-46ED-4F5D-829D-0A331DF381DF}">
    <filterColumn colId="0">
      <filters>
        <filter val="SOLC"/>
      </filters>
    </filterColumn>
  </autoFilter>
  <sortState xmlns:xlrd2="http://schemas.microsoft.com/office/spreadsheetml/2017/richdata2" ref="A2:Q4030">
    <sortCondition ref="A2:A4030"/>
    <sortCondition ref="H2:H4030"/>
  </sortState>
  <dataConsolidate/>
  <customSheetViews>
    <customSheetView guid="{8BEC7B35-1120-4355-8562-5F01AA824295}" showPageBreaks="1" fitToPage="1" showAutoFilter="1" hiddenRows="1">
      <pane xSplit="1" ySplit="1" topLeftCell="C896" activePane="bottomRight" state="frozen"/>
      <selection pane="bottomRight" activeCell="F903" sqref="F903"/>
      <pageMargins left="0" right="0" top="0" bottom="0" header="0" footer="0"/>
      <pageSetup paperSize="9" scale="72" fitToHeight="0" orientation="portrait" r:id="rId1"/>
      <headerFooter alignWithMargins="0">
        <oddHeader>&amp;C&amp;"Arial,Bold"&amp;14AGS4 DATA DICTIONARY - HEADINGS</oddHeader>
        <oddFooter>&amp;L&amp;D, &amp;T&amp;RPage &amp;P of &amp;N</oddFooter>
      </headerFooter>
      <autoFilter ref="A1:H2304" xr:uid="{BC4EBCD7-E7C4-40A5-8734-BF96F92687B4}"/>
    </customSheetView>
  </customSheetViews>
  <conditionalFormatting sqref="A1235 A1883:A1893 A2216 A44:A61 A85:A87 A110:A129 A132:A149 A178:A199 A202:A215 A224:A227 A242:A272 A1426:A1445 A1753:A1769 A64:A82 A152:A175 A274:A324 A344:A348 A326:A338 A458:A493 A1153:A1214 A1216:A1232 A1243:A1258 A1265:A1275 A1448:A1481 A1484:A1515 A1856:A1877 A2093:A2143 A2146:A2168 A2171:A2202 A2567:A2600 A23:A25 A89:A90 A217 A341:A342 A1773:A1777 A1944:A1946 A1779:A1783 A2233:A2236 A374:A406 A1551:A1563 A13:A21 A219:A222 A495:A790 A1948:A1953 A2:A11 A28:A41 A1909:A1939 A2956:A3339 A1807:A1830 A1288:A1309 A1345:A1351 A2645:A2674 A3740:A3966 A3968 A411:A456 A3986:A3996 A4014:A4017 A1879:A1880 A1832:A1849 A1851:A1853 A1895:A1904 A1907 A1960 A2011:A2091 A2240:A2461 A2464:A2495 A2676:A2736 A2888:A2895 A3341:A3364 A3511:A3553 A1131:A1151 A1278:A1285 A3557:A3737 A3366:A3508 A1962:A2009 A92:A106 A229:A240 A350:A372 A793:A869 A1008:A1127 A1565:A1583 A1630:A1643 A1645:A1679 A1681:A1697 A1699:A1751 A1805 A2738:A2796 A2798:A2885 A2897:A2954 A3998:A4003 A871:A1005 A1785:A1803 A2497:A2564 A1312:A1342 A2219:A2231 A1392:A1399 A1354:A1388 A1406:A1424 A1585:A1628">
    <cfRule type="expression" dxfId="184" priority="799" stopIfTrue="1">
      <formula>ISERROR(MATCH(A2,GroupNames,FALSE))</formula>
    </cfRule>
  </conditionalFormatting>
  <conditionalFormatting sqref="C2027:C2032 C2021 C2014 C1982:C1993 C2045:C2206 C1773:C1777 C1821:C1830 C1807:C1819 C1943:C1946 C1998 C2001 C2208:C2213 C2233:C2237 C2292:C2295 C2239:C2290 C2297:C2311 C2313:C2320 C2364:C2371 C2322:C2362 C2373:C2624 C1958 C1948:C1955 C1832:C1941 C1961 C1795:C1805 C2632:C2970 C1779:C1793 C2972:C4042 C2215:C2231 C2:C1771 C4050:C4448">
    <cfRule type="expression" dxfId="183" priority="796" stopIfTrue="1">
      <formula>MID(C2,1,4)&lt;&gt;A2</formula>
    </cfRule>
    <cfRule type="expression" dxfId="182" priority="797" stopIfTrue="1">
      <formula>COUNTIF(C:C,C2)&gt;1</formula>
    </cfRule>
  </conditionalFormatting>
  <conditionalFormatting sqref="A1152">
    <cfRule type="expression" dxfId="181" priority="792" stopIfTrue="1">
      <formula>ISERROR(MATCH(A1152,GroupNames,FALSE))</formula>
    </cfRule>
  </conditionalFormatting>
  <conditionalFormatting sqref="A1233">
    <cfRule type="expression" dxfId="180" priority="789" stopIfTrue="1">
      <formula>ISERROR(MATCH(A1233,GroupNames,FALSE))</formula>
    </cfRule>
  </conditionalFormatting>
  <conditionalFormatting sqref="A1287">
    <cfRule type="expression" dxfId="179" priority="783" stopIfTrue="1">
      <formula>ISERROR(MATCH(A1287,GroupNames,FALSE))</formula>
    </cfRule>
  </conditionalFormatting>
  <conditionalFormatting sqref="A1312">
    <cfRule type="expression" dxfId="178" priority="779" stopIfTrue="1">
      <formula>ISERROR(MATCH(A1312,GroupNames,FALSE))</formula>
    </cfRule>
  </conditionalFormatting>
  <conditionalFormatting sqref="A1344">
    <cfRule type="expression" dxfId="177" priority="775" stopIfTrue="1">
      <formula>ISERROR(MATCH(A1344,GroupNames,FALSE))</formula>
    </cfRule>
  </conditionalFormatting>
  <conditionalFormatting sqref="A1447">
    <cfRule type="expression" dxfId="176" priority="771" stopIfTrue="1">
      <formula>ISERROR(MATCH(A1447,GroupNames,FALSE))</formula>
    </cfRule>
  </conditionalFormatting>
  <conditionalFormatting sqref="A1517:A1522 A1526:A1539 A1541:A1550">
    <cfRule type="expression" dxfId="175" priority="763" stopIfTrue="1">
      <formula>ISERROR(MATCH(A1517,GroupNames,FALSE))</formula>
    </cfRule>
  </conditionalFormatting>
  <conditionalFormatting sqref="A1242:A1243">
    <cfRule type="expression" dxfId="174" priority="748" stopIfTrue="1">
      <formula>ISERROR(MATCH(A1242,GroupNames,FALSE))</formula>
    </cfRule>
  </conditionalFormatting>
  <conditionalFormatting sqref="A1241">
    <cfRule type="expression" dxfId="173" priority="747" stopIfTrue="1">
      <formula>ISERROR(MATCH(A1241,GroupNames,FALSE))</formula>
    </cfRule>
  </conditionalFormatting>
  <conditionalFormatting sqref="A1240">
    <cfRule type="expression" dxfId="172" priority="746" stopIfTrue="1">
      <formula>ISERROR(MATCH(A1240,GroupNames,FALSE))</formula>
    </cfRule>
  </conditionalFormatting>
  <conditionalFormatting sqref="A1239">
    <cfRule type="expression" dxfId="171" priority="745" stopIfTrue="1">
      <formula>ISERROR(MATCH(A1239,GroupNames,FALSE))</formula>
    </cfRule>
  </conditionalFormatting>
  <conditionalFormatting sqref="A1238">
    <cfRule type="expression" dxfId="170" priority="744" stopIfTrue="1">
      <formula>ISERROR(MATCH(A1238,GroupNames,FALSE))</formula>
    </cfRule>
  </conditionalFormatting>
  <conditionalFormatting sqref="A1237">
    <cfRule type="expression" dxfId="169" priority="743" stopIfTrue="1">
      <formula>ISERROR(MATCH(A1237,GroupNames,FALSE))</formula>
    </cfRule>
  </conditionalFormatting>
  <conditionalFormatting sqref="A1236">
    <cfRule type="expression" dxfId="168" priority="742" stopIfTrue="1">
      <formula>ISERROR(MATCH(A1236,GroupNames,FALSE))</formula>
    </cfRule>
  </conditionalFormatting>
  <conditionalFormatting sqref="A1259">
    <cfRule type="expression" dxfId="167" priority="737" stopIfTrue="1">
      <formula>ISERROR(MATCH(A1259,GroupNames,FALSE))</formula>
    </cfRule>
  </conditionalFormatting>
  <conditionalFormatting sqref="A1260">
    <cfRule type="expression" dxfId="166" priority="736" stopIfTrue="1">
      <formula>ISERROR(MATCH(A1260,GroupNames,FALSE))</formula>
    </cfRule>
  </conditionalFormatting>
  <conditionalFormatting sqref="A1261">
    <cfRule type="expression" dxfId="165" priority="735" stopIfTrue="1">
      <formula>ISERROR(MATCH(A1261,GroupNames,FALSE))</formula>
    </cfRule>
  </conditionalFormatting>
  <conditionalFormatting sqref="A1262">
    <cfRule type="expression" dxfId="164" priority="734" stopIfTrue="1">
      <formula>ISERROR(MATCH(A1262,GroupNames,FALSE))</formula>
    </cfRule>
  </conditionalFormatting>
  <conditionalFormatting sqref="A1263">
    <cfRule type="expression" dxfId="163" priority="733" stopIfTrue="1">
      <formula>ISERROR(MATCH(A1263,GroupNames,FALSE))</formula>
    </cfRule>
  </conditionalFormatting>
  <conditionalFormatting sqref="A1264">
    <cfRule type="expression" dxfId="162" priority="732" stopIfTrue="1">
      <formula>ISERROR(MATCH(A1264,GroupNames,FALSE))</formula>
    </cfRule>
  </conditionalFormatting>
  <conditionalFormatting sqref="A1483">
    <cfRule type="expression" dxfId="161" priority="728" stopIfTrue="1">
      <formula>ISERROR(MATCH(A1483,GroupNames,FALSE))</formula>
    </cfRule>
  </conditionalFormatting>
  <conditionalFormatting sqref="A1855">
    <cfRule type="expression" dxfId="160" priority="724" stopIfTrue="1">
      <formula>ISERROR(MATCH(A1855,GroupNames,FALSE))</formula>
    </cfRule>
  </conditionalFormatting>
  <conditionalFormatting sqref="A1882">
    <cfRule type="expression" dxfId="159" priority="720" stopIfTrue="1">
      <formula>ISERROR(MATCH(A1882,GroupNames,FALSE))</formula>
    </cfRule>
  </conditionalFormatting>
  <conditionalFormatting sqref="A2145">
    <cfRule type="expression" dxfId="158" priority="712" stopIfTrue="1">
      <formula>ISERROR(MATCH(A2145,GroupNames,FALSE))</formula>
    </cfRule>
  </conditionalFormatting>
  <conditionalFormatting sqref="A2170:A2173">
    <cfRule type="expression" dxfId="157" priority="708" stopIfTrue="1">
      <formula>ISERROR(MATCH(A2170,GroupNames,FALSE))</formula>
    </cfRule>
  </conditionalFormatting>
  <conditionalFormatting sqref="A2204:A2206 A2208:A2213 A2215">
    <cfRule type="expression" dxfId="156" priority="704" stopIfTrue="1">
      <formula>ISERROR(MATCH(A2204,GroupNames,FALSE))</formula>
    </cfRule>
  </conditionalFormatting>
  <conditionalFormatting sqref="A2239">
    <cfRule type="expression" dxfId="155" priority="700" stopIfTrue="1">
      <formula>ISERROR(MATCH(A2239,GroupNames,FALSE))</formula>
    </cfRule>
  </conditionalFormatting>
  <conditionalFormatting sqref="A2463">
    <cfRule type="expression" dxfId="154" priority="692" stopIfTrue="1">
      <formula>ISERROR(MATCH(A2463,GroupNames,FALSE))</formula>
    </cfRule>
  </conditionalFormatting>
  <conditionalFormatting sqref="A2566">
    <cfRule type="expression" dxfId="153" priority="688" stopIfTrue="1">
      <formula>ISERROR(MATCH(A2566,GroupNames,FALSE))</formula>
    </cfRule>
  </conditionalFormatting>
  <conditionalFormatting sqref="A42">
    <cfRule type="expression" dxfId="152" priority="684" stopIfTrue="1">
      <formula>ISERROR(MATCH(A42,GroupNames,FALSE))</formula>
    </cfRule>
  </conditionalFormatting>
  <conditionalFormatting sqref="A62">
    <cfRule type="expression" dxfId="151" priority="680" stopIfTrue="1">
      <formula>ISERROR(MATCH(A62,GroupNames,FALSE))</formula>
    </cfRule>
  </conditionalFormatting>
  <conditionalFormatting sqref="A83:A84">
    <cfRule type="expression" dxfId="150" priority="676" stopIfTrue="1">
      <formula>ISERROR(MATCH(A83,GroupNames,FALSE))</formula>
    </cfRule>
  </conditionalFormatting>
  <conditionalFormatting sqref="A107">
    <cfRule type="expression" dxfId="149" priority="672" stopIfTrue="1">
      <formula>ISERROR(MATCH(A107,GroupNames,FALSE))</formula>
    </cfRule>
  </conditionalFormatting>
  <conditionalFormatting sqref="A130">
    <cfRule type="expression" dxfId="148" priority="668" stopIfTrue="1">
      <formula>ISERROR(MATCH(A130,GroupNames,FALSE))</formula>
    </cfRule>
  </conditionalFormatting>
  <conditionalFormatting sqref="A150">
    <cfRule type="expression" dxfId="147" priority="664" stopIfTrue="1">
      <formula>ISERROR(MATCH(A150,GroupNames,FALSE))</formula>
    </cfRule>
  </conditionalFormatting>
  <conditionalFormatting sqref="A176">
    <cfRule type="expression" dxfId="146" priority="660" stopIfTrue="1">
      <formula>ISERROR(MATCH(A176,GroupNames,FALSE))</formula>
    </cfRule>
  </conditionalFormatting>
  <conditionalFormatting sqref="A200">
    <cfRule type="expression" dxfId="145" priority="656" stopIfTrue="1">
      <formula>ISERROR(MATCH(A200,GroupNames,FALSE))</formula>
    </cfRule>
  </conditionalFormatting>
  <conditionalFormatting sqref="A223">
    <cfRule type="expression" dxfId="144" priority="652" stopIfTrue="1">
      <formula>ISERROR(MATCH(A223,GroupNames,FALSE))</formula>
    </cfRule>
  </conditionalFormatting>
  <conditionalFormatting sqref="A241">
    <cfRule type="expression" dxfId="143" priority="648" stopIfTrue="1">
      <formula>ISERROR(MATCH(A241,GroupNames,FALSE))</formula>
    </cfRule>
  </conditionalFormatting>
  <conditionalFormatting sqref="A273">
    <cfRule type="expression" dxfId="142" priority="644" stopIfTrue="1">
      <formula>ISERROR(MATCH(A273,GroupNames,FALSE))</formula>
    </cfRule>
  </conditionalFormatting>
  <conditionalFormatting sqref="A343">
    <cfRule type="expression" dxfId="141" priority="640" stopIfTrue="1">
      <formula>ISERROR(MATCH(A343,GroupNames,FALSE))</formula>
    </cfRule>
  </conditionalFormatting>
  <conditionalFormatting sqref="A378:A379">
    <cfRule type="expression" dxfId="140" priority="637" stopIfTrue="1">
      <formula>ISERROR(MATCH(A378,GroupNames,FALSE))</formula>
    </cfRule>
  </conditionalFormatting>
  <conditionalFormatting sqref="A1215">
    <cfRule type="expression" dxfId="139" priority="618" stopIfTrue="1">
      <formula>ISERROR(MATCH(A1215,GroupNames,FALSE))</formula>
    </cfRule>
  </conditionalFormatting>
  <conditionalFormatting sqref="A1234">
    <cfRule type="expression" dxfId="138" priority="615" stopIfTrue="1">
      <formula>ISERROR(MATCH(A1234,GroupNames,FALSE))</formula>
    </cfRule>
  </conditionalFormatting>
  <conditionalFormatting sqref="A1245:A1246">
    <cfRule type="expression" dxfId="137" priority="608" stopIfTrue="1">
      <formula>ISERROR(MATCH(A1245,GroupNames,FALSE))</formula>
    </cfRule>
  </conditionalFormatting>
  <conditionalFormatting sqref="A1286">
    <cfRule type="expression" dxfId="136" priority="603" stopIfTrue="1">
      <formula>ISERROR(MATCH(A1286,GroupNames,FALSE))</formula>
    </cfRule>
  </conditionalFormatting>
  <conditionalFormatting sqref="A1309">
    <cfRule type="expression" dxfId="135" priority="599" stopIfTrue="1">
      <formula>ISERROR(MATCH(A1309,GroupNames,FALSE))</formula>
    </cfRule>
  </conditionalFormatting>
  <conditionalFormatting sqref="A1343">
    <cfRule type="expression" dxfId="134" priority="594" stopIfTrue="1">
      <formula>ISERROR(MATCH(A1343,GroupNames,FALSE))</formula>
    </cfRule>
  </conditionalFormatting>
  <conditionalFormatting sqref="A1425:A1426">
    <cfRule type="expression" dxfId="133" priority="590" stopIfTrue="1">
      <formula>ISERROR(MATCH(A1425,GroupNames,FALSE))</formula>
    </cfRule>
  </conditionalFormatting>
  <conditionalFormatting sqref="A1446">
    <cfRule type="expression" dxfId="132" priority="586" stopIfTrue="1">
      <formula>ISERROR(MATCH(A1446,GroupNames,FALSE))</formula>
    </cfRule>
  </conditionalFormatting>
  <conditionalFormatting sqref="A1482">
    <cfRule type="expression" dxfId="131" priority="574" stopIfTrue="1">
      <formula>ISERROR(MATCH(A1482,GroupNames,FALSE))</formula>
    </cfRule>
  </conditionalFormatting>
  <conditionalFormatting sqref="A1516">
    <cfRule type="expression" dxfId="130" priority="570" stopIfTrue="1">
      <formula>ISERROR(MATCH(A1516,GroupNames,FALSE))</formula>
    </cfRule>
  </conditionalFormatting>
  <conditionalFormatting sqref="A1560:A1561">
    <cfRule type="expression" dxfId="129" priority="566" stopIfTrue="1">
      <formula>ISERROR(MATCH(A1560,GroupNames,FALSE))</formula>
    </cfRule>
  </conditionalFormatting>
  <conditionalFormatting sqref="A1752:A1753">
    <cfRule type="expression" dxfId="128" priority="554" stopIfTrue="1">
      <formula>ISERROR(MATCH(A1752,GroupNames,FALSE))</formula>
    </cfRule>
  </conditionalFormatting>
  <conditionalFormatting sqref="A1796">
    <cfRule type="expression" dxfId="127" priority="550" stopIfTrue="1">
      <formula>ISERROR(MATCH(A1796,GroupNames,FALSE))</formula>
    </cfRule>
  </conditionalFormatting>
  <conditionalFormatting sqref="A1796">
    <cfRule type="expression" dxfId="126" priority="545" stopIfTrue="1">
      <formula>ISERROR(MATCH(A1796,GroupNames,FALSE))</formula>
    </cfRule>
  </conditionalFormatting>
  <conditionalFormatting sqref="A1854">
    <cfRule type="expression" dxfId="125" priority="540" stopIfTrue="1">
      <formula>ISERROR(MATCH(A1854,GroupNames,FALSE))</formula>
    </cfRule>
  </conditionalFormatting>
  <conditionalFormatting sqref="A1881">
    <cfRule type="expression" dxfId="124" priority="536" stopIfTrue="1">
      <formula>ISERROR(MATCH(A1881,GroupNames,FALSE))</formula>
    </cfRule>
  </conditionalFormatting>
  <conditionalFormatting sqref="A1908">
    <cfRule type="expression" dxfId="123" priority="532" stopIfTrue="1">
      <formula>ISERROR(MATCH(A1908,GroupNames,FALSE))</formula>
    </cfRule>
  </conditionalFormatting>
  <conditionalFormatting sqref="A2092">
    <cfRule type="expression" dxfId="122" priority="524" stopIfTrue="1">
      <formula>ISERROR(MATCH(A2092,GroupNames,FALSE))</formula>
    </cfRule>
  </conditionalFormatting>
  <conditionalFormatting sqref="A2144">
    <cfRule type="expression" dxfId="121" priority="515" stopIfTrue="1">
      <formula>ISERROR(MATCH(A2144,GroupNames,FALSE))</formula>
    </cfRule>
  </conditionalFormatting>
  <conditionalFormatting sqref="A2169">
    <cfRule type="expression" dxfId="120" priority="511" stopIfTrue="1">
      <formula>ISERROR(MATCH(A2169,GroupNames,FALSE))</formula>
    </cfRule>
  </conditionalFormatting>
  <conditionalFormatting sqref="A2203">
    <cfRule type="expression" dxfId="119" priority="507" stopIfTrue="1">
      <formula>ISERROR(MATCH(A2203,GroupNames,FALSE))</formula>
    </cfRule>
  </conditionalFormatting>
  <conditionalFormatting sqref="A2237">
    <cfRule type="expression" dxfId="118" priority="503" stopIfTrue="1">
      <formula>ISERROR(MATCH(A2237,GroupNames,FALSE))</formula>
    </cfRule>
  </conditionalFormatting>
  <conditionalFormatting sqref="A2462">
    <cfRule type="expression" dxfId="117" priority="495" stopIfTrue="1">
      <formula>ISERROR(MATCH(A2462,GroupNames,FALSE))</formula>
    </cfRule>
  </conditionalFormatting>
  <conditionalFormatting sqref="A2496">
    <cfRule type="expression" dxfId="116" priority="491" stopIfTrue="1">
      <formula>ISERROR(MATCH(A2496,GroupNames,FALSE))</formula>
    </cfRule>
  </conditionalFormatting>
  <conditionalFormatting sqref="A2565">
    <cfRule type="expression" dxfId="115" priority="487" stopIfTrue="1">
      <formula>ISERROR(MATCH(A2565,GroupNames,FALSE))</formula>
    </cfRule>
  </conditionalFormatting>
  <conditionalFormatting sqref="A494">
    <cfRule type="expression" dxfId="114" priority="443" stopIfTrue="1">
      <formula>ISERROR(MATCH(A494,GroupNames,FALSE))</formula>
    </cfRule>
  </conditionalFormatting>
  <conditionalFormatting sqref="A63">
    <cfRule type="expression" dxfId="113" priority="422" stopIfTrue="1">
      <formula>ISERROR(MATCH(A63,GroupNames,FALSE))</formula>
    </cfRule>
  </conditionalFormatting>
  <conditionalFormatting sqref="A84">
    <cfRule type="expression" dxfId="112" priority="418" stopIfTrue="1">
      <formula>ISERROR(MATCH(A84,GroupNames,FALSE))</formula>
    </cfRule>
  </conditionalFormatting>
  <conditionalFormatting sqref="A109">
    <cfRule type="expression" dxfId="111" priority="413" stopIfTrue="1">
      <formula>ISERROR(MATCH(A109,GroupNames,FALSE))</formula>
    </cfRule>
  </conditionalFormatting>
  <conditionalFormatting sqref="A131">
    <cfRule type="expression" dxfId="110" priority="409" stopIfTrue="1">
      <formula>ISERROR(MATCH(A131,GroupNames,FALSE))</formula>
    </cfRule>
  </conditionalFormatting>
  <conditionalFormatting sqref="A151">
    <cfRule type="expression" dxfId="109" priority="405" stopIfTrue="1">
      <formula>ISERROR(MATCH(A151,GroupNames,FALSE))</formula>
    </cfRule>
  </conditionalFormatting>
  <conditionalFormatting sqref="A177">
    <cfRule type="expression" dxfId="108" priority="401" stopIfTrue="1">
      <formula>ISERROR(MATCH(A177,GroupNames,FALSE))</formula>
    </cfRule>
  </conditionalFormatting>
  <conditionalFormatting sqref="A201">
    <cfRule type="expression" dxfId="107" priority="397" stopIfTrue="1">
      <formula>ISERROR(MATCH(A201,GroupNames,FALSE))</formula>
    </cfRule>
  </conditionalFormatting>
  <conditionalFormatting sqref="A457">
    <cfRule type="expression" dxfId="106" priority="396" stopIfTrue="1">
      <formula>ISERROR(MATCH(A457,GroupNames,FALSE))</formula>
    </cfRule>
  </conditionalFormatting>
  <conditionalFormatting sqref="C2624:C2631">
    <cfRule type="expression" dxfId="105" priority="808" stopIfTrue="1">
      <formula>MID(C2624,1,4)&lt;&gt;A2627</formula>
    </cfRule>
    <cfRule type="expression" dxfId="104" priority="809" stopIfTrue="1">
      <formula>COUNTIF(C:C,C2624)&gt;1</formula>
    </cfRule>
  </conditionalFormatting>
  <conditionalFormatting sqref="C2625:C2631">
    <cfRule type="expression" dxfId="103" priority="820" stopIfTrue="1">
      <formula>MID(C2625,1,4)&lt;&gt;A2629</formula>
    </cfRule>
    <cfRule type="expression" dxfId="102" priority="821" stopIfTrue="1">
      <formula>COUNTIF(C:C,C2625)&gt;1</formula>
    </cfRule>
  </conditionalFormatting>
  <conditionalFormatting sqref="A43">
    <cfRule type="expression" dxfId="101" priority="369" stopIfTrue="1">
      <formula>ISERROR(MATCH(A43,GroupNames,FALSE))</formula>
    </cfRule>
  </conditionalFormatting>
  <conditionalFormatting sqref="A325">
    <cfRule type="expression" dxfId="100" priority="358" stopIfTrue="1">
      <formula>ISERROR(MATCH(A325,GroupNames,FALSE))</formula>
    </cfRule>
  </conditionalFormatting>
  <conditionalFormatting sqref="A373">
    <cfRule type="expression" dxfId="99" priority="354" stopIfTrue="1">
      <formula>ISERROR(MATCH(A373,GroupNames,FALSE))</formula>
    </cfRule>
  </conditionalFormatting>
  <conditionalFormatting sqref="A1918">
    <cfRule type="expression" dxfId="98" priority="351" stopIfTrue="1">
      <formula>ISERROR(MATCH(A1918,GroupNames,FALSE))</formula>
    </cfRule>
  </conditionalFormatting>
  <conditionalFormatting sqref="A12">
    <cfRule type="expression" dxfId="97" priority="347" stopIfTrue="1">
      <formula>ISERROR(MATCH(A12,GroupNames,FALSE))</formula>
    </cfRule>
  </conditionalFormatting>
  <conditionalFormatting sqref="A22">
    <cfRule type="expression" dxfId="96" priority="343" stopIfTrue="1">
      <formula>ISERROR(MATCH(A22,GroupNames,FALSE))</formula>
    </cfRule>
  </conditionalFormatting>
  <conditionalFormatting sqref="A88">
    <cfRule type="expression" dxfId="95" priority="340" stopIfTrue="1">
      <formula>ISERROR(MATCH(A88,GroupNames,FALSE))</formula>
    </cfRule>
  </conditionalFormatting>
  <conditionalFormatting sqref="A216">
    <cfRule type="expression" dxfId="94" priority="337" stopIfTrue="1">
      <formula>ISERROR(MATCH(A216,GroupNames,FALSE))</formula>
    </cfRule>
  </conditionalFormatting>
  <conditionalFormatting sqref="A339">
    <cfRule type="expression" dxfId="93" priority="334" stopIfTrue="1">
      <formula>ISERROR(MATCH(A339,GroupNames,FALSE))</formula>
    </cfRule>
  </conditionalFormatting>
  <conditionalFormatting sqref="A1770:A1772">
    <cfRule type="expression" dxfId="92" priority="330" stopIfTrue="1">
      <formula>ISERROR(MATCH(A1770,GroupNames,FALSE))</formula>
    </cfRule>
  </conditionalFormatting>
  <conditionalFormatting sqref="A1778">
    <cfRule type="expression" dxfId="91" priority="328" stopIfTrue="1">
      <formula>ISERROR(MATCH(A1778,GroupNames,FALSE))</formula>
    </cfRule>
  </conditionalFormatting>
  <conditionalFormatting sqref="A1806">
    <cfRule type="expression" dxfId="90" priority="323" stopIfTrue="1">
      <formula>ISERROR(MATCH(A1806,GroupNames,FALSE))</formula>
    </cfRule>
  </conditionalFormatting>
  <conditionalFormatting sqref="A1831">
    <cfRule type="expression" dxfId="89" priority="319" stopIfTrue="1">
      <formula>ISERROR(MATCH(A1831,GroupNames,FALSE))</formula>
    </cfRule>
  </conditionalFormatting>
  <conditionalFormatting sqref="A1940:A1943">
    <cfRule type="expression" dxfId="88" priority="315" stopIfTrue="1">
      <formula>ISERROR(MATCH(A1940,GroupNames,FALSE))</formula>
    </cfRule>
  </conditionalFormatting>
  <conditionalFormatting sqref="A1947">
    <cfRule type="expression" dxfId="87" priority="313" stopIfTrue="1">
      <formula>ISERROR(MATCH(A1947,GroupNames,FALSE))</formula>
    </cfRule>
  </conditionalFormatting>
  <conditionalFormatting sqref="A2010">
    <cfRule type="expression" dxfId="86" priority="308" stopIfTrue="1">
      <formula>ISERROR(MATCH(A2010,GroupNames,FALSE))</formula>
    </cfRule>
  </conditionalFormatting>
  <conditionalFormatting sqref="A2207">
    <cfRule type="expression" dxfId="85" priority="304" stopIfTrue="1">
      <formula>ISERROR(MATCH(A2207,GroupNames,FALSE))</formula>
    </cfRule>
  </conditionalFormatting>
  <conditionalFormatting sqref="A2214">
    <cfRule type="expression" dxfId="84" priority="305" stopIfTrue="1">
      <formula>ISERROR(MATCH(A2214,GroupNames,FALSE))</formula>
    </cfRule>
  </conditionalFormatting>
  <conditionalFormatting sqref="A2232">
    <cfRule type="expression" dxfId="83" priority="302" stopIfTrue="1">
      <formula>ISERROR(MATCH(A2232,GroupNames,FALSE))</formula>
    </cfRule>
  </conditionalFormatting>
  <conditionalFormatting sqref="A2238">
    <cfRule type="expression" dxfId="82" priority="300" stopIfTrue="1">
      <formula>ISERROR(MATCH(A2238,GroupNames,FALSE))</formula>
    </cfRule>
  </conditionalFormatting>
  <conditionalFormatting sqref="A218">
    <cfRule type="expression" dxfId="81" priority="281" stopIfTrue="1">
      <formula>ISERROR(MATCH(A218,GroupNames,FALSE))</formula>
    </cfRule>
  </conditionalFormatting>
  <conditionalFormatting sqref="A26">
    <cfRule type="expression" dxfId="80" priority="280" stopIfTrue="1">
      <formula>ISERROR(MATCH(A26,GroupNames,FALSE))</formula>
    </cfRule>
  </conditionalFormatting>
  <conditionalFormatting sqref="A27">
    <cfRule type="expression" dxfId="79" priority="277" stopIfTrue="1">
      <formula>ISERROR(MATCH(A27,GroupNames,FALSE))</formula>
    </cfRule>
  </conditionalFormatting>
  <conditionalFormatting sqref="A2955">
    <cfRule type="expression" dxfId="78" priority="274" stopIfTrue="1">
      <formula>ISERROR(MATCH(A2955,GroupNames,FALSE))</formula>
    </cfRule>
  </conditionalFormatting>
  <conditionalFormatting sqref="A3738:A3739">
    <cfRule type="expression" dxfId="77" priority="271" stopIfTrue="1">
      <formula>ISERROR(MATCH(A3738,GroupNames,FALSE))</formula>
    </cfRule>
  </conditionalFormatting>
  <conditionalFormatting sqref="A3967">
    <cfRule type="expression" dxfId="76" priority="261" stopIfTrue="1">
      <formula>ISERROR(MATCH(A3967,GroupNames,FALSE))</formula>
    </cfRule>
  </conditionalFormatting>
  <conditionalFormatting sqref="A3969:A3975 A3977:A3985">
    <cfRule type="expression" dxfId="75" priority="260" stopIfTrue="1">
      <formula>ISERROR(MATCH(A3969,GroupNames,FALSE))</formula>
    </cfRule>
  </conditionalFormatting>
  <conditionalFormatting sqref="A3976">
    <cfRule type="expression" dxfId="74" priority="252" stopIfTrue="1">
      <formula>ISERROR(MATCH(A3976,GroupNames,FALSE))</formula>
    </cfRule>
  </conditionalFormatting>
  <conditionalFormatting sqref="A407:A410">
    <cfRule type="expression" dxfId="73" priority="251" stopIfTrue="1">
      <formula>ISERROR(MATCH(A407,GroupNames,FALSE))</formula>
    </cfRule>
  </conditionalFormatting>
  <conditionalFormatting sqref="A4004:A4017">
    <cfRule type="expression" dxfId="72" priority="248" stopIfTrue="1">
      <formula>ISERROR(MATCH(A4004,GroupNames,FALSE))</formula>
    </cfRule>
  </conditionalFormatting>
  <conditionalFormatting sqref="A1523">
    <cfRule type="expression" dxfId="71" priority="238" stopIfTrue="1">
      <formula>ISERROR(MATCH(A1523,GroupNames,FALSE))</formula>
    </cfRule>
  </conditionalFormatting>
  <conditionalFormatting sqref="A1525">
    <cfRule type="expression" dxfId="70" priority="233" stopIfTrue="1">
      <formula>ISERROR(MATCH(A1525,GroupNames,FALSE))</formula>
    </cfRule>
  </conditionalFormatting>
  <conditionalFormatting sqref="A1866">
    <cfRule type="expression" dxfId="69" priority="229" stopIfTrue="1">
      <formula>ISERROR(MATCH(A1866,GroupNames,FALSE))</formula>
    </cfRule>
  </conditionalFormatting>
  <conditionalFormatting sqref="A1878">
    <cfRule type="expression" dxfId="68" priority="228" stopIfTrue="1">
      <formula>ISERROR(MATCH(A1878,GroupNames,FALSE))</formula>
    </cfRule>
  </conditionalFormatting>
  <conditionalFormatting sqref="A1850">
    <cfRule type="expression" dxfId="67" priority="220" stopIfTrue="1">
      <formula>ISERROR(MATCH(A1850,GroupNames,FALSE))</formula>
    </cfRule>
  </conditionalFormatting>
  <conditionalFormatting sqref="A1894">
    <cfRule type="expression" dxfId="66" priority="219" stopIfTrue="1">
      <formula>ISERROR(MATCH(A1894,GroupNames,FALSE))</formula>
    </cfRule>
  </conditionalFormatting>
  <conditionalFormatting sqref="A1894">
    <cfRule type="expression" dxfId="65" priority="216" stopIfTrue="1">
      <formula>ISERROR(MATCH(A1894,GroupNames,FALSE))</formula>
    </cfRule>
  </conditionalFormatting>
  <conditionalFormatting sqref="A1906">
    <cfRule type="expression" dxfId="64" priority="212" stopIfTrue="1">
      <formula>ISERROR(MATCH(A1906,GroupNames,FALSE))</formula>
    </cfRule>
  </conditionalFormatting>
  <conditionalFormatting sqref="A1954:A1959">
    <cfRule type="expression" dxfId="63" priority="204" stopIfTrue="1">
      <formula>ISERROR(MATCH(A1954,GroupNames,FALSE))</formula>
    </cfRule>
  </conditionalFormatting>
  <conditionalFormatting sqref="A2675">
    <cfRule type="expression" dxfId="62" priority="201" stopIfTrue="1">
      <formula>ISERROR(MATCH(A2675,GroupNames,FALSE))</formula>
    </cfRule>
  </conditionalFormatting>
  <conditionalFormatting sqref="A2886">
    <cfRule type="expression" dxfId="61" priority="198" stopIfTrue="1">
      <formula>ISERROR(MATCH(A2886,GroupNames,FALSE))</formula>
    </cfRule>
  </conditionalFormatting>
  <conditionalFormatting sqref="A2887">
    <cfRule type="expression" dxfId="60" priority="197" stopIfTrue="1">
      <formula>ISERROR(MATCH(A2887,GroupNames,FALSE))</formula>
    </cfRule>
  </conditionalFormatting>
  <conditionalFormatting sqref="A3340">
    <cfRule type="expression" dxfId="59" priority="193" stopIfTrue="1">
      <formula>ISERROR(MATCH(A3340,GroupNames,FALSE))</formula>
    </cfRule>
  </conditionalFormatting>
  <conditionalFormatting sqref="A3509">
    <cfRule type="expression" dxfId="58" priority="192" stopIfTrue="1">
      <formula>ISERROR(MATCH(A3509,GroupNames,FALSE))</formula>
    </cfRule>
  </conditionalFormatting>
  <conditionalFormatting sqref="A3554">
    <cfRule type="expression" dxfId="57" priority="189" stopIfTrue="1">
      <formula>ISERROR(MATCH(A3554,GroupNames,FALSE))</formula>
    </cfRule>
  </conditionalFormatting>
  <conditionalFormatting sqref="A4019:A4030">
    <cfRule type="expression" dxfId="56" priority="186" stopIfTrue="1">
      <formula>ISERROR(MATCH(A4019,GroupNames,FALSE))</formula>
    </cfRule>
  </conditionalFormatting>
  <conditionalFormatting sqref="A4018">
    <cfRule type="expression" dxfId="55" priority="183" stopIfTrue="1">
      <formula>ISERROR(MATCH(A4018,GroupNames,FALSE))</formula>
    </cfRule>
  </conditionalFormatting>
  <conditionalFormatting sqref="A3556">
    <cfRule type="expression" dxfId="54" priority="177" stopIfTrue="1">
      <formula>ISERROR(MATCH(A3556,GroupNames,FALSE))</formula>
    </cfRule>
  </conditionalFormatting>
  <conditionalFormatting sqref="A3555">
    <cfRule type="expression" dxfId="53" priority="174" stopIfTrue="1">
      <formula>ISERROR(MATCH(A3555,GroupNames,FALSE))</formula>
    </cfRule>
  </conditionalFormatting>
  <conditionalFormatting sqref="A3510">
    <cfRule type="expression" dxfId="52" priority="173" stopIfTrue="1">
      <formula>ISERROR(MATCH(A3510,GroupNames,FALSE))</formula>
    </cfRule>
  </conditionalFormatting>
  <conditionalFormatting sqref="A1130">
    <cfRule type="expression" dxfId="51" priority="170" stopIfTrue="1">
      <formula>ISERROR(MATCH(A1130,GroupNames,FALSE))</formula>
    </cfRule>
  </conditionalFormatting>
  <conditionalFormatting sqref="A1129">
    <cfRule type="expression" dxfId="50" priority="167" stopIfTrue="1">
      <formula>ISERROR(MATCH(A1129,GroupNames,FALSE))</formula>
    </cfRule>
  </conditionalFormatting>
  <conditionalFormatting sqref="A1128">
    <cfRule type="expression" dxfId="49" priority="165" stopIfTrue="1">
      <formula>ISERROR(MATCH(A1128,GroupNames,FALSE))</formula>
    </cfRule>
  </conditionalFormatting>
  <conditionalFormatting sqref="A1277">
    <cfRule type="expression" dxfId="48" priority="162" stopIfTrue="1">
      <formula>ISERROR(MATCH(A1277,GroupNames,FALSE))</formula>
    </cfRule>
  </conditionalFormatting>
  <conditionalFormatting sqref="A1276">
    <cfRule type="expression" dxfId="47" priority="161" stopIfTrue="1">
      <formula>ISERROR(MATCH(A1276,GroupNames,FALSE))</formula>
    </cfRule>
  </conditionalFormatting>
  <conditionalFormatting sqref="A3649">
    <cfRule type="expression" dxfId="46" priority="156" stopIfTrue="1">
      <formula>ISERROR(MATCH(A3649,GroupNames,FALSE))</formula>
    </cfRule>
  </conditionalFormatting>
  <conditionalFormatting sqref="A1905">
    <cfRule type="expression" dxfId="45" priority="155" stopIfTrue="1">
      <formula>ISERROR(MATCH(A1905,GroupNames,FALSE))</formula>
    </cfRule>
  </conditionalFormatting>
  <conditionalFormatting sqref="A3365">
    <cfRule type="expression" dxfId="44" priority="152" stopIfTrue="1">
      <formula>ISERROR(MATCH(A3365,GroupNames,FALSE))</formula>
    </cfRule>
  </conditionalFormatting>
  <conditionalFormatting sqref="A1961">
    <cfRule type="expression" dxfId="43" priority="147" stopIfTrue="1">
      <formula>ISERROR(MATCH(A1961,GroupNames,FALSE))</formula>
    </cfRule>
  </conditionalFormatting>
  <conditionalFormatting sqref="A91">
    <cfRule type="expression" dxfId="42" priority="146" stopIfTrue="1">
      <formula>ISERROR(MATCH(A91,GroupNames,FALSE))</formula>
    </cfRule>
  </conditionalFormatting>
  <conditionalFormatting sqref="A108">
    <cfRule type="expression" dxfId="41" priority="143" stopIfTrue="1">
      <formula>ISERROR(MATCH(A108,GroupNames,FALSE))</formula>
    </cfRule>
  </conditionalFormatting>
  <conditionalFormatting sqref="A228">
    <cfRule type="expression" dxfId="40" priority="138" stopIfTrue="1">
      <formula>ISERROR(MATCH(A228,GroupNames,FALSE))</formula>
    </cfRule>
  </conditionalFormatting>
  <conditionalFormatting sqref="A340">
    <cfRule type="expression" dxfId="39" priority="135" stopIfTrue="1">
      <formula>ISERROR(MATCH(A340,GroupNames,FALSE))</formula>
    </cfRule>
  </conditionalFormatting>
  <conditionalFormatting sqref="A349">
    <cfRule type="expression" dxfId="38" priority="134" stopIfTrue="1">
      <formula>ISERROR(MATCH(A349,GroupNames,FALSE))</formula>
    </cfRule>
  </conditionalFormatting>
  <conditionalFormatting sqref="A791">
    <cfRule type="expression" dxfId="37" priority="131" stopIfTrue="1">
      <formula>ISERROR(MATCH(A791,GroupNames,FALSE))</formula>
    </cfRule>
  </conditionalFormatting>
  <conditionalFormatting sqref="A792">
    <cfRule type="expression" dxfId="36" priority="128" stopIfTrue="1">
      <formula>ISERROR(MATCH(A792,GroupNames,FALSE))</formula>
    </cfRule>
  </conditionalFormatting>
  <conditionalFormatting sqref="A1006">
    <cfRule type="expression" dxfId="35" priority="127" stopIfTrue="1">
      <formula>ISERROR(MATCH(A1006,GroupNames,FALSE))</formula>
    </cfRule>
  </conditionalFormatting>
  <conditionalFormatting sqref="A1007">
    <cfRule type="expression" dxfId="34" priority="124" stopIfTrue="1">
      <formula>ISERROR(MATCH(A1007,GroupNames,FALSE))</formula>
    </cfRule>
  </conditionalFormatting>
  <conditionalFormatting sqref="A1524">
    <cfRule type="expression" dxfId="33" priority="121" stopIfTrue="1">
      <formula>ISERROR(MATCH(A1524,GroupNames,FALSE))</formula>
    </cfRule>
  </conditionalFormatting>
  <conditionalFormatting sqref="A1564">
    <cfRule type="expression" dxfId="32" priority="120" stopIfTrue="1">
      <formula>ISERROR(MATCH(A1564,GroupNames,FALSE))</formula>
    </cfRule>
  </conditionalFormatting>
  <conditionalFormatting sqref="A1584">
    <cfRule type="expression" dxfId="31" priority="115" stopIfTrue="1">
      <formula>ISERROR(MATCH(A1584,GroupNames,FALSE))</formula>
    </cfRule>
  </conditionalFormatting>
  <conditionalFormatting sqref="A1629">
    <cfRule type="expression" dxfId="30" priority="110" stopIfTrue="1">
      <formula>ISERROR(MATCH(A1629,GroupNames,FALSE))</formula>
    </cfRule>
  </conditionalFormatting>
  <conditionalFormatting sqref="A1644">
    <cfRule type="expression" dxfId="29" priority="105" stopIfTrue="1">
      <formula>ISERROR(MATCH(A1644,GroupNames,FALSE))</formula>
    </cfRule>
  </conditionalFormatting>
  <conditionalFormatting sqref="A1680">
    <cfRule type="expression" dxfId="28" priority="100" stopIfTrue="1">
      <formula>ISERROR(MATCH(A1680,GroupNames,FALSE))</formula>
    </cfRule>
  </conditionalFormatting>
  <conditionalFormatting sqref="A1698">
    <cfRule type="expression" dxfId="27" priority="95" stopIfTrue="1">
      <formula>ISERROR(MATCH(A1698,GroupNames,FALSE))</formula>
    </cfRule>
  </conditionalFormatting>
  <conditionalFormatting sqref="A1804">
    <cfRule type="expression" dxfId="26" priority="90" stopIfTrue="1">
      <formula>ISERROR(MATCH(A1804,GroupNames,FALSE))</formula>
    </cfRule>
  </conditionalFormatting>
  <conditionalFormatting sqref="A2737">
    <cfRule type="expression" dxfId="25" priority="85" stopIfTrue="1">
      <formula>ISERROR(MATCH(A2737,GroupNames,FALSE))</formula>
    </cfRule>
  </conditionalFormatting>
  <conditionalFormatting sqref="A2797">
    <cfRule type="expression" dxfId="24" priority="80" stopIfTrue="1">
      <formula>ISERROR(MATCH(A2797,GroupNames,FALSE))</formula>
    </cfRule>
  </conditionalFormatting>
  <conditionalFormatting sqref="A2896">
    <cfRule type="expression" dxfId="23" priority="75" stopIfTrue="1">
      <formula>ISERROR(MATCH(A2896,GroupNames,FALSE))</formula>
    </cfRule>
  </conditionalFormatting>
  <conditionalFormatting sqref="A3997">
    <cfRule type="expression" dxfId="22" priority="70" stopIfTrue="1">
      <formula>ISERROR(MATCH(A3997,GroupNames,FALSE))</formula>
    </cfRule>
  </conditionalFormatting>
  <conditionalFormatting sqref="A870">
    <cfRule type="expression" dxfId="21" priority="65" stopIfTrue="1">
      <formula>ISERROR(MATCH(A870,GroupNames,FALSE))</formula>
    </cfRule>
  </conditionalFormatting>
  <conditionalFormatting sqref="A1540">
    <cfRule type="expression" dxfId="20" priority="58" stopIfTrue="1">
      <formula>ISERROR(MATCH(A1540,GroupNames,FALSE))</formula>
    </cfRule>
  </conditionalFormatting>
  <conditionalFormatting sqref="A1784">
    <cfRule type="expression" dxfId="19" priority="55" stopIfTrue="1">
      <formula>ISERROR(MATCH(A1784,GroupNames,FALSE))</formula>
    </cfRule>
  </conditionalFormatting>
  <conditionalFormatting sqref="A1311">
    <cfRule type="expression" dxfId="18" priority="43" stopIfTrue="1">
      <formula>ISERROR(MATCH(A1311,GroupNames,FALSE))</formula>
    </cfRule>
  </conditionalFormatting>
  <conditionalFormatting sqref="A1310">
    <cfRule type="expression" dxfId="17" priority="42" stopIfTrue="1">
      <formula>ISERROR(MATCH(A1310,GroupNames,FALSE))</formula>
    </cfRule>
  </conditionalFormatting>
  <conditionalFormatting sqref="A4031:A4034 A4036">
    <cfRule type="expression" dxfId="16" priority="41" stopIfTrue="1">
      <formula>ISERROR(MATCH(A4031,GroupNames,FALSE))</formula>
    </cfRule>
  </conditionalFormatting>
  <conditionalFormatting sqref="A4035">
    <cfRule type="expression" dxfId="15" priority="36" stopIfTrue="1">
      <formula>ISERROR(MATCH(A4035,GroupNames,FALSE))</formula>
    </cfRule>
  </conditionalFormatting>
  <conditionalFormatting sqref="A4037:A4040 A4042">
    <cfRule type="expression" dxfId="14" priority="33" stopIfTrue="1">
      <formula>ISERROR(MATCH(A4037,GroupNames,FALSE))</formula>
    </cfRule>
  </conditionalFormatting>
  <conditionalFormatting sqref="A4041">
    <cfRule type="expression" dxfId="13" priority="32" stopIfTrue="1">
      <formula>ISERROR(MATCH(A4041,GroupNames,FALSE))</formula>
    </cfRule>
  </conditionalFormatting>
  <conditionalFormatting sqref="A2217">
    <cfRule type="expression" dxfId="12" priority="31" stopIfTrue="1">
      <formula>ISERROR(MATCH(A2217,GroupNames,FALSE))</formula>
    </cfRule>
  </conditionalFormatting>
  <conditionalFormatting sqref="A2218">
    <cfRule type="expression" dxfId="11" priority="25" stopIfTrue="1">
      <formula>ISERROR(MATCH(A2218,GroupNames,FALSE))</formula>
    </cfRule>
  </conditionalFormatting>
  <conditionalFormatting sqref="A1353">
    <cfRule type="expression" dxfId="10" priority="24" stopIfTrue="1">
      <formula>ISERROR(MATCH(A1353,GroupNames,FALSE))</formula>
    </cfRule>
  </conditionalFormatting>
  <conditionalFormatting sqref="A1352">
    <cfRule type="expression" dxfId="9" priority="19" stopIfTrue="1">
      <formula>ISERROR(MATCH(A1352,GroupNames,FALSE))</formula>
    </cfRule>
  </conditionalFormatting>
  <conditionalFormatting sqref="A1391">
    <cfRule type="expression" dxfId="8" priority="18" stopIfTrue="1">
      <formula>ISERROR(MATCH(A1391,GroupNames,FALSE))</formula>
    </cfRule>
  </conditionalFormatting>
  <conditionalFormatting sqref="A1390">
    <cfRule type="expression" dxfId="7" priority="15" stopIfTrue="1">
      <formula>ISERROR(MATCH(A1390,GroupNames,FALSE))</formula>
    </cfRule>
  </conditionalFormatting>
  <conditionalFormatting sqref="A1389">
    <cfRule type="expression" dxfId="6" priority="14" stopIfTrue="1">
      <formula>ISERROR(MATCH(A1389,GroupNames,FALSE))</formula>
    </cfRule>
  </conditionalFormatting>
  <conditionalFormatting sqref="A1400:A1405">
    <cfRule type="expression" dxfId="5" priority="13" stopIfTrue="1">
      <formula>ISERROR(MATCH(A1400,GroupNames,FALSE))</formula>
    </cfRule>
  </conditionalFormatting>
  <conditionalFormatting sqref="A4043:A4049">
    <cfRule type="expression" dxfId="3" priority="3" stopIfTrue="1">
      <formula>ISERROR(MATCH(A4043,GroupNames,FALSE))</formula>
    </cfRule>
  </conditionalFormatting>
  <conditionalFormatting sqref="C4043:C4049">
    <cfRule type="expression" dxfId="2" priority="1" stopIfTrue="1">
      <formula>MID(C4043,1,4)&lt;&gt;A4043</formula>
    </cfRule>
    <cfRule type="expression" dxfId="1" priority="2" stopIfTrue="1">
      <formula>COUNTIF(C:C,C4043)&gt;1</formula>
    </cfRule>
  </conditionalFormatting>
  <pageMargins left="0.48" right="0.19" top="0.74" bottom="0.51" header="0.43" footer="0.28999999999999998"/>
  <pageSetup paperSize="9" scale="39" fitToHeight="0" orientation="portrait" r:id="rId2"/>
  <headerFooter alignWithMargins="0">
    <oddHeader>&amp;C&amp;"Arial,Bold"&amp;14AGS4 DATA DICTIONARY - HEADINGS</oddHeader>
    <oddFooter>&amp;L&amp;D, &amp;T&amp;RPage &amp;P of &amp;N</oddFooter>
  </headerFooter>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E1BD5-2CFF-4D89-A192-5ECD2960C9D6}">
  <sheetPr codeName="Sheet3" filterMode="1"/>
  <dimension ref="A1:L1739"/>
  <sheetViews>
    <sheetView workbookViewId="0">
      <pane ySplit="1" topLeftCell="A2" activePane="bottomLeft" state="frozen"/>
      <selection pane="bottomLeft" activeCell="D1734" sqref="D1734:D1739"/>
    </sheetView>
  </sheetViews>
  <sheetFormatPr defaultColWidth="9.1796875" defaultRowHeight="14.5" x14ac:dyDescent="0.35"/>
  <cols>
    <col min="1" max="1" width="12.54296875" style="82" bestFit="1" customWidth="1"/>
    <col min="2" max="2" width="28.7265625" style="84" bestFit="1" customWidth="1"/>
    <col min="3" max="3" width="73.26953125" style="82" customWidth="1"/>
    <col min="4" max="4" width="27" style="83" customWidth="1"/>
    <col min="5" max="5" width="9.7265625" style="82" bestFit="1" customWidth="1"/>
    <col min="6" max="6" width="10.7265625" style="82" bestFit="1" customWidth="1"/>
    <col min="7" max="7" width="118.1796875" style="85" bestFit="1" customWidth="1"/>
    <col min="8" max="8" width="10.1796875" style="82" bestFit="1" customWidth="1"/>
    <col min="9" max="9" width="60.7265625" style="82" bestFit="1" customWidth="1"/>
    <col min="10" max="10" width="92.81640625" style="82" bestFit="1" customWidth="1"/>
    <col min="11" max="16384" width="9.1796875" style="82"/>
  </cols>
  <sheetData>
    <row r="1" spans="1:12" x14ac:dyDescent="0.35">
      <c r="A1" s="181" t="s">
        <v>586</v>
      </c>
      <c r="B1" s="182" t="s">
        <v>6443</v>
      </c>
      <c r="C1" s="181" t="s">
        <v>589</v>
      </c>
      <c r="D1" s="178" t="s">
        <v>6444</v>
      </c>
      <c r="E1" s="181" t="s">
        <v>8</v>
      </c>
      <c r="F1" s="181" t="s">
        <v>6445</v>
      </c>
      <c r="G1" s="183" t="s">
        <v>5689</v>
      </c>
      <c r="H1" s="181" t="s">
        <v>6446</v>
      </c>
      <c r="I1" s="181" t="s">
        <v>585</v>
      </c>
      <c r="J1" s="181" t="s">
        <v>6447</v>
      </c>
      <c r="K1" s="181" t="s">
        <v>6448</v>
      </c>
      <c r="L1" s="181"/>
    </row>
    <row r="2" spans="1:12" hidden="1" x14ac:dyDescent="0.35">
      <c r="A2" s="181" t="s">
        <v>1148</v>
      </c>
      <c r="B2" s="182" t="s">
        <v>5369</v>
      </c>
      <c r="C2" s="181" t="s">
        <v>6449</v>
      </c>
      <c r="D2" s="178">
        <v>4.0999999999999996</v>
      </c>
      <c r="E2" s="181" t="s">
        <v>6450</v>
      </c>
      <c r="F2" s="184">
        <v>40323</v>
      </c>
      <c r="G2" s="181"/>
      <c r="H2" s="181" t="s">
        <v>6451</v>
      </c>
      <c r="I2" s="181" t="str">
        <f>VLOOKUP(LEFT(A2,4),Groups!$A$1:$C$188,3,FALSE)</f>
        <v>Aggregate Determination of the Resistance to Wear (micro-Deval)</v>
      </c>
      <c r="J2" s="181" t="str">
        <f>VLOOKUP(A2,Headings!$C$1:$H$3948,4,FALSE)</f>
        <v>Type of test</v>
      </c>
      <c r="K2" s="181" t="str">
        <f t="shared" ref="K2:K33" si="0">A2&amp;"|"&amp;B2</f>
        <v>ARTW_TYPE|DRY</v>
      </c>
      <c r="L2" s="181"/>
    </row>
    <row r="3" spans="1:12" hidden="1" x14ac:dyDescent="0.35">
      <c r="A3" s="181" t="s">
        <v>1148</v>
      </c>
      <c r="B3" s="182" t="s">
        <v>1150</v>
      </c>
      <c r="C3" s="181" t="s">
        <v>6452</v>
      </c>
      <c r="D3" s="178">
        <v>4.0999999999999996</v>
      </c>
      <c r="E3" s="181" t="s">
        <v>6450</v>
      </c>
      <c r="F3" s="184">
        <v>40323</v>
      </c>
      <c r="G3" s="181"/>
      <c r="H3" s="181" t="s">
        <v>6451</v>
      </c>
      <c r="I3" s="181" t="str">
        <f>VLOOKUP(LEFT(A3,4),Groups!$A$1:$C$188,3,FALSE)</f>
        <v>Aggregate Determination of the Resistance to Wear (micro-Deval)</v>
      </c>
      <c r="J3" s="181" t="str">
        <f>VLOOKUP(A3,Headings!$C$1:$H$3948,4,FALSE)</f>
        <v>Type of test</v>
      </c>
      <c r="K3" s="181" t="str">
        <f t="shared" si="0"/>
        <v>ARTW_TYPE|WET</v>
      </c>
      <c r="L3" s="181"/>
    </row>
    <row r="4" spans="1:12" hidden="1" x14ac:dyDescent="0.35">
      <c r="A4" s="181" t="s">
        <v>1259</v>
      </c>
      <c r="B4" s="182">
        <v>901</v>
      </c>
      <c r="C4" s="181" t="s">
        <v>6453</v>
      </c>
      <c r="D4" s="178">
        <v>4.0999999999999996</v>
      </c>
      <c r="E4" s="181" t="s">
        <v>6450</v>
      </c>
      <c r="F4" s="184">
        <v>40323</v>
      </c>
      <c r="G4" s="181"/>
      <c r="H4" s="181" t="s">
        <v>6451</v>
      </c>
      <c r="I4" s="181" t="str">
        <f>VLOOKUP(LEFT(A4,4),Groups!$A$1:$C$188,3,FALSE)</f>
        <v>Exploratory Hole Backfill Details</v>
      </c>
      <c r="J4" s="181" t="str">
        <f>VLOOKUP(A4,Headings!$C$1:$H$3948,4,FALSE)</f>
        <v>Backfill legend abbreviation</v>
      </c>
      <c r="K4" s="181" t="str">
        <f t="shared" si="0"/>
        <v>BKFL_LEG|901</v>
      </c>
      <c r="L4" s="181"/>
    </row>
    <row r="5" spans="1:12" hidden="1" x14ac:dyDescent="0.35">
      <c r="A5" s="181" t="s">
        <v>1259</v>
      </c>
      <c r="B5" s="182">
        <v>902</v>
      </c>
      <c r="C5" s="181" t="s">
        <v>6454</v>
      </c>
      <c r="D5" s="178">
        <v>4.0999999999999996</v>
      </c>
      <c r="E5" s="181" t="s">
        <v>6450</v>
      </c>
      <c r="F5" s="184">
        <v>40323</v>
      </c>
      <c r="G5" s="181"/>
      <c r="H5" s="181" t="s">
        <v>6451</v>
      </c>
      <c r="I5" s="181" t="str">
        <f>VLOOKUP(LEFT(A5,4),Groups!$A$1:$C$188,3,FALSE)</f>
        <v>Exploratory Hole Backfill Details</v>
      </c>
      <c r="J5" s="181" t="str">
        <f>VLOOKUP(A5,Headings!$C$1:$H$3948,4,FALSE)</f>
        <v>Backfill legend abbreviation</v>
      </c>
      <c r="K5" s="181" t="str">
        <f t="shared" si="0"/>
        <v>BKFL_LEG|902</v>
      </c>
      <c r="L5" s="181"/>
    </row>
    <row r="6" spans="1:12" hidden="1" x14ac:dyDescent="0.35">
      <c r="A6" s="181" t="s">
        <v>1259</v>
      </c>
      <c r="B6" s="182">
        <v>903</v>
      </c>
      <c r="C6" s="181" t="s">
        <v>6455</v>
      </c>
      <c r="D6" s="178">
        <v>4.0999999999999996</v>
      </c>
      <c r="E6" s="181" t="s">
        <v>6450</v>
      </c>
      <c r="F6" s="184">
        <v>40323</v>
      </c>
      <c r="G6" s="181"/>
      <c r="H6" s="181" t="s">
        <v>6451</v>
      </c>
      <c r="I6" s="181" t="str">
        <f>VLOOKUP(LEFT(A6,4),Groups!$A$1:$C$188,3,FALSE)</f>
        <v>Exploratory Hole Backfill Details</v>
      </c>
      <c r="J6" s="181" t="str">
        <f>VLOOKUP(A6,Headings!$C$1:$H$3948,4,FALSE)</f>
        <v>Backfill legend abbreviation</v>
      </c>
      <c r="K6" s="181" t="str">
        <f t="shared" si="0"/>
        <v>BKFL_LEG|903</v>
      </c>
      <c r="L6" s="181"/>
    </row>
    <row r="7" spans="1:12" hidden="1" x14ac:dyDescent="0.35">
      <c r="A7" s="181" t="s">
        <v>1259</v>
      </c>
      <c r="B7" s="182">
        <v>904</v>
      </c>
      <c r="C7" s="181" t="s">
        <v>6456</v>
      </c>
      <c r="D7" s="178">
        <v>4.0999999999999996</v>
      </c>
      <c r="E7" s="181" t="s">
        <v>6450</v>
      </c>
      <c r="F7" s="184">
        <v>40323</v>
      </c>
      <c r="G7" s="181"/>
      <c r="H7" s="181" t="s">
        <v>6451</v>
      </c>
      <c r="I7" s="181" t="str">
        <f>VLOOKUP(LEFT(A7,4),Groups!$A$1:$C$188,3,FALSE)</f>
        <v>Exploratory Hole Backfill Details</v>
      </c>
      <c r="J7" s="181" t="str">
        <f>VLOOKUP(A7,Headings!$C$1:$H$3948,4,FALSE)</f>
        <v>Backfill legend abbreviation</v>
      </c>
      <c r="K7" s="181" t="str">
        <f t="shared" si="0"/>
        <v>BKFL_LEG|904</v>
      </c>
      <c r="L7" s="181"/>
    </row>
    <row r="8" spans="1:12" hidden="1" x14ac:dyDescent="0.35">
      <c r="A8" s="181" t="s">
        <v>1259</v>
      </c>
      <c r="B8" s="182">
        <v>905</v>
      </c>
      <c r="C8" s="181" t="s">
        <v>1258</v>
      </c>
      <c r="D8" s="178">
        <v>4.0999999999999996</v>
      </c>
      <c r="E8" s="181" t="s">
        <v>6450</v>
      </c>
      <c r="F8" s="184">
        <v>40323</v>
      </c>
      <c r="G8" s="181"/>
      <c r="H8" s="181" t="s">
        <v>6451</v>
      </c>
      <c r="I8" s="181" t="str">
        <f>VLOOKUP(LEFT(A8,4),Groups!$A$1:$C$188,3,FALSE)</f>
        <v>Exploratory Hole Backfill Details</v>
      </c>
      <c r="J8" s="181" t="str">
        <f>VLOOKUP(A8,Headings!$C$1:$H$3948,4,FALSE)</f>
        <v>Backfill legend abbreviation</v>
      </c>
      <c r="K8" s="181" t="str">
        <f t="shared" si="0"/>
        <v>BKFL_LEG|905</v>
      </c>
      <c r="L8" s="181"/>
    </row>
    <row r="9" spans="1:12" hidden="1" x14ac:dyDescent="0.35">
      <c r="A9" s="181" t="s">
        <v>1259</v>
      </c>
      <c r="B9" s="182">
        <v>906</v>
      </c>
      <c r="C9" s="181" t="s">
        <v>6457</v>
      </c>
      <c r="D9" s="178">
        <v>4.0999999999999996</v>
      </c>
      <c r="E9" s="181" t="s">
        <v>6450</v>
      </c>
      <c r="F9" s="184">
        <v>40323</v>
      </c>
      <c r="G9" s="181"/>
      <c r="H9" s="181" t="s">
        <v>6451</v>
      </c>
      <c r="I9" s="181" t="str">
        <f>VLOOKUP(LEFT(A9,4),Groups!$A$1:$C$188,3,FALSE)</f>
        <v>Exploratory Hole Backfill Details</v>
      </c>
      <c r="J9" s="181" t="str">
        <f>VLOOKUP(A9,Headings!$C$1:$H$3948,4,FALSE)</f>
        <v>Backfill legend abbreviation</v>
      </c>
      <c r="K9" s="181" t="str">
        <f t="shared" si="0"/>
        <v>BKFL_LEG|906</v>
      </c>
      <c r="L9" s="181"/>
    </row>
    <row r="10" spans="1:12" hidden="1" x14ac:dyDescent="0.35">
      <c r="A10" s="181" t="s">
        <v>1259</v>
      </c>
      <c r="B10" s="182">
        <v>907</v>
      </c>
      <c r="C10" s="181" t="s">
        <v>6458</v>
      </c>
      <c r="D10" s="178">
        <v>4.0999999999999996</v>
      </c>
      <c r="E10" s="181" t="s">
        <v>6450</v>
      </c>
      <c r="F10" s="184">
        <v>41632</v>
      </c>
      <c r="G10" s="181"/>
      <c r="H10" s="181" t="s">
        <v>6451</v>
      </c>
      <c r="I10" s="181" t="str">
        <f>VLOOKUP(LEFT(A10,4),Groups!$A$1:$C$188,3,FALSE)</f>
        <v>Exploratory Hole Backfill Details</v>
      </c>
      <c r="J10" s="181" t="str">
        <f>VLOOKUP(A10,Headings!$C$1:$H$3948,4,FALSE)</f>
        <v>Backfill legend abbreviation</v>
      </c>
      <c r="K10" s="181" t="str">
        <f t="shared" si="0"/>
        <v>BKFL_LEG|907</v>
      </c>
      <c r="L10" s="181"/>
    </row>
    <row r="11" spans="1:12" hidden="1" x14ac:dyDescent="0.35">
      <c r="A11" s="181" t="s">
        <v>1259</v>
      </c>
      <c r="B11" s="182">
        <v>908</v>
      </c>
      <c r="C11" s="181" t="s">
        <v>6459</v>
      </c>
      <c r="D11" s="178">
        <v>4.0999999999999996</v>
      </c>
      <c r="E11" s="181" t="s">
        <v>6450</v>
      </c>
      <c r="F11" s="184">
        <v>41632</v>
      </c>
      <c r="G11" s="181"/>
      <c r="H11" s="181" t="s">
        <v>6451</v>
      </c>
      <c r="I11" s="181" t="str">
        <f>VLOOKUP(LEFT(A11,4),Groups!$A$1:$C$188,3,FALSE)</f>
        <v>Exploratory Hole Backfill Details</v>
      </c>
      <c r="J11" s="181" t="str">
        <f>VLOOKUP(A11,Headings!$C$1:$H$3948,4,FALSE)</f>
        <v>Backfill legend abbreviation</v>
      </c>
      <c r="K11" s="181" t="str">
        <f t="shared" si="0"/>
        <v>BKFL_LEG|908</v>
      </c>
      <c r="L11" s="181"/>
    </row>
    <row r="12" spans="1:12" hidden="1" x14ac:dyDescent="0.35">
      <c r="A12" s="181" t="s">
        <v>1259</v>
      </c>
      <c r="B12" s="182">
        <v>909</v>
      </c>
      <c r="C12" s="181" t="s">
        <v>6460</v>
      </c>
      <c r="D12" s="178">
        <v>4.0999999999999996</v>
      </c>
      <c r="E12" s="181" t="s">
        <v>6450</v>
      </c>
      <c r="F12" s="184">
        <v>41632</v>
      </c>
      <c r="G12" s="181"/>
      <c r="H12" s="181" t="s">
        <v>6451</v>
      </c>
      <c r="I12" s="181" t="str">
        <f>VLOOKUP(LEFT(A12,4),Groups!$A$1:$C$188,3,FALSE)</f>
        <v>Exploratory Hole Backfill Details</v>
      </c>
      <c r="J12" s="181" t="str">
        <f>VLOOKUP(A12,Headings!$C$1:$H$3948,4,FALSE)</f>
        <v>Backfill legend abbreviation</v>
      </c>
      <c r="K12" s="181" t="str">
        <f t="shared" si="0"/>
        <v>BKFL_LEG|909</v>
      </c>
      <c r="L12" s="181"/>
    </row>
    <row r="13" spans="1:12" hidden="1" x14ac:dyDescent="0.35">
      <c r="A13" s="181" t="s">
        <v>1259</v>
      </c>
      <c r="B13" s="182">
        <v>910</v>
      </c>
      <c r="C13" s="181" t="s">
        <v>6461</v>
      </c>
      <c r="D13" s="178">
        <v>4.0999999999999996</v>
      </c>
      <c r="E13" s="181" t="s">
        <v>6450</v>
      </c>
      <c r="F13" s="184">
        <v>41632</v>
      </c>
      <c r="G13" s="181"/>
      <c r="H13" s="181" t="s">
        <v>6451</v>
      </c>
      <c r="I13" s="181" t="str">
        <f>VLOOKUP(LEFT(A13,4),Groups!$A$1:$C$188,3,FALSE)</f>
        <v>Exploratory Hole Backfill Details</v>
      </c>
      <c r="J13" s="181" t="str">
        <f>VLOOKUP(A13,Headings!$C$1:$H$3948,4,FALSE)</f>
        <v>Backfill legend abbreviation</v>
      </c>
      <c r="K13" s="181" t="str">
        <f t="shared" si="0"/>
        <v>BKFL_LEG|910</v>
      </c>
      <c r="L13" s="181"/>
    </row>
    <row r="14" spans="1:12" hidden="1" x14ac:dyDescent="0.35">
      <c r="A14" s="181" t="s">
        <v>1259</v>
      </c>
      <c r="B14" s="182">
        <v>912</v>
      </c>
      <c r="C14" s="181" t="s">
        <v>6462</v>
      </c>
      <c r="D14" s="178">
        <v>4.0999999999999996</v>
      </c>
      <c r="E14" s="181" t="s">
        <v>6450</v>
      </c>
      <c r="F14" s="184">
        <v>41648</v>
      </c>
      <c r="G14" s="181"/>
      <c r="H14" s="181" t="s">
        <v>6451</v>
      </c>
      <c r="I14" s="181" t="str">
        <f>VLOOKUP(LEFT(A14,4),Groups!$A$1:$C$188,3,FALSE)</f>
        <v>Exploratory Hole Backfill Details</v>
      </c>
      <c r="J14" s="181" t="str">
        <f>VLOOKUP(A14,Headings!$C$1:$H$3948,4,FALSE)</f>
        <v>Backfill legend abbreviation</v>
      </c>
      <c r="K14" s="181" t="str">
        <f t="shared" si="0"/>
        <v>BKFL_LEG|912</v>
      </c>
      <c r="L14" s="181"/>
    </row>
    <row r="15" spans="1:12" hidden="1" x14ac:dyDescent="0.35">
      <c r="A15" s="181" t="s">
        <v>1259</v>
      </c>
      <c r="B15" s="182">
        <v>913</v>
      </c>
      <c r="C15" s="181" t="s">
        <v>6463</v>
      </c>
      <c r="D15" s="178">
        <v>4.0999999999999996</v>
      </c>
      <c r="E15" s="181" t="s">
        <v>6450</v>
      </c>
      <c r="F15" s="184">
        <v>43042</v>
      </c>
      <c r="G15" s="181"/>
      <c r="H15" s="181" t="s">
        <v>6451</v>
      </c>
      <c r="I15" s="181" t="str">
        <f>VLOOKUP(LEFT(A15,4),Groups!$A$1:$C$188,3,FALSE)</f>
        <v>Exploratory Hole Backfill Details</v>
      </c>
      <c r="J15" s="181" t="str">
        <f>VLOOKUP(A15,Headings!$C$1:$H$3948,4,FALSE)</f>
        <v>Backfill legend abbreviation</v>
      </c>
      <c r="K15" s="181" t="str">
        <f t="shared" si="0"/>
        <v>BKFL_LEG|913</v>
      </c>
      <c r="L15" s="181"/>
    </row>
    <row r="16" spans="1:12" hidden="1" x14ac:dyDescent="0.35">
      <c r="A16" s="181" t="s">
        <v>1259</v>
      </c>
      <c r="B16" s="182">
        <v>914</v>
      </c>
      <c r="C16" s="181" t="s">
        <v>6464</v>
      </c>
      <c r="D16" s="178">
        <v>4.0999999999999996</v>
      </c>
      <c r="E16" s="181" t="s">
        <v>6450</v>
      </c>
      <c r="F16" s="184">
        <v>44173</v>
      </c>
      <c r="G16" s="181"/>
      <c r="H16" s="181" t="s">
        <v>6451</v>
      </c>
      <c r="I16" s="181" t="str">
        <f>VLOOKUP(LEFT(A16,4),Groups!$A$1:$C$188,3,FALSE)</f>
        <v>Exploratory Hole Backfill Details</v>
      </c>
      <c r="J16" s="181" t="str">
        <f>VLOOKUP(A16,Headings!$C$1:$H$3948,4,FALSE)</f>
        <v>Backfill legend abbreviation</v>
      </c>
      <c r="K16" s="181" t="str">
        <f t="shared" si="0"/>
        <v>BKFL_LEG|914</v>
      </c>
      <c r="L16" s="181"/>
    </row>
    <row r="17" spans="1:12" hidden="1" x14ac:dyDescent="0.35">
      <c r="A17" s="181" t="s">
        <v>1259</v>
      </c>
      <c r="B17" s="182">
        <v>999</v>
      </c>
      <c r="C17" s="181" t="s">
        <v>6465</v>
      </c>
      <c r="D17" s="178">
        <v>4.0999999999999996</v>
      </c>
      <c r="E17" s="181" t="s">
        <v>6450</v>
      </c>
      <c r="F17" s="184">
        <v>42557</v>
      </c>
      <c r="G17" s="181"/>
      <c r="H17" s="181" t="s">
        <v>6451</v>
      </c>
      <c r="I17" s="181" t="str">
        <f>VLOOKUP(LEFT(A17,4),Groups!$A$1:$C$188,3,FALSE)</f>
        <v>Exploratory Hole Backfill Details</v>
      </c>
      <c r="J17" s="181" t="str">
        <f>VLOOKUP(A17,Headings!$C$1:$H$3948,4,FALSE)</f>
        <v>Backfill legend abbreviation</v>
      </c>
      <c r="K17" s="181" t="str">
        <f t="shared" si="0"/>
        <v>BKFL_LEG|999</v>
      </c>
      <c r="L17" s="181"/>
    </row>
    <row r="18" spans="1:12" hidden="1" x14ac:dyDescent="0.35">
      <c r="A18" s="181" t="s">
        <v>1271</v>
      </c>
      <c r="B18" s="182" t="s">
        <v>6466</v>
      </c>
      <c r="C18" s="181" t="s">
        <v>4112</v>
      </c>
      <c r="D18" s="178">
        <v>4.0999999999999996</v>
      </c>
      <c r="E18" s="181" t="s">
        <v>6450</v>
      </c>
      <c r="F18" s="184">
        <v>40323</v>
      </c>
      <c r="G18" s="181"/>
      <c r="H18" s="181" t="s">
        <v>6451</v>
      </c>
      <c r="I18" s="181" t="str">
        <f>VLOOKUP(LEFT(A18,4),Groups!$A$1:$C$188,3,FALSE)</f>
        <v>California Bearing Ratio Tests - General</v>
      </c>
      <c r="J18" s="181" t="str">
        <f>VLOOKUP(A18,Headings!$C$1:$H$3948,4,FALSE)</f>
        <v>Sample condition</v>
      </c>
      <c r="K18" s="181" t="str">
        <f t="shared" si="0"/>
        <v>CBRG_COND|REMOULDED</v>
      </c>
      <c r="L18" s="181"/>
    </row>
    <row r="19" spans="1:12" hidden="1" x14ac:dyDescent="0.35">
      <c r="A19" s="181" t="s">
        <v>1271</v>
      </c>
      <c r="B19" s="182" t="s">
        <v>1273</v>
      </c>
      <c r="C19" s="181" t="s">
        <v>6467</v>
      </c>
      <c r="D19" s="178">
        <v>4.0999999999999996</v>
      </c>
      <c r="E19" s="181" t="s">
        <v>6450</v>
      </c>
      <c r="F19" s="184">
        <v>40323</v>
      </c>
      <c r="G19" s="181"/>
      <c r="H19" s="181" t="s">
        <v>6451</v>
      </c>
      <c r="I19" s="181" t="str">
        <f>VLOOKUP(LEFT(A19,4),Groups!$A$1:$C$188,3,FALSE)</f>
        <v>California Bearing Ratio Tests - General</v>
      </c>
      <c r="J19" s="181" t="str">
        <f>VLOOKUP(A19,Headings!$C$1:$H$3948,4,FALSE)</f>
        <v>Sample condition</v>
      </c>
      <c r="K19" s="181" t="str">
        <f t="shared" si="0"/>
        <v>CBRG_COND|UNDISTURBED</v>
      </c>
      <c r="L19" s="181"/>
    </row>
    <row r="20" spans="1:12" hidden="1" x14ac:dyDescent="0.35">
      <c r="A20" s="88" t="s">
        <v>1406</v>
      </c>
      <c r="B20" s="88" t="s">
        <v>6468</v>
      </c>
      <c r="C20" s="89" t="s">
        <v>6469</v>
      </c>
      <c r="D20" s="89" t="s">
        <v>473</v>
      </c>
      <c r="E20" s="181"/>
      <c r="F20" s="181"/>
      <c r="G20" s="183"/>
      <c r="H20" s="181"/>
      <c r="I20" s="181"/>
      <c r="J20" s="181"/>
      <c r="K20" s="181" t="str">
        <f t="shared" si="0"/>
        <v>CDIA_CODE|AW</v>
      </c>
      <c r="L20" s="181"/>
    </row>
    <row r="21" spans="1:12" hidden="1" x14ac:dyDescent="0.35">
      <c r="A21" s="88" t="s">
        <v>1406</v>
      </c>
      <c r="B21" s="88" t="s">
        <v>6470</v>
      </c>
      <c r="C21" s="89" t="s">
        <v>6471</v>
      </c>
      <c r="D21" s="89" t="s">
        <v>473</v>
      </c>
      <c r="E21" s="181"/>
      <c r="F21" s="181"/>
      <c r="G21" s="183"/>
      <c r="H21" s="181"/>
      <c r="I21" s="181"/>
      <c r="J21" s="181"/>
      <c r="K21" s="181" t="str">
        <f t="shared" si="0"/>
        <v>CDIA_CODE|BW</v>
      </c>
      <c r="L21" s="181"/>
    </row>
    <row r="22" spans="1:12" hidden="1" x14ac:dyDescent="0.35">
      <c r="A22" s="88" t="s">
        <v>1406</v>
      </c>
      <c r="B22" s="88" t="s">
        <v>6472</v>
      </c>
      <c r="C22" s="89" t="s">
        <v>6473</v>
      </c>
      <c r="D22" s="89" t="s">
        <v>473</v>
      </c>
      <c r="E22" s="181"/>
      <c r="F22" s="181"/>
      <c r="G22" s="183"/>
      <c r="H22" s="181"/>
      <c r="I22" s="181"/>
      <c r="J22" s="181"/>
      <c r="K22" s="181" t="str">
        <f t="shared" si="0"/>
        <v>CDIA_CODE|HQ</v>
      </c>
      <c r="L22" s="181"/>
    </row>
    <row r="23" spans="1:12" hidden="1" x14ac:dyDescent="0.35">
      <c r="A23" s="88" t="s">
        <v>1406</v>
      </c>
      <c r="B23" s="88" t="s">
        <v>1408</v>
      </c>
      <c r="C23" s="89" t="s">
        <v>6474</v>
      </c>
      <c r="D23" s="89" t="s">
        <v>473</v>
      </c>
      <c r="E23" s="181"/>
      <c r="F23" s="181"/>
      <c r="G23" s="183"/>
      <c r="H23" s="181"/>
      <c r="I23" s="181"/>
      <c r="J23" s="181"/>
      <c r="K23" s="181" t="str">
        <f t="shared" si="0"/>
        <v>CDIA_CODE|HW</v>
      </c>
      <c r="L23" s="181"/>
    </row>
    <row r="24" spans="1:12" hidden="1" x14ac:dyDescent="0.35">
      <c r="A24" s="88" t="s">
        <v>1406</v>
      </c>
      <c r="B24" s="88" t="s">
        <v>6475</v>
      </c>
      <c r="C24" s="89" t="s">
        <v>6476</v>
      </c>
      <c r="D24" s="89" t="s">
        <v>473</v>
      </c>
      <c r="E24" s="181"/>
      <c r="F24" s="181"/>
      <c r="G24" s="183"/>
      <c r="H24" s="181"/>
      <c r="I24" s="181"/>
      <c r="J24" s="181"/>
      <c r="K24" s="181" t="str">
        <f t="shared" si="0"/>
        <v>CDIA_CODE|NW</v>
      </c>
      <c r="L24" s="181"/>
    </row>
    <row r="25" spans="1:12" hidden="1" x14ac:dyDescent="0.35">
      <c r="A25" s="88" t="s">
        <v>1406</v>
      </c>
      <c r="B25" s="88" t="s">
        <v>6477</v>
      </c>
      <c r="C25" s="89" t="s">
        <v>6478</v>
      </c>
      <c r="D25" s="89" t="s">
        <v>473</v>
      </c>
      <c r="E25" s="181"/>
      <c r="F25" s="181"/>
      <c r="G25" s="183"/>
      <c r="H25" s="181"/>
      <c r="I25" s="181"/>
      <c r="J25" s="181"/>
      <c r="K25" s="181" t="str">
        <f t="shared" si="0"/>
        <v>CDIA_CODE|PVC</v>
      </c>
      <c r="L25" s="181"/>
    </row>
    <row r="26" spans="1:12" hidden="1" x14ac:dyDescent="0.35">
      <c r="A26" s="88" t="s">
        <v>1406</v>
      </c>
      <c r="B26" s="88" t="s">
        <v>6479</v>
      </c>
      <c r="C26" s="89" t="s">
        <v>6480</v>
      </c>
      <c r="D26" s="89" t="s">
        <v>473</v>
      </c>
      <c r="E26" s="181"/>
      <c r="F26" s="181"/>
      <c r="G26" s="183"/>
      <c r="H26" s="181"/>
      <c r="I26" s="181"/>
      <c r="J26" s="181"/>
      <c r="K26" s="181" t="str">
        <f t="shared" si="0"/>
        <v>CDIA_CODE|PVC150</v>
      </c>
      <c r="L26" s="181"/>
    </row>
    <row r="27" spans="1:12" hidden="1" x14ac:dyDescent="0.35">
      <c r="A27" s="88" t="s">
        <v>1406</v>
      </c>
      <c r="B27" s="88" t="s">
        <v>6481</v>
      </c>
      <c r="C27" s="89" t="s">
        <v>6482</v>
      </c>
      <c r="D27" s="89" t="s">
        <v>473</v>
      </c>
      <c r="E27" s="181"/>
      <c r="F27" s="181"/>
      <c r="G27" s="183"/>
      <c r="H27" s="181"/>
      <c r="I27" s="181"/>
      <c r="J27" s="181"/>
      <c r="K27" s="181" t="str">
        <f t="shared" si="0"/>
        <v>CDIA_CODE|PW</v>
      </c>
      <c r="L27" s="181"/>
    </row>
    <row r="28" spans="1:12" hidden="1" x14ac:dyDescent="0.35">
      <c r="A28" s="88" t="s">
        <v>3579</v>
      </c>
      <c r="B28" s="88" t="s">
        <v>6483</v>
      </c>
      <c r="C28" s="89" t="s">
        <v>6484</v>
      </c>
      <c r="D28" s="89" t="s">
        <v>473</v>
      </c>
      <c r="E28" s="181"/>
      <c r="F28" s="181"/>
      <c r="G28" s="183"/>
      <c r="H28" s="181"/>
      <c r="I28" s="181"/>
      <c r="J28" s="181"/>
      <c r="K28" s="181" t="str">
        <f t="shared" si="0"/>
        <v>CMPE|Modified</v>
      </c>
      <c r="L28" s="181"/>
    </row>
    <row r="29" spans="1:12" hidden="1" x14ac:dyDescent="0.35">
      <c r="A29" s="88" t="s">
        <v>3579</v>
      </c>
      <c r="B29" s="88" t="s">
        <v>6485</v>
      </c>
      <c r="C29" s="89" t="s">
        <v>6486</v>
      </c>
      <c r="D29" s="89" t="s">
        <v>473</v>
      </c>
      <c r="E29" s="181"/>
      <c r="F29" s="181"/>
      <c r="G29" s="183"/>
      <c r="H29" s="181"/>
      <c r="I29" s="181"/>
      <c r="J29" s="181"/>
      <c r="K29" s="181" t="str">
        <f t="shared" si="0"/>
        <v>CMPE|Reduced</v>
      </c>
      <c r="L29" s="181"/>
    </row>
    <row r="30" spans="1:12" hidden="1" x14ac:dyDescent="0.35">
      <c r="A30" s="88" t="s">
        <v>3579</v>
      </c>
      <c r="B30" s="88" t="s">
        <v>1389</v>
      </c>
      <c r="C30" s="89" t="s">
        <v>6487</v>
      </c>
      <c r="D30" s="89" t="s">
        <v>473</v>
      </c>
      <c r="E30" s="181"/>
      <c r="F30" s="181"/>
      <c r="G30" s="183"/>
      <c r="H30" s="181"/>
      <c r="I30" s="181"/>
      <c r="J30" s="181"/>
      <c r="K30" s="181" t="str">
        <f t="shared" si="0"/>
        <v>CMPE|Standard</v>
      </c>
      <c r="L30" s="181"/>
    </row>
    <row r="31" spans="1:12" hidden="1" x14ac:dyDescent="0.35">
      <c r="A31" s="181" t="s">
        <v>1453</v>
      </c>
      <c r="B31" s="182" t="s">
        <v>6488</v>
      </c>
      <c r="C31" s="181" t="s">
        <v>6489</v>
      </c>
      <c r="D31" s="178">
        <v>4.0999999999999996</v>
      </c>
      <c r="E31" s="181" t="s">
        <v>6450</v>
      </c>
      <c r="F31" s="184">
        <v>40323</v>
      </c>
      <c r="G31" s="181"/>
      <c r="H31" s="181" t="s">
        <v>6451</v>
      </c>
      <c r="I31" s="181" t="str">
        <f>VLOOKUP(LEFT(A31,4),Groups!$A$1:$C$188,3,FALSE)</f>
        <v>Compaction Tests - General</v>
      </c>
      <c r="J31" s="181" t="str">
        <f>VLOOKUP(A31,Headings!$C$1:$H$3948,4,FALSE)</f>
        <v>Compaction mould type</v>
      </c>
      <c r="K31" s="181" t="str">
        <f t="shared" si="0"/>
        <v>CMPG_MOLD|1 LITRE</v>
      </c>
      <c r="L31" s="181"/>
    </row>
    <row r="32" spans="1:12" hidden="1" x14ac:dyDescent="0.35">
      <c r="A32" s="181" t="s">
        <v>1453</v>
      </c>
      <c r="B32" s="182" t="s">
        <v>6490</v>
      </c>
      <c r="C32" s="181" t="s">
        <v>6491</v>
      </c>
      <c r="D32" s="178">
        <v>4.0999999999999996</v>
      </c>
      <c r="E32" s="181" t="s">
        <v>6450</v>
      </c>
      <c r="F32" s="184">
        <v>40323</v>
      </c>
      <c r="G32" s="181"/>
      <c r="H32" s="181" t="s">
        <v>6451</v>
      </c>
      <c r="I32" s="181" t="str">
        <f>VLOOKUP(LEFT(A32,4),Groups!$A$1:$C$188,3,FALSE)</f>
        <v>Compaction Tests - General</v>
      </c>
      <c r="J32" s="181" t="str">
        <f>VLOOKUP(A32,Headings!$C$1:$H$3948,4,FALSE)</f>
        <v>Compaction mould type</v>
      </c>
      <c r="K32" s="181" t="str">
        <f t="shared" si="0"/>
        <v>CMPG_MOLD|CBR</v>
      </c>
      <c r="L32" s="181"/>
    </row>
    <row r="33" spans="1:12" hidden="1" x14ac:dyDescent="0.35">
      <c r="A33" s="88" t="s">
        <v>1453</v>
      </c>
      <c r="B33" s="88" t="s">
        <v>6492</v>
      </c>
      <c r="C33" s="89" t="s">
        <v>6492</v>
      </c>
      <c r="D33" s="89" t="s">
        <v>473</v>
      </c>
      <c r="E33" s="181"/>
      <c r="F33" s="181"/>
      <c r="G33" s="183"/>
      <c r="H33" s="181"/>
      <c r="I33" s="181"/>
      <c r="J33" s="181"/>
      <c r="K33" s="181" t="str">
        <f t="shared" si="0"/>
        <v>CMPG_MOLD|Mould A</v>
      </c>
      <c r="L33" s="181"/>
    </row>
    <row r="34" spans="1:12" hidden="1" x14ac:dyDescent="0.35">
      <c r="A34" s="88" t="s">
        <v>1453</v>
      </c>
      <c r="B34" s="88" t="s">
        <v>6493</v>
      </c>
      <c r="C34" s="89" t="s">
        <v>6493</v>
      </c>
      <c r="D34" s="89" t="s">
        <v>473</v>
      </c>
      <c r="E34" s="181"/>
      <c r="F34" s="181"/>
      <c r="G34" s="183"/>
      <c r="H34" s="181"/>
      <c r="I34" s="181"/>
      <c r="J34" s="181"/>
      <c r="K34" s="181" t="str">
        <f t="shared" ref="K34:K65" si="1">A34&amp;"|"&amp;B34</f>
        <v>CMPG_MOLD|Mould B</v>
      </c>
      <c r="L34" s="181"/>
    </row>
    <row r="35" spans="1:12" hidden="1" x14ac:dyDescent="0.35">
      <c r="A35" s="88" t="s">
        <v>1453</v>
      </c>
      <c r="B35" s="88" t="s">
        <v>1389</v>
      </c>
      <c r="C35" s="89" t="s">
        <v>1389</v>
      </c>
      <c r="D35" s="89" t="s">
        <v>473</v>
      </c>
      <c r="E35" s="181"/>
      <c r="F35" s="181"/>
      <c r="G35" s="183"/>
      <c r="H35" s="181"/>
      <c r="I35" s="181"/>
      <c r="J35" s="181"/>
      <c r="K35" s="181" t="str">
        <f t="shared" si="1"/>
        <v>CMPG_MOLD|Standard</v>
      </c>
      <c r="L35" s="181"/>
    </row>
    <row r="36" spans="1:12" hidden="1" x14ac:dyDescent="0.35">
      <c r="A36" s="181" t="s">
        <v>1450</v>
      </c>
      <c r="B36" s="182" t="s">
        <v>6494</v>
      </c>
      <c r="C36" s="181" t="s">
        <v>6495</v>
      </c>
      <c r="D36" s="178">
        <v>4.0999999999999996</v>
      </c>
      <c r="E36" s="181" t="s">
        <v>6450</v>
      </c>
      <c r="F36" s="184">
        <v>40323</v>
      </c>
      <c r="G36" s="181"/>
      <c r="H36" s="181" t="s">
        <v>6451</v>
      </c>
      <c r="I36" s="181" t="str">
        <f>VLOOKUP(LEFT(A36,4),Groups!$A$1:$C$188,3,FALSE)</f>
        <v>Compaction Tests - General</v>
      </c>
      <c r="J36" s="181" t="str">
        <f>VLOOKUP(A36,Headings!$C$1:$H$3948,4,FALSE)</f>
        <v>Compaction test type</v>
      </c>
      <c r="K36" s="181" t="str">
        <f t="shared" si="1"/>
        <v>CMPG_TYPE|2.5KG</v>
      </c>
      <c r="L36" s="181"/>
    </row>
    <row r="37" spans="1:12" hidden="1" x14ac:dyDescent="0.35">
      <c r="A37" s="181" t="s">
        <v>1450</v>
      </c>
      <c r="B37" s="182" t="s">
        <v>6496</v>
      </c>
      <c r="C37" s="181" t="s">
        <v>6497</v>
      </c>
      <c r="D37" s="178">
        <v>4.0999999999999996</v>
      </c>
      <c r="E37" s="181" t="s">
        <v>6450</v>
      </c>
      <c r="F37" s="184">
        <v>40323</v>
      </c>
      <c r="G37" s="181"/>
      <c r="H37" s="181" t="s">
        <v>6451</v>
      </c>
      <c r="I37" s="181" t="str">
        <f>VLOOKUP(LEFT(A37,4),Groups!$A$1:$C$188,3,FALSE)</f>
        <v>Compaction Tests - General</v>
      </c>
      <c r="J37" s="181" t="str">
        <f>VLOOKUP(A37,Headings!$C$1:$H$3948,4,FALSE)</f>
        <v>Compaction test type</v>
      </c>
      <c r="K37" s="181" t="str">
        <f t="shared" si="1"/>
        <v>CMPG_TYPE|4.5KG</v>
      </c>
      <c r="L37" s="181"/>
    </row>
    <row r="38" spans="1:12" hidden="1" x14ac:dyDescent="0.35">
      <c r="A38" s="88" t="s">
        <v>1450</v>
      </c>
      <c r="B38" s="88" t="s">
        <v>6483</v>
      </c>
      <c r="C38" s="89" t="s">
        <v>6483</v>
      </c>
      <c r="D38" s="89" t="s">
        <v>473</v>
      </c>
      <c r="E38" s="181"/>
      <c r="F38" s="181"/>
      <c r="G38" s="183"/>
      <c r="H38" s="181"/>
      <c r="I38" s="181"/>
      <c r="J38" s="181"/>
      <c r="K38" s="181" t="str">
        <f t="shared" si="1"/>
        <v>CMPG_TYPE|Modified</v>
      </c>
      <c r="L38" s="181"/>
    </row>
    <row r="39" spans="1:12" hidden="1" x14ac:dyDescent="0.35">
      <c r="A39" s="88" t="s">
        <v>1450</v>
      </c>
      <c r="B39" s="88" t="s">
        <v>1389</v>
      </c>
      <c r="C39" s="89" t="s">
        <v>1389</v>
      </c>
      <c r="D39" s="89" t="s">
        <v>473</v>
      </c>
      <c r="E39" s="181"/>
      <c r="F39" s="181"/>
      <c r="G39" s="183"/>
      <c r="H39" s="181"/>
      <c r="I39" s="181"/>
      <c r="J39" s="181"/>
      <c r="K39" s="181" t="str">
        <f t="shared" si="1"/>
        <v>CMPG_TYPE|Standard</v>
      </c>
      <c r="L39" s="181"/>
    </row>
    <row r="40" spans="1:12" hidden="1" x14ac:dyDescent="0.35">
      <c r="A40" s="181" t="s">
        <v>1450</v>
      </c>
      <c r="B40" s="182" t="s">
        <v>6498</v>
      </c>
      <c r="C40" s="181" t="s">
        <v>6499</v>
      </c>
      <c r="D40" s="178">
        <v>4.0999999999999996</v>
      </c>
      <c r="E40" s="181" t="s">
        <v>6450</v>
      </c>
      <c r="F40" s="184">
        <v>40323</v>
      </c>
      <c r="G40" s="181"/>
      <c r="H40" s="181" t="s">
        <v>6451</v>
      </c>
      <c r="I40" s="181" t="str">
        <f>VLOOKUP(LEFT(A40,4),Groups!$A$1:$C$188,3,FALSE)</f>
        <v>Compaction Tests - General</v>
      </c>
      <c r="J40" s="181" t="str">
        <f>VLOOKUP(A40,Headings!$C$1:$H$3948,4,FALSE)</f>
        <v>Compaction test type</v>
      </c>
      <c r="K40" s="181" t="str">
        <f t="shared" si="1"/>
        <v>CMPG_TYPE|VIBRO</v>
      </c>
      <c r="L40" s="181"/>
    </row>
    <row r="41" spans="1:12" hidden="1" x14ac:dyDescent="0.35">
      <c r="A41" s="88" t="s">
        <v>2891</v>
      </c>
      <c r="B41" s="88">
        <v>0</v>
      </c>
      <c r="C41" s="89" t="s">
        <v>6500</v>
      </c>
      <c r="D41" s="89" t="s">
        <v>473</v>
      </c>
      <c r="E41" s="181"/>
      <c r="F41" s="181"/>
      <c r="G41" s="183"/>
      <c r="H41" s="181"/>
      <c r="I41" s="181"/>
      <c r="J41" s="181"/>
      <c r="K41" s="181" t="str">
        <f t="shared" si="1"/>
        <v>CONF|0</v>
      </c>
      <c r="L41" s="181"/>
    </row>
    <row r="42" spans="1:12" hidden="1" x14ac:dyDescent="0.35">
      <c r="A42" s="88" t="s">
        <v>2891</v>
      </c>
      <c r="B42" s="88">
        <v>1</v>
      </c>
      <c r="C42" s="89" t="s">
        <v>6501</v>
      </c>
      <c r="D42" s="89" t="s">
        <v>473</v>
      </c>
      <c r="E42" s="181"/>
      <c r="F42" s="181"/>
      <c r="G42" s="183"/>
      <c r="H42" s="181"/>
      <c r="I42" s="181"/>
      <c r="J42" s="181"/>
      <c r="K42" s="181" t="str">
        <f t="shared" si="1"/>
        <v>CONF|1</v>
      </c>
      <c r="L42" s="181"/>
    </row>
    <row r="43" spans="1:12" hidden="1" x14ac:dyDescent="0.35">
      <c r="A43" s="88" t="s">
        <v>2891</v>
      </c>
      <c r="B43" s="88">
        <v>2</v>
      </c>
      <c r="C43" s="89" t="s">
        <v>6502</v>
      </c>
      <c r="D43" s="89" t="s">
        <v>473</v>
      </c>
      <c r="E43" s="181"/>
      <c r="F43" s="181"/>
      <c r="G43" s="183"/>
      <c r="H43" s="181"/>
      <c r="I43" s="181"/>
      <c r="J43" s="181"/>
      <c r="K43" s="181" t="str">
        <f t="shared" si="1"/>
        <v>CONF|2</v>
      </c>
      <c r="L43" s="181"/>
    </row>
    <row r="44" spans="1:12" hidden="1" x14ac:dyDescent="0.35">
      <c r="A44" s="181" t="s">
        <v>1518</v>
      </c>
      <c r="B44" s="182" t="s">
        <v>6466</v>
      </c>
      <c r="C44" s="181" t="s">
        <v>4112</v>
      </c>
      <c r="D44" s="178">
        <v>4.0999999999999996</v>
      </c>
      <c r="E44" s="181" t="s">
        <v>6450</v>
      </c>
      <c r="F44" s="184">
        <v>40323</v>
      </c>
      <c r="G44" s="181"/>
      <c r="H44" s="181" t="s">
        <v>6451</v>
      </c>
      <c r="I44" s="181" t="str">
        <f>VLOOKUP(LEFT(A44,4),Groups!$A$1:$C$188,3,FALSE)</f>
        <v>Consolidation Tests - General</v>
      </c>
      <c r="J44" s="181" t="str">
        <f>VLOOKUP(A44,Headings!$C$1:$H$3948,4,FALSE)</f>
        <v>Sample condition</v>
      </c>
      <c r="K44" s="181" t="str">
        <f t="shared" si="1"/>
        <v>CONG_COND|REMOULDED</v>
      </c>
      <c r="L44" s="181"/>
    </row>
    <row r="45" spans="1:12" hidden="1" x14ac:dyDescent="0.35">
      <c r="A45" s="181" t="s">
        <v>1518</v>
      </c>
      <c r="B45" s="182" t="s">
        <v>1273</v>
      </c>
      <c r="C45" s="181" t="s">
        <v>6467</v>
      </c>
      <c r="D45" s="178">
        <v>4.0999999999999996</v>
      </c>
      <c r="E45" s="181" t="s">
        <v>6450</v>
      </c>
      <c r="F45" s="184">
        <v>40323</v>
      </c>
      <c r="G45" s="181"/>
      <c r="H45" s="181" t="s">
        <v>6451</v>
      </c>
      <c r="I45" s="181" t="str">
        <f>VLOOKUP(LEFT(A45,4),Groups!$A$1:$C$188,3,FALSE)</f>
        <v>Consolidation Tests - General</v>
      </c>
      <c r="J45" s="181" t="str">
        <f>VLOOKUP(A45,Headings!$C$1:$H$3948,4,FALSE)</f>
        <v>Sample condition</v>
      </c>
      <c r="K45" s="181" t="str">
        <f t="shared" si="1"/>
        <v>CONG_COND|UNDISTURBED</v>
      </c>
      <c r="L45" s="181"/>
    </row>
    <row r="46" spans="1:12" hidden="1" x14ac:dyDescent="0.35">
      <c r="A46" s="181" t="s">
        <v>1515</v>
      </c>
      <c r="B46" s="182" t="s">
        <v>6503</v>
      </c>
      <c r="C46" s="181" t="s">
        <v>6504</v>
      </c>
      <c r="D46" s="178">
        <v>4.0999999999999996</v>
      </c>
      <c r="E46" s="181" t="s">
        <v>6450</v>
      </c>
      <c r="F46" s="184">
        <v>40323</v>
      </c>
      <c r="G46" s="181"/>
      <c r="H46" s="181" t="s">
        <v>6451</v>
      </c>
      <c r="I46" s="181" t="str">
        <f>VLOOKUP(LEFT(A46,4),Groups!$A$1:$C$188,3,FALSE)</f>
        <v>Consolidation Tests - General</v>
      </c>
      <c r="J46" s="181" t="str">
        <f>VLOOKUP(A46,Headings!$C$1:$H$3948,4,FALSE)</f>
        <v>Type of consolidation test</v>
      </c>
      <c r="K46" s="181" t="str">
        <f t="shared" si="1"/>
        <v>CONG_TYPE|EXPANDABILITY</v>
      </c>
      <c r="L46" s="181"/>
    </row>
    <row r="47" spans="1:12" hidden="1" x14ac:dyDescent="0.35">
      <c r="A47" s="181" t="s">
        <v>1515</v>
      </c>
      <c r="B47" s="182" t="s">
        <v>6505</v>
      </c>
      <c r="C47" s="181" t="s">
        <v>6506</v>
      </c>
      <c r="D47" s="178">
        <v>4.0999999999999996</v>
      </c>
      <c r="E47" s="181" t="s">
        <v>6450</v>
      </c>
      <c r="F47" s="184">
        <v>40323</v>
      </c>
      <c r="G47" s="181"/>
      <c r="H47" s="181" t="s">
        <v>6451</v>
      </c>
      <c r="I47" s="181" t="str">
        <f>VLOOKUP(LEFT(A47,4),Groups!$A$1:$C$188,3,FALSE)</f>
        <v>Consolidation Tests - General</v>
      </c>
      <c r="J47" s="181" t="str">
        <f>VLOOKUP(A47,Headings!$C$1:$H$3948,4,FALSE)</f>
        <v>Type of consolidation test</v>
      </c>
      <c r="K47" s="181" t="str">
        <f t="shared" si="1"/>
        <v>CONG_TYPE|HYDRAULIC CELL</v>
      </c>
      <c r="L47" s="181"/>
    </row>
    <row r="48" spans="1:12" hidden="1" x14ac:dyDescent="0.35">
      <c r="A48" s="181" t="s">
        <v>1515</v>
      </c>
      <c r="B48" s="182" t="s">
        <v>1517</v>
      </c>
      <c r="C48" s="181" t="s">
        <v>6507</v>
      </c>
      <c r="D48" s="178">
        <v>4.0999999999999996</v>
      </c>
      <c r="E48" s="181" t="s">
        <v>6450</v>
      </c>
      <c r="F48" s="184">
        <v>40323</v>
      </c>
      <c r="G48" s="181"/>
      <c r="H48" s="181" t="s">
        <v>6451</v>
      </c>
      <c r="I48" s="181" t="str">
        <f>VLOOKUP(LEFT(A48,4),Groups!$A$1:$C$188,3,FALSE)</f>
        <v>Consolidation Tests - General</v>
      </c>
      <c r="J48" s="181" t="str">
        <f>VLOOKUP(A48,Headings!$C$1:$H$3948,4,FALSE)</f>
        <v>Type of consolidation test</v>
      </c>
      <c r="K48" s="181" t="str">
        <f t="shared" si="1"/>
        <v>CONG_TYPE|OEDOMETER</v>
      </c>
      <c r="L48" s="181"/>
    </row>
    <row r="49" spans="1:12" hidden="1" x14ac:dyDescent="0.35">
      <c r="A49" s="181" t="s">
        <v>1515</v>
      </c>
      <c r="B49" s="182" t="s">
        <v>6508</v>
      </c>
      <c r="C49" s="181" t="s">
        <v>6509</v>
      </c>
      <c r="D49" s="178">
        <v>4.0999999999999996</v>
      </c>
      <c r="E49" s="181" t="s">
        <v>6450</v>
      </c>
      <c r="F49" s="184">
        <v>44173</v>
      </c>
      <c r="G49" s="181" t="s">
        <v>6510</v>
      </c>
      <c r="H49" s="181" t="s">
        <v>6451</v>
      </c>
      <c r="I49" s="181" t="str">
        <f>VLOOKUP(LEFT(A49,4),Groups!$A$1:$C$188,3,FALSE)</f>
        <v>Consolidation Tests - General</v>
      </c>
      <c r="J49" s="181" t="str">
        <f>VLOOKUP(A49,Headings!$C$1:$H$3948,4,FALSE)</f>
        <v>Type of consolidation test</v>
      </c>
      <c r="K49" s="181" t="str">
        <f t="shared" si="1"/>
        <v>CONG_TYPE|SETTLESAT</v>
      </c>
      <c r="L49" s="181"/>
    </row>
    <row r="50" spans="1:12" hidden="1" x14ac:dyDescent="0.35">
      <c r="A50" s="88" t="s">
        <v>2895</v>
      </c>
      <c r="B50" s="88" t="s">
        <v>22</v>
      </c>
      <c r="C50" s="89" t="s">
        <v>22</v>
      </c>
      <c r="D50" s="89" t="s">
        <v>473</v>
      </c>
      <c r="E50" s="181"/>
      <c r="F50" s="181"/>
      <c r="G50" s="183"/>
      <c r="H50" s="181"/>
      <c r="I50" s="181"/>
      <c r="J50" s="181"/>
      <c r="K50" s="181" t="str">
        <f t="shared" si="1"/>
        <v>CONJ|-</v>
      </c>
      <c r="L50" s="181"/>
    </row>
    <row r="51" spans="1:12" hidden="1" x14ac:dyDescent="0.35">
      <c r="A51" s="88" t="s">
        <v>2895</v>
      </c>
      <c r="B51" s="88" t="s">
        <v>6511</v>
      </c>
      <c r="C51" s="89" t="s">
        <v>6511</v>
      </c>
      <c r="D51" s="89" t="s">
        <v>473</v>
      </c>
      <c r="E51" s="181"/>
      <c r="F51" s="181"/>
      <c r="G51" s="183"/>
      <c r="H51" s="181"/>
      <c r="I51" s="181"/>
      <c r="J51" s="181"/>
      <c r="K51" s="181" t="str">
        <f t="shared" si="1"/>
        <v>CONJ|,</v>
      </c>
      <c r="L51" s="181"/>
    </row>
    <row r="52" spans="1:12" hidden="1" x14ac:dyDescent="0.35">
      <c r="A52" s="88" t="s">
        <v>2895</v>
      </c>
      <c r="B52" s="88" t="s">
        <v>6512</v>
      </c>
      <c r="C52" s="89" t="s">
        <v>6512</v>
      </c>
      <c r="D52" s="89" t="s">
        <v>473</v>
      </c>
      <c r="E52" s="181"/>
      <c r="F52" s="181"/>
      <c r="G52" s="183"/>
      <c r="H52" s="181"/>
      <c r="I52" s="181"/>
      <c r="J52" s="181"/>
      <c r="K52" s="181" t="str">
        <f t="shared" si="1"/>
        <v>CONJ|/</v>
      </c>
      <c r="L52" s="181"/>
    </row>
    <row r="53" spans="1:12" hidden="1" x14ac:dyDescent="0.35">
      <c r="A53" s="88" t="s">
        <v>2895</v>
      </c>
      <c r="B53" s="88" t="s">
        <v>665</v>
      </c>
      <c r="C53" s="89" t="s">
        <v>665</v>
      </c>
      <c r="D53" s="89" t="s">
        <v>473</v>
      </c>
      <c r="E53" s="181"/>
      <c r="F53" s="181"/>
      <c r="G53" s="183"/>
      <c r="H53" s="181"/>
      <c r="I53" s="181"/>
      <c r="J53" s="181"/>
      <c r="K53" s="181" t="str">
        <f t="shared" si="1"/>
        <v>CONJ|and</v>
      </c>
      <c r="L53" s="181"/>
    </row>
    <row r="54" spans="1:12" hidden="1" x14ac:dyDescent="0.35">
      <c r="A54" s="88" t="s">
        <v>2895</v>
      </c>
      <c r="B54" s="88" t="s">
        <v>6036</v>
      </c>
      <c r="C54" s="89" t="s">
        <v>6036</v>
      </c>
      <c r="D54" s="89" t="s">
        <v>473</v>
      </c>
      <c r="E54" s="181"/>
      <c r="F54" s="181"/>
      <c r="G54" s="183"/>
      <c r="H54" s="181"/>
      <c r="I54" s="181"/>
      <c r="J54" s="181"/>
      <c r="K54" s="181" t="str">
        <f t="shared" si="1"/>
        <v>CONJ|becoming</v>
      </c>
      <c r="L54" s="181"/>
    </row>
    <row r="55" spans="1:12" hidden="1" x14ac:dyDescent="0.35">
      <c r="A55" s="88" t="s">
        <v>2895</v>
      </c>
      <c r="B55" s="88" t="s">
        <v>6513</v>
      </c>
      <c r="C55" s="89" t="s">
        <v>6513</v>
      </c>
      <c r="D55" s="89" t="s">
        <v>473</v>
      </c>
      <c r="E55" s="181"/>
      <c r="F55" s="181"/>
      <c r="G55" s="183"/>
      <c r="H55" s="181"/>
      <c r="I55" s="181"/>
      <c r="J55" s="181"/>
      <c r="K55" s="181" t="str">
        <f t="shared" si="1"/>
        <v>CONJ|or</v>
      </c>
      <c r="L55" s="181"/>
    </row>
    <row r="56" spans="1:12" hidden="1" x14ac:dyDescent="0.35">
      <c r="A56" s="88" t="s">
        <v>2895</v>
      </c>
      <c r="B56" s="88" t="s">
        <v>657</v>
      </c>
      <c r="C56" s="89" t="s">
        <v>657</v>
      </c>
      <c r="D56" s="89" t="s">
        <v>473</v>
      </c>
      <c r="E56" s="181"/>
      <c r="F56" s="181"/>
      <c r="G56" s="183"/>
      <c r="H56" s="181"/>
      <c r="I56" s="181"/>
      <c r="J56" s="181"/>
      <c r="K56" s="181" t="str">
        <f t="shared" si="1"/>
        <v>CONJ|possibly</v>
      </c>
      <c r="L56" s="181"/>
    </row>
    <row r="57" spans="1:12" hidden="1" x14ac:dyDescent="0.35">
      <c r="A57" s="88" t="s">
        <v>2895</v>
      </c>
      <c r="B57" s="88" t="s">
        <v>718</v>
      </c>
      <c r="C57" s="89" t="s">
        <v>718</v>
      </c>
      <c r="D57" s="89" t="s">
        <v>473</v>
      </c>
      <c r="E57" s="181"/>
      <c r="F57" s="181"/>
      <c r="G57" s="183"/>
      <c r="H57" s="181"/>
      <c r="I57" s="181"/>
      <c r="J57" s="181"/>
      <c r="K57" s="181" t="str">
        <f t="shared" si="1"/>
        <v>CONJ|to</v>
      </c>
      <c r="L57" s="181"/>
    </row>
    <row r="58" spans="1:12" hidden="1" x14ac:dyDescent="0.35">
      <c r="A58" s="88" t="s">
        <v>2895</v>
      </c>
      <c r="B58" s="88" t="s">
        <v>777</v>
      </c>
      <c r="C58" s="89" t="s">
        <v>777</v>
      </c>
      <c r="D58" s="89" t="s">
        <v>473</v>
      </c>
      <c r="E58" s="181"/>
      <c r="F58" s="181"/>
      <c r="G58" s="183"/>
      <c r="H58" s="181"/>
      <c r="I58" s="181"/>
      <c r="J58" s="181"/>
      <c r="K58" s="181" t="str">
        <f t="shared" si="1"/>
        <v>CONJ|with</v>
      </c>
      <c r="L58" s="181"/>
    </row>
    <row r="59" spans="1:12" hidden="1" x14ac:dyDescent="0.35">
      <c r="A59" s="181" t="s">
        <v>1691</v>
      </c>
      <c r="B59" s="182" t="s">
        <v>6514</v>
      </c>
      <c r="C59" s="181" t="s">
        <v>6515</v>
      </c>
      <c r="D59" s="178">
        <v>4.0999999999999996</v>
      </c>
      <c r="E59" s="181" t="s">
        <v>6450</v>
      </c>
      <c r="F59" s="184">
        <v>44173</v>
      </c>
      <c r="G59" s="181"/>
      <c r="H59" s="181">
        <v>4.0999999999999996</v>
      </c>
      <c r="I59" s="181" t="str">
        <f>VLOOKUP(LEFT(A59,4),Groups!$A$1:$C$188,3,FALSE)</f>
        <v>Cyclic Triaxial Tests - Consolidation</v>
      </c>
      <c r="J59" s="181" t="str">
        <f>VLOOKUP(A59,Headings!$C$1:$H$3948,4,FALSE)</f>
        <v>Bender element axis of measurement</v>
      </c>
      <c r="K59" s="181" t="str">
        <f t="shared" si="1"/>
        <v>CTRC_BEAX|hh</v>
      </c>
      <c r="L59" s="181"/>
    </row>
    <row r="60" spans="1:12" hidden="1" x14ac:dyDescent="0.35">
      <c r="A60" s="181" t="s">
        <v>1691</v>
      </c>
      <c r="B60" s="182" t="s">
        <v>1693</v>
      </c>
      <c r="C60" s="181" t="s">
        <v>6516</v>
      </c>
      <c r="D60" s="178">
        <v>4.0999999999999996</v>
      </c>
      <c r="E60" s="181" t="s">
        <v>6450</v>
      </c>
      <c r="F60" s="184">
        <v>44173</v>
      </c>
      <c r="G60" s="181"/>
      <c r="H60" s="181">
        <v>4.0999999999999996</v>
      </c>
      <c r="I60" s="181" t="str">
        <f>VLOOKUP(LEFT(A60,4),Groups!$A$1:$C$188,3,FALSE)</f>
        <v>Cyclic Triaxial Tests - Consolidation</v>
      </c>
      <c r="J60" s="181" t="str">
        <f>VLOOKUP(A60,Headings!$C$1:$H$3948,4,FALSE)</f>
        <v>Bender element axis of measurement</v>
      </c>
      <c r="K60" s="181" t="str">
        <f t="shared" si="1"/>
        <v>CTRC_BEAX|hv</v>
      </c>
      <c r="L60" s="181"/>
    </row>
    <row r="61" spans="1:12" hidden="1" x14ac:dyDescent="0.35">
      <c r="A61" s="181" t="s">
        <v>1691</v>
      </c>
      <c r="B61" s="182" t="s">
        <v>6517</v>
      </c>
      <c r="C61" s="181" t="s">
        <v>6518</v>
      </c>
      <c r="D61" s="178">
        <v>4.0999999999999996</v>
      </c>
      <c r="E61" s="181" t="s">
        <v>6450</v>
      </c>
      <c r="F61" s="184">
        <v>44173</v>
      </c>
      <c r="G61" s="181"/>
      <c r="H61" s="181">
        <v>4.0999999999999996</v>
      </c>
      <c r="I61" s="181" t="str">
        <f>VLOOKUP(LEFT(A61,4),Groups!$A$1:$C$188,3,FALSE)</f>
        <v>Cyclic Triaxial Tests - Consolidation</v>
      </c>
      <c r="J61" s="181" t="str">
        <f>VLOOKUP(A61,Headings!$C$1:$H$3948,4,FALSE)</f>
        <v>Bender element axis of measurement</v>
      </c>
      <c r="K61" s="181" t="str">
        <f t="shared" si="1"/>
        <v>CTRC_BEAX|Sv</v>
      </c>
      <c r="L61" s="181"/>
    </row>
    <row r="62" spans="1:12" hidden="1" x14ac:dyDescent="0.35">
      <c r="A62" s="181" t="s">
        <v>1691</v>
      </c>
      <c r="B62" s="182" t="s">
        <v>6519</v>
      </c>
      <c r="C62" s="181" t="s">
        <v>6520</v>
      </c>
      <c r="D62" s="178">
        <v>4.0999999999999996</v>
      </c>
      <c r="E62" s="181" t="s">
        <v>6450</v>
      </c>
      <c r="F62" s="184">
        <v>44173</v>
      </c>
      <c r="G62" s="181"/>
      <c r="H62" s="181">
        <v>4.0999999999999996</v>
      </c>
      <c r="I62" s="181" t="str">
        <f>VLOOKUP(LEFT(A62,4),Groups!$A$1:$C$188,3,FALSE)</f>
        <v>Cyclic Triaxial Tests - Consolidation</v>
      </c>
      <c r="J62" s="181" t="str">
        <f>VLOOKUP(A62,Headings!$C$1:$H$3948,4,FALSE)</f>
        <v>Bender element axis of measurement</v>
      </c>
      <c r="K62" s="181" t="str">
        <f t="shared" si="1"/>
        <v>CTRC_BEAX|vh</v>
      </c>
      <c r="L62" s="181"/>
    </row>
    <row r="63" spans="1:12" hidden="1" x14ac:dyDescent="0.35">
      <c r="A63" s="181" t="s">
        <v>1632</v>
      </c>
      <c r="B63" s="182" t="s">
        <v>1634</v>
      </c>
      <c r="C63" s="181" t="s">
        <v>5278</v>
      </c>
      <c r="D63" s="178">
        <v>4.0999999999999996</v>
      </c>
      <c r="E63" s="181" t="s">
        <v>6450</v>
      </c>
      <c r="F63" s="184">
        <v>44173</v>
      </c>
      <c r="G63" s="181"/>
      <c r="H63" s="181">
        <v>4.0999999999999996</v>
      </c>
      <c r="I63" s="181" t="str">
        <f>VLOOKUP(LEFT(A63,4),Groups!$A$1:$C$188,3,FALSE)</f>
        <v>Cyclic Triaxial Tests - Consolidation</v>
      </c>
      <c r="J63" s="181" t="str">
        <f>VLOOKUP(A63,Headings!$C$1:$H$3948,4,FALSE)</f>
        <v>Type of consolidation</v>
      </c>
      <c r="K63" s="181" t="str">
        <f t="shared" si="1"/>
        <v>CTRC_TYPE|ISOTROPIC</v>
      </c>
      <c r="L63" s="181"/>
    </row>
    <row r="64" spans="1:12" hidden="1" x14ac:dyDescent="0.35">
      <c r="A64" s="181" t="s">
        <v>1632</v>
      </c>
      <c r="B64" s="182" t="s">
        <v>6521</v>
      </c>
      <c r="C64" s="181" t="s">
        <v>6521</v>
      </c>
      <c r="D64" s="178">
        <v>4.0999999999999996</v>
      </c>
      <c r="E64" s="181" t="s">
        <v>6450</v>
      </c>
      <c r="F64" s="184">
        <v>44173</v>
      </c>
      <c r="G64" s="181"/>
      <c r="H64" s="181">
        <v>4.0999999999999996</v>
      </c>
      <c r="I64" s="181" t="str">
        <f>VLOOKUP(LEFT(A64,4),Groups!$A$1:$C$188,3,FALSE)</f>
        <v>Cyclic Triaxial Tests - Consolidation</v>
      </c>
      <c r="J64" s="181" t="str">
        <f>VLOOKUP(A64,Headings!$C$1:$H$3948,4,FALSE)</f>
        <v>Type of consolidation</v>
      </c>
      <c r="K64" s="181" t="str">
        <f t="shared" si="1"/>
        <v>CTRC_TYPE|K0</v>
      </c>
      <c r="L64" s="181"/>
    </row>
    <row r="65" spans="1:12" hidden="1" x14ac:dyDescent="0.35">
      <c r="A65" s="181" t="s">
        <v>1632</v>
      </c>
      <c r="B65" s="182" t="s">
        <v>6522</v>
      </c>
      <c r="C65" s="181" t="s">
        <v>6523</v>
      </c>
      <c r="D65" s="178">
        <v>4.0999999999999996</v>
      </c>
      <c r="E65" s="181" t="s">
        <v>6450</v>
      </c>
      <c r="F65" s="184">
        <v>44173</v>
      </c>
      <c r="G65" s="181"/>
      <c r="H65" s="181">
        <v>4.0999999999999996</v>
      </c>
      <c r="I65" s="181" t="str">
        <f>VLOOKUP(LEFT(A65,4),Groups!$A$1:$C$188,3,FALSE)</f>
        <v>Cyclic Triaxial Tests - Consolidation</v>
      </c>
      <c r="J65" s="181" t="str">
        <f>VLOOKUP(A65,Headings!$C$1:$H$3948,4,FALSE)</f>
        <v>Type of consolidation</v>
      </c>
      <c r="K65" s="181" t="str">
        <f t="shared" si="1"/>
        <v>CTRC_TYPE|STRESS</v>
      </c>
      <c r="L65" s="181"/>
    </row>
    <row r="66" spans="1:12" hidden="1" x14ac:dyDescent="0.35">
      <c r="A66" s="181" t="s">
        <v>1721</v>
      </c>
      <c r="B66" s="182" t="s">
        <v>1723</v>
      </c>
      <c r="C66" s="181" t="s">
        <v>6524</v>
      </c>
      <c r="D66" s="178">
        <v>4.0999999999999996</v>
      </c>
      <c r="E66" s="181" t="s">
        <v>6450</v>
      </c>
      <c r="F66" s="184">
        <v>44173</v>
      </c>
      <c r="G66" s="181"/>
      <c r="H66" s="181">
        <v>4.0999999999999996</v>
      </c>
      <c r="I66" s="181" t="str">
        <f>VLOOKUP(LEFT(A66,4),Groups!$A$1:$C$188,3,FALSE)</f>
        <v>Cyclic Triaxial Tests - Data</v>
      </c>
      <c r="J66" s="181" t="str">
        <f>VLOOKUP(A66,Headings!$C$1:$H$3948,4,FALSE)</f>
        <v>Test conditions</v>
      </c>
      <c r="K66" s="181" t="str">
        <f t="shared" ref="K66:K97" si="2">A66&amp;"|"&amp;B66</f>
        <v>CTRD_COND|DRAINED</v>
      </c>
      <c r="L66" s="181"/>
    </row>
    <row r="67" spans="1:12" hidden="1" x14ac:dyDescent="0.35">
      <c r="A67" s="181" t="s">
        <v>1721</v>
      </c>
      <c r="B67" s="182" t="s">
        <v>6525</v>
      </c>
      <c r="C67" s="181" t="s">
        <v>6526</v>
      </c>
      <c r="D67" s="178">
        <v>4.0999999999999996</v>
      </c>
      <c r="E67" s="181" t="s">
        <v>6450</v>
      </c>
      <c r="F67" s="184">
        <v>44173</v>
      </c>
      <c r="G67" s="181"/>
      <c r="H67" s="181">
        <v>4.0999999999999996</v>
      </c>
      <c r="I67" s="181" t="str">
        <f>VLOOKUP(LEFT(A67,4),Groups!$A$1:$C$188,3,FALSE)</f>
        <v>Cyclic Triaxial Tests - Data</v>
      </c>
      <c r="J67" s="181" t="str">
        <f>VLOOKUP(A67,Headings!$C$1:$H$3948,4,FALSE)</f>
        <v>Test conditions</v>
      </c>
      <c r="K67" s="181" t="str">
        <f t="shared" si="2"/>
        <v>CTRD_COND|UNDRAINED</v>
      </c>
      <c r="L67" s="181"/>
    </row>
    <row r="68" spans="1:12" hidden="1" x14ac:dyDescent="0.35">
      <c r="A68" s="181" t="s">
        <v>1793</v>
      </c>
      <c r="B68" s="182" t="s">
        <v>6527</v>
      </c>
      <c r="C68" s="181" t="s">
        <v>6528</v>
      </c>
      <c r="D68" s="178">
        <v>4.0999999999999996</v>
      </c>
      <c r="E68" s="181" t="s">
        <v>6450</v>
      </c>
      <c r="F68" s="184">
        <v>44173</v>
      </c>
      <c r="G68" s="181"/>
      <c r="H68" s="181">
        <v>4.0999999999999996</v>
      </c>
      <c r="I68" s="181" t="str">
        <f>VLOOKUP(LEFT(A68,4),Groups!$A$1:$C$188,3,FALSE)</f>
        <v>Cyclic Triaxial Test - General</v>
      </c>
      <c r="J68" s="181" t="str">
        <f>VLOOKUP(A68,Headings!$C$1:$H$3948,4,FALSE)</f>
        <v>Type of test</v>
      </c>
      <c r="K68" s="181" t="str">
        <f t="shared" si="2"/>
        <v>CTRG_TYPE|CADC</v>
      </c>
      <c r="L68" s="181"/>
    </row>
    <row r="69" spans="1:12" hidden="1" x14ac:dyDescent="0.35">
      <c r="A69" s="181" t="s">
        <v>1793</v>
      </c>
      <c r="B69" s="182" t="s">
        <v>6529</v>
      </c>
      <c r="C69" s="181" t="s">
        <v>6530</v>
      </c>
      <c r="D69" s="178">
        <v>4.0999999999999996</v>
      </c>
      <c r="E69" s="181" t="s">
        <v>6450</v>
      </c>
      <c r="F69" s="184">
        <v>44173</v>
      </c>
      <c r="G69" s="181"/>
      <c r="H69" s="181">
        <v>4.0999999999999996</v>
      </c>
      <c r="I69" s="181" t="str">
        <f>VLOOKUP(LEFT(A69,4),Groups!$A$1:$C$188,3,FALSE)</f>
        <v>Cyclic Triaxial Test - General</v>
      </c>
      <c r="J69" s="181" t="str">
        <f>VLOOKUP(A69,Headings!$C$1:$H$3948,4,FALSE)</f>
        <v>Type of test</v>
      </c>
      <c r="K69" s="181" t="str">
        <f t="shared" si="2"/>
        <v>CTRG_TYPE|CAUC</v>
      </c>
      <c r="L69" s="181"/>
    </row>
    <row r="70" spans="1:12" hidden="1" x14ac:dyDescent="0.35">
      <c r="A70" s="181" t="s">
        <v>1793</v>
      </c>
      <c r="B70" s="182" t="s">
        <v>6531</v>
      </c>
      <c r="C70" s="181" t="s">
        <v>6532</v>
      </c>
      <c r="D70" s="178">
        <v>4.0999999999999996</v>
      </c>
      <c r="E70" s="181" t="s">
        <v>6450</v>
      </c>
      <c r="F70" s="184">
        <v>44173</v>
      </c>
      <c r="G70" s="181"/>
      <c r="H70" s="181">
        <v>4.0999999999999996</v>
      </c>
      <c r="I70" s="181" t="str">
        <f>VLOOKUP(LEFT(A70,4),Groups!$A$1:$C$188,3,FALSE)</f>
        <v>Cyclic Triaxial Test - General</v>
      </c>
      <c r="J70" s="181" t="str">
        <f>VLOOKUP(A70,Headings!$C$1:$H$3948,4,FALSE)</f>
        <v>Type of test</v>
      </c>
      <c r="K70" s="181" t="str">
        <f t="shared" si="2"/>
        <v>CTRG_TYPE|CIDC</v>
      </c>
      <c r="L70" s="181"/>
    </row>
    <row r="71" spans="1:12" hidden="1" x14ac:dyDescent="0.35">
      <c r="A71" s="181" t="s">
        <v>1793</v>
      </c>
      <c r="B71" s="182" t="s">
        <v>6533</v>
      </c>
      <c r="C71" s="181" t="s">
        <v>6534</v>
      </c>
      <c r="D71" s="178">
        <v>4.0999999999999996</v>
      </c>
      <c r="E71" s="181" t="s">
        <v>6450</v>
      </c>
      <c r="F71" s="184">
        <v>44173</v>
      </c>
      <c r="G71" s="181"/>
      <c r="H71" s="181">
        <v>4.0999999999999996</v>
      </c>
      <c r="I71" s="181" t="str">
        <f>VLOOKUP(LEFT(A71,4),Groups!$A$1:$C$188,3,FALSE)</f>
        <v>Cyclic Triaxial Test - General</v>
      </c>
      <c r="J71" s="181" t="str">
        <f>VLOOKUP(A71,Headings!$C$1:$H$3948,4,FALSE)</f>
        <v>Type of test</v>
      </c>
      <c r="K71" s="181" t="str">
        <f t="shared" si="2"/>
        <v>CTRG_TYPE|CIUC</v>
      </c>
      <c r="L71" s="181"/>
    </row>
    <row r="72" spans="1:12" hidden="1" x14ac:dyDescent="0.35">
      <c r="A72" s="88" t="s">
        <v>1948</v>
      </c>
      <c r="B72" s="88" t="s">
        <v>1950</v>
      </c>
      <c r="C72" s="92" t="s">
        <v>6535</v>
      </c>
      <c r="D72" s="89" t="s">
        <v>473</v>
      </c>
      <c r="E72" s="181"/>
      <c r="F72" s="181"/>
      <c r="G72" s="183"/>
      <c r="H72" s="181"/>
      <c r="I72" s="181"/>
      <c r="J72" s="181"/>
      <c r="K72" s="181" t="str">
        <f t="shared" si="2"/>
        <v>DCPG_TYPE|DCP9</v>
      </c>
      <c r="L72" s="181"/>
    </row>
    <row r="73" spans="1:12" hidden="1" x14ac:dyDescent="0.35">
      <c r="A73" s="88" t="s">
        <v>1948</v>
      </c>
      <c r="B73" s="88" t="s">
        <v>6536</v>
      </c>
      <c r="C73" s="92" t="s">
        <v>6537</v>
      </c>
      <c r="D73" s="89" t="s">
        <v>473</v>
      </c>
      <c r="E73" s="181"/>
      <c r="F73" s="181"/>
      <c r="G73" s="183"/>
      <c r="H73" s="181"/>
      <c r="I73" s="181"/>
      <c r="J73" s="181"/>
      <c r="K73" s="181" t="str">
        <f t="shared" si="2"/>
        <v>DCPG_TYPE|PSP</v>
      </c>
      <c r="L73" s="181"/>
    </row>
    <row r="74" spans="1:12" hidden="1" x14ac:dyDescent="0.35">
      <c r="A74" s="181" t="s">
        <v>1998</v>
      </c>
      <c r="B74" s="182" t="s">
        <v>767</v>
      </c>
      <c r="C74" s="181" t="s">
        <v>6538</v>
      </c>
      <c r="D74" s="178">
        <v>4.0999999999999996</v>
      </c>
      <c r="E74" s="181" t="s">
        <v>6450</v>
      </c>
      <c r="F74" s="184">
        <v>40323</v>
      </c>
      <c r="G74" s="181"/>
      <c r="H74" s="181" t="s">
        <v>6451</v>
      </c>
      <c r="I74" s="181" t="str">
        <f>VLOOKUP(LEFT(A74,4),Groups!$A$1:$C$188,3,FALSE)</f>
        <v>User Defined Groups and Headings</v>
      </c>
      <c r="J74" s="181" t="str">
        <f>VLOOKUP(A74,Headings!$C$1:$H$3948,4,FALSE)</f>
        <v>Type of data and format 
(Note: This data is REQUIRED where DICT_TYPE="HEADING")</v>
      </c>
      <c r="K74" s="181" t="str">
        <f t="shared" si="2"/>
        <v>DICT_DTYP|0DP</v>
      </c>
      <c r="L74" s="181"/>
    </row>
    <row r="75" spans="1:12" hidden="1" x14ac:dyDescent="0.35">
      <c r="A75" s="181" t="s">
        <v>1998</v>
      </c>
      <c r="B75" s="182" t="s">
        <v>6539</v>
      </c>
      <c r="C75" s="181" t="s">
        <v>6540</v>
      </c>
      <c r="D75" s="178">
        <v>4.0999999999999996</v>
      </c>
      <c r="E75" s="181" t="s">
        <v>6450</v>
      </c>
      <c r="F75" s="184">
        <v>40323</v>
      </c>
      <c r="G75" s="181"/>
      <c r="H75" s="181" t="s">
        <v>6451</v>
      </c>
      <c r="I75" s="181" t="str">
        <f>VLOOKUP(LEFT(A75,4),Groups!$A$1:$C$188,3,FALSE)</f>
        <v>User Defined Groups and Headings</v>
      </c>
      <c r="J75" s="181" t="str">
        <f>VLOOKUP(A75,Headings!$C$1:$H$3948,4,FALSE)</f>
        <v>Type of data and format 
(Note: This data is REQUIRED where DICT_TYPE="HEADING")</v>
      </c>
      <c r="K75" s="181" t="str">
        <f t="shared" si="2"/>
        <v>DICT_DTYP|0SCI</v>
      </c>
      <c r="L75" s="181"/>
    </row>
    <row r="76" spans="1:12" hidden="1" x14ac:dyDescent="0.35">
      <c r="A76" s="181" t="s">
        <v>1998</v>
      </c>
      <c r="B76" s="182" t="s">
        <v>723</v>
      </c>
      <c r="C76" s="181" t="s">
        <v>6541</v>
      </c>
      <c r="D76" s="178">
        <v>4.0999999999999996</v>
      </c>
      <c r="E76" s="181" t="s">
        <v>6450</v>
      </c>
      <c r="F76" s="184">
        <v>40323</v>
      </c>
      <c r="G76" s="181"/>
      <c r="H76" s="181" t="s">
        <v>6451</v>
      </c>
      <c r="I76" s="181" t="str">
        <f>VLOOKUP(LEFT(A76,4),Groups!$A$1:$C$188,3,FALSE)</f>
        <v>User Defined Groups and Headings</v>
      </c>
      <c r="J76" s="181" t="str">
        <f>VLOOKUP(A76,Headings!$C$1:$H$3948,4,FALSE)</f>
        <v>Type of data and format 
(Note: This data is REQUIRED where DICT_TYPE="HEADING")</v>
      </c>
      <c r="K76" s="181" t="str">
        <f t="shared" si="2"/>
        <v>DICT_DTYP|1DP</v>
      </c>
      <c r="L76" s="181"/>
    </row>
    <row r="77" spans="1:12" hidden="1" x14ac:dyDescent="0.35">
      <c r="A77" s="181" t="s">
        <v>1998</v>
      </c>
      <c r="B77" s="182" t="s">
        <v>2117</v>
      </c>
      <c r="C77" s="181" t="s">
        <v>6542</v>
      </c>
      <c r="D77" s="178">
        <v>4.0999999999999996</v>
      </c>
      <c r="E77" s="181" t="s">
        <v>6450</v>
      </c>
      <c r="F77" s="184">
        <v>40323</v>
      </c>
      <c r="G77" s="181"/>
      <c r="H77" s="181" t="s">
        <v>6451</v>
      </c>
      <c r="I77" s="181" t="str">
        <f>VLOOKUP(LEFT(A77,4),Groups!$A$1:$C$188,3,FALSE)</f>
        <v>User Defined Groups and Headings</v>
      </c>
      <c r="J77" s="181" t="str">
        <f>VLOOKUP(A77,Headings!$C$1:$H$3948,4,FALSE)</f>
        <v>Type of data and format 
(Note: This data is REQUIRED where DICT_TYPE="HEADING")</v>
      </c>
      <c r="K77" s="181" t="str">
        <f t="shared" si="2"/>
        <v>DICT_DTYP|1SCI</v>
      </c>
      <c r="L77" s="181"/>
    </row>
    <row r="78" spans="1:12" hidden="1" x14ac:dyDescent="0.35">
      <c r="A78" s="181" t="s">
        <v>1998</v>
      </c>
      <c r="B78" s="182" t="s">
        <v>886</v>
      </c>
      <c r="C78" s="181" t="s">
        <v>6543</v>
      </c>
      <c r="D78" s="178">
        <v>4.0999999999999996</v>
      </c>
      <c r="E78" s="181" t="s">
        <v>6450</v>
      </c>
      <c r="F78" s="184">
        <v>40323</v>
      </c>
      <c r="G78" s="181"/>
      <c r="H78" s="181" t="s">
        <v>6451</v>
      </c>
      <c r="I78" s="181" t="str">
        <f>VLOOKUP(LEFT(A78,4),Groups!$A$1:$C$188,3,FALSE)</f>
        <v>User Defined Groups and Headings</v>
      </c>
      <c r="J78" s="181" t="str">
        <f>VLOOKUP(A78,Headings!$C$1:$H$3948,4,FALSE)</f>
        <v>Type of data and format 
(Note: This data is REQUIRED where DICT_TYPE="HEADING")</v>
      </c>
      <c r="K78" s="181" t="str">
        <f t="shared" si="2"/>
        <v>DICT_DTYP|1SF</v>
      </c>
      <c r="L78" s="181"/>
    </row>
    <row r="79" spans="1:12" hidden="1" x14ac:dyDescent="0.35">
      <c r="A79" s="181" t="s">
        <v>1998</v>
      </c>
      <c r="B79" s="182" t="s">
        <v>601</v>
      </c>
      <c r="C79" s="181" t="s">
        <v>6544</v>
      </c>
      <c r="D79" s="178">
        <v>4.0999999999999996</v>
      </c>
      <c r="E79" s="181" t="s">
        <v>6450</v>
      </c>
      <c r="F79" s="184">
        <v>40323</v>
      </c>
      <c r="G79" s="181"/>
      <c r="H79" s="181" t="s">
        <v>6451</v>
      </c>
      <c r="I79" s="181" t="str">
        <f>VLOOKUP(LEFT(A79,4),Groups!$A$1:$C$188,3,FALSE)</f>
        <v>User Defined Groups and Headings</v>
      </c>
      <c r="J79" s="181" t="str">
        <f>VLOOKUP(A79,Headings!$C$1:$H$3948,4,FALSE)</f>
        <v>Type of data and format 
(Note: This data is REQUIRED where DICT_TYPE="HEADING")</v>
      </c>
      <c r="K79" s="181" t="str">
        <f t="shared" si="2"/>
        <v>DICT_DTYP|2DP</v>
      </c>
      <c r="L79" s="181"/>
    </row>
    <row r="80" spans="1:12" hidden="1" x14ac:dyDescent="0.35">
      <c r="A80" s="181" t="s">
        <v>1998</v>
      </c>
      <c r="B80" s="182" t="s">
        <v>3357</v>
      </c>
      <c r="C80" s="181" t="s">
        <v>6545</v>
      </c>
      <c r="D80" s="178">
        <v>4.0999999999999996</v>
      </c>
      <c r="E80" s="181" t="s">
        <v>6450</v>
      </c>
      <c r="F80" s="184">
        <v>40323</v>
      </c>
      <c r="G80" s="181"/>
      <c r="H80" s="181" t="s">
        <v>6451</v>
      </c>
      <c r="I80" s="181" t="str">
        <f>VLOOKUP(LEFT(A80,4),Groups!$A$1:$C$188,3,FALSE)</f>
        <v>User Defined Groups and Headings</v>
      </c>
      <c r="J80" s="181" t="str">
        <f>VLOOKUP(A80,Headings!$C$1:$H$3948,4,FALSE)</f>
        <v>Type of data and format 
(Note: This data is REQUIRED where DICT_TYPE="HEADING")</v>
      </c>
      <c r="K80" s="181" t="str">
        <f t="shared" si="2"/>
        <v>DICT_DTYP|2SCI</v>
      </c>
      <c r="L80" s="181"/>
    </row>
    <row r="81" spans="1:12" hidden="1" x14ac:dyDescent="0.35">
      <c r="A81" s="181" t="s">
        <v>1998</v>
      </c>
      <c r="B81" s="182" t="s">
        <v>882</v>
      </c>
      <c r="C81" s="181" t="s">
        <v>6546</v>
      </c>
      <c r="D81" s="178">
        <v>4.0999999999999996</v>
      </c>
      <c r="E81" s="181" t="s">
        <v>6450</v>
      </c>
      <c r="F81" s="184">
        <v>40323</v>
      </c>
      <c r="G81" s="181"/>
      <c r="H81" s="181" t="s">
        <v>6451</v>
      </c>
      <c r="I81" s="181" t="str">
        <f>VLOOKUP(LEFT(A81,4),Groups!$A$1:$C$188,3,FALSE)</f>
        <v>User Defined Groups and Headings</v>
      </c>
      <c r="J81" s="181" t="str">
        <f>VLOOKUP(A81,Headings!$C$1:$H$3948,4,FALSE)</f>
        <v>Type of data and format 
(Note: This data is REQUIRED where DICT_TYPE="HEADING")</v>
      </c>
      <c r="K81" s="181" t="str">
        <f t="shared" si="2"/>
        <v>DICT_DTYP|2SF</v>
      </c>
      <c r="L81" s="181"/>
    </row>
    <row r="82" spans="1:12" hidden="1" x14ac:dyDescent="0.35">
      <c r="A82" s="181" t="s">
        <v>1998</v>
      </c>
      <c r="B82" s="182" t="s">
        <v>1321</v>
      </c>
      <c r="C82" s="181" t="s">
        <v>6547</v>
      </c>
      <c r="D82" s="178">
        <v>4.0999999999999996</v>
      </c>
      <c r="E82" s="181" t="s">
        <v>6450</v>
      </c>
      <c r="F82" s="184">
        <v>40323</v>
      </c>
      <c r="G82" s="181"/>
      <c r="H82" s="181" t="s">
        <v>6451</v>
      </c>
      <c r="I82" s="181" t="str">
        <f>VLOOKUP(LEFT(A82,4),Groups!$A$1:$C$188,3,FALSE)</f>
        <v>User Defined Groups and Headings</v>
      </c>
      <c r="J82" s="181" t="str">
        <f>VLOOKUP(A82,Headings!$C$1:$H$3948,4,FALSE)</f>
        <v>Type of data and format 
(Note: This data is REQUIRED where DICT_TYPE="HEADING")</v>
      </c>
      <c r="K82" s="181" t="str">
        <f t="shared" si="2"/>
        <v>DICT_DTYP|3DP</v>
      </c>
      <c r="L82" s="181"/>
    </row>
    <row r="83" spans="1:12" hidden="1" x14ac:dyDescent="0.35">
      <c r="A83" s="181" t="s">
        <v>1998</v>
      </c>
      <c r="B83" s="182" t="s">
        <v>6548</v>
      </c>
      <c r="C83" s="181" t="s">
        <v>6549</v>
      </c>
      <c r="D83" s="178">
        <v>4.0999999999999996</v>
      </c>
      <c r="E83" s="181" t="s">
        <v>6450</v>
      </c>
      <c r="F83" s="184">
        <v>40323</v>
      </c>
      <c r="G83" s="181"/>
      <c r="H83" s="181" t="s">
        <v>6451</v>
      </c>
      <c r="I83" s="181" t="str">
        <f>VLOOKUP(LEFT(A83,4),Groups!$A$1:$C$188,3,FALSE)</f>
        <v>User Defined Groups and Headings</v>
      </c>
      <c r="J83" s="181" t="str">
        <f>VLOOKUP(A83,Headings!$C$1:$H$3948,4,FALSE)</f>
        <v>Type of data and format 
(Note: This data is REQUIRED where DICT_TYPE="HEADING")</v>
      </c>
      <c r="K83" s="181" t="str">
        <f t="shared" si="2"/>
        <v>DICT_DTYP|3SCI</v>
      </c>
      <c r="L83" s="181"/>
    </row>
    <row r="84" spans="1:12" hidden="1" x14ac:dyDescent="0.35">
      <c r="A84" s="181" t="s">
        <v>1998</v>
      </c>
      <c r="B84" s="182" t="s">
        <v>2966</v>
      </c>
      <c r="C84" s="181" t="s">
        <v>6550</v>
      </c>
      <c r="D84" s="178">
        <v>4.0999999999999996</v>
      </c>
      <c r="E84" s="181" t="s">
        <v>6450</v>
      </c>
      <c r="F84" s="184">
        <v>40323</v>
      </c>
      <c r="G84" s="181"/>
      <c r="H84" s="181" t="s">
        <v>6451</v>
      </c>
      <c r="I84" s="181" t="str">
        <f>VLOOKUP(LEFT(A84,4),Groups!$A$1:$C$188,3,FALSE)</f>
        <v>User Defined Groups and Headings</v>
      </c>
      <c r="J84" s="181" t="str">
        <f>VLOOKUP(A84,Headings!$C$1:$H$3948,4,FALSE)</f>
        <v>Type of data and format 
(Note: This data is REQUIRED where DICT_TYPE="HEADING")</v>
      </c>
      <c r="K84" s="181" t="str">
        <f t="shared" si="2"/>
        <v>DICT_DTYP|3SF</v>
      </c>
      <c r="L84" s="181"/>
    </row>
    <row r="85" spans="1:12" hidden="1" x14ac:dyDescent="0.35">
      <c r="A85" s="181" t="s">
        <v>1998</v>
      </c>
      <c r="B85" s="182" t="s">
        <v>1699</v>
      </c>
      <c r="C85" s="181" t="s">
        <v>6551</v>
      </c>
      <c r="D85" s="178">
        <v>4.0999999999999996</v>
      </c>
      <c r="E85" s="181" t="s">
        <v>6450</v>
      </c>
      <c r="F85" s="184">
        <v>40323</v>
      </c>
      <c r="G85" s="181"/>
      <c r="H85" s="181" t="s">
        <v>6451</v>
      </c>
      <c r="I85" s="181" t="str">
        <f>VLOOKUP(LEFT(A85,4),Groups!$A$1:$C$188,3,FALSE)</f>
        <v>User Defined Groups and Headings</v>
      </c>
      <c r="J85" s="181" t="str">
        <f>VLOOKUP(A85,Headings!$C$1:$H$3948,4,FALSE)</f>
        <v>Type of data and format 
(Note: This data is REQUIRED where DICT_TYPE="HEADING")</v>
      </c>
      <c r="K85" s="181" t="str">
        <f t="shared" si="2"/>
        <v>DICT_DTYP|4DP</v>
      </c>
      <c r="L85" s="181"/>
    </row>
    <row r="86" spans="1:12" hidden="1" x14ac:dyDescent="0.35">
      <c r="A86" s="181" t="s">
        <v>1998</v>
      </c>
      <c r="B86" s="182" t="s">
        <v>6552</v>
      </c>
      <c r="C86" s="181" t="s">
        <v>6553</v>
      </c>
      <c r="D86" s="178">
        <v>4.0999999999999996</v>
      </c>
      <c r="E86" s="181" t="s">
        <v>6450</v>
      </c>
      <c r="F86" s="184">
        <v>40323</v>
      </c>
      <c r="G86" s="181"/>
      <c r="H86" s="181" t="s">
        <v>6451</v>
      </c>
      <c r="I86" s="181" t="str">
        <f>VLOOKUP(LEFT(A86,4),Groups!$A$1:$C$188,3,FALSE)</f>
        <v>User Defined Groups and Headings</v>
      </c>
      <c r="J86" s="181" t="str">
        <f>VLOOKUP(A86,Headings!$C$1:$H$3948,4,FALSE)</f>
        <v>Type of data and format 
(Note: This data is REQUIRED where DICT_TYPE="HEADING")</v>
      </c>
      <c r="K86" s="181" t="str">
        <f t="shared" si="2"/>
        <v>DICT_DTYP|4SCI</v>
      </c>
      <c r="L86" s="181"/>
    </row>
    <row r="87" spans="1:12" hidden="1" x14ac:dyDescent="0.35">
      <c r="A87" s="181" t="s">
        <v>1998</v>
      </c>
      <c r="B87" s="182" t="s">
        <v>6554</v>
      </c>
      <c r="C87" s="181" t="s">
        <v>6555</v>
      </c>
      <c r="D87" s="178">
        <v>4.0999999999999996</v>
      </c>
      <c r="E87" s="181" t="s">
        <v>6450</v>
      </c>
      <c r="F87" s="184">
        <v>40323</v>
      </c>
      <c r="G87" s="181"/>
      <c r="H87" s="181" t="s">
        <v>6451</v>
      </c>
      <c r="I87" s="181" t="str">
        <f>VLOOKUP(LEFT(A87,4),Groups!$A$1:$C$188,3,FALSE)</f>
        <v>User Defined Groups and Headings</v>
      </c>
      <c r="J87" s="181" t="str">
        <f>VLOOKUP(A87,Headings!$C$1:$H$3948,4,FALSE)</f>
        <v>Type of data and format 
(Note: This data is REQUIRED where DICT_TYPE="HEADING")</v>
      </c>
      <c r="K87" s="181" t="str">
        <f t="shared" si="2"/>
        <v>DICT_DTYP|4SF</v>
      </c>
      <c r="L87" s="181"/>
    </row>
    <row r="88" spans="1:12" hidden="1" x14ac:dyDescent="0.35">
      <c r="A88" s="181" t="s">
        <v>1998</v>
      </c>
      <c r="B88" s="182" t="s">
        <v>3966</v>
      </c>
      <c r="C88" s="181" t="s">
        <v>6556</v>
      </c>
      <c r="D88" s="178">
        <v>4.0999999999999996</v>
      </c>
      <c r="E88" s="181" t="s">
        <v>6450</v>
      </c>
      <c r="F88" s="184">
        <v>40323</v>
      </c>
      <c r="G88" s="181"/>
      <c r="H88" s="181" t="s">
        <v>6451</v>
      </c>
      <c r="I88" s="181" t="str">
        <f>VLOOKUP(LEFT(A88,4),Groups!$A$1:$C$188,3,FALSE)</f>
        <v>User Defined Groups and Headings</v>
      </c>
      <c r="J88" s="181" t="str">
        <f>VLOOKUP(A88,Headings!$C$1:$H$3948,4,FALSE)</f>
        <v>Type of data and format 
(Note: This data is REQUIRED where DICT_TYPE="HEADING")</v>
      </c>
      <c r="K88" s="181" t="str">
        <f t="shared" si="2"/>
        <v>DICT_DTYP|DMS</v>
      </c>
      <c r="L88" s="181"/>
    </row>
    <row r="89" spans="1:12" hidden="1" x14ac:dyDescent="0.35">
      <c r="A89" s="181" t="s">
        <v>1998</v>
      </c>
      <c r="B89" s="182" t="s">
        <v>925</v>
      </c>
      <c r="C89" s="181" t="s">
        <v>6557</v>
      </c>
      <c r="D89" s="178">
        <v>4.0999999999999996</v>
      </c>
      <c r="E89" s="181" t="s">
        <v>6450</v>
      </c>
      <c r="F89" s="184">
        <v>40323</v>
      </c>
      <c r="G89" s="181"/>
      <c r="H89" s="181" t="s">
        <v>6451</v>
      </c>
      <c r="I89" s="181" t="str">
        <f>VLOOKUP(LEFT(A89,4),Groups!$A$1:$C$188,3,FALSE)</f>
        <v>User Defined Groups and Headings</v>
      </c>
      <c r="J89" s="181" t="str">
        <f>VLOOKUP(A89,Headings!$C$1:$H$3948,4,FALSE)</f>
        <v>Type of data and format 
(Note: This data is REQUIRED where DICT_TYPE="HEADING")</v>
      </c>
      <c r="K89" s="181" t="str">
        <f t="shared" si="2"/>
        <v>DICT_DTYP|DT</v>
      </c>
      <c r="L89" s="181"/>
    </row>
    <row r="90" spans="1:12" hidden="1" x14ac:dyDescent="0.35">
      <c r="A90" s="181" t="s">
        <v>1998</v>
      </c>
      <c r="B90" s="182" t="s">
        <v>596</v>
      </c>
      <c r="C90" s="181" t="s">
        <v>6558</v>
      </c>
      <c r="D90" s="178">
        <v>4.0999999999999996</v>
      </c>
      <c r="E90" s="181" t="s">
        <v>6450</v>
      </c>
      <c r="F90" s="184">
        <v>40323</v>
      </c>
      <c r="G90" s="181"/>
      <c r="H90" s="181" t="s">
        <v>6451</v>
      </c>
      <c r="I90" s="181" t="str">
        <f>VLOOKUP(LEFT(A90,4),Groups!$A$1:$C$188,3,FALSE)</f>
        <v>User Defined Groups and Headings</v>
      </c>
      <c r="J90" s="181" t="str">
        <f>VLOOKUP(A90,Headings!$C$1:$H$3948,4,FALSE)</f>
        <v>Type of data and format 
(Note: This data is REQUIRED where DICT_TYPE="HEADING")</v>
      </c>
      <c r="K90" s="181" t="str">
        <f t="shared" si="2"/>
        <v>DICT_DTYP|ID</v>
      </c>
      <c r="L90" s="181"/>
    </row>
    <row r="91" spans="1:12" hidden="1" x14ac:dyDescent="0.35">
      <c r="A91" s="181" t="s">
        <v>1998</v>
      </c>
      <c r="B91" s="182" t="s">
        <v>6559</v>
      </c>
      <c r="C91" s="181" t="s">
        <v>6560</v>
      </c>
      <c r="D91" s="178">
        <v>4.0999999999999996</v>
      </c>
      <c r="E91" s="181" t="s">
        <v>6450</v>
      </c>
      <c r="F91" s="184">
        <v>40323</v>
      </c>
      <c r="G91" s="181"/>
      <c r="H91" s="181" t="s">
        <v>6451</v>
      </c>
      <c r="I91" s="181" t="str">
        <f>VLOOKUP(LEFT(A91,4),Groups!$A$1:$C$188,3,FALSE)</f>
        <v>User Defined Groups and Headings</v>
      </c>
      <c r="J91" s="181" t="str">
        <f>VLOOKUP(A91,Headings!$C$1:$H$3948,4,FALSE)</f>
        <v>Type of data and format 
(Note: This data is REQUIRED where DICT_TYPE="HEADING")</v>
      </c>
      <c r="K91" s="181" t="str">
        <f t="shared" si="2"/>
        <v>DICT_DTYP|MC</v>
      </c>
      <c r="L91" s="181"/>
    </row>
    <row r="92" spans="1:12" hidden="1" x14ac:dyDescent="0.35">
      <c r="A92" s="181" t="s">
        <v>1998</v>
      </c>
      <c r="B92" s="182" t="s">
        <v>618</v>
      </c>
      <c r="C92" s="181" t="s">
        <v>6561</v>
      </c>
      <c r="D92" s="178">
        <v>4.0999999999999996</v>
      </c>
      <c r="E92" s="181" t="s">
        <v>6450</v>
      </c>
      <c r="F92" s="184">
        <v>40323</v>
      </c>
      <c r="G92" s="181"/>
      <c r="H92" s="181" t="s">
        <v>6451</v>
      </c>
      <c r="I92" s="181" t="str">
        <f>VLOOKUP(LEFT(A92,4),Groups!$A$1:$C$188,3,FALSE)</f>
        <v>User Defined Groups and Headings</v>
      </c>
      <c r="J92" s="181" t="str">
        <f>VLOOKUP(A92,Headings!$C$1:$H$3948,4,FALSE)</f>
        <v>Type of data and format 
(Note: This data is REQUIRED where DICT_TYPE="HEADING")</v>
      </c>
      <c r="K92" s="181" t="str">
        <f t="shared" si="2"/>
        <v>DICT_DTYP|PA</v>
      </c>
      <c r="L92" s="181"/>
    </row>
    <row r="93" spans="1:12" hidden="1" x14ac:dyDescent="0.35">
      <c r="A93" s="181" t="s">
        <v>1998</v>
      </c>
      <c r="B93" s="182" t="s">
        <v>1999</v>
      </c>
      <c r="C93" s="181" t="s">
        <v>6562</v>
      </c>
      <c r="D93" s="178">
        <v>4.0999999999999996</v>
      </c>
      <c r="E93" s="181" t="s">
        <v>6450</v>
      </c>
      <c r="F93" s="184">
        <v>40323</v>
      </c>
      <c r="G93" s="181"/>
      <c r="H93" s="181" t="s">
        <v>6451</v>
      </c>
      <c r="I93" s="181" t="str">
        <f>VLOOKUP(LEFT(A93,4),Groups!$A$1:$C$188,3,FALSE)</f>
        <v>User Defined Groups and Headings</v>
      </c>
      <c r="J93" s="181" t="str">
        <f>VLOOKUP(A93,Headings!$C$1:$H$3948,4,FALSE)</f>
        <v>Type of data and format 
(Note: This data is REQUIRED where DICT_TYPE="HEADING")</v>
      </c>
      <c r="K93" s="181" t="str">
        <f t="shared" si="2"/>
        <v>DICT_DTYP|PT</v>
      </c>
      <c r="L93" s="181"/>
    </row>
    <row r="94" spans="1:12" hidden="1" x14ac:dyDescent="0.35">
      <c r="A94" s="181" t="s">
        <v>1998</v>
      </c>
      <c r="B94" s="182" t="s">
        <v>2004</v>
      </c>
      <c r="C94" s="181" t="s">
        <v>6563</v>
      </c>
      <c r="D94" s="178">
        <v>4.0999999999999996</v>
      </c>
      <c r="E94" s="181" t="s">
        <v>6450</v>
      </c>
      <c r="F94" s="184">
        <v>40323</v>
      </c>
      <c r="G94" s="181"/>
      <c r="H94" s="181" t="s">
        <v>6451</v>
      </c>
      <c r="I94" s="181" t="str">
        <f>VLOOKUP(LEFT(A94,4),Groups!$A$1:$C$188,3,FALSE)</f>
        <v>User Defined Groups and Headings</v>
      </c>
      <c r="J94" s="181" t="str">
        <f>VLOOKUP(A94,Headings!$C$1:$H$3948,4,FALSE)</f>
        <v>Type of data and format 
(Note: This data is REQUIRED where DICT_TYPE="HEADING")</v>
      </c>
      <c r="K94" s="181" t="str">
        <f t="shared" si="2"/>
        <v>DICT_DTYP|PU</v>
      </c>
      <c r="L94" s="181"/>
    </row>
    <row r="95" spans="1:12" hidden="1" x14ac:dyDescent="0.35">
      <c r="A95" s="181" t="s">
        <v>1998</v>
      </c>
      <c r="B95" s="182" t="s">
        <v>5633</v>
      </c>
      <c r="C95" s="181" t="s">
        <v>6564</v>
      </c>
      <c r="D95" s="178">
        <v>4.0999999999999996</v>
      </c>
      <c r="E95" s="181" t="s">
        <v>6450</v>
      </c>
      <c r="F95" s="184">
        <v>40323</v>
      </c>
      <c r="G95" s="181"/>
      <c r="H95" s="181" t="s">
        <v>6451</v>
      </c>
      <c r="I95" s="181" t="str">
        <f>VLOOKUP(LEFT(A95,4),Groups!$A$1:$C$188,3,FALSE)</f>
        <v>User Defined Groups and Headings</v>
      </c>
      <c r="J95" s="181" t="str">
        <f>VLOOKUP(A95,Headings!$C$1:$H$3948,4,FALSE)</f>
        <v>Type of data and format 
(Note: This data is REQUIRED where DICT_TYPE="HEADING")</v>
      </c>
      <c r="K95" s="181" t="str">
        <f t="shared" si="2"/>
        <v>DICT_DTYP|RL</v>
      </c>
      <c r="L95" s="181"/>
    </row>
    <row r="96" spans="1:12" hidden="1" x14ac:dyDescent="0.35">
      <c r="A96" s="181" t="s">
        <v>1998</v>
      </c>
      <c r="B96" s="182" t="s">
        <v>1417</v>
      </c>
      <c r="C96" s="181" t="s">
        <v>3383</v>
      </c>
      <c r="D96" s="178">
        <v>4.0999999999999996</v>
      </c>
      <c r="E96" s="181" t="s">
        <v>6450</v>
      </c>
      <c r="F96" s="184">
        <v>40323</v>
      </c>
      <c r="G96" s="181"/>
      <c r="H96" s="181" t="s">
        <v>6451</v>
      </c>
      <c r="I96" s="181" t="str">
        <f>VLOOKUP(LEFT(A96,4),Groups!$A$1:$C$188,3,FALSE)</f>
        <v>User Defined Groups and Headings</v>
      </c>
      <c r="J96" s="181" t="str">
        <f>VLOOKUP(A96,Headings!$C$1:$H$3948,4,FALSE)</f>
        <v>Type of data and format 
(Note: This data is REQUIRED where DICT_TYPE="HEADING")</v>
      </c>
      <c r="K96" s="181" t="str">
        <f t="shared" si="2"/>
        <v>DICT_DTYP|T</v>
      </c>
      <c r="L96" s="181"/>
    </row>
    <row r="97" spans="1:12" hidden="1" x14ac:dyDescent="0.35">
      <c r="A97" s="181" t="s">
        <v>1998</v>
      </c>
      <c r="B97" s="182" t="s">
        <v>859</v>
      </c>
      <c r="C97" s="181" t="s">
        <v>6565</v>
      </c>
      <c r="D97" s="178">
        <v>4.0999999999999996</v>
      </c>
      <c r="E97" s="181" t="s">
        <v>6450</v>
      </c>
      <c r="F97" s="184">
        <v>40323</v>
      </c>
      <c r="G97" s="181"/>
      <c r="H97" s="181" t="s">
        <v>6451</v>
      </c>
      <c r="I97" s="181" t="str">
        <f>VLOOKUP(LEFT(A97,4),Groups!$A$1:$C$188,3,FALSE)</f>
        <v>User Defined Groups and Headings</v>
      </c>
      <c r="J97" s="181" t="str">
        <f>VLOOKUP(A97,Headings!$C$1:$H$3948,4,FALSE)</f>
        <v>Type of data and format 
(Note: This data is REQUIRED where DICT_TYPE="HEADING")</v>
      </c>
      <c r="K97" s="181" t="str">
        <f t="shared" si="2"/>
        <v>DICT_DTYP|U</v>
      </c>
      <c r="L97" s="181"/>
    </row>
    <row r="98" spans="1:12" hidden="1" x14ac:dyDescent="0.35">
      <c r="A98" s="181" t="s">
        <v>1998</v>
      </c>
      <c r="B98" s="182" t="s">
        <v>608</v>
      </c>
      <c r="C98" s="181" t="s">
        <v>6566</v>
      </c>
      <c r="D98" s="178">
        <v>4.0999999999999996</v>
      </c>
      <c r="E98" s="181" t="s">
        <v>6450</v>
      </c>
      <c r="F98" s="184">
        <v>40323</v>
      </c>
      <c r="G98" s="181"/>
      <c r="H98" s="181" t="s">
        <v>6451</v>
      </c>
      <c r="I98" s="181" t="str">
        <f>VLOOKUP(LEFT(A98,4),Groups!$A$1:$C$188,3,FALSE)</f>
        <v>User Defined Groups and Headings</v>
      </c>
      <c r="J98" s="181" t="str">
        <f>VLOOKUP(A98,Headings!$C$1:$H$3948,4,FALSE)</f>
        <v>Type of data and format 
(Note: This data is REQUIRED where DICT_TYPE="HEADING")</v>
      </c>
      <c r="K98" s="181" t="str">
        <f t="shared" ref="K98:K129" si="3">A98&amp;"|"&amp;B98</f>
        <v>DICT_DTYP|X</v>
      </c>
      <c r="L98" s="181"/>
    </row>
    <row r="99" spans="1:12" hidden="1" x14ac:dyDescent="0.35">
      <c r="A99" s="181" t="s">
        <v>1998</v>
      </c>
      <c r="B99" s="182" t="s">
        <v>1391</v>
      </c>
      <c r="C99" s="181" t="s">
        <v>6567</v>
      </c>
      <c r="D99" s="178">
        <v>4.0999999999999996</v>
      </c>
      <c r="E99" s="181" t="s">
        <v>6450</v>
      </c>
      <c r="F99" s="184">
        <v>40323</v>
      </c>
      <c r="G99" s="181"/>
      <c r="H99" s="181" t="s">
        <v>6451</v>
      </c>
      <c r="I99" s="181" t="str">
        <f>VLOOKUP(LEFT(A99,4),Groups!$A$1:$C$188,3,FALSE)</f>
        <v>User Defined Groups and Headings</v>
      </c>
      <c r="J99" s="181" t="str">
        <f>VLOOKUP(A99,Headings!$C$1:$H$3948,4,FALSE)</f>
        <v>Type of data and format 
(Note: This data is REQUIRED where DICT_TYPE="HEADING")</v>
      </c>
      <c r="K99" s="181" t="str">
        <f t="shared" si="3"/>
        <v>DICT_DTYP|XN</v>
      </c>
      <c r="L99" s="181"/>
    </row>
    <row r="100" spans="1:12" hidden="1" x14ac:dyDescent="0.35">
      <c r="A100" s="181" t="s">
        <v>1998</v>
      </c>
      <c r="B100" s="182" t="s">
        <v>674</v>
      </c>
      <c r="C100" s="181" t="s">
        <v>6568</v>
      </c>
      <c r="D100" s="178">
        <v>4.0999999999999996</v>
      </c>
      <c r="E100" s="181" t="s">
        <v>6450</v>
      </c>
      <c r="F100" s="184">
        <v>40323</v>
      </c>
      <c r="G100" s="181"/>
      <c r="H100" s="181" t="s">
        <v>6451</v>
      </c>
      <c r="I100" s="181" t="str">
        <f>VLOOKUP(LEFT(A100,4),Groups!$A$1:$C$188,3,FALSE)</f>
        <v>User Defined Groups and Headings</v>
      </c>
      <c r="J100" s="181" t="str">
        <f>VLOOKUP(A100,Headings!$C$1:$H$3948,4,FALSE)</f>
        <v>Type of data and format 
(Note: This data is REQUIRED where DICT_TYPE="HEADING")</v>
      </c>
      <c r="K100" s="181" t="str">
        <f t="shared" si="3"/>
        <v>DICT_DTYP|YN</v>
      </c>
      <c r="L100" s="181"/>
    </row>
    <row r="101" spans="1:12" hidden="1" x14ac:dyDescent="0.35">
      <c r="A101" s="181" t="s">
        <v>1995</v>
      </c>
      <c r="B101" s="182" t="s">
        <v>6569</v>
      </c>
      <c r="C101" s="181" t="s">
        <v>6570</v>
      </c>
      <c r="D101" s="178">
        <v>4.0999999999999996</v>
      </c>
      <c r="E101" s="181" t="s">
        <v>6450</v>
      </c>
      <c r="F101" s="184">
        <v>40323</v>
      </c>
      <c r="G101" s="181"/>
      <c r="H101" s="181" t="s">
        <v>6451</v>
      </c>
      <c r="I101" s="181" t="str">
        <f>VLOOKUP(LEFT(A101,4),Groups!$A$1:$C$188,3,FALSE)</f>
        <v>User Defined Groups and Headings</v>
      </c>
      <c r="J101" s="181" t="str">
        <f>VLOOKUP(A101,Headings!$C$1:$H$3948,4,FALSE)</f>
        <v>Heading status KEY, REQUIRED or OTHER 
(Note: This data is REQUIRED where DICT_TYPE="HEADING")</v>
      </c>
      <c r="K101" s="181" t="str">
        <f t="shared" si="3"/>
        <v>DICT_STAT|KEY</v>
      </c>
      <c r="L101" s="181"/>
    </row>
    <row r="102" spans="1:12" hidden="1" x14ac:dyDescent="0.35">
      <c r="A102" s="181" t="s">
        <v>1995</v>
      </c>
      <c r="B102" s="182" t="s">
        <v>1997</v>
      </c>
      <c r="C102" s="181" t="s">
        <v>6571</v>
      </c>
      <c r="D102" s="178">
        <v>4.0999999999999996</v>
      </c>
      <c r="E102" s="181" t="s">
        <v>6450</v>
      </c>
      <c r="F102" s="184">
        <v>40323</v>
      </c>
      <c r="G102" s="181"/>
      <c r="H102" s="181" t="s">
        <v>6451</v>
      </c>
      <c r="I102" s="181" t="str">
        <f>VLOOKUP(LEFT(A102,4),Groups!$A$1:$C$188,3,FALSE)</f>
        <v>User Defined Groups and Headings</v>
      </c>
      <c r="J102" s="181" t="str">
        <f>VLOOKUP(A102,Headings!$C$1:$H$3948,4,FALSE)</f>
        <v>Heading status KEY, REQUIRED or OTHER 
(Note: This data is REQUIRED where DICT_TYPE="HEADING")</v>
      </c>
      <c r="K102" s="181" t="str">
        <f t="shared" si="3"/>
        <v>DICT_STAT|OTHER</v>
      </c>
      <c r="L102" s="181"/>
    </row>
    <row r="103" spans="1:12" hidden="1" x14ac:dyDescent="0.35">
      <c r="A103" s="181" t="s">
        <v>1995</v>
      </c>
      <c r="B103" s="182" t="s">
        <v>6572</v>
      </c>
      <c r="C103" s="181" t="s">
        <v>6573</v>
      </c>
      <c r="D103" s="178">
        <v>4.0999999999999996</v>
      </c>
      <c r="E103" s="181" t="s">
        <v>6450</v>
      </c>
      <c r="F103" s="184">
        <v>40323</v>
      </c>
      <c r="G103" s="181"/>
      <c r="H103" s="181" t="s">
        <v>6451</v>
      </c>
      <c r="I103" s="181" t="str">
        <f>VLOOKUP(LEFT(A103,4),Groups!$A$1:$C$188,3,FALSE)</f>
        <v>User Defined Groups and Headings</v>
      </c>
      <c r="J103" s="181" t="str">
        <f>VLOOKUP(A103,Headings!$C$1:$H$3948,4,FALSE)</f>
        <v>Heading status KEY, REQUIRED or OTHER 
(Note: This data is REQUIRED where DICT_TYPE="HEADING")</v>
      </c>
      <c r="K103" s="181" t="str">
        <f t="shared" si="3"/>
        <v>DICT_STAT|REQUIRED</v>
      </c>
      <c r="L103" s="181"/>
    </row>
    <row r="104" spans="1:12" hidden="1" x14ac:dyDescent="0.35">
      <c r="A104" s="181" t="s">
        <v>1986</v>
      </c>
      <c r="B104" s="182" t="s">
        <v>6574</v>
      </c>
      <c r="C104" s="181" t="s">
        <v>6575</v>
      </c>
      <c r="D104" s="178">
        <v>4.0999999999999996</v>
      </c>
      <c r="E104" s="181" t="s">
        <v>6450</v>
      </c>
      <c r="F104" s="184">
        <v>40323</v>
      </c>
      <c r="G104" s="181"/>
      <c r="H104" s="181" t="s">
        <v>6451</v>
      </c>
      <c r="I104" s="181" t="str">
        <f>VLOOKUP(LEFT(A104,4),Groups!$A$1:$C$188,3,FALSE)</f>
        <v>User Defined Groups and Headings</v>
      </c>
      <c r="J104" s="181" t="str">
        <f>VLOOKUP(A104,Headings!$C$1:$H$3948,4,FALSE)</f>
        <v>Flag to indicate definition is a GROUP or HEADING (i.e. can be either of GROUP or HEADING)</v>
      </c>
      <c r="K104" s="181" t="str">
        <f t="shared" si="3"/>
        <v>DICT_TYPE|GROUP</v>
      </c>
      <c r="L104" s="181"/>
    </row>
    <row r="105" spans="1:12" hidden="1" x14ac:dyDescent="0.35">
      <c r="A105" s="181" t="s">
        <v>1986</v>
      </c>
      <c r="B105" s="182" t="s">
        <v>1988</v>
      </c>
      <c r="C105" s="181" t="s">
        <v>6576</v>
      </c>
      <c r="D105" s="178">
        <v>4.0999999999999996</v>
      </c>
      <c r="E105" s="181" t="s">
        <v>6450</v>
      </c>
      <c r="F105" s="184">
        <v>40323</v>
      </c>
      <c r="G105" s="181"/>
      <c r="H105" s="181" t="s">
        <v>6451</v>
      </c>
      <c r="I105" s="181" t="str">
        <f>VLOOKUP(LEFT(A105,4),Groups!$A$1:$C$188,3,FALSE)</f>
        <v>User Defined Groups and Headings</v>
      </c>
      <c r="J105" s="181" t="str">
        <f>VLOOKUP(A105,Headings!$C$1:$H$3948,4,FALSE)</f>
        <v>Flag to indicate definition is a GROUP or HEADING (i.e. can be either of GROUP or HEADING)</v>
      </c>
      <c r="K105" s="181" t="str">
        <f t="shared" si="3"/>
        <v>DICT_TYPE|HEADING</v>
      </c>
      <c r="L105" s="181"/>
    </row>
    <row r="106" spans="1:12" hidden="1" x14ac:dyDescent="0.35">
      <c r="A106" s="88" t="s">
        <v>2054</v>
      </c>
      <c r="B106" s="88" t="s">
        <v>6577</v>
      </c>
      <c r="C106" s="89" t="s">
        <v>6578</v>
      </c>
      <c r="D106" s="89" t="s">
        <v>473</v>
      </c>
      <c r="E106" s="181"/>
      <c r="F106" s="181"/>
      <c r="G106" s="183"/>
      <c r="H106" s="181"/>
      <c r="I106" s="181"/>
      <c r="J106" s="181"/>
      <c r="K106" s="181" t="str">
        <f t="shared" si="3"/>
        <v>DISC_APOB|CN</v>
      </c>
      <c r="L106" s="181"/>
    </row>
    <row r="107" spans="1:12" hidden="1" x14ac:dyDescent="0.35">
      <c r="A107" s="88" t="s">
        <v>2054</v>
      </c>
      <c r="B107" s="88" t="s">
        <v>6579</v>
      </c>
      <c r="C107" s="89" t="s">
        <v>6580</v>
      </c>
      <c r="D107" s="89" t="s">
        <v>473</v>
      </c>
      <c r="E107" s="181"/>
      <c r="F107" s="181"/>
      <c r="G107" s="183"/>
      <c r="H107" s="181"/>
      <c r="I107" s="181"/>
      <c r="J107" s="181"/>
      <c r="K107" s="181" t="str">
        <f t="shared" si="3"/>
        <v>DISC_APOB|CT</v>
      </c>
      <c r="L107" s="181"/>
    </row>
    <row r="108" spans="1:12" hidden="1" x14ac:dyDescent="0.35">
      <c r="A108" s="88" t="s">
        <v>2054</v>
      </c>
      <c r="B108" s="88" t="s">
        <v>6581</v>
      </c>
      <c r="C108" s="89" t="s">
        <v>6582</v>
      </c>
      <c r="D108" s="89" t="s">
        <v>473</v>
      </c>
      <c r="E108" s="181"/>
      <c r="F108" s="181"/>
      <c r="G108" s="183"/>
      <c r="H108" s="181"/>
      <c r="I108" s="181"/>
      <c r="J108" s="181"/>
      <c r="K108" s="181" t="str">
        <f t="shared" si="3"/>
        <v>DISC_APOB|SN</v>
      </c>
      <c r="L108" s="181"/>
    </row>
    <row r="109" spans="1:12" hidden="1" x14ac:dyDescent="0.35">
      <c r="A109" s="88" t="s">
        <v>2054</v>
      </c>
      <c r="B109" s="88" t="s">
        <v>2056</v>
      </c>
      <c r="C109" s="89" t="s">
        <v>6583</v>
      </c>
      <c r="D109" s="89" t="s">
        <v>473</v>
      </c>
      <c r="E109" s="181"/>
      <c r="F109" s="181"/>
      <c r="G109" s="183"/>
      <c r="H109" s="181"/>
      <c r="I109" s="181"/>
      <c r="J109" s="181"/>
      <c r="K109" s="181" t="str">
        <f t="shared" si="3"/>
        <v>DISC_APOB|VN</v>
      </c>
      <c r="L109" s="181"/>
    </row>
    <row r="110" spans="1:12" hidden="1" x14ac:dyDescent="0.35">
      <c r="A110" s="88" t="s">
        <v>2057</v>
      </c>
      <c r="B110" s="90" t="s">
        <v>6584</v>
      </c>
      <c r="C110" s="90" t="s">
        <v>6585</v>
      </c>
      <c r="D110" s="89" t="s">
        <v>473</v>
      </c>
      <c r="E110" s="181"/>
      <c r="F110" s="181"/>
      <c r="G110" s="183"/>
      <c r="H110" s="181"/>
      <c r="I110" s="181"/>
      <c r="J110" s="181"/>
      <c r="K110" s="181" t="str">
        <f t="shared" si="3"/>
        <v>DISC_INFM|CA</v>
      </c>
      <c r="L110" s="181"/>
    </row>
    <row r="111" spans="1:12" hidden="1" x14ac:dyDescent="0.35">
      <c r="A111" s="88" t="s">
        <v>2057</v>
      </c>
      <c r="B111" s="90" t="s">
        <v>6586</v>
      </c>
      <c r="C111" s="90" t="s">
        <v>6587</v>
      </c>
      <c r="D111" s="89" t="s">
        <v>473</v>
      </c>
      <c r="E111" s="181"/>
      <c r="F111" s="181"/>
      <c r="G111" s="183"/>
      <c r="H111" s="181"/>
      <c r="I111" s="181"/>
      <c r="J111" s="181"/>
      <c r="K111" s="181" t="str">
        <f t="shared" si="3"/>
        <v>DISC_INFM|OP</v>
      </c>
      <c r="L111" s="181"/>
    </row>
    <row r="112" spans="1:12" hidden="1" x14ac:dyDescent="0.35">
      <c r="A112" s="88" t="s">
        <v>2057</v>
      </c>
      <c r="B112" s="90" t="s">
        <v>6588</v>
      </c>
      <c r="C112" s="90" t="s">
        <v>6589</v>
      </c>
      <c r="D112" s="89" t="s">
        <v>473</v>
      </c>
      <c r="E112" s="181"/>
      <c r="F112" s="181"/>
      <c r="G112" s="183"/>
      <c r="H112" s="181"/>
      <c r="I112" s="181"/>
      <c r="J112" s="181"/>
      <c r="K112" s="181" t="str">
        <f t="shared" si="3"/>
        <v>DISC_INFM|QZ</v>
      </c>
      <c r="L112" s="181"/>
    </row>
    <row r="113" spans="1:12" hidden="1" x14ac:dyDescent="0.35">
      <c r="A113" s="88" t="s">
        <v>2057</v>
      </c>
      <c r="B113" s="90" t="s">
        <v>6590</v>
      </c>
      <c r="C113" s="90" t="s">
        <v>6591</v>
      </c>
      <c r="D113" s="89" t="s">
        <v>473</v>
      </c>
      <c r="E113" s="181"/>
      <c r="F113" s="181"/>
      <c r="G113" s="183"/>
      <c r="H113" s="181"/>
      <c r="I113" s="181"/>
      <c r="J113" s="181"/>
      <c r="K113" s="181" t="str">
        <f t="shared" si="3"/>
        <v>DISC_INFM|SC</v>
      </c>
      <c r="L113" s="181"/>
    </row>
    <row r="114" spans="1:12" hidden="1" x14ac:dyDescent="0.35">
      <c r="A114" s="88" t="s">
        <v>2057</v>
      </c>
      <c r="B114" s="90" t="s">
        <v>2036</v>
      </c>
      <c r="C114" s="90" t="s">
        <v>6592</v>
      </c>
      <c r="D114" s="89" t="s">
        <v>473</v>
      </c>
      <c r="E114" s="181"/>
      <c r="F114" s="181"/>
      <c r="G114" s="183"/>
      <c r="H114" s="181"/>
      <c r="I114" s="181"/>
      <c r="J114" s="181"/>
      <c r="K114" s="181" t="str">
        <f t="shared" si="3"/>
        <v>DISC_INFM|SM</v>
      </c>
      <c r="L114" s="181"/>
    </row>
    <row r="115" spans="1:12" hidden="1" x14ac:dyDescent="0.35">
      <c r="A115" s="88" t="s">
        <v>2057</v>
      </c>
      <c r="B115" s="90" t="s">
        <v>682</v>
      </c>
      <c r="C115" s="90" t="s">
        <v>6593</v>
      </c>
      <c r="D115" s="89" t="s">
        <v>473</v>
      </c>
      <c r="E115" s="181"/>
      <c r="F115" s="181"/>
      <c r="G115" s="183"/>
      <c r="H115" s="181"/>
      <c r="I115" s="181"/>
      <c r="J115" s="181"/>
      <c r="K115" s="181" t="str">
        <f t="shared" si="3"/>
        <v>DISC_INFM|SP</v>
      </c>
      <c r="L115" s="181"/>
    </row>
    <row r="116" spans="1:12" hidden="1" x14ac:dyDescent="0.35">
      <c r="A116" s="88" t="s">
        <v>2037</v>
      </c>
      <c r="B116" s="88" t="s">
        <v>6594</v>
      </c>
      <c r="C116" s="89" t="s">
        <v>6595</v>
      </c>
      <c r="D116" s="89" t="s">
        <v>473</v>
      </c>
      <c r="E116" s="181"/>
      <c r="F116" s="181"/>
      <c r="G116" s="183"/>
      <c r="H116" s="181"/>
      <c r="I116" s="181"/>
      <c r="J116" s="181"/>
      <c r="K116" s="181" t="str">
        <f t="shared" si="3"/>
        <v>DISC_PLAN|CU</v>
      </c>
      <c r="L116" s="181"/>
    </row>
    <row r="117" spans="1:12" hidden="1" x14ac:dyDescent="0.35">
      <c r="A117" s="88" t="s">
        <v>2037</v>
      </c>
      <c r="B117" s="88" t="s">
        <v>2039</v>
      </c>
      <c r="C117" s="89" t="s">
        <v>6596</v>
      </c>
      <c r="D117" s="89" t="s">
        <v>473</v>
      </c>
      <c r="E117" s="181"/>
      <c r="F117" s="181"/>
      <c r="G117" s="183"/>
      <c r="H117" s="181"/>
      <c r="I117" s="181"/>
      <c r="J117" s="181"/>
      <c r="K117" s="181" t="str">
        <f t="shared" si="3"/>
        <v>DISC_PLAN|IR</v>
      </c>
      <c r="L117" s="181"/>
    </row>
    <row r="118" spans="1:12" hidden="1" x14ac:dyDescent="0.35">
      <c r="A118" s="88" t="s">
        <v>2037</v>
      </c>
      <c r="B118" s="88" t="s">
        <v>6597</v>
      </c>
      <c r="C118" s="89" t="s">
        <v>6598</v>
      </c>
      <c r="D118" s="89" t="s">
        <v>473</v>
      </c>
      <c r="E118" s="181"/>
      <c r="F118" s="181"/>
      <c r="G118" s="183"/>
      <c r="H118" s="181"/>
      <c r="I118" s="181"/>
      <c r="J118" s="181"/>
      <c r="K118" s="181" t="str">
        <f t="shared" si="3"/>
        <v>DISC_PLAN|PR</v>
      </c>
      <c r="L118" s="181"/>
    </row>
    <row r="119" spans="1:12" hidden="1" x14ac:dyDescent="0.35">
      <c r="A119" s="88" t="s">
        <v>2037</v>
      </c>
      <c r="B119" s="88" t="s">
        <v>6599</v>
      </c>
      <c r="C119" s="89" t="s">
        <v>6600</v>
      </c>
      <c r="D119" s="89" t="s">
        <v>473</v>
      </c>
      <c r="E119" s="181"/>
      <c r="F119" s="181"/>
      <c r="G119" s="183"/>
      <c r="H119" s="181"/>
      <c r="I119" s="181"/>
      <c r="J119" s="181"/>
      <c r="K119" s="181" t="str">
        <f t="shared" si="3"/>
        <v>DISC_PLAN|ST</v>
      </c>
      <c r="L119" s="181"/>
    </row>
    <row r="120" spans="1:12" hidden="1" x14ac:dyDescent="0.35">
      <c r="A120" s="88" t="s">
        <v>2037</v>
      </c>
      <c r="B120" s="88" t="s">
        <v>6601</v>
      </c>
      <c r="C120" s="89" t="s">
        <v>6602</v>
      </c>
      <c r="D120" s="89" t="s">
        <v>473</v>
      </c>
      <c r="E120" s="181"/>
      <c r="F120" s="181"/>
      <c r="G120" s="183"/>
      <c r="H120" s="181"/>
      <c r="I120" s="181"/>
      <c r="J120" s="181"/>
      <c r="K120" s="181" t="str">
        <f t="shared" si="3"/>
        <v>DISC_PLAN|UN</v>
      </c>
      <c r="L120" s="181"/>
    </row>
    <row r="121" spans="1:12" hidden="1" x14ac:dyDescent="0.35">
      <c r="A121" s="88" t="s">
        <v>2034</v>
      </c>
      <c r="B121" s="88" t="s">
        <v>6603</v>
      </c>
      <c r="C121" s="89" t="s">
        <v>6604</v>
      </c>
      <c r="D121" s="89" t="s">
        <v>473</v>
      </c>
      <c r="E121" s="181"/>
      <c r="F121" s="181"/>
      <c r="G121" s="183"/>
      <c r="H121" s="181"/>
      <c r="I121" s="181"/>
      <c r="J121" s="181"/>
      <c r="K121" s="181" t="str">
        <f t="shared" si="3"/>
        <v>DISC_RGH|PO</v>
      </c>
      <c r="L121" s="181"/>
    </row>
    <row r="122" spans="1:12" hidden="1" x14ac:dyDescent="0.35">
      <c r="A122" s="88" t="s">
        <v>2034</v>
      </c>
      <c r="B122" s="88" t="s">
        <v>6605</v>
      </c>
      <c r="C122" s="89" t="s">
        <v>6606</v>
      </c>
      <c r="D122" s="89" t="s">
        <v>473</v>
      </c>
      <c r="E122" s="181"/>
      <c r="F122" s="181"/>
      <c r="G122" s="183"/>
      <c r="H122" s="181"/>
      <c r="I122" s="181"/>
      <c r="J122" s="181"/>
      <c r="K122" s="181" t="str">
        <f t="shared" si="3"/>
        <v>DISC_RGH|RF</v>
      </c>
      <c r="L122" s="181"/>
    </row>
    <row r="123" spans="1:12" hidden="1" x14ac:dyDescent="0.35">
      <c r="A123" s="88" t="s">
        <v>2034</v>
      </c>
      <c r="B123" s="88" t="s">
        <v>6607</v>
      </c>
      <c r="C123" s="89" t="s">
        <v>6608</v>
      </c>
      <c r="D123" s="89" t="s">
        <v>473</v>
      </c>
      <c r="E123" s="181"/>
      <c r="F123" s="181"/>
      <c r="G123" s="183"/>
      <c r="H123" s="181"/>
      <c r="I123" s="181"/>
      <c r="J123" s="181"/>
      <c r="K123" s="181" t="str">
        <f t="shared" si="3"/>
        <v>DISC_RGH|SL</v>
      </c>
      <c r="L123" s="181"/>
    </row>
    <row r="124" spans="1:12" hidden="1" x14ac:dyDescent="0.35">
      <c r="A124" s="88" t="s">
        <v>2034</v>
      </c>
      <c r="B124" s="88" t="s">
        <v>2036</v>
      </c>
      <c r="C124" s="89" t="s">
        <v>6609</v>
      </c>
      <c r="D124" s="89" t="s">
        <v>473</v>
      </c>
      <c r="E124" s="181"/>
      <c r="F124" s="181"/>
      <c r="G124" s="183"/>
      <c r="H124" s="181"/>
      <c r="I124" s="181"/>
      <c r="J124" s="181"/>
      <c r="K124" s="181" t="str">
        <f t="shared" si="3"/>
        <v>DISC_RGH|SM</v>
      </c>
      <c r="L124" s="181"/>
    </row>
    <row r="125" spans="1:12" hidden="1" x14ac:dyDescent="0.35">
      <c r="A125" s="88" t="s">
        <v>2034</v>
      </c>
      <c r="B125" s="88" t="s">
        <v>6610</v>
      </c>
      <c r="C125" s="89" t="s">
        <v>6611</v>
      </c>
      <c r="D125" s="89" t="s">
        <v>473</v>
      </c>
      <c r="E125" s="181"/>
      <c r="F125" s="181"/>
      <c r="G125" s="183"/>
      <c r="H125" s="181"/>
      <c r="I125" s="181"/>
      <c r="J125" s="181"/>
      <c r="K125" s="181" t="str">
        <f t="shared" si="3"/>
        <v>DISC_RGH|VR</v>
      </c>
      <c r="L125" s="181"/>
    </row>
    <row r="126" spans="1:12" hidden="1" x14ac:dyDescent="0.35">
      <c r="A126" s="181" t="s">
        <v>2060</v>
      </c>
      <c r="B126" s="182" t="s">
        <v>1311</v>
      </c>
      <c r="C126" s="181" t="s">
        <v>6612</v>
      </c>
      <c r="D126" s="178">
        <v>4.0999999999999996</v>
      </c>
      <c r="E126" s="181" t="s">
        <v>6450</v>
      </c>
      <c r="F126" s="184">
        <v>40323</v>
      </c>
      <c r="G126" s="181"/>
      <c r="H126" s="181" t="s">
        <v>6451</v>
      </c>
      <c r="I126" s="181" t="str">
        <f>VLOOKUP(LEFT(A126,4),Groups!$A$1:$C$188,3,FALSE)</f>
        <v>Discontinuity Data</v>
      </c>
      <c r="J126" s="181" t="str">
        <f>VLOOKUP(A126,Headings!$C$1:$H$3948,4,FALSE)</f>
        <v>Discontinuity termination (lower, upper)</v>
      </c>
      <c r="K126" s="181" t="str">
        <f t="shared" si="3"/>
        <v>DISC_TERM|D</v>
      </c>
      <c r="L126" s="181"/>
    </row>
    <row r="127" spans="1:12" hidden="1" x14ac:dyDescent="0.35">
      <c r="A127" s="181" t="s">
        <v>2060</v>
      </c>
      <c r="B127" s="182" t="s">
        <v>966</v>
      </c>
      <c r="C127" s="181" t="s">
        <v>6613</v>
      </c>
      <c r="D127" s="178">
        <v>4.0999999999999996</v>
      </c>
      <c r="E127" s="181" t="s">
        <v>6450</v>
      </c>
      <c r="F127" s="184">
        <v>40323</v>
      </c>
      <c r="G127" s="181"/>
      <c r="H127" s="181" t="s">
        <v>6451</v>
      </c>
      <c r="I127" s="181" t="str">
        <f>VLOOKUP(LEFT(A127,4),Groups!$A$1:$C$188,3,FALSE)</f>
        <v>Discontinuity Data</v>
      </c>
      <c r="J127" s="181" t="str">
        <f>VLOOKUP(A127,Headings!$C$1:$H$3948,4,FALSE)</f>
        <v>Discontinuity termination (lower, upper)</v>
      </c>
      <c r="K127" s="181" t="str">
        <f t="shared" si="3"/>
        <v>DISC_TERM|R</v>
      </c>
      <c r="L127" s="181"/>
    </row>
    <row r="128" spans="1:12" hidden="1" x14ac:dyDescent="0.35">
      <c r="A128" s="181" t="s">
        <v>2060</v>
      </c>
      <c r="B128" s="182" t="s">
        <v>608</v>
      </c>
      <c r="C128" s="181" t="s">
        <v>6614</v>
      </c>
      <c r="D128" s="178">
        <v>4.0999999999999996</v>
      </c>
      <c r="E128" s="181" t="s">
        <v>6450</v>
      </c>
      <c r="F128" s="184">
        <v>40323</v>
      </c>
      <c r="G128" s="181"/>
      <c r="H128" s="181" t="s">
        <v>6451</v>
      </c>
      <c r="I128" s="181" t="str">
        <f>VLOOKUP(LEFT(A128,4),Groups!$A$1:$C$188,3,FALSE)</f>
        <v>Discontinuity Data</v>
      </c>
      <c r="J128" s="181" t="str">
        <f>VLOOKUP(A128,Headings!$C$1:$H$3948,4,FALSE)</f>
        <v>Discontinuity termination (lower, upper)</v>
      </c>
      <c r="K128" s="181" t="str">
        <f t="shared" si="3"/>
        <v>DISC_TERM|X</v>
      </c>
      <c r="L128" s="181"/>
    </row>
    <row r="129" spans="1:12" hidden="1" x14ac:dyDescent="0.35">
      <c r="A129" s="88" t="s">
        <v>2023</v>
      </c>
      <c r="B129" s="88" t="s">
        <v>6615</v>
      </c>
      <c r="C129" s="89" t="s">
        <v>6616</v>
      </c>
      <c r="D129" s="89" t="s">
        <v>473</v>
      </c>
      <c r="E129" s="181"/>
      <c r="F129" s="181"/>
      <c r="G129" s="183"/>
      <c r="H129" s="181"/>
      <c r="I129" s="181"/>
      <c r="J129" s="181"/>
      <c r="K129" s="181" t="str">
        <f t="shared" si="3"/>
        <v>DISC_TYPE|CS</v>
      </c>
      <c r="L129" s="181"/>
    </row>
    <row r="130" spans="1:12" hidden="1" x14ac:dyDescent="0.35">
      <c r="A130" s="88" t="s">
        <v>2023</v>
      </c>
      <c r="B130" s="88" t="s">
        <v>6617</v>
      </c>
      <c r="C130" s="89" t="s">
        <v>6618</v>
      </c>
      <c r="D130" s="89" t="s">
        <v>473</v>
      </c>
      <c r="E130" s="181"/>
      <c r="F130" s="181"/>
      <c r="G130" s="183"/>
      <c r="H130" s="181"/>
      <c r="I130" s="181"/>
      <c r="J130" s="181"/>
      <c r="K130" s="181" t="str">
        <f t="shared" ref="K130:K161" si="4">A130&amp;"|"&amp;B130</f>
        <v>DISC_TYPE|DB</v>
      </c>
      <c r="L130" s="181"/>
    </row>
    <row r="131" spans="1:12" hidden="1" x14ac:dyDescent="0.35">
      <c r="A131" s="88" t="s">
        <v>2023</v>
      </c>
      <c r="B131" s="88" t="s">
        <v>6619</v>
      </c>
      <c r="C131" s="89" t="s">
        <v>6620</v>
      </c>
      <c r="D131" s="89" t="s">
        <v>473</v>
      </c>
      <c r="E131" s="181"/>
      <c r="F131" s="181"/>
      <c r="G131" s="183"/>
      <c r="H131" s="181"/>
      <c r="I131" s="181"/>
      <c r="J131" s="181"/>
      <c r="K131" s="181" t="str">
        <f t="shared" si="4"/>
        <v>DISC_TYPE|DL</v>
      </c>
      <c r="L131" s="181"/>
    </row>
    <row r="132" spans="1:12" hidden="1" x14ac:dyDescent="0.35">
      <c r="A132" s="88" t="s">
        <v>2023</v>
      </c>
      <c r="B132" s="90" t="s">
        <v>6621</v>
      </c>
      <c r="C132" s="90" t="s">
        <v>6622</v>
      </c>
      <c r="D132" s="89" t="s">
        <v>473</v>
      </c>
      <c r="E132" s="181"/>
      <c r="F132" s="181"/>
      <c r="G132" s="183"/>
      <c r="H132" s="181"/>
      <c r="I132" s="181"/>
      <c r="J132" s="181"/>
      <c r="K132" s="181" t="str">
        <f t="shared" si="4"/>
        <v>DISC_TYPE|EW</v>
      </c>
      <c r="L132" s="181"/>
    </row>
    <row r="133" spans="1:12" hidden="1" x14ac:dyDescent="0.35">
      <c r="A133" s="88" t="s">
        <v>2023</v>
      </c>
      <c r="B133" s="88" t="s">
        <v>6623</v>
      </c>
      <c r="C133" s="89" t="s">
        <v>6624</v>
      </c>
      <c r="D133" s="89" t="s">
        <v>473</v>
      </c>
      <c r="E133" s="181"/>
      <c r="F133" s="181"/>
      <c r="G133" s="183"/>
      <c r="H133" s="181"/>
      <c r="I133" s="181"/>
      <c r="J133" s="181"/>
      <c r="K133" s="181" t="str">
        <f t="shared" si="4"/>
        <v>DISC_TYPE|HB</v>
      </c>
      <c r="L133" s="181"/>
    </row>
    <row r="134" spans="1:12" hidden="1" x14ac:dyDescent="0.35">
      <c r="A134" s="88" t="s">
        <v>2023</v>
      </c>
      <c r="B134" s="88" t="s">
        <v>6625</v>
      </c>
      <c r="C134" s="89" t="s">
        <v>6626</v>
      </c>
      <c r="D134" s="89" t="s">
        <v>473</v>
      </c>
      <c r="E134" s="181"/>
      <c r="F134" s="181"/>
      <c r="G134" s="183"/>
      <c r="H134" s="181"/>
      <c r="I134" s="181"/>
      <c r="J134" s="181"/>
      <c r="K134" s="181" t="str">
        <f t="shared" si="4"/>
        <v>DISC_TYPE|IS</v>
      </c>
      <c r="L134" s="181"/>
    </row>
    <row r="135" spans="1:12" hidden="1" x14ac:dyDescent="0.35">
      <c r="A135" s="88" t="s">
        <v>2023</v>
      </c>
      <c r="B135" s="88" t="s">
        <v>6627</v>
      </c>
      <c r="C135" s="89" t="s">
        <v>6628</v>
      </c>
      <c r="D135" s="89" t="s">
        <v>473</v>
      </c>
      <c r="E135" s="181"/>
      <c r="F135" s="181"/>
      <c r="G135" s="183"/>
      <c r="H135" s="181"/>
      <c r="I135" s="181"/>
      <c r="J135" s="181"/>
      <c r="K135" s="181" t="str">
        <f t="shared" si="4"/>
        <v>DISC_TYPE|J</v>
      </c>
      <c r="L135" s="181"/>
    </row>
    <row r="136" spans="1:12" hidden="1" x14ac:dyDescent="0.35">
      <c r="A136" s="88" t="s">
        <v>2023</v>
      </c>
      <c r="B136" s="90" t="s">
        <v>6629</v>
      </c>
      <c r="C136" s="90" t="s">
        <v>6630</v>
      </c>
      <c r="D136" s="89" t="s">
        <v>473</v>
      </c>
      <c r="E136" s="181"/>
      <c r="F136" s="181"/>
      <c r="G136" s="183"/>
      <c r="H136" s="181"/>
      <c r="I136" s="181"/>
      <c r="J136" s="181"/>
      <c r="K136" s="181" t="str">
        <f t="shared" si="4"/>
        <v>DISC_TYPE|MB</v>
      </c>
      <c r="L136" s="181"/>
    </row>
    <row r="137" spans="1:12" hidden="1" x14ac:dyDescent="0.35">
      <c r="A137" s="88" t="s">
        <v>2023</v>
      </c>
      <c r="B137" s="88" t="s">
        <v>6631</v>
      </c>
      <c r="C137" s="89" t="s">
        <v>6632</v>
      </c>
      <c r="D137" s="89" t="s">
        <v>473</v>
      </c>
      <c r="E137" s="181"/>
      <c r="F137" s="181"/>
      <c r="G137" s="183"/>
      <c r="H137" s="181"/>
      <c r="I137" s="181"/>
      <c r="J137" s="181"/>
      <c r="K137" s="181" t="str">
        <f t="shared" si="4"/>
        <v>DISC_TYPE|P</v>
      </c>
      <c r="L137" s="181"/>
    </row>
    <row r="138" spans="1:12" hidden="1" x14ac:dyDescent="0.35">
      <c r="A138" s="88" t="s">
        <v>2023</v>
      </c>
      <c r="B138" s="88" t="s">
        <v>6028</v>
      </c>
      <c r="C138" s="90" t="s">
        <v>6633</v>
      </c>
      <c r="D138" s="89" t="s">
        <v>473</v>
      </c>
      <c r="E138" s="181"/>
      <c r="F138" s="181"/>
      <c r="G138" s="183"/>
      <c r="H138" s="181"/>
      <c r="I138" s="181"/>
      <c r="J138" s="181"/>
      <c r="K138" s="181" t="str">
        <f t="shared" si="4"/>
        <v>DISC_TYPE|S</v>
      </c>
      <c r="L138" s="181"/>
    </row>
    <row r="139" spans="1:12" hidden="1" x14ac:dyDescent="0.35">
      <c r="A139" s="88" t="s">
        <v>2023</v>
      </c>
      <c r="B139" s="88" t="s">
        <v>6634</v>
      </c>
      <c r="C139" s="89" t="s">
        <v>6635</v>
      </c>
      <c r="D139" s="89" t="s">
        <v>473</v>
      </c>
      <c r="E139" s="181"/>
      <c r="F139" s="181"/>
      <c r="G139" s="183"/>
      <c r="H139" s="181"/>
      <c r="I139" s="181"/>
      <c r="J139" s="181"/>
      <c r="K139" s="181" t="str">
        <f t="shared" si="4"/>
        <v>DISC_TYPE|SS</v>
      </c>
      <c r="L139" s="181"/>
    </row>
    <row r="140" spans="1:12" hidden="1" x14ac:dyDescent="0.35">
      <c r="A140" s="88" t="s">
        <v>2023</v>
      </c>
      <c r="B140" s="88" t="s">
        <v>6636</v>
      </c>
      <c r="C140" s="89" t="s">
        <v>6637</v>
      </c>
      <c r="D140" s="89" t="s">
        <v>473</v>
      </c>
      <c r="E140" s="181"/>
      <c r="F140" s="181"/>
      <c r="G140" s="183"/>
      <c r="H140" s="181"/>
      <c r="I140" s="181"/>
      <c r="J140" s="181"/>
      <c r="K140" s="181" t="str">
        <f t="shared" si="4"/>
        <v>DISC_TYPE|SZ</v>
      </c>
      <c r="L140" s="181"/>
    </row>
    <row r="141" spans="1:12" hidden="1" x14ac:dyDescent="0.35">
      <c r="A141" s="181" t="s">
        <v>2139</v>
      </c>
      <c r="B141" s="182" t="s">
        <v>6638</v>
      </c>
      <c r="C141" s="182" t="s">
        <v>6638</v>
      </c>
      <c r="D141" s="89" t="s">
        <v>473</v>
      </c>
      <c r="E141" s="181"/>
      <c r="F141" s="181"/>
      <c r="G141" s="183"/>
      <c r="H141" s="181"/>
      <c r="I141" s="181"/>
      <c r="J141" s="181"/>
      <c r="K141" s="181" t="str">
        <f t="shared" si="4"/>
        <v>DMTG_GWD|Assumed</v>
      </c>
      <c r="L141" s="181"/>
    </row>
    <row r="142" spans="1:12" hidden="1" x14ac:dyDescent="0.35">
      <c r="A142" s="181" t="s">
        <v>2139</v>
      </c>
      <c r="B142" s="182" t="s">
        <v>2141</v>
      </c>
      <c r="C142" s="182" t="s">
        <v>2141</v>
      </c>
      <c r="D142" s="89" t="s">
        <v>473</v>
      </c>
      <c r="E142" s="181"/>
      <c r="F142" s="181"/>
      <c r="G142" s="183"/>
      <c r="H142" s="181"/>
      <c r="I142" s="181"/>
      <c r="J142" s="181"/>
      <c r="K142" s="181" t="str">
        <f t="shared" si="4"/>
        <v>DMTG_GWD|Measured</v>
      </c>
      <c r="L142" s="181"/>
    </row>
    <row r="143" spans="1:12" hidden="1" x14ac:dyDescent="0.35">
      <c r="A143" s="181" t="s">
        <v>2212</v>
      </c>
      <c r="B143" s="182" t="s">
        <v>6639</v>
      </c>
      <c r="C143" s="182" t="s">
        <v>6639</v>
      </c>
      <c r="D143" s="89" t="s">
        <v>473</v>
      </c>
      <c r="E143" s="181"/>
      <c r="F143" s="181"/>
      <c r="G143" s="183"/>
      <c r="H143" s="181"/>
      <c r="I143" s="181"/>
      <c r="J143" s="181"/>
      <c r="K143" s="181" t="str">
        <f t="shared" si="4"/>
        <v xml:space="preserve">DMTP_TECH|Empirical </v>
      </c>
      <c r="L143" s="181"/>
    </row>
    <row r="144" spans="1:12" hidden="1" x14ac:dyDescent="0.35">
      <c r="A144" s="86" t="s">
        <v>2370</v>
      </c>
      <c r="B144" s="87" t="s">
        <v>1950</v>
      </c>
      <c r="C144" s="86" t="s">
        <v>6535</v>
      </c>
      <c r="D144" s="89" t="s">
        <v>473</v>
      </c>
      <c r="E144" s="181"/>
      <c r="F144" s="181"/>
      <c r="G144" s="183"/>
      <c r="H144" s="181"/>
      <c r="I144" s="181"/>
      <c r="J144" s="181"/>
      <c r="K144" s="181" t="str">
        <f t="shared" si="4"/>
        <v>DPRG_TYPE|DCP9</v>
      </c>
      <c r="L144" s="181"/>
    </row>
    <row r="145" spans="1:12" hidden="1" x14ac:dyDescent="0.35">
      <c r="A145" s="181" t="s">
        <v>2370</v>
      </c>
      <c r="B145" s="182" t="s">
        <v>6640</v>
      </c>
      <c r="C145" s="181" t="s">
        <v>6641</v>
      </c>
      <c r="D145" s="178">
        <v>4.0999999999999996</v>
      </c>
      <c r="E145" s="181" t="s">
        <v>6450</v>
      </c>
      <c r="F145" s="184">
        <v>40323</v>
      </c>
      <c r="G145" s="181"/>
      <c r="H145" s="181" t="s">
        <v>6451</v>
      </c>
      <c r="I145" s="181" t="str">
        <f>VLOOKUP(LEFT(A145,4),Groups!$A$1:$C$188,3,FALSE)</f>
        <v>Dynamic Probe Tests - General</v>
      </c>
      <c r="J145" s="181" t="str">
        <f>VLOOKUP(A145,Headings!$C$1:$H$3948,4,FALSE)</f>
        <v>Dynamic probe type</v>
      </c>
      <c r="K145" s="181" t="str">
        <f t="shared" si="4"/>
        <v>DPRG_TYPE|DPH</v>
      </c>
      <c r="L145" s="181"/>
    </row>
    <row r="146" spans="1:12" hidden="1" x14ac:dyDescent="0.35">
      <c r="A146" s="181" t="s">
        <v>2370</v>
      </c>
      <c r="B146" s="182" t="s">
        <v>6642</v>
      </c>
      <c r="C146" s="181" t="s">
        <v>6643</v>
      </c>
      <c r="D146" s="178">
        <v>4.0999999999999996</v>
      </c>
      <c r="E146" s="181" t="s">
        <v>6450</v>
      </c>
      <c r="F146" s="184">
        <v>40323</v>
      </c>
      <c r="G146" s="181"/>
      <c r="H146" s="181" t="s">
        <v>6451</v>
      </c>
      <c r="I146" s="181" t="str">
        <f>VLOOKUP(LEFT(A146,4),Groups!$A$1:$C$188,3,FALSE)</f>
        <v>Dynamic Probe Tests - General</v>
      </c>
      <c r="J146" s="181" t="str">
        <f>VLOOKUP(A146,Headings!$C$1:$H$3948,4,FALSE)</f>
        <v>Dynamic probe type</v>
      </c>
      <c r="K146" s="181" t="str">
        <f t="shared" si="4"/>
        <v>DPRG_TYPE|DPL</v>
      </c>
      <c r="L146" s="181"/>
    </row>
    <row r="147" spans="1:12" hidden="1" x14ac:dyDescent="0.35">
      <c r="A147" s="181" t="s">
        <v>2370</v>
      </c>
      <c r="B147" s="182" t="s">
        <v>6644</v>
      </c>
      <c r="C147" s="181" t="s">
        <v>6645</v>
      </c>
      <c r="D147" s="178">
        <v>4.0999999999999996</v>
      </c>
      <c r="E147" s="181" t="s">
        <v>6450</v>
      </c>
      <c r="F147" s="184">
        <v>40323</v>
      </c>
      <c r="G147" s="181"/>
      <c r="H147" s="181" t="s">
        <v>6451</v>
      </c>
      <c r="I147" s="181" t="str">
        <f>VLOOKUP(LEFT(A147,4),Groups!$A$1:$C$188,3,FALSE)</f>
        <v>Dynamic Probe Tests - General</v>
      </c>
      <c r="J147" s="181" t="str">
        <f>VLOOKUP(A147,Headings!$C$1:$H$3948,4,FALSE)</f>
        <v>Dynamic probe type</v>
      </c>
      <c r="K147" s="181" t="str">
        <f t="shared" si="4"/>
        <v>DPRG_TYPE|DPM</v>
      </c>
      <c r="L147" s="181"/>
    </row>
    <row r="148" spans="1:12" hidden="1" x14ac:dyDescent="0.35">
      <c r="A148" s="181" t="s">
        <v>2370</v>
      </c>
      <c r="B148" s="182" t="s">
        <v>6646</v>
      </c>
      <c r="C148" s="181" t="s">
        <v>6647</v>
      </c>
      <c r="D148" s="178">
        <v>4.0999999999999996</v>
      </c>
      <c r="E148" s="181" t="s">
        <v>6450</v>
      </c>
      <c r="F148" s="184">
        <v>40323</v>
      </c>
      <c r="G148" s="181"/>
      <c r="H148" s="181" t="s">
        <v>6451</v>
      </c>
      <c r="I148" s="181" t="str">
        <f>VLOOKUP(LEFT(A148,4),Groups!$A$1:$C$188,3,FALSE)</f>
        <v>Dynamic Probe Tests - General</v>
      </c>
      <c r="J148" s="181" t="str">
        <f>VLOOKUP(A148,Headings!$C$1:$H$3948,4,FALSE)</f>
        <v>Dynamic probe type</v>
      </c>
      <c r="K148" s="181" t="str">
        <f t="shared" si="4"/>
        <v>DPRG_TYPE|DPSH-A</v>
      </c>
      <c r="L148" s="181"/>
    </row>
    <row r="149" spans="1:12" hidden="1" x14ac:dyDescent="0.35">
      <c r="A149" s="181" t="s">
        <v>2370</v>
      </c>
      <c r="B149" s="182" t="s">
        <v>6648</v>
      </c>
      <c r="C149" s="181" t="s">
        <v>6649</v>
      </c>
      <c r="D149" s="178">
        <v>4.0999999999999996</v>
      </c>
      <c r="E149" s="181" t="s">
        <v>6450</v>
      </c>
      <c r="F149" s="184">
        <v>40323</v>
      </c>
      <c r="G149" s="181"/>
      <c r="H149" s="181" t="s">
        <v>6451</v>
      </c>
      <c r="I149" s="181" t="str">
        <f>VLOOKUP(LEFT(A149,4),Groups!$A$1:$C$188,3,FALSE)</f>
        <v>Dynamic Probe Tests - General</v>
      </c>
      <c r="J149" s="181" t="str">
        <f>VLOOKUP(A149,Headings!$C$1:$H$3948,4,FALSE)</f>
        <v>Dynamic probe type</v>
      </c>
      <c r="K149" s="181" t="str">
        <f t="shared" si="4"/>
        <v>DPRG_TYPE|DPSH-B</v>
      </c>
      <c r="L149" s="181"/>
    </row>
    <row r="150" spans="1:12" hidden="1" x14ac:dyDescent="0.35">
      <c r="A150" s="86" t="s">
        <v>2370</v>
      </c>
      <c r="B150" s="87" t="s">
        <v>6536</v>
      </c>
      <c r="C150" s="86" t="s">
        <v>6537</v>
      </c>
      <c r="D150" s="89" t="s">
        <v>473</v>
      </c>
      <c r="E150" s="181"/>
      <c r="F150" s="181"/>
      <c r="G150" s="183"/>
      <c r="H150" s="181"/>
      <c r="I150" s="181"/>
      <c r="J150" s="181"/>
      <c r="K150" s="181" t="str">
        <f t="shared" si="4"/>
        <v>DPRG_TYPE|PSP</v>
      </c>
      <c r="L150" s="181"/>
    </row>
    <row r="151" spans="1:12" hidden="1" x14ac:dyDescent="0.35">
      <c r="A151" s="181" t="s">
        <v>2525</v>
      </c>
      <c r="B151" s="182" t="s">
        <v>6650</v>
      </c>
      <c r="C151" s="181" t="s">
        <v>4905</v>
      </c>
      <c r="D151" s="178">
        <v>4.0999999999999996</v>
      </c>
      <c r="E151" s="181" t="s">
        <v>6450</v>
      </c>
      <c r="F151" s="184">
        <v>44173</v>
      </c>
      <c r="G151" s="181"/>
      <c r="H151" s="181">
        <v>4.0999999999999996</v>
      </c>
      <c r="I151" s="181" t="str">
        <f>VLOOKUP(LEFT(A151,4),Groups!$A$1:$C$188,3,FALSE)</f>
        <v>Environmental Laboratory Reporting</v>
      </c>
      <c r="J151" s="181" t="str">
        <f>VLOOKUP(A151,Headings!$C$1:$H$3948,4,FALSE)</f>
        <v>Basis</v>
      </c>
      <c r="K151" s="181" t="str">
        <f t="shared" si="4"/>
        <v>ELRG_BAS|AIR</v>
      </c>
      <c r="L151" s="181"/>
    </row>
    <row r="152" spans="1:12" hidden="1" x14ac:dyDescent="0.35">
      <c r="A152" s="181" t="s">
        <v>2525</v>
      </c>
      <c r="B152" s="182" t="s">
        <v>5369</v>
      </c>
      <c r="C152" s="181" t="s">
        <v>6651</v>
      </c>
      <c r="D152" s="178">
        <v>4.0999999999999996</v>
      </c>
      <c r="E152" s="181" t="s">
        <v>6450</v>
      </c>
      <c r="F152" s="184">
        <v>44173</v>
      </c>
      <c r="G152" s="181"/>
      <c r="H152" s="181">
        <v>4.0999999999999996</v>
      </c>
      <c r="I152" s="181" t="str">
        <f>VLOOKUP(LEFT(A152,4),Groups!$A$1:$C$188,3,FALSE)</f>
        <v>Environmental Laboratory Reporting</v>
      </c>
      <c r="J152" s="181" t="str">
        <f>VLOOKUP(A152,Headings!$C$1:$H$3948,4,FALSE)</f>
        <v>Basis</v>
      </c>
      <c r="K152" s="181" t="str">
        <f t="shared" si="4"/>
        <v>ELRG_BAS|DRY</v>
      </c>
      <c r="L152" s="181"/>
    </row>
    <row r="153" spans="1:12" hidden="1" x14ac:dyDescent="0.35">
      <c r="A153" s="181" t="s">
        <v>2525</v>
      </c>
      <c r="B153" s="182" t="s">
        <v>1150</v>
      </c>
      <c r="C153" s="181" t="s">
        <v>750</v>
      </c>
      <c r="D153" s="178">
        <v>4.0999999999999996</v>
      </c>
      <c r="E153" s="181" t="s">
        <v>6450</v>
      </c>
      <c r="F153" s="184">
        <v>44173</v>
      </c>
      <c r="G153" s="181"/>
      <c r="H153" s="181">
        <v>4.0999999999999996</v>
      </c>
      <c r="I153" s="181" t="str">
        <f>VLOOKUP(LEFT(A153,4),Groups!$A$1:$C$188,3,FALSE)</f>
        <v>Environmental Laboratory Reporting</v>
      </c>
      <c r="J153" s="181" t="str">
        <f>VLOOKUP(A153,Headings!$C$1:$H$3948,4,FALSE)</f>
        <v>Basis</v>
      </c>
      <c r="K153" s="181" t="str">
        <f t="shared" si="4"/>
        <v>ELRG_BAS|WET</v>
      </c>
      <c r="L153" s="181"/>
    </row>
    <row r="154" spans="1:12" hidden="1" x14ac:dyDescent="0.35">
      <c r="A154" s="181" t="s">
        <v>2522</v>
      </c>
      <c r="B154" s="182" t="s">
        <v>6652</v>
      </c>
      <c r="C154" s="181" t="s">
        <v>6653</v>
      </c>
      <c r="D154" s="178">
        <v>4.0999999999999996</v>
      </c>
      <c r="E154" s="181" t="s">
        <v>6450</v>
      </c>
      <c r="F154" s="184">
        <v>44173</v>
      </c>
      <c r="G154" s="181"/>
      <c r="H154" s="181">
        <v>4.0999999999999996</v>
      </c>
      <c r="I154" s="181" t="str">
        <f>VLOOKUP(LEFT(A154,4),Groups!$A$1:$C$188,3,FALSE)</f>
        <v>Environmental Laboratory Reporting</v>
      </c>
      <c r="J154" s="181" t="str">
        <f>VLOOKUP(A154,Headings!$C$1:$H$3948,4,FALSE)</f>
        <v>Analysis location</v>
      </c>
      <c r="K154" s="181" t="str">
        <f t="shared" si="4"/>
        <v>ELRG_LOCN|FIELD</v>
      </c>
      <c r="L154" s="181"/>
    </row>
    <row r="155" spans="1:12" hidden="1" x14ac:dyDescent="0.35">
      <c r="A155" s="181" t="s">
        <v>2522</v>
      </c>
      <c r="B155" s="182" t="s">
        <v>6654</v>
      </c>
      <c r="C155" s="181" t="s">
        <v>6655</v>
      </c>
      <c r="D155" s="178">
        <v>4.0999999999999996</v>
      </c>
      <c r="E155" s="181" t="s">
        <v>6450</v>
      </c>
      <c r="F155" s="184">
        <v>44173</v>
      </c>
      <c r="G155" s="181"/>
      <c r="H155" s="181">
        <v>4.0999999999999996</v>
      </c>
      <c r="I155" s="181" t="str">
        <f>VLOOKUP(LEFT(A155,4),Groups!$A$1:$C$188,3,FALSE)</f>
        <v>Environmental Laboratory Reporting</v>
      </c>
      <c r="J155" s="181" t="str">
        <f>VLOOKUP(A155,Headings!$C$1:$H$3948,4,FALSE)</f>
        <v>Analysis location</v>
      </c>
      <c r="K155" s="181" t="str">
        <f t="shared" si="4"/>
        <v>ELRG_LOCN|LAB</v>
      </c>
      <c r="L155" s="181"/>
    </row>
    <row r="156" spans="1:12" hidden="1" x14ac:dyDescent="0.35">
      <c r="A156" s="181" t="s">
        <v>2444</v>
      </c>
      <c r="B156" s="182" t="s">
        <v>6656</v>
      </c>
      <c r="C156" s="181" t="s">
        <v>6657</v>
      </c>
      <c r="D156" s="178">
        <v>4.0999999999999996</v>
      </c>
      <c r="E156" s="181" t="s">
        <v>6450</v>
      </c>
      <c r="F156" s="184">
        <v>44173</v>
      </c>
      <c r="G156" s="181"/>
      <c r="H156" s="181">
        <v>4.0999999999999996</v>
      </c>
      <c r="I156" s="181" t="str">
        <f>VLOOKUP(LEFT(A156,4),Groups!$A$1:$C$188,3,FALSE)</f>
        <v>Environmental Laboratory Reporting</v>
      </c>
      <c r="J156" s="181" t="str">
        <f>VLOOKUP(A156,Headings!$C$1:$H$3948,4,FALSE)</f>
        <v>Laboratory test matrix</v>
      </c>
      <c r="K156" s="181" t="str">
        <f t="shared" si="4"/>
        <v>ELRG_MATX|GAS</v>
      </c>
      <c r="L156" s="181"/>
    </row>
    <row r="157" spans="1:12" hidden="1" x14ac:dyDescent="0.35">
      <c r="A157" s="181" t="s">
        <v>2444</v>
      </c>
      <c r="B157" s="182" t="s">
        <v>2446</v>
      </c>
      <c r="C157" s="181" t="s">
        <v>6658</v>
      </c>
      <c r="D157" s="178">
        <v>4.0999999999999996</v>
      </c>
      <c r="E157" s="181" t="s">
        <v>6450</v>
      </c>
      <c r="F157" s="184">
        <v>44173</v>
      </c>
      <c r="G157" s="181"/>
      <c r="H157" s="181">
        <v>4.0999999999999996</v>
      </c>
      <c r="I157" s="181" t="str">
        <f>VLOOKUP(LEFT(A157,4),Groups!$A$1:$C$188,3,FALSE)</f>
        <v>Environmental Laboratory Reporting</v>
      </c>
      <c r="J157" s="181" t="str">
        <f>VLOOKUP(A157,Headings!$C$1:$H$3948,4,FALSE)</f>
        <v>Laboratory test matrix</v>
      </c>
      <c r="K157" s="181" t="str">
        <f t="shared" si="4"/>
        <v>ELRG_MATX|LIQUID</v>
      </c>
      <c r="L157" s="181"/>
    </row>
    <row r="158" spans="1:12" hidden="1" x14ac:dyDescent="0.35">
      <c r="A158" s="181" t="s">
        <v>2444</v>
      </c>
      <c r="B158" s="182" t="s">
        <v>6659</v>
      </c>
      <c r="C158" s="181" t="s">
        <v>6660</v>
      </c>
      <c r="D158" s="178">
        <v>4.0999999999999996</v>
      </c>
      <c r="E158" s="181" t="s">
        <v>6450</v>
      </c>
      <c r="F158" s="184">
        <v>44173</v>
      </c>
      <c r="G158" s="181"/>
      <c r="H158" s="181">
        <v>4.0999999999999996</v>
      </c>
      <c r="I158" s="181" t="str">
        <f>VLOOKUP(LEFT(A158,4),Groups!$A$1:$C$188,3,FALSE)</f>
        <v>Environmental Laboratory Reporting</v>
      </c>
      <c r="J158" s="181" t="str">
        <f>VLOOKUP(A158,Headings!$C$1:$H$3948,4,FALSE)</f>
        <v>Laboratory test matrix</v>
      </c>
      <c r="K158" s="181" t="str">
        <f t="shared" si="4"/>
        <v>ELRG_MATX|PRODUCT</v>
      </c>
      <c r="L158" s="181"/>
    </row>
    <row r="159" spans="1:12" hidden="1" x14ac:dyDescent="0.35">
      <c r="A159" s="181" t="s">
        <v>2444</v>
      </c>
      <c r="B159" s="182" t="s">
        <v>6661</v>
      </c>
      <c r="C159" s="181" t="s">
        <v>6662</v>
      </c>
      <c r="D159" s="178">
        <v>4.0999999999999996</v>
      </c>
      <c r="E159" s="181" t="s">
        <v>6450</v>
      </c>
      <c r="F159" s="184">
        <v>44173</v>
      </c>
      <c r="G159" s="181"/>
      <c r="H159" s="181">
        <v>4.0999999999999996</v>
      </c>
      <c r="I159" s="181" t="str">
        <f>VLOOKUP(LEFT(A159,4),Groups!$A$1:$C$188,3,FALSE)</f>
        <v>Environmental Laboratory Reporting</v>
      </c>
      <c r="J159" s="181" t="str">
        <f>VLOOKUP(A159,Headings!$C$1:$H$3948,4,FALSE)</f>
        <v>Laboratory test matrix</v>
      </c>
      <c r="K159" s="181" t="str">
        <f t="shared" si="4"/>
        <v>ELRG_MATX|SOLID</v>
      </c>
      <c r="L159" s="181"/>
    </row>
    <row r="160" spans="1:12" hidden="1" x14ac:dyDescent="0.35">
      <c r="A160" s="181" t="s">
        <v>2462</v>
      </c>
      <c r="B160" s="182" t="s">
        <v>2464</v>
      </c>
      <c r="C160" s="181" t="s">
        <v>6663</v>
      </c>
      <c r="D160" s="178">
        <v>4.0999999999999996</v>
      </c>
      <c r="E160" s="181" t="s">
        <v>6450</v>
      </c>
      <c r="F160" s="184">
        <v>44173</v>
      </c>
      <c r="G160" s="181"/>
      <c r="H160" s="181">
        <v>4.0999999999999996</v>
      </c>
      <c r="I160" s="181" t="str">
        <f>VLOOKUP(LEFT(A160,4),Groups!$A$1:$C$188,3,FALSE)</f>
        <v>Environmental Laboratory Reporting</v>
      </c>
      <c r="J160" s="181" t="str">
        <f>VLOOKUP(A160,Headings!$C$1:$H$3948,4,FALSE)</f>
        <v>Result type</v>
      </c>
      <c r="K160" s="181" t="str">
        <f t="shared" si="4"/>
        <v>ELRG_RTCD|TIC</v>
      </c>
      <c r="L160" s="181"/>
    </row>
    <row r="161" spans="1:12" hidden="1" x14ac:dyDescent="0.35">
      <c r="A161" s="181" t="s">
        <v>2462</v>
      </c>
      <c r="B161" s="182" t="s">
        <v>6664</v>
      </c>
      <c r="C161" s="181" t="s">
        <v>6665</v>
      </c>
      <c r="D161" s="178">
        <v>4.0999999999999996</v>
      </c>
      <c r="E161" s="181" t="s">
        <v>6450</v>
      </c>
      <c r="F161" s="184">
        <v>44173</v>
      </c>
      <c r="G161" s="181"/>
      <c r="H161" s="181">
        <v>4.0999999999999996</v>
      </c>
      <c r="I161" s="181" t="str">
        <f>VLOOKUP(LEFT(A161,4),Groups!$A$1:$C$188,3,FALSE)</f>
        <v>Environmental Laboratory Reporting</v>
      </c>
      <c r="J161" s="181" t="str">
        <f>VLOOKUP(A161,Headings!$C$1:$H$3948,4,FALSE)</f>
        <v>Result type</v>
      </c>
      <c r="K161" s="181" t="str">
        <f t="shared" si="4"/>
        <v>ELRG_RTCD|TRG</v>
      </c>
      <c r="L161" s="181"/>
    </row>
    <row r="162" spans="1:12" hidden="1" x14ac:dyDescent="0.35">
      <c r="A162" s="181" t="s">
        <v>2447</v>
      </c>
      <c r="B162" s="182" t="s">
        <v>6666</v>
      </c>
      <c r="C162" s="181" t="s">
        <v>6667</v>
      </c>
      <c r="D162" s="178">
        <v>4.0999999999999996</v>
      </c>
      <c r="E162" s="181" t="s">
        <v>6450</v>
      </c>
      <c r="F162" s="184">
        <v>44173</v>
      </c>
      <c r="G162" s="181"/>
      <c r="H162" s="181">
        <v>4.0999999999999996</v>
      </c>
      <c r="I162" s="181" t="str">
        <f>VLOOKUP(LEFT(A162,4),Groups!$A$1:$C$188,3,FALSE)</f>
        <v>Environmental Laboratory Reporting</v>
      </c>
      <c r="J162" s="181" t="str">
        <f>VLOOKUP(A162,Headings!$C$1:$H$3948,4,FALSE)</f>
        <v>Run type (initial or reanalysis)</v>
      </c>
      <c r="K162" s="181" t="str">
        <f t="shared" ref="K162:K189" si="5">A162&amp;"|"&amp;B162</f>
        <v>ELRG_RTYP|REANALYSIS</v>
      </c>
      <c r="L162" s="181"/>
    </row>
    <row r="163" spans="1:12" hidden="1" x14ac:dyDescent="0.35">
      <c r="A163" s="181" t="s">
        <v>2450</v>
      </c>
      <c r="B163" s="182" t="s">
        <v>6668</v>
      </c>
      <c r="C163" s="181" t="s">
        <v>6669</v>
      </c>
      <c r="D163" s="178">
        <v>4.0999999999999996</v>
      </c>
      <c r="E163" s="181" t="s">
        <v>6450</v>
      </c>
      <c r="F163" s="184">
        <v>44173</v>
      </c>
      <c r="G163" s="181"/>
      <c r="H163" s="181">
        <v>4.0999999999999996</v>
      </c>
      <c r="I163" s="181" t="str">
        <f>VLOOKUP(LEFT(A163,4),Groups!$A$1:$C$188,3,FALSE)</f>
        <v>Environmental Laboratory Reporting</v>
      </c>
      <c r="J163" s="181" t="str">
        <f>VLOOKUP(A163,Headings!$C$1:$H$3948,4,FALSE)</f>
        <v>Test additional descriptor</v>
      </c>
      <c r="K163" s="181" t="str">
        <f t="shared" si="5"/>
        <v>ELRG_TADE|CEN_10_1</v>
      </c>
      <c r="L163" s="181"/>
    </row>
    <row r="164" spans="1:12" hidden="1" x14ac:dyDescent="0.35">
      <c r="A164" s="181" t="s">
        <v>2450</v>
      </c>
      <c r="B164" s="182" t="s">
        <v>2452</v>
      </c>
      <c r="C164" s="181" t="s">
        <v>6670</v>
      </c>
      <c r="D164" s="178">
        <v>4.0999999999999996</v>
      </c>
      <c r="E164" s="181" t="s">
        <v>6450</v>
      </c>
      <c r="F164" s="184">
        <v>44173</v>
      </c>
      <c r="G164" s="181"/>
      <c r="H164" s="181">
        <v>4.0999999999999996</v>
      </c>
      <c r="I164" s="181" t="str">
        <f>VLOOKUP(LEFT(A164,4),Groups!$A$1:$C$188,3,FALSE)</f>
        <v>Environmental Laboratory Reporting</v>
      </c>
      <c r="J164" s="181" t="str">
        <f>VLOOKUP(A164,Headings!$C$1:$H$3948,4,FALSE)</f>
        <v>Test additional descriptor</v>
      </c>
      <c r="K164" s="181" t="str">
        <f t="shared" si="5"/>
        <v>ELRG_TADE|CEN_2_1</v>
      </c>
      <c r="L164" s="181"/>
    </row>
    <row r="165" spans="1:12" hidden="1" x14ac:dyDescent="0.35">
      <c r="A165" s="181" t="s">
        <v>2450</v>
      </c>
      <c r="B165" s="182" t="s">
        <v>6671</v>
      </c>
      <c r="C165" s="181" t="s">
        <v>6672</v>
      </c>
      <c r="D165" s="178">
        <v>4.0999999999999996</v>
      </c>
      <c r="E165" s="181" t="s">
        <v>6450</v>
      </c>
      <c r="F165" s="184">
        <v>44173</v>
      </c>
      <c r="G165" s="181"/>
      <c r="H165" s="181">
        <v>4.0999999999999996</v>
      </c>
      <c r="I165" s="181" t="str">
        <f>VLOOKUP(LEFT(A165,4),Groups!$A$1:$C$188,3,FALSE)</f>
        <v>Environmental Laboratory Reporting</v>
      </c>
      <c r="J165" s="181" t="str">
        <f>VLOOKUP(A165,Headings!$C$1:$H$3948,4,FALSE)</f>
        <v>Test additional descriptor</v>
      </c>
      <c r="K165" s="181" t="str">
        <f t="shared" si="5"/>
        <v>ELRG_TADE|NRA</v>
      </c>
      <c r="L165" s="181"/>
    </row>
    <row r="166" spans="1:12" hidden="1" x14ac:dyDescent="0.35">
      <c r="A166" s="181" t="s">
        <v>2552</v>
      </c>
      <c r="B166" s="182" t="s">
        <v>6466</v>
      </c>
      <c r="C166" s="181" t="s">
        <v>4112</v>
      </c>
      <c r="D166" s="178">
        <v>4.0999999999999996</v>
      </c>
      <c r="E166" s="181" t="s">
        <v>6450</v>
      </c>
      <c r="F166" s="184">
        <v>40323</v>
      </c>
      <c r="G166" s="181"/>
      <c r="H166" s="181" t="s">
        <v>6451</v>
      </c>
      <c r="I166" s="181" t="str">
        <f>VLOOKUP(LEFT(A166,4),Groups!$A$1:$C$188,3,FALSE)</f>
        <v>Effective Stress Consolidation Tests - General</v>
      </c>
      <c r="J166" s="181" t="str">
        <f>VLOOKUP(A166,Headings!$C$1:$H$3948,4,FALSE)</f>
        <v>Sample condition</v>
      </c>
      <c r="K166" s="181" t="str">
        <f t="shared" si="5"/>
        <v>ESCG_COND|REMOULDED</v>
      </c>
      <c r="L166" s="181"/>
    </row>
    <row r="167" spans="1:12" hidden="1" x14ac:dyDescent="0.35">
      <c r="A167" s="181" t="s">
        <v>2552</v>
      </c>
      <c r="B167" s="182" t="s">
        <v>1273</v>
      </c>
      <c r="C167" s="181" t="s">
        <v>6467</v>
      </c>
      <c r="D167" s="178">
        <v>4.0999999999999996</v>
      </c>
      <c r="E167" s="181" t="s">
        <v>6450</v>
      </c>
      <c r="F167" s="184">
        <v>40323</v>
      </c>
      <c r="G167" s="181"/>
      <c r="H167" s="181" t="s">
        <v>6451</v>
      </c>
      <c r="I167" s="181" t="str">
        <f>VLOOKUP(LEFT(A167,4),Groups!$A$1:$C$188,3,FALSE)</f>
        <v>Effective Stress Consolidation Tests - General</v>
      </c>
      <c r="J167" s="181" t="str">
        <f>VLOOKUP(A167,Headings!$C$1:$H$3948,4,FALSE)</f>
        <v>Sample condition</v>
      </c>
      <c r="K167" s="181" t="str">
        <f t="shared" si="5"/>
        <v>ESCG_COND|UNDISTURBED</v>
      </c>
      <c r="L167" s="181"/>
    </row>
    <row r="168" spans="1:12" hidden="1" x14ac:dyDescent="0.35">
      <c r="A168" s="181" t="s">
        <v>2546</v>
      </c>
      <c r="B168" s="182" t="s">
        <v>6673</v>
      </c>
      <c r="C168" s="181" t="s">
        <v>6674</v>
      </c>
      <c r="D168" s="178">
        <v>4.0999999999999996</v>
      </c>
      <c r="E168" s="181" t="s">
        <v>6450</v>
      </c>
      <c r="F168" s="184">
        <v>40323</v>
      </c>
      <c r="G168" s="181"/>
      <c r="H168" s="181" t="s">
        <v>6451</v>
      </c>
      <c r="I168" s="181" t="str">
        <f>VLOOKUP(LEFT(A168,4),Groups!$A$1:$C$188,3,FALSE)</f>
        <v>Effective Stress Consolidation Tests - General</v>
      </c>
      <c r="J168" s="181" t="str">
        <f>VLOOKUP(A168,Headings!$C$1:$H$3948,4,FALSE)</f>
        <v>Test type</v>
      </c>
      <c r="K168" s="181" t="str">
        <f t="shared" si="5"/>
        <v>ESCG_TYPE|CD</v>
      </c>
      <c r="L168" s="181"/>
    </row>
    <row r="169" spans="1:12" hidden="1" x14ac:dyDescent="0.35">
      <c r="A169" s="181" t="s">
        <v>2546</v>
      </c>
      <c r="B169" s="182" t="s">
        <v>6675</v>
      </c>
      <c r="C169" s="181" t="s">
        <v>6676</v>
      </c>
      <c r="D169" s="178">
        <v>4.0999999999999996</v>
      </c>
      <c r="E169" s="181" t="s">
        <v>6450</v>
      </c>
      <c r="F169" s="184">
        <v>40323</v>
      </c>
      <c r="G169" s="181"/>
      <c r="H169" s="181" t="s">
        <v>6451</v>
      </c>
      <c r="I169" s="181" t="str">
        <f>VLOOKUP(LEFT(A169,4),Groups!$A$1:$C$188,3,FALSE)</f>
        <v>Effective Stress Consolidation Tests - General</v>
      </c>
      <c r="J169" s="181" t="str">
        <f>VLOOKUP(A169,Headings!$C$1:$H$3948,4,FALSE)</f>
        <v>Test type</v>
      </c>
      <c r="K169" s="181" t="str">
        <f t="shared" si="5"/>
        <v>ESCG_TYPE|CDM</v>
      </c>
      <c r="L169" s="181"/>
    </row>
    <row r="170" spans="1:12" hidden="1" x14ac:dyDescent="0.35">
      <c r="A170" s="181" t="s">
        <v>2546</v>
      </c>
      <c r="B170" s="182" t="s">
        <v>6594</v>
      </c>
      <c r="C170" s="181" t="s">
        <v>6677</v>
      </c>
      <c r="D170" s="178">
        <v>4.0999999999999996</v>
      </c>
      <c r="E170" s="181" t="s">
        <v>6450</v>
      </c>
      <c r="F170" s="184">
        <v>40323</v>
      </c>
      <c r="G170" s="181"/>
      <c r="H170" s="181" t="s">
        <v>6451</v>
      </c>
      <c r="I170" s="181" t="str">
        <f>VLOOKUP(LEFT(A170,4),Groups!$A$1:$C$188,3,FALSE)</f>
        <v>Effective Stress Consolidation Tests - General</v>
      </c>
      <c r="J170" s="181" t="str">
        <f>VLOOKUP(A170,Headings!$C$1:$H$3948,4,FALSE)</f>
        <v>Test type</v>
      </c>
      <c r="K170" s="181" t="str">
        <f t="shared" si="5"/>
        <v>ESCG_TYPE|CU</v>
      </c>
      <c r="L170" s="181"/>
    </row>
    <row r="171" spans="1:12" hidden="1" x14ac:dyDescent="0.35">
      <c r="A171" s="181" t="s">
        <v>2546</v>
      </c>
      <c r="B171" s="182" t="s">
        <v>6678</v>
      </c>
      <c r="C171" s="181" t="s">
        <v>6679</v>
      </c>
      <c r="D171" s="178">
        <v>4.0999999999999996</v>
      </c>
      <c r="E171" s="181" t="s">
        <v>6450</v>
      </c>
      <c r="F171" s="184">
        <v>40323</v>
      </c>
      <c r="G171" s="181"/>
      <c r="H171" s="181" t="s">
        <v>6451</v>
      </c>
      <c r="I171" s="181" t="str">
        <f>VLOOKUP(LEFT(A171,4),Groups!$A$1:$C$188,3,FALSE)</f>
        <v>Effective Stress Consolidation Tests - General</v>
      </c>
      <c r="J171" s="181" t="str">
        <f>VLOOKUP(A171,Headings!$C$1:$H$3948,4,FALSE)</f>
        <v>Test type</v>
      </c>
      <c r="K171" s="181" t="str">
        <f t="shared" si="5"/>
        <v>ESCG_TYPE|CUM</v>
      </c>
      <c r="L171" s="181"/>
    </row>
    <row r="172" spans="1:12" hidden="1" x14ac:dyDescent="0.35">
      <c r="A172" s="181" t="s">
        <v>2685</v>
      </c>
      <c r="B172" s="182" t="s">
        <v>682</v>
      </c>
      <c r="C172" s="181" t="s">
        <v>6680</v>
      </c>
      <c r="D172" s="178">
        <v>4.0999999999999996</v>
      </c>
      <c r="E172" s="181" t="s">
        <v>6450</v>
      </c>
      <c r="F172" s="184">
        <v>44173</v>
      </c>
      <c r="G172" s="181"/>
      <c r="H172" s="181">
        <v>4.0999999999999996</v>
      </c>
      <c r="I172" s="181" t="str">
        <f>VLOOKUP(LEFT(A172,4),Groups!$A$1:$C$188,3,FALSE)</f>
        <v>Field Geohydraulic Testing - General</v>
      </c>
      <c r="J172" s="181" t="str">
        <f>VLOOKUP(A172,Headings!$C$1:$H$3948,4,FALSE)</f>
        <v>Test configuration</v>
      </c>
      <c r="K172" s="181" t="str">
        <f t="shared" si="5"/>
        <v>FGHG_CNFG|SP</v>
      </c>
      <c r="L172" s="181"/>
    </row>
    <row r="173" spans="1:12" hidden="1" x14ac:dyDescent="0.35">
      <c r="A173" s="181" t="s">
        <v>2701</v>
      </c>
      <c r="B173" s="182" t="s">
        <v>2703</v>
      </c>
      <c r="C173" s="181" t="s">
        <v>2703</v>
      </c>
      <c r="D173" s="178">
        <v>4.0999999999999996</v>
      </c>
      <c r="E173" s="181" t="s">
        <v>6450</v>
      </c>
      <c r="F173" s="184">
        <v>44173</v>
      </c>
      <c r="G173" s="181"/>
      <c r="H173" s="181">
        <v>4.0999999999999996</v>
      </c>
      <c r="I173" s="181" t="str">
        <f>VLOOKUP(LEFT(A173,4),Groups!$A$1:$C$188,3,FALSE)</f>
        <v>Field Geohydraulic Testing - General</v>
      </c>
      <c r="J173" s="181" t="str">
        <f>VLOOKUP(A173,Headings!$C$1:$H$3948,4,FALSE)</f>
        <v>Flow type for water pressure test</v>
      </c>
      <c r="K173" s="181" t="str">
        <f t="shared" si="5"/>
        <v>FGHG_FTYP|Laminar</v>
      </c>
      <c r="L173" s="181"/>
    </row>
    <row r="174" spans="1:12" hidden="1" x14ac:dyDescent="0.35">
      <c r="A174" s="181" t="s">
        <v>2683</v>
      </c>
      <c r="B174" s="182" t="s">
        <v>2684</v>
      </c>
      <c r="C174" s="181" t="s">
        <v>6681</v>
      </c>
      <c r="D174" s="178">
        <v>4.0999999999999996</v>
      </c>
      <c r="E174" s="181" t="s">
        <v>6450</v>
      </c>
      <c r="F174" s="184">
        <v>44173</v>
      </c>
      <c r="G174" s="181"/>
      <c r="H174" s="181">
        <v>4.0999999999999996</v>
      </c>
      <c r="I174" s="181" t="str">
        <f>VLOOKUP(LEFT(A174,4),Groups!$A$1:$C$188,3,FALSE)</f>
        <v>Field Geohydraulic Testing - General</v>
      </c>
      <c r="J174" s="181" t="str">
        <f>VLOOKUP(A174,Headings!$C$1:$H$3948,4,FALSE)</f>
        <v>Type of test</v>
      </c>
      <c r="K174" s="181" t="str">
        <f t="shared" si="5"/>
        <v>FGHG_TYPE|Constant</v>
      </c>
      <c r="L174" s="181"/>
    </row>
    <row r="175" spans="1:12" hidden="1" x14ac:dyDescent="0.35">
      <c r="A175" s="181" t="s">
        <v>2683</v>
      </c>
      <c r="B175" s="182" t="s">
        <v>6682</v>
      </c>
      <c r="C175" s="181" t="s">
        <v>6683</v>
      </c>
      <c r="D175" s="178">
        <v>4.0999999999999996</v>
      </c>
      <c r="E175" s="181" t="s">
        <v>6450</v>
      </c>
      <c r="F175" s="184">
        <v>44173</v>
      </c>
      <c r="G175" s="181"/>
      <c r="H175" s="181">
        <v>4.0999999999999996</v>
      </c>
      <c r="I175" s="181" t="str">
        <f>VLOOKUP(LEFT(A175,4),Groups!$A$1:$C$188,3,FALSE)</f>
        <v>Field Geohydraulic Testing - General</v>
      </c>
      <c r="J175" s="181" t="str">
        <f>VLOOKUP(A175,Headings!$C$1:$H$3948,4,FALSE)</f>
        <v>Type of test</v>
      </c>
      <c r="K175" s="181" t="str">
        <f t="shared" si="5"/>
        <v>FGHG_TYPE|Falling</v>
      </c>
      <c r="L175" s="181"/>
    </row>
    <row r="176" spans="1:12" hidden="1" x14ac:dyDescent="0.35">
      <c r="A176" s="181" t="s">
        <v>2740</v>
      </c>
      <c r="B176" s="182" t="s">
        <v>2741</v>
      </c>
      <c r="C176" s="181" t="s">
        <v>6684</v>
      </c>
      <c r="D176" s="178">
        <v>4.0999999999999996</v>
      </c>
      <c r="E176" s="181" t="s">
        <v>6450</v>
      </c>
      <c r="F176" s="184">
        <v>44173</v>
      </c>
      <c r="G176" s="181"/>
      <c r="H176" s="181">
        <v>4.0999999999999996</v>
      </c>
      <c r="I176" s="181" t="str">
        <f>VLOOKUP(LEFT(A176,4),Groups!$A$1:$C$188,3,FALSE)</f>
        <v>Field Geohydraulic Testing - Data</v>
      </c>
      <c r="J176" s="181" t="str">
        <f>VLOOKUP(A176,Headings!$C$1:$H$3948,4,FALSE)</f>
        <v>Test record type</v>
      </c>
      <c r="K176" s="181" t="str">
        <f t="shared" si="5"/>
        <v>FGHT_TYPE|FLWR</v>
      </c>
      <c r="L176" s="181"/>
    </row>
    <row r="177" spans="1:12" hidden="1" x14ac:dyDescent="0.35">
      <c r="A177" s="181" t="s">
        <v>2765</v>
      </c>
      <c r="B177" s="182" t="s">
        <v>6685</v>
      </c>
      <c r="C177" s="181" t="s">
        <v>6686</v>
      </c>
      <c r="D177" s="178">
        <v>4.0999999999999996</v>
      </c>
      <c r="E177" s="181" t="s">
        <v>6450</v>
      </c>
      <c r="F177" s="184">
        <v>40323</v>
      </c>
      <c r="G177" s="181"/>
      <c r="H177" s="181" t="s">
        <v>6451</v>
      </c>
      <c r="I177" s="181" t="str">
        <f>VLOOKUP(LEFT(A177,4),Groups!$A$1:$C$188,3,FALSE)</f>
        <v>Associated Files</v>
      </c>
      <c r="J177" s="181" t="str">
        <f>VLOOKUP(A177,Headings!$C$1:$H$3948,4,FALSE)</f>
        <v>Document type</v>
      </c>
      <c r="K177" s="181" t="str">
        <f t="shared" si="5"/>
        <v>FILE_DOCT|CAL</v>
      </c>
      <c r="L177" s="181"/>
    </row>
    <row r="178" spans="1:12" hidden="1" x14ac:dyDescent="0.35">
      <c r="A178" s="181" t="s">
        <v>2765</v>
      </c>
      <c r="B178" s="182" t="s">
        <v>6687</v>
      </c>
      <c r="C178" s="181" t="s">
        <v>6688</v>
      </c>
      <c r="D178" s="178">
        <v>4.0999999999999996</v>
      </c>
      <c r="E178" s="181" t="s">
        <v>6450</v>
      </c>
      <c r="F178" s="184">
        <v>40323</v>
      </c>
      <c r="G178" s="181"/>
      <c r="H178" s="181" t="s">
        <v>6451</v>
      </c>
      <c r="I178" s="181" t="str">
        <f>VLOOKUP(LEFT(A178,4),Groups!$A$1:$C$188,3,FALSE)</f>
        <v>Associated Files</v>
      </c>
      <c r="J178" s="181" t="str">
        <f>VLOOKUP(A178,Headings!$C$1:$H$3948,4,FALSE)</f>
        <v>Document type</v>
      </c>
      <c r="K178" s="181" t="str">
        <f t="shared" si="5"/>
        <v>FILE_DOCT|CR</v>
      </c>
      <c r="L178" s="181"/>
    </row>
    <row r="179" spans="1:12" hidden="1" x14ac:dyDescent="0.35">
      <c r="A179" s="181" t="s">
        <v>2765</v>
      </c>
      <c r="B179" s="182" t="s">
        <v>6689</v>
      </c>
      <c r="C179" s="181" t="s">
        <v>6690</v>
      </c>
      <c r="D179" s="178">
        <v>4.0999999999999996</v>
      </c>
      <c r="E179" s="181" t="s">
        <v>6450</v>
      </c>
      <c r="F179" s="184">
        <v>40323</v>
      </c>
      <c r="G179" s="181"/>
      <c r="H179" s="181" t="s">
        <v>6451</v>
      </c>
      <c r="I179" s="181" t="str">
        <f>VLOOKUP(LEFT(A179,4),Groups!$A$1:$C$188,3,FALSE)</f>
        <v>Associated Files</v>
      </c>
      <c r="J179" s="181" t="str">
        <f>VLOOKUP(A179,Headings!$C$1:$H$3948,4,FALSE)</f>
        <v>Document type</v>
      </c>
      <c r="K179" s="181" t="str">
        <f t="shared" si="5"/>
        <v>FILE_DOCT|DRAW</v>
      </c>
      <c r="L179" s="181"/>
    </row>
    <row r="180" spans="1:12" hidden="1" x14ac:dyDescent="0.35">
      <c r="A180" s="181" t="s">
        <v>2765</v>
      </c>
      <c r="B180" s="182" t="s">
        <v>6691</v>
      </c>
      <c r="C180" s="181" t="s">
        <v>6692</v>
      </c>
      <c r="D180" s="178">
        <v>4.0999999999999996</v>
      </c>
      <c r="E180" s="181" t="s">
        <v>6450</v>
      </c>
      <c r="F180" s="184">
        <v>40323</v>
      </c>
      <c r="G180" s="181"/>
      <c r="H180" s="181" t="s">
        <v>6451</v>
      </c>
      <c r="I180" s="181" t="str">
        <f>VLOOKUP(LEFT(A180,4),Groups!$A$1:$C$188,3,FALSE)</f>
        <v>Associated Files</v>
      </c>
      <c r="J180" s="181" t="str">
        <f>VLOOKUP(A180,Headings!$C$1:$H$3948,4,FALSE)</f>
        <v>Document type</v>
      </c>
      <c r="K180" s="181" t="str">
        <f t="shared" si="5"/>
        <v>FILE_DOCT|GEN</v>
      </c>
      <c r="L180" s="181"/>
    </row>
    <row r="181" spans="1:12" hidden="1" x14ac:dyDescent="0.35">
      <c r="A181" s="181" t="s">
        <v>2765</v>
      </c>
      <c r="B181" s="182" t="s">
        <v>5595</v>
      </c>
      <c r="C181" s="181" t="s">
        <v>6693</v>
      </c>
      <c r="D181" s="178">
        <v>4.0999999999999996</v>
      </c>
      <c r="E181" s="181" t="s">
        <v>6450</v>
      </c>
      <c r="F181" s="184">
        <v>40323</v>
      </c>
      <c r="G181" s="181"/>
      <c r="H181" s="181" t="s">
        <v>6451</v>
      </c>
      <c r="I181" s="181" t="str">
        <f>VLOOKUP(LEFT(A181,4),Groups!$A$1:$C$188,3,FALSE)</f>
        <v>Associated Files</v>
      </c>
      <c r="J181" s="181" t="str">
        <f>VLOOKUP(A181,Headings!$C$1:$H$3948,4,FALSE)</f>
        <v>Document type</v>
      </c>
      <c r="K181" s="181" t="str">
        <f t="shared" si="5"/>
        <v>FILE_DOCT|MS</v>
      </c>
      <c r="L181" s="181"/>
    </row>
    <row r="182" spans="1:12" hidden="1" x14ac:dyDescent="0.35">
      <c r="A182" s="181" t="s">
        <v>2765</v>
      </c>
      <c r="B182" s="182" t="s">
        <v>6694</v>
      </c>
      <c r="C182" s="181" t="s">
        <v>6695</v>
      </c>
      <c r="D182" s="178">
        <v>4.0999999999999996</v>
      </c>
      <c r="E182" s="181" t="s">
        <v>6450</v>
      </c>
      <c r="F182" s="184">
        <v>40323</v>
      </c>
      <c r="G182" s="181"/>
      <c r="H182" s="181" t="s">
        <v>6451</v>
      </c>
      <c r="I182" s="181" t="str">
        <f>VLOOKUP(LEFT(A182,4),Groups!$A$1:$C$188,3,FALSE)</f>
        <v>Associated Files</v>
      </c>
      <c r="J182" s="181" t="str">
        <f>VLOOKUP(A182,Headings!$C$1:$H$3948,4,FALSE)</f>
        <v>Document type</v>
      </c>
      <c r="K182" s="181" t="str">
        <f t="shared" si="5"/>
        <v>FILE_DOCT|PH</v>
      </c>
      <c r="L182" s="181"/>
    </row>
    <row r="183" spans="1:12" hidden="1" x14ac:dyDescent="0.35">
      <c r="A183" s="181" t="s">
        <v>2765</v>
      </c>
      <c r="B183" s="182" t="s">
        <v>6696</v>
      </c>
      <c r="C183" s="181" t="s">
        <v>6697</v>
      </c>
      <c r="D183" s="178">
        <v>4.0999999999999996</v>
      </c>
      <c r="E183" s="181" t="s">
        <v>6450</v>
      </c>
      <c r="F183" s="184">
        <v>40323</v>
      </c>
      <c r="G183" s="181"/>
      <c r="H183" s="181" t="s">
        <v>6451</v>
      </c>
      <c r="I183" s="181" t="str">
        <f>VLOOKUP(LEFT(A183,4),Groups!$A$1:$C$188,3,FALSE)</f>
        <v>Associated Files</v>
      </c>
      <c r="J183" s="181" t="str">
        <f>VLOOKUP(A183,Headings!$C$1:$H$3948,4,FALSE)</f>
        <v>Document type</v>
      </c>
      <c r="K183" s="181" t="str">
        <f t="shared" si="5"/>
        <v>FILE_DOCT|RAW</v>
      </c>
      <c r="L183" s="181"/>
    </row>
    <row r="184" spans="1:12" hidden="1" x14ac:dyDescent="0.35">
      <c r="A184" s="181" t="s">
        <v>2765</v>
      </c>
      <c r="B184" s="182" t="s">
        <v>6698</v>
      </c>
      <c r="C184" s="181" t="s">
        <v>6699</v>
      </c>
      <c r="D184" s="178">
        <v>4.0999999999999996</v>
      </c>
      <c r="E184" s="181" t="s">
        <v>6450</v>
      </c>
      <c r="F184" s="184">
        <v>40323</v>
      </c>
      <c r="G184" s="181"/>
      <c r="H184" s="181" t="s">
        <v>6451</v>
      </c>
      <c r="I184" s="181" t="str">
        <f>VLOOKUP(LEFT(A184,4),Groups!$A$1:$C$188,3,FALSE)</f>
        <v>Associated Files</v>
      </c>
      <c r="J184" s="181" t="str">
        <f>VLOOKUP(A184,Headings!$C$1:$H$3948,4,FALSE)</f>
        <v>Document type</v>
      </c>
      <c r="K184" s="181" t="str">
        <f t="shared" si="5"/>
        <v>FILE_DOCT|REP</v>
      </c>
      <c r="L184" s="181"/>
    </row>
    <row r="185" spans="1:12" hidden="1" x14ac:dyDescent="0.35">
      <c r="A185" s="181" t="s">
        <v>2765</v>
      </c>
      <c r="B185" s="182" t="s">
        <v>6700</v>
      </c>
      <c r="C185" s="181" t="s">
        <v>6701</v>
      </c>
      <c r="D185" s="178">
        <v>4.0999999999999996</v>
      </c>
      <c r="E185" s="181" t="s">
        <v>6450</v>
      </c>
      <c r="F185" s="184">
        <v>40323</v>
      </c>
      <c r="G185" s="181"/>
      <c r="H185" s="181" t="s">
        <v>6451</v>
      </c>
      <c r="I185" s="181" t="str">
        <f>VLOOKUP(LEFT(A185,4),Groups!$A$1:$C$188,3,FALSE)</f>
        <v>Associated Files</v>
      </c>
      <c r="J185" s="181" t="str">
        <f>VLOOKUP(A185,Headings!$C$1:$H$3948,4,FALSE)</f>
        <v>Document type</v>
      </c>
      <c r="K185" s="181" t="str">
        <f t="shared" si="5"/>
        <v>FILE_DOCT|TECH</v>
      </c>
      <c r="L185" s="181"/>
    </row>
    <row r="186" spans="1:12" hidden="1" x14ac:dyDescent="0.35">
      <c r="A186" s="181" t="s">
        <v>2765</v>
      </c>
      <c r="B186" s="182" t="s">
        <v>6702</v>
      </c>
      <c r="C186" s="181" t="s">
        <v>6703</v>
      </c>
      <c r="D186" s="178">
        <v>4.0999999999999996</v>
      </c>
      <c r="E186" s="181" t="s">
        <v>6450</v>
      </c>
      <c r="F186" s="184">
        <v>40323</v>
      </c>
      <c r="G186" s="181"/>
      <c r="H186" s="181" t="s">
        <v>6451</v>
      </c>
      <c r="I186" s="181" t="str">
        <f>VLOOKUP(LEFT(A186,4),Groups!$A$1:$C$188,3,FALSE)</f>
        <v>Associated Files</v>
      </c>
      <c r="J186" s="181" t="str">
        <f>VLOOKUP(A186,Headings!$C$1:$H$3948,4,FALSE)</f>
        <v>Document type</v>
      </c>
      <c r="K186" s="181" t="str">
        <f t="shared" si="5"/>
        <v>FILE_DOCT|VI</v>
      </c>
      <c r="L186" s="181"/>
    </row>
    <row r="187" spans="1:12" hidden="1" x14ac:dyDescent="0.35">
      <c r="A187" s="181" t="s">
        <v>2759</v>
      </c>
      <c r="B187" s="182" t="s">
        <v>6704</v>
      </c>
      <c r="C187" s="181" t="s">
        <v>6705</v>
      </c>
      <c r="D187" s="178">
        <v>4.0999999999999996</v>
      </c>
      <c r="E187" s="181" t="s">
        <v>6450</v>
      </c>
      <c r="F187" s="184">
        <v>43861</v>
      </c>
      <c r="G187" s="181"/>
      <c r="H187" s="181" t="s">
        <v>6451</v>
      </c>
      <c r="I187" s="181" t="str">
        <f>VLOOKUP(LEFT(A187,4),Groups!$A$1:$C$188,3,FALSE)</f>
        <v>Associated Files</v>
      </c>
      <c r="J187" s="181" t="str">
        <f>VLOOKUP(A187,Headings!$C$1:$H$3948,4,FALSE)</f>
        <v>File type</v>
      </c>
      <c r="K187" s="181" t="str">
        <f t="shared" si="5"/>
        <v>FILE_TYPE|BMP</v>
      </c>
      <c r="L187" s="181"/>
    </row>
    <row r="188" spans="1:12" hidden="1" x14ac:dyDescent="0.35">
      <c r="A188" s="181" t="s">
        <v>2759</v>
      </c>
      <c r="B188" s="182" t="s">
        <v>2761</v>
      </c>
      <c r="C188" s="181" t="s">
        <v>6706</v>
      </c>
      <c r="D188" s="178">
        <v>4.0999999999999996</v>
      </c>
      <c r="E188" s="181" t="s">
        <v>6450</v>
      </c>
      <c r="F188" s="184">
        <v>43861</v>
      </c>
      <c r="G188" s="181"/>
      <c r="H188" s="181" t="s">
        <v>6451</v>
      </c>
      <c r="I188" s="181" t="str">
        <f>VLOOKUP(LEFT(A188,4),Groups!$A$1:$C$188,3,FALSE)</f>
        <v>Associated Files</v>
      </c>
      <c r="J188" s="181" t="str">
        <f>VLOOKUP(A188,Headings!$C$1:$H$3948,4,FALSE)</f>
        <v>File type</v>
      </c>
      <c r="K188" s="181" t="str">
        <f t="shared" si="5"/>
        <v>FILE_TYPE|JPG</v>
      </c>
      <c r="L188" s="181"/>
    </row>
    <row r="189" spans="1:12" hidden="1" x14ac:dyDescent="0.35">
      <c r="A189" s="181" t="s">
        <v>2759</v>
      </c>
      <c r="B189" s="182" t="s">
        <v>6707</v>
      </c>
      <c r="C189" s="181" t="s">
        <v>6708</v>
      </c>
      <c r="D189" s="178">
        <v>4.0999999999999996</v>
      </c>
      <c r="E189" s="181" t="s">
        <v>6450</v>
      </c>
      <c r="F189" s="184">
        <v>43861</v>
      </c>
      <c r="G189" s="181"/>
      <c r="H189" s="181" t="s">
        <v>6451</v>
      </c>
      <c r="I189" s="181" t="str">
        <f>VLOOKUP(LEFT(A189,4),Groups!$A$1:$C$188,3,FALSE)</f>
        <v>Associated Files</v>
      </c>
      <c r="J189" s="181" t="str">
        <f>VLOOKUP(A189,Headings!$C$1:$H$3948,4,FALSE)</f>
        <v>File type</v>
      </c>
      <c r="K189" s="181" t="str">
        <f t="shared" si="5"/>
        <v>FILE_TYPE|PDF</v>
      </c>
      <c r="L189" s="181"/>
    </row>
    <row r="190" spans="1:12" hidden="1" x14ac:dyDescent="0.35">
      <c r="A190" s="88" t="s">
        <v>2779</v>
      </c>
      <c r="B190" s="88" t="s">
        <v>6709</v>
      </c>
      <c r="C190" s="89" t="s">
        <v>6709</v>
      </c>
      <c r="D190" s="89" t="s">
        <v>473</v>
      </c>
      <c r="E190" s="181"/>
      <c r="F190" s="181"/>
      <c r="G190" s="183"/>
      <c r="H190" s="181"/>
      <c r="I190" s="181"/>
      <c r="J190" s="181"/>
      <c r="K190" s="181" t="s">
        <v>6710</v>
      </c>
      <c r="L190" s="181" t="e">
        <v>#N/A</v>
      </c>
    </row>
    <row r="191" spans="1:12" hidden="1" x14ac:dyDescent="0.35">
      <c r="A191" s="88" t="s">
        <v>2779</v>
      </c>
      <c r="B191" s="88" t="s">
        <v>6455</v>
      </c>
      <c r="C191" s="89" t="s">
        <v>6455</v>
      </c>
      <c r="D191" s="89" t="s">
        <v>473</v>
      </c>
      <c r="E191" s="181"/>
      <c r="F191" s="181"/>
      <c r="G191" s="183"/>
      <c r="H191" s="181"/>
      <c r="I191" s="181"/>
      <c r="J191" s="181"/>
      <c r="K191" s="181" t="s">
        <v>6711</v>
      </c>
      <c r="L191" s="181" t="e">
        <v>#N/A</v>
      </c>
    </row>
    <row r="192" spans="1:12" hidden="1" x14ac:dyDescent="0.35">
      <c r="A192" s="88" t="s">
        <v>2779</v>
      </c>
      <c r="B192" s="88" t="s">
        <v>6712</v>
      </c>
      <c r="C192" s="89" t="s">
        <v>6712</v>
      </c>
      <c r="D192" s="89" t="s">
        <v>473</v>
      </c>
      <c r="E192" s="181"/>
      <c r="F192" s="181"/>
      <c r="G192" s="183"/>
      <c r="H192" s="181"/>
      <c r="I192" s="181"/>
      <c r="J192" s="181"/>
      <c r="K192" s="181" t="s">
        <v>6713</v>
      </c>
      <c r="L192" s="181" t="e">
        <v>#N/A</v>
      </c>
    </row>
    <row r="193" spans="1:12" hidden="1" x14ac:dyDescent="0.35">
      <c r="A193" s="88" t="s">
        <v>2779</v>
      </c>
      <c r="B193" s="88" t="s">
        <v>6714</v>
      </c>
      <c r="C193" s="89" t="s">
        <v>6714</v>
      </c>
      <c r="D193" s="89" t="s">
        <v>473</v>
      </c>
      <c r="E193" s="181"/>
      <c r="F193" s="181"/>
      <c r="G193" s="183"/>
      <c r="H193" s="181"/>
      <c r="I193" s="181"/>
      <c r="J193" s="181"/>
      <c r="K193" s="181" t="s">
        <v>6715</v>
      </c>
      <c r="L193" s="181" t="e">
        <v>#N/A</v>
      </c>
    </row>
    <row r="194" spans="1:12" hidden="1" x14ac:dyDescent="0.35">
      <c r="A194" s="181" t="s">
        <v>2779</v>
      </c>
      <c r="B194" s="182" t="s">
        <v>2781</v>
      </c>
      <c r="C194" s="181" t="s">
        <v>2781</v>
      </c>
      <c r="D194" s="178">
        <v>4.0999999999999996</v>
      </c>
      <c r="E194" s="181" t="s">
        <v>6450</v>
      </c>
      <c r="F194" s="184">
        <v>44173</v>
      </c>
      <c r="G194" s="181"/>
      <c r="H194" s="181" t="s">
        <v>6451</v>
      </c>
      <c r="I194" s="181" t="str">
        <f>VLOOKUP(LEFT(A194,4),Groups!$A$1:$C$188,3,FALSE)</f>
        <v>Drilling Flush Details</v>
      </c>
      <c r="J194" s="181" t="str">
        <f>VLOOKUP(A194,Headings!$C$1:$H$3948,4,FALSE)</f>
        <v>Type of flush</v>
      </c>
      <c r="K194" s="181" t="str">
        <f t="shared" ref="K194:K257" si="6">A194&amp;"|"&amp;B194</f>
        <v>FLSH_TYPE|Water</v>
      </c>
      <c r="L194" s="181"/>
    </row>
    <row r="195" spans="1:12" hidden="1" x14ac:dyDescent="0.35">
      <c r="A195" s="181" t="s">
        <v>2811</v>
      </c>
      <c r="B195" s="182" t="s">
        <v>2812</v>
      </c>
      <c r="C195" s="181" t="s">
        <v>6716</v>
      </c>
      <c r="D195" s="178">
        <v>4.0999999999999996</v>
      </c>
      <c r="E195" s="181" t="s">
        <v>6450</v>
      </c>
      <c r="F195" s="184">
        <v>40323</v>
      </c>
      <c r="G195" s="181"/>
      <c r="H195" s="181" t="s">
        <v>6451</v>
      </c>
      <c r="I195" s="181" t="str">
        <f>VLOOKUP(LEFT(A195,4),Groups!$A$1:$C$188,3,FALSE)</f>
        <v>Frost Susceptibility Tests</v>
      </c>
      <c r="J195" s="181" t="str">
        <f>VLOOKUP(A195,Headings!$C$1:$H$3948,4,FALSE)</f>
        <v>Sample condition</v>
      </c>
      <c r="K195" s="181" t="str">
        <f t="shared" si="6"/>
        <v>FRST_COND|RECOMPACTION</v>
      </c>
      <c r="L195" s="181"/>
    </row>
    <row r="196" spans="1:12" hidden="1" x14ac:dyDescent="0.35">
      <c r="A196" s="181" t="s">
        <v>2811</v>
      </c>
      <c r="B196" s="182" t="s">
        <v>1273</v>
      </c>
      <c r="C196" s="181" t="s">
        <v>6467</v>
      </c>
      <c r="D196" s="178">
        <v>4.0999999999999996</v>
      </c>
      <c r="E196" s="181" t="s">
        <v>6450</v>
      </c>
      <c r="F196" s="184">
        <v>40323</v>
      </c>
      <c r="G196" s="181"/>
      <c r="H196" s="181" t="s">
        <v>6451</v>
      </c>
      <c r="I196" s="181" t="str">
        <f>VLOOKUP(LEFT(A196,4),Groups!$A$1:$C$188,3,FALSE)</f>
        <v>Frost Susceptibility Tests</v>
      </c>
      <c r="J196" s="181" t="str">
        <f>VLOOKUP(A196,Headings!$C$1:$H$3948,4,FALSE)</f>
        <v>Sample condition</v>
      </c>
      <c r="K196" s="181" t="str">
        <f t="shared" si="6"/>
        <v>FRST_COND|UNDISTURBED</v>
      </c>
      <c r="L196" s="181"/>
    </row>
    <row r="197" spans="1:12" hidden="1" x14ac:dyDescent="0.35">
      <c r="A197" s="181" t="s">
        <v>2841</v>
      </c>
      <c r="B197" s="182" t="s">
        <v>6717</v>
      </c>
      <c r="C197" s="181" t="s">
        <v>6718</v>
      </c>
      <c r="D197" s="178">
        <v>4.0999999999999996</v>
      </c>
      <c r="E197" s="181" t="s">
        <v>6450</v>
      </c>
      <c r="F197" s="184">
        <v>40323</v>
      </c>
      <c r="G197" s="181"/>
      <c r="H197" s="181" t="s">
        <v>6451</v>
      </c>
      <c r="I197" s="181" t="str">
        <f>VLOOKUP(LEFT(A197,4),Groups!$A$1:$C$188,3,FALSE)</f>
        <v>Geotechnical Chemistry Testing</v>
      </c>
      <c r="J197" s="181" t="str">
        <f>VLOOKUP(A197,Headings!$C$1:$H$3948,4,FALSE)</f>
        <v>Determinand</v>
      </c>
      <c r="K197" s="181" t="str">
        <f t="shared" si="6"/>
        <v>GCHM_CODE|ACO2</v>
      </c>
      <c r="L197" s="181"/>
    </row>
    <row r="198" spans="1:12" hidden="1" x14ac:dyDescent="0.35">
      <c r="A198" s="181" t="s">
        <v>2841</v>
      </c>
      <c r="B198" s="182" t="s">
        <v>2843</v>
      </c>
      <c r="C198" s="181" t="s">
        <v>6719</v>
      </c>
      <c r="D198" s="178">
        <v>4.0999999999999996</v>
      </c>
      <c r="E198" s="181" t="s">
        <v>6450</v>
      </c>
      <c r="F198" s="184">
        <v>40323</v>
      </c>
      <c r="G198" s="181"/>
      <c r="H198" s="181" t="s">
        <v>6451</v>
      </c>
      <c r="I198" s="181" t="str">
        <f>VLOOKUP(LEFT(A198,4),Groups!$A$1:$C$188,3,FALSE)</f>
        <v>Geotechnical Chemistry Testing</v>
      </c>
      <c r="J198" s="181" t="str">
        <f>VLOOKUP(A198,Headings!$C$1:$H$3948,4,FALSE)</f>
        <v>Determinand</v>
      </c>
      <c r="K198" s="181" t="str">
        <f t="shared" si="6"/>
        <v>GCHM_CODE|AS</v>
      </c>
      <c r="L198" s="181"/>
    </row>
    <row r="199" spans="1:12" hidden="1" x14ac:dyDescent="0.35">
      <c r="A199" s="181" t="s">
        <v>2841</v>
      </c>
      <c r="B199" s="182" t="s">
        <v>6720</v>
      </c>
      <c r="C199" s="181" t="s">
        <v>6721</v>
      </c>
      <c r="D199" s="178">
        <v>4.0999999999999996</v>
      </c>
      <c r="E199" s="181" t="s">
        <v>6450</v>
      </c>
      <c r="F199" s="184">
        <v>42359</v>
      </c>
      <c r="G199" s="181"/>
      <c r="H199" s="181" t="s">
        <v>6451</v>
      </c>
      <c r="I199" s="181" t="str">
        <f>VLOOKUP(LEFT(A199,4),Groups!$A$1:$C$188,3,FALSE)</f>
        <v>Geotechnical Chemistry Testing</v>
      </c>
      <c r="J199" s="181" t="str">
        <f>VLOOKUP(A199,Headings!$C$1:$H$3948,4,FALSE)</f>
        <v>Determinand</v>
      </c>
      <c r="K199" s="181" t="str">
        <f t="shared" si="6"/>
        <v>GCHM_CODE|AS_SO3</v>
      </c>
      <c r="L199" s="181"/>
    </row>
    <row r="200" spans="1:12" hidden="1" x14ac:dyDescent="0.35">
      <c r="A200" s="181" t="s">
        <v>2841</v>
      </c>
      <c r="B200" s="182" t="s">
        <v>6722</v>
      </c>
      <c r="C200" s="181" t="s">
        <v>6723</v>
      </c>
      <c r="D200" s="178">
        <v>4.0999999999999996</v>
      </c>
      <c r="E200" s="181" t="s">
        <v>6450</v>
      </c>
      <c r="F200" s="184">
        <v>40323</v>
      </c>
      <c r="G200" s="181"/>
      <c r="H200" s="181" t="s">
        <v>6451</v>
      </c>
      <c r="I200" s="181" t="str">
        <f>VLOOKUP(LEFT(A200,4),Groups!$A$1:$C$188,3,FALSE)</f>
        <v>Geotechnical Chemistry Testing</v>
      </c>
      <c r="J200" s="181" t="str">
        <f>VLOOKUP(A200,Headings!$C$1:$H$3948,4,FALSE)</f>
        <v>Determinand</v>
      </c>
      <c r="K200" s="181" t="str">
        <f t="shared" si="6"/>
        <v>GCHM_CODE|CACO3</v>
      </c>
      <c r="L200" s="181"/>
    </row>
    <row r="201" spans="1:12" hidden="1" x14ac:dyDescent="0.35">
      <c r="A201" s="181" t="s">
        <v>2841</v>
      </c>
      <c r="B201" s="182" t="s">
        <v>6724</v>
      </c>
      <c r="C201" s="181" t="s">
        <v>6725</v>
      </c>
      <c r="D201" s="178">
        <v>4.0999999999999996</v>
      </c>
      <c r="E201" s="181" t="s">
        <v>6450</v>
      </c>
      <c r="F201" s="184">
        <v>40323</v>
      </c>
      <c r="G201" s="181"/>
      <c r="H201" s="181" t="s">
        <v>6451</v>
      </c>
      <c r="I201" s="181" t="str">
        <f>VLOOKUP(LEFT(A201,4),Groups!$A$1:$C$188,3,FALSE)</f>
        <v>Geotechnical Chemistry Testing</v>
      </c>
      <c r="J201" s="181" t="str">
        <f>VLOOKUP(A201,Headings!$C$1:$H$3948,4,FALSE)</f>
        <v>Determinand</v>
      </c>
      <c r="K201" s="181" t="str">
        <f t="shared" si="6"/>
        <v>GCHM_CODE|CL</v>
      </c>
      <c r="L201" s="181"/>
    </row>
    <row r="202" spans="1:12" hidden="1" x14ac:dyDescent="0.35">
      <c r="A202" s="181" t="s">
        <v>2841</v>
      </c>
      <c r="B202" s="182" t="s">
        <v>6726</v>
      </c>
      <c r="C202" s="181" t="s">
        <v>6727</v>
      </c>
      <c r="D202" s="178">
        <v>4.0999999999999996</v>
      </c>
      <c r="E202" s="181" t="s">
        <v>6450</v>
      </c>
      <c r="F202" s="184">
        <v>40323</v>
      </c>
      <c r="G202" s="181"/>
      <c r="H202" s="181" t="s">
        <v>6451</v>
      </c>
      <c r="I202" s="181" t="str">
        <f>VLOOKUP(LEFT(A202,4),Groups!$A$1:$C$188,3,FALSE)</f>
        <v>Geotechnical Chemistry Testing</v>
      </c>
      <c r="J202" s="181" t="str">
        <f>VLOOKUP(A202,Headings!$C$1:$H$3948,4,FALSE)</f>
        <v>Determinand</v>
      </c>
      <c r="K202" s="181" t="str">
        <f t="shared" si="6"/>
        <v>GCHM_CODE|CO2</v>
      </c>
      <c r="L202" s="181"/>
    </row>
    <row r="203" spans="1:12" hidden="1" x14ac:dyDescent="0.35">
      <c r="A203" s="181" t="s">
        <v>2841</v>
      </c>
      <c r="B203" s="182" t="s">
        <v>6728</v>
      </c>
      <c r="C203" s="181" t="s">
        <v>6729</v>
      </c>
      <c r="D203" s="178">
        <v>4.0999999999999996</v>
      </c>
      <c r="E203" s="181" t="s">
        <v>6450</v>
      </c>
      <c r="F203" s="184">
        <v>44173</v>
      </c>
      <c r="G203" s="181"/>
      <c r="H203" s="181" t="s">
        <v>6451</v>
      </c>
      <c r="I203" s="181" t="str">
        <f>VLOOKUP(LEFT(A203,4),Groups!$A$1:$C$188,3,FALSE)</f>
        <v>Geotechnical Chemistry Testing</v>
      </c>
      <c r="J203" s="181" t="str">
        <f>VLOOKUP(A203,Headings!$C$1:$H$3948,4,FALSE)</f>
        <v>Determinand</v>
      </c>
      <c r="K203" s="181" t="str">
        <f t="shared" si="6"/>
        <v>GCHM_CODE|GWS</v>
      </c>
      <c r="L203" s="181"/>
    </row>
    <row r="204" spans="1:12" hidden="1" x14ac:dyDescent="0.35">
      <c r="A204" s="181" t="s">
        <v>2841</v>
      </c>
      <c r="B204" s="182" t="s">
        <v>6730</v>
      </c>
      <c r="C204" s="181" t="s">
        <v>6731</v>
      </c>
      <c r="D204" s="178">
        <v>4.0999999999999996</v>
      </c>
      <c r="E204" s="181" t="s">
        <v>6450</v>
      </c>
      <c r="F204" s="184">
        <v>40323</v>
      </c>
      <c r="G204" s="181"/>
      <c r="H204" s="181" t="s">
        <v>6451</v>
      </c>
      <c r="I204" s="181" t="str">
        <f>VLOOKUP(LEFT(A204,4),Groups!$A$1:$C$188,3,FALSE)</f>
        <v>Geotechnical Chemistry Testing</v>
      </c>
      <c r="J204" s="181" t="str">
        <f>VLOOKUP(A204,Headings!$C$1:$H$3948,4,FALSE)</f>
        <v>Determinand</v>
      </c>
      <c r="K204" s="181" t="str">
        <f t="shared" si="6"/>
        <v>GCHM_CODE|LOI</v>
      </c>
      <c r="L204" s="181"/>
    </row>
    <row r="205" spans="1:12" hidden="1" x14ac:dyDescent="0.35">
      <c r="A205" s="181" t="s">
        <v>2841</v>
      </c>
      <c r="B205" s="182" t="s">
        <v>6732</v>
      </c>
      <c r="C205" s="181" t="s">
        <v>6733</v>
      </c>
      <c r="D205" s="178">
        <v>4.0999999999999996</v>
      </c>
      <c r="E205" s="181" t="s">
        <v>6450</v>
      </c>
      <c r="F205" s="184">
        <v>44173</v>
      </c>
      <c r="G205" s="181"/>
      <c r="H205" s="181" t="s">
        <v>6451</v>
      </c>
      <c r="I205" s="181" t="str">
        <f>VLOOKUP(LEFT(A205,4),Groups!$A$1:$C$188,3,FALSE)</f>
        <v>Geotechnical Chemistry Testing</v>
      </c>
      <c r="J205" s="181" t="str">
        <f>VLOOKUP(A205,Headings!$C$1:$H$3948,4,FALSE)</f>
        <v>Determinand</v>
      </c>
      <c r="K205" s="181" t="str">
        <f t="shared" si="6"/>
        <v>GCHM_CODE|MSC</v>
      </c>
      <c r="L205" s="181"/>
    </row>
    <row r="206" spans="1:12" hidden="1" x14ac:dyDescent="0.35">
      <c r="A206" s="181" t="s">
        <v>2841</v>
      </c>
      <c r="B206" s="182" t="s">
        <v>6734</v>
      </c>
      <c r="C206" s="181" t="s">
        <v>6735</v>
      </c>
      <c r="D206" s="178">
        <v>4.0999999999999996</v>
      </c>
      <c r="E206" s="181" t="s">
        <v>6450</v>
      </c>
      <c r="F206" s="184">
        <v>40323</v>
      </c>
      <c r="G206" s="181"/>
      <c r="H206" s="181" t="s">
        <v>6451</v>
      </c>
      <c r="I206" s="181" t="str">
        <f>VLOOKUP(LEFT(A206,4),Groups!$A$1:$C$188,3,FALSE)</f>
        <v>Geotechnical Chemistry Testing</v>
      </c>
      <c r="J206" s="181" t="str">
        <f>VLOOKUP(A206,Headings!$C$1:$H$3948,4,FALSE)</f>
        <v>Determinand</v>
      </c>
      <c r="K206" s="181" t="str">
        <f t="shared" si="6"/>
        <v>GCHM_CODE|NH4</v>
      </c>
      <c r="L206" s="181"/>
    </row>
    <row r="207" spans="1:12" hidden="1" x14ac:dyDescent="0.35">
      <c r="A207" s="181" t="s">
        <v>2841</v>
      </c>
      <c r="B207" s="182" t="s">
        <v>6736</v>
      </c>
      <c r="C207" s="181" t="s">
        <v>6737</v>
      </c>
      <c r="D207" s="178">
        <v>4.0999999999999996</v>
      </c>
      <c r="E207" s="181" t="s">
        <v>6450</v>
      </c>
      <c r="F207" s="184">
        <v>40323</v>
      </c>
      <c r="G207" s="181"/>
      <c r="H207" s="181" t="s">
        <v>6451</v>
      </c>
      <c r="I207" s="181" t="str">
        <f>VLOOKUP(LEFT(A207,4),Groups!$A$1:$C$188,3,FALSE)</f>
        <v>Geotechnical Chemistry Testing</v>
      </c>
      <c r="J207" s="181" t="str">
        <f>VLOOKUP(A207,Headings!$C$1:$H$3948,4,FALSE)</f>
        <v>Determinand</v>
      </c>
      <c r="K207" s="181" t="str">
        <f t="shared" si="6"/>
        <v>GCHM_CODE|NO3</v>
      </c>
      <c r="L207" s="181"/>
    </row>
    <row r="208" spans="1:12" hidden="1" x14ac:dyDescent="0.35">
      <c r="A208" s="181" t="s">
        <v>2841</v>
      </c>
      <c r="B208" s="182" t="s">
        <v>6738</v>
      </c>
      <c r="C208" s="181" t="s">
        <v>6739</v>
      </c>
      <c r="D208" s="178">
        <v>4.0999999999999996</v>
      </c>
      <c r="E208" s="181" t="s">
        <v>6450</v>
      </c>
      <c r="F208" s="184">
        <v>40323</v>
      </c>
      <c r="G208" s="181"/>
      <c r="H208" s="181" t="s">
        <v>6451</v>
      </c>
      <c r="I208" s="181" t="str">
        <f>VLOOKUP(LEFT(A208,4),Groups!$A$1:$C$188,3,FALSE)</f>
        <v>Geotechnical Chemistry Testing</v>
      </c>
      <c r="J208" s="181" t="str">
        <f>VLOOKUP(A208,Headings!$C$1:$H$3948,4,FALSE)</f>
        <v>Determinand</v>
      </c>
      <c r="K208" s="181" t="str">
        <f t="shared" si="6"/>
        <v>GCHM_CODE|OGM</v>
      </c>
      <c r="L208" s="181"/>
    </row>
    <row r="209" spans="1:12" hidden="1" x14ac:dyDescent="0.35">
      <c r="A209" s="181" t="s">
        <v>2841</v>
      </c>
      <c r="B209" s="182" t="s">
        <v>6740</v>
      </c>
      <c r="C209" s="181" t="s">
        <v>6741</v>
      </c>
      <c r="D209" s="178">
        <v>4.0999999999999996</v>
      </c>
      <c r="E209" s="181" t="s">
        <v>6450</v>
      </c>
      <c r="F209" s="184">
        <v>43966</v>
      </c>
      <c r="G209" s="181"/>
      <c r="H209" s="181" t="s">
        <v>6451</v>
      </c>
      <c r="I209" s="181" t="str">
        <f>VLOOKUP(LEFT(A209,4),Groups!$A$1:$C$188,3,FALSE)</f>
        <v>Geotechnical Chemistry Testing</v>
      </c>
      <c r="J209" s="181" t="str">
        <f>VLOOKUP(A209,Headings!$C$1:$H$3948,4,FALSE)</f>
        <v>Determinand</v>
      </c>
      <c r="K209" s="181" t="str">
        <f t="shared" si="6"/>
        <v>GCHM_CODE|OS</v>
      </c>
      <c r="L209" s="181"/>
    </row>
    <row r="210" spans="1:12" hidden="1" x14ac:dyDescent="0.35">
      <c r="A210" s="181" t="s">
        <v>2841</v>
      </c>
      <c r="B210" s="182" t="s">
        <v>6694</v>
      </c>
      <c r="C210" s="181" t="s">
        <v>6742</v>
      </c>
      <c r="D210" s="178">
        <v>4.0999999999999996</v>
      </c>
      <c r="E210" s="181" t="s">
        <v>6450</v>
      </c>
      <c r="F210" s="184">
        <v>40323</v>
      </c>
      <c r="G210" s="181"/>
      <c r="H210" s="181" t="s">
        <v>6451</v>
      </c>
      <c r="I210" s="181" t="str">
        <f>VLOOKUP(LEFT(A210,4),Groups!$A$1:$C$188,3,FALSE)</f>
        <v>Geotechnical Chemistry Testing</v>
      </c>
      <c r="J210" s="181" t="str">
        <f>VLOOKUP(A210,Headings!$C$1:$H$3948,4,FALSE)</f>
        <v>Determinand</v>
      </c>
      <c r="K210" s="181" t="str">
        <f t="shared" si="6"/>
        <v>GCHM_CODE|PH</v>
      </c>
      <c r="L210" s="181"/>
    </row>
    <row r="211" spans="1:12" hidden="1" x14ac:dyDescent="0.35">
      <c r="A211" s="181" t="s">
        <v>2841</v>
      </c>
      <c r="B211" s="182" t="s">
        <v>6743</v>
      </c>
      <c r="C211" s="181" t="s">
        <v>6744</v>
      </c>
      <c r="D211" s="178">
        <v>4.0999999999999996</v>
      </c>
      <c r="E211" s="181" t="s">
        <v>6450</v>
      </c>
      <c r="F211" s="184">
        <v>40323</v>
      </c>
      <c r="G211" s="181"/>
      <c r="H211" s="181" t="s">
        <v>6451</v>
      </c>
      <c r="I211" s="181" t="str">
        <f>VLOOKUP(LEFT(A211,4),Groups!$A$1:$C$188,3,FALSE)</f>
        <v>Geotechnical Chemistry Testing</v>
      </c>
      <c r="J211" s="181" t="str">
        <f>VLOOKUP(A211,Headings!$C$1:$H$3948,4,FALSE)</f>
        <v>Determinand</v>
      </c>
      <c r="K211" s="181" t="str">
        <f t="shared" si="6"/>
        <v>GCHM_CODE|REDOX</v>
      </c>
      <c r="L211" s="181"/>
    </row>
    <row r="212" spans="1:12" hidden="1" x14ac:dyDescent="0.35">
      <c r="A212" s="181" t="s">
        <v>2841</v>
      </c>
      <c r="B212" s="182" t="s">
        <v>6745</v>
      </c>
      <c r="C212" s="181" t="s">
        <v>6746</v>
      </c>
      <c r="D212" s="178">
        <v>4.0999999999999996</v>
      </c>
      <c r="E212" s="181" t="s">
        <v>6450</v>
      </c>
      <c r="F212" s="184">
        <v>42447</v>
      </c>
      <c r="G212" s="181"/>
      <c r="H212" s="181" t="s">
        <v>6451</v>
      </c>
      <c r="I212" s="181" t="str">
        <f>VLOOKUP(LEFT(A212,4),Groups!$A$1:$C$188,3,FALSE)</f>
        <v>Geotechnical Chemistry Testing</v>
      </c>
      <c r="J212" s="181" t="str">
        <f>VLOOKUP(A212,Headings!$C$1:$H$3948,4,FALSE)</f>
        <v>Determinand</v>
      </c>
      <c r="K212" s="181" t="str">
        <f t="shared" si="6"/>
        <v>GCHM_CODE|SO3</v>
      </c>
      <c r="L212" s="181"/>
    </row>
    <row r="213" spans="1:12" hidden="1" x14ac:dyDescent="0.35">
      <c r="A213" s="181" t="s">
        <v>2841</v>
      </c>
      <c r="B213" s="182" t="s">
        <v>6747</v>
      </c>
      <c r="C213" s="181" t="s">
        <v>6748</v>
      </c>
      <c r="D213" s="178">
        <v>4.0999999999999996</v>
      </c>
      <c r="E213" s="181" t="s">
        <v>6450</v>
      </c>
      <c r="F213" s="184">
        <v>43762</v>
      </c>
      <c r="G213" s="181"/>
      <c r="H213" s="181" t="s">
        <v>6451</v>
      </c>
      <c r="I213" s="181" t="str">
        <f>VLOOKUP(LEFT(A213,4),Groups!$A$1:$C$188,3,FALSE)</f>
        <v>Geotechnical Chemistry Testing</v>
      </c>
      <c r="J213" s="181" t="str">
        <f>VLOOKUP(A213,Headings!$C$1:$H$3948,4,FALSE)</f>
        <v>Determinand</v>
      </c>
      <c r="K213" s="181" t="str">
        <f t="shared" si="6"/>
        <v>GCHM_CODE|SO4</v>
      </c>
      <c r="L213" s="181"/>
    </row>
    <row r="214" spans="1:12" hidden="1" x14ac:dyDescent="0.35">
      <c r="A214" s="181" t="s">
        <v>2841</v>
      </c>
      <c r="B214" s="182" t="s">
        <v>6749</v>
      </c>
      <c r="C214" s="181" t="s">
        <v>6750</v>
      </c>
      <c r="D214" s="178">
        <v>4.0999999999999996</v>
      </c>
      <c r="E214" s="181" t="s">
        <v>6450</v>
      </c>
      <c r="F214" s="184">
        <v>40323</v>
      </c>
      <c r="G214" s="181"/>
      <c r="H214" s="181" t="s">
        <v>6451</v>
      </c>
      <c r="I214" s="181" t="str">
        <f>VLOOKUP(LEFT(A214,4),Groups!$A$1:$C$188,3,FALSE)</f>
        <v>Geotechnical Chemistry Testing</v>
      </c>
      <c r="J214" s="181" t="str">
        <f>VLOOKUP(A214,Headings!$C$1:$H$3948,4,FALSE)</f>
        <v>Determinand</v>
      </c>
      <c r="K214" s="181" t="str">
        <f t="shared" si="6"/>
        <v>GCHM_CODE|TDS</v>
      </c>
      <c r="L214" s="181"/>
    </row>
    <row r="215" spans="1:12" hidden="1" x14ac:dyDescent="0.35">
      <c r="A215" s="181" t="s">
        <v>2841</v>
      </c>
      <c r="B215" s="182" t="s">
        <v>2464</v>
      </c>
      <c r="C215" s="181" t="s">
        <v>6751</v>
      </c>
      <c r="D215" s="178">
        <v>4.0999999999999996</v>
      </c>
      <c r="E215" s="181" t="s">
        <v>6450</v>
      </c>
      <c r="F215" s="184">
        <v>44173</v>
      </c>
      <c r="G215" s="181"/>
      <c r="H215" s="181" t="s">
        <v>6451</v>
      </c>
      <c r="I215" s="181" t="str">
        <f>VLOOKUP(LEFT(A215,4),Groups!$A$1:$C$188,3,FALSE)</f>
        <v>Geotechnical Chemistry Testing</v>
      </c>
      <c r="J215" s="181" t="str">
        <f>VLOOKUP(A215,Headings!$C$1:$H$3948,4,FALSE)</f>
        <v>Determinand</v>
      </c>
      <c r="K215" s="181" t="str">
        <f t="shared" si="6"/>
        <v>GCHM_CODE|TIC</v>
      </c>
      <c r="L215" s="181"/>
    </row>
    <row r="216" spans="1:12" hidden="1" x14ac:dyDescent="0.35">
      <c r="A216" s="181" t="s">
        <v>2841</v>
      </c>
      <c r="B216" s="182" t="s">
        <v>6752</v>
      </c>
      <c r="C216" s="181" t="s">
        <v>6753</v>
      </c>
      <c r="D216" s="178">
        <v>4.0999999999999996</v>
      </c>
      <c r="E216" s="181" t="s">
        <v>6450</v>
      </c>
      <c r="F216" s="184">
        <v>44173</v>
      </c>
      <c r="G216" s="181"/>
      <c r="H216" s="181" t="s">
        <v>6451</v>
      </c>
      <c r="I216" s="181" t="str">
        <f>VLOOKUP(LEFT(A216,4),Groups!$A$1:$C$188,3,FALSE)</f>
        <v>Geotechnical Chemistry Testing</v>
      </c>
      <c r="J216" s="181" t="str">
        <f>VLOOKUP(A216,Headings!$C$1:$H$3948,4,FALSE)</f>
        <v>Determinand</v>
      </c>
      <c r="K216" s="181" t="str">
        <f t="shared" si="6"/>
        <v>GCHM_CODE|TOC</v>
      </c>
      <c r="L216" s="181"/>
    </row>
    <row r="217" spans="1:12" hidden="1" x14ac:dyDescent="0.35">
      <c r="A217" s="181" t="s">
        <v>2841</v>
      </c>
      <c r="B217" s="182" t="s">
        <v>6754</v>
      </c>
      <c r="C217" s="181" t="s">
        <v>6755</v>
      </c>
      <c r="D217" s="178">
        <v>4.0999999999999996</v>
      </c>
      <c r="E217" s="181" t="s">
        <v>6450</v>
      </c>
      <c r="F217" s="184">
        <v>44173</v>
      </c>
      <c r="G217" s="181"/>
      <c r="H217" s="181" t="s">
        <v>6451</v>
      </c>
      <c r="I217" s="181" t="str">
        <f>VLOOKUP(LEFT(A217,4),Groups!$A$1:$C$188,3,FALSE)</f>
        <v>Geotechnical Chemistry Testing</v>
      </c>
      <c r="J217" s="181" t="str">
        <f>VLOOKUP(A217,Headings!$C$1:$H$3948,4,FALSE)</f>
        <v>Determinand</v>
      </c>
      <c r="K217" s="181" t="str">
        <f t="shared" si="6"/>
        <v>GCHM_CODE|TPS</v>
      </c>
      <c r="L217" s="181"/>
    </row>
    <row r="218" spans="1:12" hidden="1" x14ac:dyDescent="0.35">
      <c r="A218" s="181" t="s">
        <v>2841</v>
      </c>
      <c r="B218" s="182" t="s">
        <v>6756</v>
      </c>
      <c r="C218" s="181" t="s">
        <v>6757</v>
      </c>
      <c r="D218" s="178">
        <v>4.0999999999999996</v>
      </c>
      <c r="E218" s="181" t="s">
        <v>6450</v>
      </c>
      <c r="F218" s="184">
        <v>44173</v>
      </c>
      <c r="G218" s="181"/>
      <c r="H218" s="181" t="s">
        <v>6451</v>
      </c>
      <c r="I218" s="181" t="str">
        <f>VLOOKUP(LEFT(A218,4),Groups!$A$1:$C$188,3,FALSE)</f>
        <v>Geotechnical Chemistry Testing</v>
      </c>
      <c r="J218" s="181" t="str">
        <f>VLOOKUP(A218,Headings!$C$1:$H$3948,4,FALSE)</f>
        <v>Determinand</v>
      </c>
      <c r="K218" s="181" t="str">
        <f t="shared" si="6"/>
        <v>GCHM_CODE|TRS</v>
      </c>
      <c r="L218" s="181"/>
    </row>
    <row r="219" spans="1:12" hidden="1" x14ac:dyDescent="0.35">
      <c r="A219" s="181" t="s">
        <v>2841</v>
      </c>
      <c r="B219" s="182" t="s">
        <v>6758</v>
      </c>
      <c r="C219" s="181" t="s">
        <v>6759</v>
      </c>
      <c r="D219" s="178">
        <v>4.0999999999999996</v>
      </c>
      <c r="E219" s="181" t="s">
        <v>6450</v>
      </c>
      <c r="F219" s="184">
        <v>40323</v>
      </c>
      <c r="G219" s="181"/>
      <c r="H219" s="181" t="s">
        <v>6451</v>
      </c>
      <c r="I219" s="181" t="str">
        <f>VLOOKUP(LEFT(A219,4),Groups!$A$1:$C$188,3,FALSE)</f>
        <v>Geotechnical Chemistry Testing</v>
      </c>
      <c r="J219" s="181" t="str">
        <f>VLOOKUP(A219,Headings!$C$1:$H$3948,4,FALSE)</f>
        <v>Determinand</v>
      </c>
      <c r="K219" s="181" t="str">
        <f t="shared" si="6"/>
        <v>GCHM_CODE|TS</v>
      </c>
      <c r="L219" s="181"/>
    </row>
    <row r="220" spans="1:12" hidden="1" x14ac:dyDescent="0.35">
      <c r="A220" s="181" t="s">
        <v>2841</v>
      </c>
      <c r="B220" s="182" t="s">
        <v>6760</v>
      </c>
      <c r="C220" s="181" t="s">
        <v>6761</v>
      </c>
      <c r="D220" s="178">
        <v>4.0999999999999996</v>
      </c>
      <c r="E220" s="181" t="s">
        <v>6450</v>
      </c>
      <c r="F220" s="184">
        <v>44173</v>
      </c>
      <c r="G220" s="181"/>
      <c r="H220" s="181" t="s">
        <v>6451</v>
      </c>
      <c r="I220" s="181" t="str">
        <f>VLOOKUP(LEFT(A220,4),Groups!$A$1:$C$188,3,FALSE)</f>
        <v>Geotechnical Chemistry Testing</v>
      </c>
      <c r="J220" s="181" t="str">
        <f>VLOOKUP(A220,Headings!$C$1:$H$3948,4,FALSE)</f>
        <v>Determinand</v>
      </c>
      <c r="K220" s="181" t="str">
        <f t="shared" si="6"/>
        <v>GCHM_CODE|WCL</v>
      </c>
      <c r="L220" s="181"/>
    </row>
    <row r="221" spans="1:12" hidden="1" x14ac:dyDescent="0.35">
      <c r="A221" s="181" t="s">
        <v>2841</v>
      </c>
      <c r="B221" s="182" t="s">
        <v>6762</v>
      </c>
      <c r="C221" s="181" t="s">
        <v>6763</v>
      </c>
      <c r="D221" s="178">
        <v>4.0999999999999996</v>
      </c>
      <c r="E221" s="181" t="s">
        <v>6450</v>
      </c>
      <c r="F221" s="184">
        <v>40323</v>
      </c>
      <c r="G221" s="181"/>
      <c r="H221" s="181" t="s">
        <v>6451</v>
      </c>
      <c r="I221" s="181" t="str">
        <f>VLOOKUP(LEFT(A221,4),Groups!$A$1:$C$188,3,FALSE)</f>
        <v>Geotechnical Chemistry Testing</v>
      </c>
      <c r="J221" s="181" t="str">
        <f>VLOOKUP(A221,Headings!$C$1:$H$3948,4,FALSE)</f>
        <v>Determinand</v>
      </c>
      <c r="K221" s="181" t="str">
        <f t="shared" si="6"/>
        <v>GCHM_CODE|WMG</v>
      </c>
      <c r="L221" s="181"/>
    </row>
    <row r="222" spans="1:12" hidden="1" x14ac:dyDescent="0.35">
      <c r="A222" s="181" t="s">
        <v>2841</v>
      </c>
      <c r="B222" s="182" t="s">
        <v>6764</v>
      </c>
      <c r="C222" s="181" t="s">
        <v>6765</v>
      </c>
      <c r="D222" s="178">
        <v>4.0999999999999996</v>
      </c>
      <c r="E222" s="181" t="s">
        <v>6450</v>
      </c>
      <c r="F222" s="184">
        <v>40323</v>
      </c>
      <c r="G222" s="181"/>
      <c r="H222" s="181" t="s">
        <v>6451</v>
      </c>
      <c r="I222" s="181" t="str">
        <f>VLOOKUP(LEFT(A222,4),Groups!$A$1:$C$188,3,FALSE)</f>
        <v>Geotechnical Chemistry Testing</v>
      </c>
      <c r="J222" s="181" t="str">
        <f>VLOOKUP(A222,Headings!$C$1:$H$3948,4,FALSE)</f>
        <v>Determinand</v>
      </c>
      <c r="K222" s="181" t="str">
        <f t="shared" si="6"/>
        <v>GCHM_CODE|WS</v>
      </c>
      <c r="L222" s="181"/>
    </row>
    <row r="223" spans="1:12" hidden="1" x14ac:dyDescent="0.35">
      <c r="A223" s="181" t="s">
        <v>2841</v>
      </c>
      <c r="B223" s="182" t="s">
        <v>6766</v>
      </c>
      <c r="C223" s="181" t="s">
        <v>6767</v>
      </c>
      <c r="D223" s="178">
        <v>4.0999999999999996</v>
      </c>
      <c r="E223" s="181" t="s">
        <v>6450</v>
      </c>
      <c r="F223" s="184">
        <v>42359</v>
      </c>
      <c r="G223" s="181"/>
      <c r="H223" s="181" t="s">
        <v>6451</v>
      </c>
      <c r="I223" s="181" t="str">
        <f>VLOOKUP(LEFT(A223,4),Groups!$A$1:$C$188,3,FALSE)</f>
        <v>Geotechnical Chemistry Testing</v>
      </c>
      <c r="J223" s="181" t="str">
        <f>VLOOKUP(A223,Headings!$C$1:$H$3948,4,FALSE)</f>
        <v>Determinand</v>
      </c>
      <c r="K223" s="181" t="str">
        <f t="shared" si="6"/>
        <v>GCHM_CODE|WS_SO3</v>
      </c>
      <c r="L223" s="181"/>
    </row>
    <row r="224" spans="1:12" hidden="1" x14ac:dyDescent="0.35">
      <c r="A224" s="181" t="s">
        <v>2846</v>
      </c>
      <c r="B224" s="182" t="s">
        <v>2847</v>
      </c>
      <c r="C224" s="181" t="s">
        <v>6768</v>
      </c>
      <c r="D224" s="178">
        <v>4.0999999999999996</v>
      </c>
      <c r="E224" s="181" t="s">
        <v>6450</v>
      </c>
      <c r="F224" s="184">
        <v>40323</v>
      </c>
      <c r="G224" s="181"/>
      <c r="H224" s="181" t="s">
        <v>6451</v>
      </c>
      <c r="I224" s="181" t="str">
        <f>VLOOKUP(LEFT(A224,4),Groups!$A$1:$C$188,3,FALSE)</f>
        <v>Geotechnical Chemistry Testing</v>
      </c>
      <c r="J224" s="181" t="str">
        <f>VLOOKUP(A224,Headings!$C$1:$H$3948,4,FALSE)</f>
        <v>Test type</v>
      </c>
      <c r="K224" s="181" t="str">
        <f t="shared" si="6"/>
        <v>GCHM_TTYP|SOLID_21 WATER EXTRACT</v>
      </c>
      <c r="L224" s="181"/>
    </row>
    <row r="225" spans="1:12" hidden="1" x14ac:dyDescent="0.35">
      <c r="A225" s="181" t="s">
        <v>2846</v>
      </c>
      <c r="B225" s="182" t="s">
        <v>6769</v>
      </c>
      <c r="C225" s="181" t="s">
        <v>6770</v>
      </c>
      <c r="D225" s="178">
        <v>4.0999999999999996</v>
      </c>
      <c r="E225" s="181" t="s">
        <v>6450</v>
      </c>
      <c r="F225" s="184">
        <v>40323</v>
      </c>
      <c r="G225" s="181"/>
      <c r="H225" s="181" t="s">
        <v>6451</v>
      </c>
      <c r="I225" s="181" t="str">
        <f>VLOOKUP(LEFT(A225,4),Groups!$A$1:$C$188,3,FALSE)</f>
        <v>Geotechnical Chemistry Testing</v>
      </c>
      <c r="J225" s="181" t="str">
        <f>VLOOKUP(A225,Headings!$C$1:$H$3948,4,FALSE)</f>
        <v>Test type</v>
      </c>
      <c r="K225" s="181" t="str">
        <f t="shared" si="6"/>
        <v>GCHM_TTYP|SOLID_ACID EXTRACT</v>
      </c>
      <c r="L225" s="181"/>
    </row>
    <row r="226" spans="1:12" hidden="1" x14ac:dyDescent="0.35">
      <c r="A226" s="181" t="s">
        <v>2846</v>
      </c>
      <c r="B226" s="182" t="s">
        <v>6771</v>
      </c>
      <c r="C226" s="181" t="s">
        <v>6772</v>
      </c>
      <c r="D226" s="178">
        <v>4.0999999999999996</v>
      </c>
      <c r="E226" s="181" t="s">
        <v>6450</v>
      </c>
      <c r="F226" s="184">
        <v>40323</v>
      </c>
      <c r="G226" s="181"/>
      <c r="H226" s="181" t="s">
        <v>6451</v>
      </c>
      <c r="I226" s="181" t="str">
        <f>VLOOKUP(LEFT(A226,4),Groups!$A$1:$C$188,3,FALSE)</f>
        <v>Geotechnical Chemistry Testing</v>
      </c>
      <c r="J226" s="181" t="str">
        <f>VLOOKUP(A226,Headings!$C$1:$H$3948,4,FALSE)</f>
        <v>Test type</v>
      </c>
      <c r="K226" s="181" t="str">
        <f t="shared" si="6"/>
        <v>GCHM_TTYP|SOLID_TOTAL</v>
      </c>
      <c r="L226" s="181"/>
    </row>
    <row r="227" spans="1:12" hidden="1" x14ac:dyDescent="0.35">
      <c r="A227" s="181" t="s">
        <v>2846</v>
      </c>
      <c r="B227" s="182" t="s">
        <v>6773</v>
      </c>
      <c r="C227" s="181" t="s">
        <v>2781</v>
      </c>
      <c r="D227" s="178">
        <v>4.0999999999999996</v>
      </c>
      <c r="E227" s="181" t="s">
        <v>6450</v>
      </c>
      <c r="F227" s="184">
        <v>40323</v>
      </c>
      <c r="G227" s="181"/>
      <c r="H227" s="181" t="s">
        <v>6451</v>
      </c>
      <c r="I227" s="181" t="str">
        <f>VLOOKUP(LEFT(A227,4),Groups!$A$1:$C$188,3,FALSE)</f>
        <v>Geotechnical Chemistry Testing</v>
      </c>
      <c r="J227" s="181" t="str">
        <f>VLOOKUP(A227,Headings!$C$1:$H$3948,4,FALSE)</f>
        <v>Test type</v>
      </c>
      <c r="K227" s="181" t="str">
        <f t="shared" si="6"/>
        <v>GCHM_TTYP|WATER</v>
      </c>
      <c r="L227" s="181"/>
    </row>
    <row r="228" spans="1:12" hidden="1" x14ac:dyDescent="0.35">
      <c r="A228" s="88" t="s">
        <v>2904</v>
      </c>
      <c r="B228" s="88" t="s">
        <v>22</v>
      </c>
      <c r="C228" s="89" t="s">
        <v>22</v>
      </c>
      <c r="D228" s="89" t="s">
        <v>473</v>
      </c>
      <c r="E228" s="181"/>
      <c r="F228" s="181"/>
      <c r="G228" s="183"/>
      <c r="H228" s="181"/>
      <c r="I228" s="181"/>
      <c r="J228" s="181"/>
      <c r="K228" s="181" t="str">
        <f t="shared" si="6"/>
        <v>GEOL_C|-</v>
      </c>
      <c r="L228" s="181"/>
    </row>
    <row r="229" spans="1:12" hidden="1" x14ac:dyDescent="0.35">
      <c r="A229" s="88" t="s">
        <v>2904</v>
      </c>
      <c r="B229" s="88" t="s">
        <v>6511</v>
      </c>
      <c r="C229" s="89" t="s">
        <v>6511</v>
      </c>
      <c r="D229" s="89" t="s">
        <v>473</v>
      </c>
      <c r="E229" s="181"/>
      <c r="F229" s="181"/>
      <c r="G229" s="183"/>
      <c r="H229" s="181"/>
      <c r="I229" s="181"/>
      <c r="J229" s="181"/>
      <c r="K229" s="181" t="str">
        <f t="shared" si="6"/>
        <v>GEOL_C|,</v>
      </c>
      <c r="L229" s="181"/>
    </row>
    <row r="230" spans="1:12" hidden="1" x14ac:dyDescent="0.35">
      <c r="A230" s="88" t="s">
        <v>2904</v>
      </c>
      <c r="B230" s="88" t="s">
        <v>6774</v>
      </c>
      <c r="C230" s="89" t="s">
        <v>6774</v>
      </c>
      <c r="D230" s="89" t="s">
        <v>473</v>
      </c>
      <c r="E230" s="181"/>
      <c r="F230" s="181"/>
      <c r="G230" s="183"/>
      <c r="H230" s="181"/>
      <c r="I230" s="181"/>
      <c r="J230" s="181"/>
      <c r="K230" s="181" t="str">
        <f t="shared" si="6"/>
        <v>GEOL_C|.</v>
      </c>
      <c r="L230" s="181"/>
    </row>
    <row r="231" spans="1:12" hidden="1" x14ac:dyDescent="0.35">
      <c r="A231" s="88" t="s">
        <v>2904</v>
      </c>
      <c r="B231" s="88" t="s">
        <v>6512</v>
      </c>
      <c r="C231" s="89" t="s">
        <v>6512</v>
      </c>
      <c r="D231" s="89" t="s">
        <v>473</v>
      </c>
      <c r="E231" s="181"/>
      <c r="F231" s="181"/>
      <c r="G231" s="183"/>
      <c r="H231" s="181"/>
      <c r="I231" s="181"/>
      <c r="J231" s="181"/>
      <c r="K231" s="181" t="str">
        <f t="shared" si="6"/>
        <v>GEOL_C|/</v>
      </c>
      <c r="L231" s="181"/>
    </row>
    <row r="232" spans="1:12" hidden="1" x14ac:dyDescent="0.35">
      <c r="A232" s="88" t="s">
        <v>2904</v>
      </c>
      <c r="B232" s="88" t="s">
        <v>665</v>
      </c>
      <c r="C232" s="89" t="s">
        <v>665</v>
      </c>
      <c r="D232" s="89" t="s">
        <v>473</v>
      </c>
      <c r="E232" s="181"/>
      <c r="F232" s="181"/>
      <c r="G232" s="183"/>
      <c r="H232" s="181"/>
      <c r="I232" s="181"/>
      <c r="J232" s="181"/>
      <c r="K232" s="181" t="str">
        <f t="shared" si="6"/>
        <v>GEOL_C|and</v>
      </c>
      <c r="L232" s="181"/>
    </row>
    <row r="233" spans="1:12" hidden="1" x14ac:dyDescent="0.35">
      <c r="A233" s="88" t="s">
        <v>2904</v>
      </c>
      <c r="B233" s="88" t="s">
        <v>6036</v>
      </c>
      <c r="C233" s="89" t="s">
        <v>6036</v>
      </c>
      <c r="D233" s="89" t="s">
        <v>473</v>
      </c>
      <c r="E233" s="181"/>
      <c r="F233" s="181"/>
      <c r="G233" s="183"/>
      <c r="H233" s="181"/>
      <c r="I233" s="181"/>
      <c r="J233" s="181"/>
      <c r="K233" s="181" t="str">
        <f t="shared" si="6"/>
        <v>GEOL_C|becoming</v>
      </c>
      <c r="L233" s="181"/>
    </row>
    <row r="234" spans="1:12" hidden="1" x14ac:dyDescent="0.35">
      <c r="A234" s="88" t="s">
        <v>2904</v>
      </c>
      <c r="B234" s="88" t="s">
        <v>6775</v>
      </c>
      <c r="C234" s="89" t="s">
        <v>6775</v>
      </c>
      <c r="D234" s="89" t="s">
        <v>473</v>
      </c>
      <c r="E234" s="181"/>
      <c r="F234" s="181"/>
      <c r="G234" s="183"/>
      <c r="H234" s="181"/>
      <c r="I234" s="181"/>
      <c r="J234" s="181"/>
      <c r="K234" s="181" t="str">
        <f t="shared" si="6"/>
        <v>GEOL_C|beds</v>
      </c>
      <c r="L234" s="181"/>
    </row>
    <row r="235" spans="1:12" hidden="1" x14ac:dyDescent="0.35">
      <c r="A235" s="88" t="s">
        <v>2904</v>
      </c>
      <c r="B235" s="88" t="s">
        <v>6776</v>
      </c>
      <c r="C235" s="89" t="s">
        <v>6776</v>
      </c>
      <c r="D235" s="89" t="s">
        <v>473</v>
      </c>
      <c r="E235" s="181"/>
      <c r="F235" s="181"/>
      <c r="G235" s="183"/>
      <c r="H235" s="181"/>
      <c r="I235" s="181"/>
      <c r="J235" s="181"/>
      <c r="K235" s="181" t="str">
        <f t="shared" si="6"/>
        <v>GEOL_C|black</v>
      </c>
      <c r="L235" s="181"/>
    </row>
    <row r="236" spans="1:12" hidden="1" x14ac:dyDescent="0.35">
      <c r="A236" s="88" t="s">
        <v>2904</v>
      </c>
      <c r="B236" s="88" t="s">
        <v>6777</v>
      </c>
      <c r="C236" s="89" t="s">
        <v>6777</v>
      </c>
      <c r="D236" s="89" t="s">
        <v>473</v>
      </c>
      <c r="E236" s="181"/>
      <c r="F236" s="181"/>
      <c r="G236" s="183"/>
      <c r="H236" s="181"/>
      <c r="I236" s="181"/>
      <c r="J236" s="181"/>
      <c r="K236" s="181" t="str">
        <f t="shared" si="6"/>
        <v>GEOL_C|blue</v>
      </c>
      <c r="L236" s="181"/>
    </row>
    <row r="237" spans="1:12" hidden="1" x14ac:dyDescent="0.35">
      <c r="A237" s="88" t="s">
        <v>2904</v>
      </c>
      <c r="B237" s="88" t="s">
        <v>6778</v>
      </c>
      <c r="C237" s="89" t="s">
        <v>6778</v>
      </c>
      <c r="D237" s="89" t="s">
        <v>473</v>
      </c>
      <c r="E237" s="181"/>
      <c r="F237" s="181"/>
      <c r="G237" s="183"/>
      <c r="H237" s="181"/>
      <c r="I237" s="181"/>
      <c r="J237" s="181"/>
      <c r="K237" s="181" t="str">
        <f t="shared" si="6"/>
        <v>GEOL_C|brown</v>
      </c>
      <c r="L237" s="181"/>
    </row>
    <row r="238" spans="1:12" hidden="1" x14ac:dyDescent="0.35">
      <c r="A238" s="88" t="s">
        <v>2904</v>
      </c>
      <c r="B238" s="88" t="s">
        <v>6779</v>
      </c>
      <c r="C238" s="89" t="s">
        <v>6779</v>
      </c>
      <c r="D238" s="89" t="s">
        <v>473</v>
      </c>
      <c r="E238" s="181"/>
      <c r="F238" s="181"/>
      <c r="G238" s="183"/>
      <c r="H238" s="181"/>
      <c r="I238" s="181"/>
      <c r="J238" s="181"/>
      <c r="K238" s="181" t="str">
        <f t="shared" si="6"/>
        <v>GEOL_C|cream</v>
      </c>
      <c r="L238" s="181"/>
    </row>
    <row r="239" spans="1:12" hidden="1" x14ac:dyDescent="0.35">
      <c r="A239" s="88" t="s">
        <v>2904</v>
      </c>
      <c r="B239" s="88" t="s">
        <v>6780</v>
      </c>
      <c r="C239" s="89" t="s">
        <v>6780</v>
      </c>
      <c r="D239" s="89" t="s">
        <v>473</v>
      </c>
      <c r="E239" s="181"/>
      <c r="F239" s="181"/>
      <c r="G239" s="183"/>
      <c r="H239" s="181"/>
      <c r="I239" s="181"/>
      <c r="J239" s="181"/>
      <c r="K239" s="181" t="str">
        <f t="shared" si="6"/>
        <v>GEOL_C|dark</v>
      </c>
      <c r="L239" s="181"/>
    </row>
    <row r="240" spans="1:12" hidden="1" x14ac:dyDescent="0.35">
      <c r="A240" s="88" t="s">
        <v>2904</v>
      </c>
      <c r="B240" s="88" t="s">
        <v>6781</v>
      </c>
      <c r="C240" s="89" t="s">
        <v>6781</v>
      </c>
      <c r="D240" s="89" t="s">
        <v>473</v>
      </c>
      <c r="E240" s="181"/>
      <c r="F240" s="181"/>
      <c r="G240" s="183"/>
      <c r="H240" s="181"/>
      <c r="I240" s="181"/>
      <c r="J240" s="181"/>
      <c r="K240" s="181" t="str">
        <f t="shared" si="6"/>
        <v>GEOL_C|green</v>
      </c>
      <c r="L240" s="181"/>
    </row>
    <row r="241" spans="1:12" hidden="1" x14ac:dyDescent="0.35">
      <c r="A241" s="88" t="s">
        <v>2904</v>
      </c>
      <c r="B241" s="88" t="s">
        <v>709</v>
      </c>
      <c r="C241" s="89" t="s">
        <v>709</v>
      </c>
      <c r="D241" s="89" t="s">
        <v>473</v>
      </c>
      <c r="E241" s="181"/>
      <c r="F241" s="181"/>
      <c r="G241" s="183"/>
      <c r="H241" s="181"/>
      <c r="I241" s="181"/>
      <c r="J241" s="181"/>
      <c r="K241" s="181" t="str">
        <f t="shared" si="6"/>
        <v>GEOL_C|grey</v>
      </c>
      <c r="L241" s="181"/>
    </row>
    <row r="242" spans="1:12" hidden="1" x14ac:dyDescent="0.35">
      <c r="A242" s="88" t="s">
        <v>2904</v>
      </c>
      <c r="B242" s="88" t="s">
        <v>6782</v>
      </c>
      <c r="C242" s="89" t="s">
        <v>6782</v>
      </c>
      <c r="D242" s="89" t="s">
        <v>473</v>
      </c>
      <c r="E242" s="181"/>
      <c r="F242" s="181"/>
      <c r="G242" s="183"/>
      <c r="H242" s="181"/>
      <c r="I242" s="181"/>
      <c r="J242" s="181"/>
      <c r="K242" s="181" t="str">
        <f t="shared" si="6"/>
        <v>GEOL_C|in</v>
      </c>
      <c r="L242" s="181"/>
    </row>
    <row r="243" spans="1:12" hidden="1" x14ac:dyDescent="0.35">
      <c r="A243" s="88" t="s">
        <v>2904</v>
      </c>
      <c r="B243" s="88" t="s">
        <v>6783</v>
      </c>
      <c r="C243" s="89" t="s">
        <v>6783</v>
      </c>
      <c r="D243" s="89" t="s">
        <v>473</v>
      </c>
      <c r="E243" s="181"/>
      <c r="F243" s="181"/>
      <c r="G243" s="183"/>
      <c r="H243" s="181"/>
      <c r="I243" s="181"/>
      <c r="J243" s="181"/>
      <c r="K243" s="181" t="str">
        <f t="shared" si="6"/>
        <v>GEOL_C|mottled</v>
      </c>
      <c r="L243" s="181"/>
    </row>
    <row r="244" spans="1:12" hidden="1" x14ac:dyDescent="0.35">
      <c r="A244" s="88" t="s">
        <v>2904</v>
      </c>
      <c r="B244" s="88" t="s">
        <v>6784</v>
      </c>
      <c r="C244" s="89" t="s">
        <v>6784</v>
      </c>
      <c r="D244" s="89" t="s">
        <v>473</v>
      </c>
      <c r="E244" s="181"/>
      <c r="F244" s="181"/>
      <c r="G244" s="183"/>
      <c r="H244" s="181"/>
      <c r="I244" s="181"/>
      <c r="J244" s="181"/>
      <c r="K244" s="181" t="str">
        <f t="shared" si="6"/>
        <v>GEOL_C|of</v>
      </c>
      <c r="L244" s="181"/>
    </row>
    <row r="245" spans="1:12" hidden="1" x14ac:dyDescent="0.35">
      <c r="A245" s="88" t="s">
        <v>2904</v>
      </c>
      <c r="B245" s="88" t="s">
        <v>6785</v>
      </c>
      <c r="C245" s="89" t="s">
        <v>6785</v>
      </c>
      <c r="D245" s="89" t="s">
        <v>473</v>
      </c>
      <c r="E245" s="181"/>
      <c r="F245" s="181"/>
      <c r="G245" s="183"/>
      <c r="H245" s="181"/>
      <c r="I245" s="181"/>
      <c r="J245" s="181"/>
      <c r="K245" s="181" t="str">
        <f t="shared" si="6"/>
        <v>GEOL_C|off</v>
      </c>
      <c r="L245" s="181"/>
    </row>
    <row r="246" spans="1:12" hidden="1" x14ac:dyDescent="0.35">
      <c r="A246" s="88" t="s">
        <v>2904</v>
      </c>
      <c r="B246" s="88" t="s">
        <v>6786</v>
      </c>
      <c r="C246" s="89" t="s">
        <v>6786</v>
      </c>
      <c r="D246" s="89" t="s">
        <v>473</v>
      </c>
      <c r="E246" s="181"/>
      <c r="F246" s="181"/>
      <c r="G246" s="183"/>
      <c r="H246" s="181"/>
      <c r="I246" s="181"/>
      <c r="J246" s="181"/>
      <c r="K246" s="181" t="str">
        <f t="shared" si="6"/>
        <v>GEOL_C|olive</v>
      </c>
      <c r="L246" s="181"/>
    </row>
    <row r="247" spans="1:12" hidden="1" x14ac:dyDescent="0.35">
      <c r="A247" s="88" t="s">
        <v>2904</v>
      </c>
      <c r="B247" s="88" t="s">
        <v>6513</v>
      </c>
      <c r="C247" s="89" t="s">
        <v>6513</v>
      </c>
      <c r="D247" s="89" t="s">
        <v>473</v>
      </c>
      <c r="E247" s="181"/>
      <c r="F247" s="181"/>
      <c r="G247" s="183"/>
      <c r="H247" s="181"/>
      <c r="I247" s="181"/>
      <c r="J247" s="181"/>
      <c r="K247" s="181" t="str">
        <f t="shared" si="6"/>
        <v>GEOL_C|or</v>
      </c>
      <c r="L247" s="181"/>
    </row>
    <row r="248" spans="1:12" hidden="1" x14ac:dyDescent="0.35">
      <c r="A248" s="88" t="s">
        <v>2904</v>
      </c>
      <c r="B248" s="88" t="s">
        <v>6787</v>
      </c>
      <c r="C248" s="89" t="s">
        <v>6787</v>
      </c>
      <c r="D248" s="89" t="s">
        <v>473</v>
      </c>
      <c r="E248" s="181"/>
      <c r="F248" s="181"/>
      <c r="G248" s="183"/>
      <c r="H248" s="181"/>
      <c r="I248" s="181"/>
      <c r="J248" s="181"/>
      <c r="K248" s="181" t="str">
        <f t="shared" si="6"/>
        <v>GEOL_C|orange</v>
      </c>
      <c r="L248" s="181"/>
    </row>
    <row r="249" spans="1:12" hidden="1" x14ac:dyDescent="0.35">
      <c r="A249" s="88" t="s">
        <v>2904</v>
      </c>
      <c r="B249" s="88" t="s">
        <v>6788</v>
      </c>
      <c r="C249" s="89" t="s">
        <v>6788</v>
      </c>
      <c r="D249" s="89" t="s">
        <v>473</v>
      </c>
      <c r="E249" s="181"/>
      <c r="F249" s="181"/>
      <c r="G249" s="183"/>
      <c r="H249" s="181"/>
      <c r="I249" s="181"/>
      <c r="J249" s="181"/>
      <c r="K249" s="181" t="str">
        <f t="shared" si="6"/>
        <v>GEOL_C|pale</v>
      </c>
      <c r="L249" s="181"/>
    </row>
    <row r="250" spans="1:12" hidden="1" x14ac:dyDescent="0.35">
      <c r="A250" s="88" t="s">
        <v>2904</v>
      </c>
      <c r="B250" s="88" t="s">
        <v>6789</v>
      </c>
      <c r="C250" s="89" t="s">
        <v>6789</v>
      </c>
      <c r="D250" s="89" t="s">
        <v>473</v>
      </c>
      <c r="E250" s="181"/>
      <c r="F250" s="181"/>
      <c r="G250" s="183"/>
      <c r="H250" s="181"/>
      <c r="I250" s="181"/>
      <c r="J250" s="181"/>
      <c r="K250" s="181" t="str">
        <f t="shared" si="6"/>
        <v>GEOL_C|patches</v>
      </c>
      <c r="L250" s="181"/>
    </row>
    <row r="251" spans="1:12" hidden="1" x14ac:dyDescent="0.35">
      <c r="A251" s="88" t="s">
        <v>2904</v>
      </c>
      <c r="B251" s="88" t="s">
        <v>6790</v>
      </c>
      <c r="C251" s="89" t="s">
        <v>6790</v>
      </c>
      <c r="D251" s="89" t="s">
        <v>473</v>
      </c>
      <c r="E251" s="181"/>
      <c r="F251" s="181"/>
      <c r="G251" s="183"/>
      <c r="H251" s="181"/>
      <c r="I251" s="181"/>
      <c r="J251" s="181"/>
      <c r="K251" s="181" t="str">
        <f t="shared" si="6"/>
        <v>GEOL_C|pink</v>
      </c>
      <c r="L251" s="181"/>
    </row>
    <row r="252" spans="1:12" hidden="1" x14ac:dyDescent="0.35">
      <c r="A252" s="88" t="s">
        <v>2904</v>
      </c>
      <c r="B252" s="88" t="s">
        <v>6791</v>
      </c>
      <c r="C252" s="89" t="s">
        <v>6791</v>
      </c>
      <c r="D252" s="89" t="s">
        <v>473</v>
      </c>
      <c r="E252" s="181"/>
      <c r="F252" s="181"/>
      <c r="G252" s="183"/>
      <c r="H252" s="181"/>
      <c r="I252" s="181"/>
      <c r="J252" s="181"/>
      <c r="K252" s="181" t="str">
        <f t="shared" si="6"/>
        <v>GEOL_C|places</v>
      </c>
      <c r="L252" s="181"/>
    </row>
    <row r="253" spans="1:12" hidden="1" x14ac:dyDescent="0.35">
      <c r="A253" s="88" t="s">
        <v>2904</v>
      </c>
      <c r="B253" s="88" t="s">
        <v>657</v>
      </c>
      <c r="C253" s="89" t="s">
        <v>657</v>
      </c>
      <c r="D253" s="89" t="s">
        <v>473</v>
      </c>
      <c r="E253" s="181"/>
      <c r="F253" s="181"/>
      <c r="G253" s="183"/>
      <c r="H253" s="181"/>
      <c r="I253" s="181"/>
      <c r="J253" s="181"/>
      <c r="K253" s="181" t="str">
        <f t="shared" si="6"/>
        <v>GEOL_C|possibly</v>
      </c>
      <c r="L253" s="181"/>
    </row>
    <row r="254" spans="1:12" hidden="1" x14ac:dyDescent="0.35">
      <c r="A254" s="88" t="s">
        <v>2904</v>
      </c>
      <c r="B254" s="88" t="s">
        <v>6792</v>
      </c>
      <c r="C254" s="89" t="s">
        <v>6792</v>
      </c>
      <c r="D254" s="89" t="s">
        <v>473</v>
      </c>
      <c r="E254" s="181"/>
      <c r="F254" s="181"/>
      <c r="G254" s="183"/>
      <c r="H254" s="181"/>
      <c r="I254" s="181"/>
      <c r="J254" s="181"/>
      <c r="K254" s="181" t="str">
        <f t="shared" si="6"/>
        <v>GEOL_C|purple</v>
      </c>
      <c r="L254" s="181"/>
    </row>
    <row r="255" spans="1:12" hidden="1" x14ac:dyDescent="0.35">
      <c r="A255" s="88" t="s">
        <v>2904</v>
      </c>
      <c r="B255" s="88" t="s">
        <v>6793</v>
      </c>
      <c r="C255" s="89" t="s">
        <v>6793</v>
      </c>
      <c r="D255" s="89" t="s">
        <v>473</v>
      </c>
      <c r="E255" s="181"/>
      <c r="F255" s="181"/>
      <c r="G255" s="183"/>
      <c r="H255" s="181"/>
      <c r="I255" s="181"/>
      <c r="J255" s="181"/>
      <c r="K255" s="181" t="str">
        <f t="shared" si="6"/>
        <v>GEOL_C|red</v>
      </c>
      <c r="L255" s="181"/>
    </row>
    <row r="256" spans="1:12" hidden="1" x14ac:dyDescent="0.35">
      <c r="A256" s="88" t="s">
        <v>2904</v>
      </c>
      <c r="B256" s="88" t="s">
        <v>6794</v>
      </c>
      <c r="C256" s="89" t="s">
        <v>6794</v>
      </c>
      <c r="D256" s="89" t="s">
        <v>473</v>
      </c>
      <c r="E256" s="181"/>
      <c r="F256" s="181"/>
      <c r="G256" s="183"/>
      <c r="H256" s="181"/>
      <c r="I256" s="181"/>
      <c r="J256" s="181"/>
      <c r="K256" s="181" t="str">
        <f t="shared" si="6"/>
        <v>GEOL_C|some</v>
      </c>
      <c r="L256" s="181"/>
    </row>
    <row r="257" spans="1:12" hidden="1" x14ac:dyDescent="0.35">
      <c r="A257" s="88" t="s">
        <v>2904</v>
      </c>
      <c r="B257" s="88" t="s">
        <v>718</v>
      </c>
      <c r="C257" s="89" t="s">
        <v>718</v>
      </c>
      <c r="D257" s="89" t="s">
        <v>473</v>
      </c>
      <c r="E257" s="181"/>
      <c r="F257" s="181"/>
      <c r="G257" s="183"/>
      <c r="H257" s="181"/>
      <c r="I257" s="181"/>
      <c r="J257" s="181"/>
      <c r="K257" s="181" t="str">
        <f t="shared" si="6"/>
        <v>GEOL_C|to</v>
      </c>
      <c r="L257" s="181"/>
    </row>
    <row r="258" spans="1:12" hidden="1" x14ac:dyDescent="0.35">
      <c r="A258" s="88" t="s">
        <v>2904</v>
      </c>
      <c r="B258" s="88" t="s">
        <v>6795</v>
      </c>
      <c r="C258" s="89" t="s">
        <v>6795</v>
      </c>
      <c r="D258" s="89" t="s">
        <v>473</v>
      </c>
      <c r="E258" s="181"/>
      <c r="F258" s="181"/>
      <c r="G258" s="183"/>
      <c r="H258" s="181"/>
      <c r="I258" s="181"/>
      <c r="J258" s="181"/>
      <c r="K258" s="181" t="str">
        <f t="shared" ref="K258:K321" si="7">A258&amp;"|"&amp;B258</f>
        <v>GEOL_C|very</v>
      </c>
      <c r="L258" s="181"/>
    </row>
    <row r="259" spans="1:12" hidden="1" x14ac:dyDescent="0.35">
      <c r="A259" s="88" t="s">
        <v>2904</v>
      </c>
      <c r="B259" s="88" t="s">
        <v>6796</v>
      </c>
      <c r="C259" s="89" t="s">
        <v>6796</v>
      </c>
      <c r="D259" s="89" t="s">
        <v>473</v>
      </c>
      <c r="E259" s="181"/>
      <c r="F259" s="181"/>
      <c r="G259" s="183"/>
      <c r="H259" s="181"/>
      <c r="I259" s="181"/>
      <c r="J259" s="181"/>
      <c r="K259" s="181" t="str">
        <f t="shared" si="7"/>
        <v>GEOL_C|white</v>
      </c>
      <c r="L259" s="181"/>
    </row>
    <row r="260" spans="1:12" hidden="1" x14ac:dyDescent="0.35">
      <c r="A260" s="88" t="s">
        <v>2904</v>
      </c>
      <c r="B260" s="88" t="s">
        <v>777</v>
      </c>
      <c r="C260" s="89" t="s">
        <v>777</v>
      </c>
      <c r="D260" s="89" t="s">
        <v>473</v>
      </c>
      <c r="E260" s="181"/>
      <c r="F260" s="181"/>
      <c r="G260" s="183"/>
      <c r="H260" s="181"/>
      <c r="I260" s="181"/>
      <c r="J260" s="181"/>
      <c r="K260" s="181" t="str">
        <f t="shared" si="7"/>
        <v>GEOL_C|with</v>
      </c>
      <c r="L260" s="181"/>
    </row>
    <row r="261" spans="1:12" hidden="1" x14ac:dyDescent="0.35">
      <c r="A261" s="88" t="s">
        <v>2904</v>
      </c>
      <c r="B261" s="88" t="s">
        <v>6797</v>
      </c>
      <c r="C261" s="89" t="s">
        <v>6797</v>
      </c>
      <c r="D261" s="89" t="s">
        <v>473</v>
      </c>
      <c r="E261" s="181"/>
      <c r="F261" s="181"/>
      <c r="G261" s="183"/>
      <c r="H261" s="181"/>
      <c r="I261" s="181"/>
      <c r="J261" s="181"/>
      <c r="K261" s="181" t="str">
        <f t="shared" si="7"/>
        <v>GEOL_C|yellow</v>
      </c>
      <c r="L261" s="181"/>
    </row>
    <row r="262" spans="1:12" hidden="1" x14ac:dyDescent="0.35">
      <c r="A262" s="88" t="s">
        <v>2904</v>
      </c>
      <c r="B262" s="88" t="s">
        <v>6798</v>
      </c>
      <c r="C262" s="89" t="s">
        <v>6798</v>
      </c>
      <c r="D262" s="89" t="s">
        <v>473</v>
      </c>
      <c r="E262" s="181"/>
      <c r="F262" s="181"/>
      <c r="G262" s="183"/>
      <c r="H262" s="181"/>
      <c r="I262" s="181"/>
      <c r="J262" s="181"/>
      <c r="K262" s="181" t="str">
        <f t="shared" si="7"/>
        <v>GEOL_C|zones</v>
      </c>
      <c r="L262" s="181"/>
    </row>
    <row r="263" spans="1:12" hidden="1" x14ac:dyDescent="0.35">
      <c r="A263" s="181" t="s">
        <v>617</v>
      </c>
      <c r="B263" s="182">
        <v>101</v>
      </c>
      <c r="C263" s="181" t="s">
        <v>6799</v>
      </c>
      <c r="D263" s="178">
        <v>4.0999999999999996</v>
      </c>
      <c r="E263" s="181" t="s">
        <v>6450</v>
      </c>
      <c r="F263" s="184">
        <v>40323</v>
      </c>
      <c r="G263" s="181"/>
      <c r="H263" s="181" t="s">
        <v>6451</v>
      </c>
      <c r="I263" s="181" t="str">
        <f>VLOOKUP(LEFT(A263,4),Groups!$A$1:$C$188,3,FALSE)</f>
        <v>Field Geological Descriptions</v>
      </c>
      <c r="J263" s="181" t="str">
        <f>VLOOKUP(A263,Headings!$C$1:$H$3948,4,FALSE)</f>
        <v>Legend code</v>
      </c>
      <c r="K263" s="181" t="str">
        <f t="shared" si="7"/>
        <v>GEOL_LEG|101</v>
      </c>
      <c r="L263" s="181"/>
    </row>
    <row r="264" spans="1:12" hidden="1" x14ac:dyDescent="0.35">
      <c r="A264" s="181" t="s">
        <v>617</v>
      </c>
      <c r="B264" s="182">
        <v>102</v>
      </c>
      <c r="C264" s="181" t="s">
        <v>6800</v>
      </c>
      <c r="D264" s="178">
        <v>4.0999999999999996</v>
      </c>
      <c r="E264" s="181" t="s">
        <v>6450</v>
      </c>
      <c r="F264" s="184">
        <v>40323</v>
      </c>
      <c r="G264" s="181"/>
      <c r="H264" s="181" t="s">
        <v>6451</v>
      </c>
      <c r="I264" s="181" t="str">
        <f>VLOOKUP(LEFT(A264,4),Groups!$A$1:$C$188,3,FALSE)</f>
        <v>Field Geological Descriptions</v>
      </c>
      <c r="J264" s="181" t="str">
        <f>VLOOKUP(A264,Headings!$C$1:$H$3948,4,FALSE)</f>
        <v>Legend code</v>
      </c>
      <c r="K264" s="181" t="str">
        <f t="shared" si="7"/>
        <v>GEOL_LEG|102</v>
      </c>
      <c r="L264" s="181"/>
    </row>
    <row r="265" spans="1:12" hidden="1" x14ac:dyDescent="0.35">
      <c r="A265" s="181" t="s">
        <v>617</v>
      </c>
      <c r="B265" s="182">
        <v>103</v>
      </c>
      <c r="C265" s="181" t="s">
        <v>6801</v>
      </c>
      <c r="D265" s="178">
        <v>4.0999999999999996</v>
      </c>
      <c r="E265" s="181" t="s">
        <v>6450</v>
      </c>
      <c r="F265" s="184">
        <v>40323</v>
      </c>
      <c r="G265" s="181"/>
      <c r="H265" s="181" t="s">
        <v>6451</v>
      </c>
      <c r="I265" s="181" t="str">
        <f>VLOOKUP(LEFT(A265,4),Groups!$A$1:$C$188,3,FALSE)</f>
        <v>Field Geological Descriptions</v>
      </c>
      <c r="J265" s="181" t="str">
        <f>VLOOKUP(A265,Headings!$C$1:$H$3948,4,FALSE)</f>
        <v>Legend code</v>
      </c>
      <c r="K265" s="181" t="str">
        <f t="shared" si="7"/>
        <v>GEOL_LEG|103</v>
      </c>
      <c r="L265" s="181"/>
    </row>
    <row r="266" spans="1:12" hidden="1" x14ac:dyDescent="0.35">
      <c r="A266" s="181" t="s">
        <v>617</v>
      </c>
      <c r="B266" s="182">
        <v>104</v>
      </c>
      <c r="C266" s="181" t="s">
        <v>6802</v>
      </c>
      <c r="D266" s="178">
        <v>4.0999999999999996</v>
      </c>
      <c r="E266" s="181" t="s">
        <v>6450</v>
      </c>
      <c r="F266" s="184">
        <v>40323</v>
      </c>
      <c r="G266" s="181"/>
      <c r="H266" s="181" t="s">
        <v>6451</v>
      </c>
      <c r="I266" s="181" t="str">
        <f>VLOOKUP(LEFT(A266,4),Groups!$A$1:$C$188,3,FALSE)</f>
        <v>Field Geological Descriptions</v>
      </c>
      <c r="J266" s="181" t="str">
        <f>VLOOKUP(A266,Headings!$C$1:$H$3948,4,FALSE)</f>
        <v>Legend code</v>
      </c>
      <c r="K266" s="181" t="str">
        <f t="shared" si="7"/>
        <v>GEOL_LEG|104</v>
      </c>
      <c r="L266" s="181"/>
    </row>
    <row r="267" spans="1:12" hidden="1" x14ac:dyDescent="0.35">
      <c r="A267" s="181" t="s">
        <v>617</v>
      </c>
      <c r="B267" s="182">
        <v>105</v>
      </c>
      <c r="C267" s="181" t="s">
        <v>6803</v>
      </c>
      <c r="D267" s="178">
        <v>4.0999999999999996</v>
      </c>
      <c r="E267" s="181" t="s">
        <v>6450</v>
      </c>
      <c r="F267" s="184">
        <v>42507</v>
      </c>
      <c r="G267" s="181"/>
      <c r="H267" s="181" t="s">
        <v>6451</v>
      </c>
      <c r="I267" s="181" t="str">
        <f>VLOOKUP(LEFT(A267,4),Groups!$A$1:$C$188,3,FALSE)</f>
        <v>Field Geological Descriptions</v>
      </c>
      <c r="J267" s="181" t="str">
        <f>VLOOKUP(A267,Headings!$C$1:$H$3948,4,FALSE)</f>
        <v>Legend code</v>
      </c>
      <c r="K267" s="181" t="str">
        <f t="shared" si="7"/>
        <v>GEOL_LEG|105</v>
      </c>
      <c r="L267" s="181"/>
    </row>
    <row r="268" spans="1:12" hidden="1" x14ac:dyDescent="0.35">
      <c r="A268" s="181" t="s">
        <v>617</v>
      </c>
      <c r="B268" s="182">
        <v>201</v>
      </c>
      <c r="C268" s="181" t="s">
        <v>1790</v>
      </c>
      <c r="D268" s="178">
        <v>4.0999999999999996</v>
      </c>
      <c r="E268" s="181" t="s">
        <v>6450</v>
      </c>
      <c r="F268" s="184">
        <v>40323</v>
      </c>
      <c r="G268" s="181"/>
      <c r="H268" s="181" t="s">
        <v>6451</v>
      </c>
      <c r="I268" s="181" t="str">
        <f>VLOOKUP(LEFT(A268,4),Groups!$A$1:$C$188,3,FALSE)</f>
        <v>Field Geological Descriptions</v>
      </c>
      <c r="J268" s="181" t="str">
        <f>VLOOKUP(A268,Headings!$C$1:$H$3948,4,FALSE)</f>
        <v>Legend code</v>
      </c>
      <c r="K268" s="181" t="str">
        <f t="shared" si="7"/>
        <v>GEOL_LEG|201</v>
      </c>
      <c r="L268" s="181"/>
    </row>
    <row r="269" spans="1:12" hidden="1" x14ac:dyDescent="0.35">
      <c r="A269" s="181" t="s">
        <v>617</v>
      </c>
      <c r="B269" s="182">
        <v>202</v>
      </c>
      <c r="C269" s="181" t="s">
        <v>6804</v>
      </c>
      <c r="D269" s="178">
        <v>4.0999999999999996</v>
      </c>
      <c r="E269" s="181" t="s">
        <v>6450</v>
      </c>
      <c r="F269" s="184">
        <v>40323</v>
      </c>
      <c r="G269" s="181"/>
      <c r="H269" s="181" t="s">
        <v>6451</v>
      </c>
      <c r="I269" s="181" t="str">
        <f>VLOOKUP(LEFT(A269,4),Groups!$A$1:$C$188,3,FALSE)</f>
        <v>Field Geological Descriptions</v>
      </c>
      <c r="J269" s="181" t="str">
        <f>VLOOKUP(A269,Headings!$C$1:$H$3948,4,FALSE)</f>
        <v>Legend code</v>
      </c>
      <c r="K269" s="181" t="str">
        <f t="shared" si="7"/>
        <v>GEOL_LEG|202</v>
      </c>
      <c r="L269" s="181"/>
    </row>
    <row r="270" spans="1:12" hidden="1" x14ac:dyDescent="0.35">
      <c r="A270" s="181" t="s">
        <v>617</v>
      </c>
      <c r="B270" s="182">
        <v>203</v>
      </c>
      <c r="C270" s="181" t="s">
        <v>6805</v>
      </c>
      <c r="D270" s="178">
        <v>4.0999999999999996</v>
      </c>
      <c r="E270" s="181" t="s">
        <v>6450</v>
      </c>
      <c r="F270" s="184">
        <v>40323</v>
      </c>
      <c r="G270" s="181"/>
      <c r="H270" s="181" t="s">
        <v>6451</v>
      </c>
      <c r="I270" s="181" t="str">
        <f>VLOOKUP(LEFT(A270,4),Groups!$A$1:$C$188,3,FALSE)</f>
        <v>Field Geological Descriptions</v>
      </c>
      <c r="J270" s="181" t="str">
        <f>VLOOKUP(A270,Headings!$C$1:$H$3948,4,FALSE)</f>
        <v>Legend code</v>
      </c>
      <c r="K270" s="181" t="str">
        <f t="shared" si="7"/>
        <v>GEOL_LEG|203</v>
      </c>
      <c r="L270" s="181"/>
    </row>
    <row r="271" spans="1:12" hidden="1" x14ac:dyDescent="0.35">
      <c r="A271" s="181" t="s">
        <v>617</v>
      </c>
      <c r="B271" s="182">
        <v>204</v>
      </c>
      <c r="C271" s="181" t="s">
        <v>6806</v>
      </c>
      <c r="D271" s="178">
        <v>4.0999999999999996</v>
      </c>
      <c r="E271" s="181" t="s">
        <v>6450</v>
      </c>
      <c r="F271" s="184">
        <v>40323</v>
      </c>
      <c r="G271" s="181"/>
      <c r="H271" s="181" t="s">
        <v>6451</v>
      </c>
      <c r="I271" s="181" t="str">
        <f>VLOOKUP(LEFT(A271,4),Groups!$A$1:$C$188,3,FALSE)</f>
        <v>Field Geological Descriptions</v>
      </c>
      <c r="J271" s="181" t="str">
        <f>VLOOKUP(A271,Headings!$C$1:$H$3948,4,FALSE)</f>
        <v>Legend code</v>
      </c>
      <c r="K271" s="181" t="str">
        <f t="shared" si="7"/>
        <v>GEOL_LEG|204</v>
      </c>
      <c r="L271" s="181"/>
    </row>
    <row r="272" spans="1:12" hidden="1" x14ac:dyDescent="0.35">
      <c r="A272" s="181" t="s">
        <v>617</v>
      </c>
      <c r="B272" s="182">
        <v>205</v>
      </c>
      <c r="C272" s="181" t="s">
        <v>6807</v>
      </c>
      <c r="D272" s="178">
        <v>4.0999999999999996</v>
      </c>
      <c r="E272" s="181" t="s">
        <v>6450</v>
      </c>
      <c r="F272" s="184">
        <v>40323</v>
      </c>
      <c r="G272" s="181"/>
      <c r="H272" s="181" t="s">
        <v>6451</v>
      </c>
      <c r="I272" s="181" t="str">
        <f>VLOOKUP(LEFT(A272,4),Groups!$A$1:$C$188,3,FALSE)</f>
        <v>Field Geological Descriptions</v>
      </c>
      <c r="J272" s="181" t="str">
        <f>VLOOKUP(A272,Headings!$C$1:$H$3948,4,FALSE)</f>
        <v>Legend code</v>
      </c>
      <c r="K272" s="181" t="str">
        <f t="shared" si="7"/>
        <v>GEOL_LEG|205</v>
      </c>
      <c r="L272" s="181"/>
    </row>
    <row r="273" spans="1:12" hidden="1" x14ac:dyDescent="0.35">
      <c r="A273" s="181" t="s">
        <v>617</v>
      </c>
      <c r="B273" s="182">
        <v>206</v>
      </c>
      <c r="C273" s="181" t="s">
        <v>6808</v>
      </c>
      <c r="D273" s="178">
        <v>4.0999999999999996</v>
      </c>
      <c r="E273" s="181" t="s">
        <v>6450</v>
      </c>
      <c r="F273" s="184">
        <v>40323</v>
      </c>
      <c r="G273" s="181"/>
      <c r="H273" s="181" t="s">
        <v>6451</v>
      </c>
      <c r="I273" s="181" t="str">
        <f>VLOOKUP(LEFT(A273,4),Groups!$A$1:$C$188,3,FALSE)</f>
        <v>Field Geological Descriptions</v>
      </c>
      <c r="J273" s="181" t="str">
        <f>VLOOKUP(A273,Headings!$C$1:$H$3948,4,FALSE)</f>
        <v>Legend code</v>
      </c>
      <c r="K273" s="181" t="str">
        <f t="shared" si="7"/>
        <v>GEOL_LEG|206</v>
      </c>
      <c r="L273" s="181"/>
    </row>
    <row r="274" spans="1:12" hidden="1" x14ac:dyDescent="0.35">
      <c r="A274" s="181" t="s">
        <v>617</v>
      </c>
      <c r="B274" s="182">
        <v>207</v>
      </c>
      <c r="C274" s="181" t="s">
        <v>6809</v>
      </c>
      <c r="D274" s="178">
        <v>4.0999999999999996</v>
      </c>
      <c r="E274" s="181" t="s">
        <v>6450</v>
      </c>
      <c r="F274" s="184">
        <v>40323</v>
      </c>
      <c r="G274" s="181"/>
      <c r="H274" s="181" t="s">
        <v>6451</v>
      </c>
      <c r="I274" s="181" t="str">
        <f>VLOOKUP(LEFT(A274,4),Groups!$A$1:$C$188,3,FALSE)</f>
        <v>Field Geological Descriptions</v>
      </c>
      <c r="J274" s="181" t="str">
        <f>VLOOKUP(A274,Headings!$C$1:$H$3948,4,FALSE)</f>
        <v>Legend code</v>
      </c>
      <c r="K274" s="181" t="str">
        <f t="shared" si="7"/>
        <v>GEOL_LEG|207</v>
      </c>
      <c r="L274" s="181"/>
    </row>
    <row r="275" spans="1:12" hidden="1" x14ac:dyDescent="0.35">
      <c r="A275" s="181" t="s">
        <v>617</v>
      </c>
      <c r="B275" s="182">
        <v>208</v>
      </c>
      <c r="C275" s="181" t="s">
        <v>6810</v>
      </c>
      <c r="D275" s="178">
        <v>4.0999999999999996</v>
      </c>
      <c r="E275" s="181" t="s">
        <v>6450</v>
      </c>
      <c r="F275" s="184">
        <v>40323</v>
      </c>
      <c r="G275" s="181"/>
      <c r="H275" s="181" t="s">
        <v>6451</v>
      </c>
      <c r="I275" s="181" t="str">
        <f>VLOOKUP(LEFT(A275,4),Groups!$A$1:$C$188,3,FALSE)</f>
        <v>Field Geological Descriptions</v>
      </c>
      <c r="J275" s="181" t="str">
        <f>VLOOKUP(A275,Headings!$C$1:$H$3948,4,FALSE)</f>
        <v>Legend code</v>
      </c>
      <c r="K275" s="181" t="str">
        <f t="shared" si="7"/>
        <v>GEOL_LEG|208</v>
      </c>
      <c r="L275" s="181"/>
    </row>
    <row r="276" spans="1:12" hidden="1" x14ac:dyDescent="0.35">
      <c r="A276" s="181" t="s">
        <v>617</v>
      </c>
      <c r="B276" s="182">
        <v>209</v>
      </c>
      <c r="C276" s="181" t="s">
        <v>6811</v>
      </c>
      <c r="D276" s="178">
        <v>4.0999999999999996</v>
      </c>
      <c r="E276" s="181" t="s">
        <v>6450</v>
      </c>
      <c r="F276" s="184">
        <v>40323</v>
      </c>
      <c r="G276" s="181"/>
      <c r="H276" s="181" t="s">
        <v>6451</v>
      </c>
      <c r="I276" s="181" t="str">
        <f>VLOOKUP(LEFT(A276,4),Groups!$A$1:$C$188,3,FALSE)</f>
        <v>Field Geological Descriptions</v>
      </c>
      <c r="J276" s="181" t="str">
        <f>VLOOKUP(A276,Headings!$C$1:$H$3948,4,FALSE)</f>
        <v>Legend code</v>
      </c>
      <c r="K276" s="181" t="str">
        <f t="shared" si="7"/>
        <v>GEOL_LEG|209</v>
      </c>
      <c r="L276" s="181"/>
    </row>
    <row r="277" spans="1:12" hidden="1" x14ac:dyDescent="0.35">
      <c r="A277" s="181" t="s">
        <v>617</v>
      </c>
      <c r="B277" s="182">
        <v>210</v>
      </c>
      <c r="C277" s="181" t="s">
        <v>6812</v>
      </c>
      <c r="D277" s="178">
        <v>4.0999999999999996</v>
      </c>
      <c r="E277" s="181" t="s">
        <v>6450</v>
      </c>
      <c r="F277" s="184">
        <v>40323</v>
      </c>
      <c r="G277" s="181"/>
      <c r="H277" s="181" t="s">
        <v>6451</v>
      </c>
      <c r="I277" s="181" t="str">
        <f>VLOOKUP(LEFT(A277,4),Groups!$A$1:$C$188,3,FALSE)</f>
        <v>Field Geological Descriptions</v>
      </c>
      <c r="J277" s="181" t="str">
        <f>VLOOKUP(A277,Headings!$C$1:$H$3948,4,FALSE)</f>
        <v>Legend code</v>
      </c>
      <c r="K277" s="181" t="str">
        <f t="shared" si="7"/>
        <v>GEOL_LEG|210</v>
      </c>
      <c r="L277" s="181"/>
    </row>
    <row r="278" spans="1:12" hidden="1" x14ac:dyDescent="0.35">
      <c r="A278" s="181" t="s">
        <v>617</v>
      </c>
      <c r="B278" s="182">
        <v>211</v>
      </c>
      <c r="C278" s="181" t="s">
        <v>6813</v>
      </c>
      <c r="D278" s="178">
        <v>4.0999999999999996</v>
      </c>
      <c r="E278" s="181" t="s">
        <v>6450</v>
      </c>
      <c r="F278" s="184">
        <v>40323</v>
      </c>
      <c r="G278" s="181"/>
      <c r="H278" s="181" t="s">
        <v>6451</v>
      </c>
      <c r="I278" s="181" t="str">
        <f>VLOOKUP(LEFT(A278,4),Groups!$A$1:$C$188,3,FALSE)</f>
        <v>Field Geological Descriptions</v>
      </c>
      <c r="J278" s="181" t="str">
        <f>VLOOKUP(A278,Headings!$C$1:$H$3948,4,FALSE)</f>
        <v>Legend code</v>
      </c>
      <c r="K278" s="181" t="str">
        <f t="shared" si="7"/>
        <v>GEOL_LEG|211</v>
      </c>
      <c r="L278" s="181"/>
    </row>
    <row r="279" spans="1:12" hidden="1" x14ac:dyDescent="0.35">
      <c r="A279" s="181" t="s">
        <v>617</v>
      </c>
      <c r="B279" s="182">
        <v>212</v>
      </c>
      <c r="C279" s="181" t="s">
        <v>6814</v>
      </c>
      <c r="D279" s="178">
        <v>4.0999999999999996</v>
      </c>
      <c r="E279" s="181" t="s">
        <v>6450</v>
      </c>
      <c r="F279" s="184">
        <v>40323</v>
      </c>
      <c r="G279" s="181"/>
      <c r="H279" s="181" t="s">
        <v>6451</v>
      </c>
      <c r="I279" s="181" t="str">
        <f>VLOOKUP(LEFT(A279,4),Groups!$A$1:$C$188,3,FALSE)</f>
        <v>Field Geological Descriptions</v>
      </c>
      <c r="J279" s="181" t="str">
        <f>VLOOKUP(A279,Headings!$C$1:$H$3948,4,FALSE)</f>
        <v>Legend code</v>
      </c>
      <c r="K279" s="181" t="str">
        <f t="shared" si="7"/>
        <v>GEOL_LEG|212</v>
      </c>
      <c r="L279" s="181"/>
    </row>
    <row r="280" spans="1:12" hidden="1" x14ac:dyDescent="0.35">
      <c r="A280" s="181" t="s">
        <v>617</v>
      </c>
      <c r="B280" s="182">
        <v>213</v>
      </c>
      <c r="C280" s="181" t="s">
        <v>6815</v>
      </c>
      <c r="D280" s="178">
        <v>4.0999999999999996</v>
      </c>
      <c r="E280" s="181" t="s">
        <v>6450</v>
      </c>
      <c r="F280" s="184">
        <v>40323</v>
      </c>
      <c r="G280" s="181"/>
      <c r="H280" s="181" t="s">
        <v>6451</v>
      </c>
      <c r="I280" s="181" t="str">
        <f>VLOOKUP(LEFT(A280,4),Groups!$A$1:$C$188,3,FALSE)</f>
        <v>Field Geological Descriptions</v>
      </c>
      <c r="J280" s="181" t="str">
        <f>VLOOKUP(A280,Headings!$C$1:$H$3948,4,FALSE)</f>
        <v>Legend code</v>
      </c>
      <c r="K280" s="181" t="str">
        <f t="shared" si="7"/>
        <v>GEOL_LEG|213</v>
      </c>
      <c r="L280" s="181"/>
    </row>
    <row r="281" spans="1:12" hidden="1" x14ac:dyDescent="0.35">
      <c r="A281" s="181" t="s">
        <v>617</v>
      </c>
      <c r="B281" s="182">
        <v>214</v>
      </c>
      <c r="C281" s="181" t="s">
        <v>6816</v>
      </c>
      <c r="D281" s="178">
        <v>4.0999999999999996</v>
      </c>
      <c r="E281" s="181" t="s">
        <v>6450</v>
      </c>
      <c r="F281" s="184">
        <v>40323</v>
      </c>
      <c r="G281" s="181"/>
      <c r="H281" s="181" t="s">
        <v>6451</v>
      </c>
      <c r="I281" s="181" t="str">
        <f>VLOOKUP(LEFT(A281,4),Groups!$A$1:$C$188,3,FALSE)</f>
        <v>Field Geological Descriptions</v>
      </c>
      <c r="J281" s="181" t="str">
        <f>VLOOKUP(A281,Headings!$C$1:$H$3948,4,FALSE)</f>
        <v>Legend code</v>
      </c>
      <c r="K281" s="181" t="str">
        <f t="shared" si="7"/>
        <v>GEOL_LEG|214</v>
      </c>
      <c r="L281" s="181"/>
    </row>
    <row r="282" spans="1:12" hidden="1" x14ac:dyDescent="0.35">
      <c r="A282" s="181" t="s">
        <v>617</v>
      </c>
      <c r="B282" s="182">
        <v>215</v>
      </c>
      <c r="C282" s="181" t="s">
        <v>6817</v>
      </c>
      <c r="D282" s="178">
        <v>4.0999999999999996</v>
      </c>
      <c r="E282" s="181" t="s">
        <v>6450</v>
      </c>
      <c r="F282" s="184">
        <v>40323</v>
      </c>
      <c r="G282" s="181"/>
      <c r="H282" s="181" t="s">
        <v>6451</v>
      </c>
      <c r="I282" s="181" t="str">
        <f>VLOOKUP(LEFT(A282,4),Groups!$A$1:$C$188,3,FALSE)</f>
        <v>Field Geological Descriptions</v>
      </c>
      <c r="J282" s="181" t="str">
        <f>VLOOKUP(A282,Headings!$C$1:$H$3948,4,FALSE)</f>
        <v>Legend code</v>
      </c>
      <c r="K282" s="181" t="str">
        <f t="shared" si="7"/>
        <v>GEOL_LEG|215</v>
      </c>
      <c r="L282" s="181"/>
    </row>
    <row r="283" spans="1:12" hidden="1" x14ac:dyDescent="0.35">
      <c r="A283" s="181" t="s">
        <v>617</v>
      </c>
      <c r="B283" s="182">
        <v>216</v>
      </c>
      <c r="C283" s="181" t="s">
        <v>6818</v>
      </c>
      <c r="D283" s="178">
        <v>4.0999999999999996</v>
      </c>
      <c r="E283" s="181" t="s">
        <v>6450</v>
      </c>
      <c r="F283" s="184">
        <v>40323</v>
      </c>
      <c r="G283" s="181"/>
      <c r="H283" s="181" t="s">
        <v>6451</v>
      </c>
      <c r="I283" s="181" t="str">
        <f>VLOOKUP(LEFT(A283,4),Groups!$A$1:$C$188,3,FALSE)</f>
        <v>Field Geological Descriptions</v>
      </c>
      <c r="J283" s="181" t="str">
        <f>VLOOKUP(A283,Headings!$C$1:$H$3948,4,FALSE)</f>
        <v>Legend code</v>
      </c>
      <c r="K283" s="181" t="str">
        <f t="shared" si="7"/>
        <v>GEOL_LEG|216</v>
      </c>
      <c r="L283" s="181"/>
    </row>
    <row r="284" spans="1:12" hidden="1" x14ac:dyDescent="0.35">
      <c r="A284" s="181" t="s">
        <v>617</v>
      </c>
      <c r="B284" s="182">
        <v>217</v>
      </c>
      <c r="C284" s="181" t="s">
        <v>6819</v>
      </c>
      <c r="D284" s="178">
        <v>4.0999999999999996</v>
      </c>
      <c r="E284" s="181" t="s">
        <v>6450</v>
      </c>
      <c r="F284" s="184">
        <v>40323</v>
      </c>
      <c r="G284" s="181"/>
      <c r="H284" s="181" t="s">
        <v>6451</v>
      </c>
      <c r="I284" s="181" t="str">
        <f>VLOOKUP(LEFT(A284,4),Groups!$A$1:$C$188,3,FALSE)</f>
        <v>Field Geological Descriptions</v>
      </c>
      <c r="J284" s="181" t="str">
        <f>VLOOKUP(A284,Headings!$C$1:$H$3948,4,FALSE)</f>
        <v>Legend code</v>
      </c>
      <c r="K284" s="181" t="str">
        <f t="shared" si="7"/>
        <v>GEOL_LEG|217</v>
      </c>
      <c r="L284" s="181"/>
    </row>
    <row r="285" spans="1:12" hidden="1" x14ac:dyDescent="0.35">
      <c r="A285" s="181" t="s">
        <v>617</v>
      </c>
      <c r="B285" s="182">
        <v>218</v>
      </c>
      <c r="C285" s="181" t="s">
        <v>6820</v>
      </c>
      <c r="D285" s="178">
        <v>4.0999999999999996</v>
      </c>
      <c r="E285" s="181" t="s">
        <v>6450</v>
      </c>
      <c r="F285" s="184">
        <v>40323</v>
      </c>
      <c r="G285" s="181"/>
      <c r="H285" s="181" t="s">
        <v>6451</v>
      </c>
      <c r="I285" s="181" t="str">
        <f>VLOOKUP(LEFT(A285,4),Groups!$A$1:$C$188,3,FALSE)</f>
        <v>Field Geological Descriptions</v>
      </c>
      <c r="J285" s="181" t="str">
        <f>VLOOKUP(A285,Headings!$C$1:$H$3948,4,FALSE)</f>
        <v>Legend code</v>
      </c>
      <c r="K285" s="181" t="str">
        <f t="shared" si="7"/>
        <v>GEOL_LEG|218</v>
      </c>
      <c r="L285" s="181"/>
    </row>
    <row r="286" spans="1:12" hidden="1" x14ac:dyDescent="0.35">
      <c r="A286" s="181" t="s">
        <v>617</v>
      </c>
      <c r="B286" s="182">
        <v>219</v>
      </c>
      <c r="C286" s="181" t="s">
        <v>6821</v>
      </c>
      <c r="D286" s="178">
        <v>4.0999999999999996</v>
      </c>
      <c r="E286" s="181" t="s">
        <v>6450</v>
      </c>
      <c r="F286" s="184">
        <v>40323</v>
      </c>
      <c r="G286" s="181"/>
      <c r="H286" s="181" t="s">
        <v>6451</v>
      </c>
      <c r="I286" s="181" t="str">
        <f>VLOOKUP(LEFT(A286,4),Groups!$A$1:$C$188,3,FALSE)</f>
        <v>Field Geological Descriptions</v>
      </c>
      <c r="J286" s="181" t="str">
        <f>VLOOKUP(A286,Headings!$C$1:$H$3948,4,FALSE)</f>
        <v>Legend code</v>
      </c>
      <c r="K286" s="181" t="str">
        <f t="shared" si="7"/>
        <v>GEOL_LEG|219</v>
      </c>
      <c r="L286" s="181"/>
    </row>
    <row r="287" spans="1:12" hidden="1" x14ac:dyDescent="0.35">
      <c r="A287" s="181" t="s">
        <v>617</v>
      </c>
      <c r="B287" s="182">
        <v>220</v>
      </c>
      <c r="C287" s="181" t="s">
        <v>6822</v>
      </c>
      <c r="D287" s="178">
        <v>4.0999999999999996</v>
      </c>
      <c r="E287" s="181" t="s">
        <v>6450</v>
      </c>
      <c r="F287" s="184">
        <v>40323</v>
      </c>
      <c r="G287" s="181"/>
      <c r="H287" s="181" t="s">
        <v>6451</v>
      </c>
      <c r="I287" s="181" t="str">
        <f>VLOOKUP(LEFT(A287,4),Groups!$A$1:$C$188,3,FALSE)</f>
        <v>Field Geological Descriptions</v>
      </c>
      <c r="J287" s="181" t="str">
        <f>VLOOKUP(A287,Headings!$C$1:$H$3948,4,FALSE)</f>
        <v>Legend code</v>
      </c>
      <c r="K287" s="181" t="str">
        <f t="shared" si="7"/>
        <v>GEOL_LEG|220</v>
      </c>
      <c r="L287" s="181"/>
    </row>
    <row r="288" spans="1:12" hidden="1" x14ac:dyDescent="0.35">
      <c r="A288" s="181" t="s">
        <v>617</v>
      </c>
      <c r="B288" s="182">
        <v>222</v>
      </c>
      <c r="C288" s="181" t="s">
        <v>6823</v>
      </c>
      <c r="D288" s="178">
        <v>4.0999999999999996</v>
      </c>
      <c r="E288" s="181" t="s">
        <v>6450</v>
      </c>
      <c r="F288" s="184">
        <v>40323</v>
      </c>
      <c r="G288" s="181"/>
      <c r="H288" s="181" t="s">
        <v>6451</v>
      </c>
      <c r="I288" s="181" t="str">
        <f>VLOOKUP(LEFT(A288,4),Groups!$A$1:$C$188,3,FALSE)</f>
        <v>Field Geological Descriptions</v>
      </c>
      <c r="J288" s="181" t="str">
        <f>VLOOKUP(A288,Headings!$C$1:$H$3948,4,FALSE)</f>
        <v>Legend code</v>
      </c>
      <c r="K288" s="181" t="str">
        <f t="shared" si="7"/>
        <v>GEOL_LEG|222</v>
      </c>
      <c r="L288" s="181"/>
    </row>
    <row r="289" spans="1:12" hidden="1" x14ac:dyDescent="0.35">
      <c r="A289" s="181" t="s">
        <v>617</v>
      </c>
      <c r="B289" s="182">
        <v>223</v>
      </c>
      <c r="C289" s="181" t="s">
        <v>6824</v>
      </c>
      <c r="D289" s="178">
        <v>4.0999999999999996</v>
      </c>
      <c r="E289" s="181" t="s">
        <v>6450</v>
      </c>
      <c r="F289" s="184">
        <v>40323</v>
      </c>
      <c r="G289" s="181"/>
      <c r="H289" s="181" t="s">
        <v>6451</v>
      </c>
      <c r="I289" s="181" t="str">
        <f>VLOOKUP(LEFT(A289,4),Groups!$A$1:$C$188,3,FALSE)</f>
        <v>Field Geological Descriptions</v>
      </c>
      <c r="J289" s="181" t="str">
        <f>VLOOKUP(A289,Headings!$C$1:$H$3948,4,FALSE)</f>
        <v>Legend code</v>
      </c>
      <c r="K289" s="181" t="str">
        <f t="shared" si="7"/>
        <v>GEOL_LEG|223</v>
      </c>
      <c r="L289" s="181"/>
    </row>
    <row r="290" spans="1:12" hidden="1" x14ac:dyDescent="0.35">
      <c r="A290" s="181" t="s">
        <v>617</v>
      </c>
      <c r="B290" s="182">
        <v>224</v>
      </c>
      <c r="C290" s="181" t="s">
        <v>6825</v>
      </c>
      <c r="D290" s="178">
        <v>4.0999999999999996</v>
      </c>
      <c r="E290" s="181" t="s">
        <v>6450</v>
      </c>
      <c r="F290" s="184">
        <v>40323</v>
      </c>
      <c r="G290" s="181"/>
      <c r="H290" s="181" t="s">
        <v>6451</v>
      </c>
      <c r="I290" s="181" t="str">
        <f>VLOOKUP(LEFT(A290,4),Groups!$A$1:$C$188,3,FALSE)</f>
        <v>Field Geological Descriptions</v>
      </c>
      <c r="J290" s="181" t="str">
        <f>VLOOKUP(A290,Headings!$C$1:$H$3948,4,FALSE)</f>
        <v>Legend code</v>
      </c>
      <c r="K290" s="181" t="str">
        <f t="shared" si="7"/>
        <v>GEOL_LEG|224</v>
      </c>
      <c r="L290" s="181"/>
    </row>
    <row r="291" spans="1:12" hidden="1" x14ac:dyDescent="0.35">
      <c r="A291" s="181" t="s">
        <v>617</v>
      </c>
      <c r="B291" s="182">
        <v>225</v>
      </c>
      <c r="C291" s="181" t="s">
        <v>6826</v>
      </c>
      <c r="D291" s="178">
        <v>4.0999999999999996</v>
      </c>
      <c r="E291" s="181" t="s">
        <v>6450</v>
      </c>
      <c r="F291" s="184">
        <v>40323</v>
      </c>
      <c r="G291" s="181"/>
      <c r="H291" s="181" t="s">
        <v>6451</v>
      </c>
      <c r="I291" s="181" t="str">
        <f>VLOOKUP(LEFT(A291,4),Groups!$A$1:$C$188,3,FALSE)</f>
        <v>Field Geological Descriptions</v>
      </c>
      <c r="J291" s="181" t="str">
        <f>VLOOKUP(A291,Headings!$C$1:$H$3948,4,FALSE)</f>
        <v>Legend code</v>
      </c>
      <c r="K291" s="181" t="str">
        <f t="shared" si="7"/>
        <v>GEOL_LEG|225</v>
      </c>
      <c r="L291" s="181"/>
    </row>
    <row r="292" spans="1:12" hidden="1" x14ac:dyDescent="0.35">
      <c r="A292" s="181" t="s">
        <v>617</v>
      </c>
      <c r="B292" s="182">
        <v>226</v>
      </c>
      <c r="C292" s="181" t="s">
        <v>6827</v>
      </c>
      <c r="D292" s="178">
        <v>4.0999999999999996</v>
      </c>
      <c r="E292" s="181" t="s">
        <v>6450</v>
      </c>
      <c r="F292" s="184">
        <v>40323</v>
      </c>
      <c r="G292" s="181"/>
      <c r="H292" s="181" t="s">
        <v>6451</v>
      </c>
      <c r="I292" s="181" t="str">
        <f>VLOOKUP(LEFT(A292,4),Groups!$A$1:$C$188,3,FALSE)</f>
        <v>Field Geological Descriptions</v>
      </c>
      <c r="J292" s="181" t="str">
        <f>VLOOKUP(A292,Headings!$C$1:$H$3948,4,FALSE)</f>
        <v>Legend code</v>
      </c>
      <c r="K292" s="181" t="str">
        <f t="shared" si="7"/>
        <v>GEOL_LEG|226</v>
      </c>
      <c r="L292" s="181"/>
    </row>
    <row r="293" spans="1:12" hidden="1" x14ac:dyDescent="0.35">
      <c r="A293" s="181" t="s">
        <v>617</v>
      </c>
      <c r="B293" s="182">
        <v>227</v>
      </c>
      <c r="C293" s="181" t="s">
        <v>6828</v>
      </c>
      <c r="D293" s="178">
        <v>4.0999999999999996</v>
      </c>
      <c r="E293" s="181" t="s">
        <v>6450</v>
      </c>
      <c r="F293" s="184">
        <v>40323</v>
      </c>
      <c r="G293" s="181"/>
      <c r="H293" s="181" t="s">
        <v>6451</v>
      </c>
      <c r="I293" s="181" t="str">
        <f>VLOOKUP(LEFT(A293,4),Groups!$A$1:$C$188,3,FALSE)</f>
        <v>Field Geological Descriptions</v>
      </c>
      <c r="J293" s="181" t="str">
        <f>VLOOKUP(A293,Headings!$C$1:$H$3948,4,FALSE)</f>
        <v>Legend code</v>
      </c>
      <c r="K293" s="181" t="str">
        <f t="shared" si="7"/>
        <v>GEOL_LEG|227</v>
      </c>
      <c r="L293" s="181"/>
    </row>
    <row r="294" spans="1:12" hidden="1" x14ac:dyDescent="0.35">
      <c r="A294" s="181" t="s">
        <v>617</v>
      </c>
      <c r="B294" s="182">
        <v>228</v>
      </c>
      <c r="C294" s="181" t="s">
        <v>6829</v>
      </c>
      <c r="D294" s="178">
        <v>4.0999999999999996</v>
      </c>
      <c r="E294" s="181" t="s">
        <v>6450</v>
      </c>
      <c r="F294" s="184">
        <v>40323</v>
      </c>
      <c r="G294" s="181"/>
      <c r="H294" s="181" t="s">
        <v>6451</v>
      </c>
      <c r="I294" s="181" t="str">
        <f>VLOOKUP(LEFT(A294,4),Groups!$A$1:$C$188,3,FALSE)</f>
        <v>Field Geological Descriptions</v>
      </c>
      <c r="J294" s="181" t="str">
        <f>VLOOKUP(A294,Headings!$C$1:$H$3948,4,FALSE)</f>
        <v>Legend code</v>
      </c>
      <c r="K294" s="181" t="str">
        <f t="shared" si="7"/>
        <v>GEOL_LEG|228</v>
      </c>
      <c r="L294" s="181"/>
    </row>
    <row r="295" spans="1:12" hidden="1" x14ac:dyDescent="0.35">
      <c r="A295" s="181" t="s">
        <v>617</v>
      </c>
      <c r="B295" s="182">
        <v>229</v>
      </c>
      <c r="C295" s="181" t="s">
        <v>6830</v>
      </c>
      <c r="D295" s="178">
        <v>4.0999999999999996</v>
      </c>
      <c r="E295" s="181" t="s">
        <v>6450</v>
      </c>
      <c r="F295" s="184">
        <v>40323</v>
      </c>
      <c r="G295" s="181"/>
      <c r="H295" s="181" t="s">
        <v>6451</v>
      </c>
      <c r="I295" s="181" t="str">
        <f>VLOOKUP(LEFT(A295,4),Groups!$A$1:$C$188,3,FALSE)</f>
        <v>Field Geological Descriptions</v>
      </c>
      <c r="J295" s="181" t="str">
        <f>VLOOKUP(A295,Headings!$C$1:$H$3948,4,FALSE)</f>
        <v>Legend code</v>
      </c>
      <c r="K295" s="181" t="str">
        <f t="shared" si="7"/>
        <v>GEOL_LEG|229</v>
      </c>
      <c r="L295" s="181"/>
    </row>
    <row r="296" spans="1:12" hidden="1" x14ac:dyDescent="0.35">
      <c r="A296" s="181" t="s">
        <v>617</v>
      </c>
      <c r="B296" s="182">
        <v>230</v>
      </c>
      <c r="C296" s="181" t="s">
        <v>6831</v>
      </c>
      <c r="D296" s="178">
        <v>4.0999999999999996</v>
      </c>
      <c r="E296" s="181" t="s">
        <v>6450</v>
      </c>
      <c r="F296" s="184">
        <v>42829</v>
      </c>
      <c r="G296" s="181"/>
      <c r="H296" s="181" t="s">
        <v>6451</v>
      </c>
      <c r="I296" s="181" t="str">
        <f>VLOOKUP(LEFT(A296,4),Groups!$A$1:$C$188,3,FALSE)</f>
        <v>Field Geological Descriptions</v>
      </c>
      <c r="J296" s="181" t="str">
        <f>VLOOKUP(A296,Headings!$C$1:$H$3948,4,FALSE)</f>
        <v>Legend code</v>
      </c>
      <c r="K296" s="181" t="str">
        <f t="shared" si="7"/>
        <v>GEOL_LEG|230</v>
      </c>
      <c r="L296" s="181"/>
    </row>
    <row r="297" spans="1:12" hidden="1" x14ac:dyDescent="0.35">
      <c r="A297" s="181" t="s">
        <v>617</v>
      </c>
      <c r="B297" s="182">
        <v>231</v>
      </c>
      <c r="C297" s="181" t="s">
        <v>6832</v>
      </c>
      <c r="D297" s="178">
        <v>4.0999999999999996</v>
      </c>
      <c r="E297" s="181" t="s">
        <v>6450</v>
      </c>
      <c r="F297" s="184">
        <v>42872</v>
      </c>
      <c r="G297" s="181"/>
      <c r="H297" s="181" t="s">
        <v>6451</v>
      </c>
      <c r="I297" s="181" t="str">
        <f>VLOOKUP(LEFT(A297,4),Groups!$A$1:$C$188,3,FALSE)</f>
        <v>Field Geological Descriptions</v>
      </c>
      <c r="J297" s="181" t="str">
        <f>VLOOKUP(A297,Headings!$C$1:$H$3948,4,FALSE)</f>
        <v>Legend code</v>
      </c>
      <c r="K297" s="181" t="str">
        <f t="shared" si="7"/>
        <v>GEOL_LEG|231</v>
      </c>
      <c r="L297" s="181"/>
    </row>
    <row r="298" spans="1:12" hidden="1" x14ac:dyDescent="0.35">
      <c r="A298" s="181" t="s">
        <v>617</v>
      </c>
      <c r="B298" s="182">
        <v>301</v>
      </c>
      <c r="C298" s="181" t="s">
        <v>6833</v>
      </c>
      <c r="D298" s="178">
        <v>4.0999999999999996</v>
      </c>
      <c r="E298" s="181" t="s">
        <v>6450</v>
      </c>
      <c r="F298" s="184">
        <v>40323</v>
      </c>
      <c r="G298" s="181"/>
      <c r="H298" s="181" t="s">
        <v>6451</v>
      </c>
      <c r="I298" s="181" t="str">
        <f>VLOOKUP(LEFT(A298,4),Groups!$A$1:$C$188,3,FALSE)</f>
        <v>Field Geological Descriptions</v>
      </c>
      <c r="J298" s="181" t="str">
        <f>VLOOKUP(A298,Headings!$C$1:$H$3948,4,FALSE)</f>
        <v>Legend code</v>
      </c>
      <c r="K298" s="181" t="str">
        <f t="shared" si="7"/>
        <v>GEOL_LEG|301</v>
      </c>
      <c r="L298" s="181"/>
    </row>
    <row r="299" spans="1:12" hidden="1" x14ac:dyDescent="0.35">
      <c r="A299" s="181" t="s">
        <v>617</v>
      </c>
      <c r="B299" s="182">
        <v>302</v>
      </c>
      <c r="C299" s="181" t="s">
        <v>6834</v>
      </c>
      <c r="D299" s="178">
        <v>4.0999999999999996</v>
      </c>
      <c r="E299" s="181" t="s">
        <v>6450</v>
      </c>
      <c r="F299" s="184">
        <v>40323</v>
      </c>
      <c r="G299" s="181"/>
      <c r="H299" s="181" t="s">
        <v>6451</v>
      </c>
      <c r="I299" s="181" t="str">
        <f>VLOOKUP(LEFT(A299,4),Groups!$A$1:$C$188,3,FALSE)</f>
        <v>Field Geological Descriptions</v>
      </c>
      <c r="J299" s="181" t="str">
        <f>VLOOKUP(A299,Headings!$C$1:$H$3948,4,FALSE)</f>
        <v>Legend code</v>
      </c>
      <c r="K299" s="181" t="str">
        <f t="shared" si="7"/>
        <v>GEOL_LEG|302</v>
      </c>
      <c r="L299" s="181"/>
    </row>
    <row r="300" spans="1:12" hidden="1" x14ac:dyDescent="0.35">
      <c r="A300" s="181" t="s">
        <v>617</v>
      </c>
      <c r="B300" s="182">
        <v>303</v>
      </c>
      <c r="C300" s="181" t="s">
        <v>6835</v>
      </c>
      <c r="D300" s="178">
        <v>4.0999999999999996</v>
      </c>
      <c r="E300" s="181" t="s">
        <v>6450</v>
      </c>
      <c r="F300" s="184">
        <v>40323</v>
      </c>
      <c r="G300" s="181"/>
      <c r="H300" s="181" t="s">
        <v>6451</v>
      </c>
      <c r="I300" s="181" t="str">
        <f>VLOOKUP(LEFT(A300,4),Groups!$A$1:$C$188,3,FALSE)</f>
        <v>Field Geological Descriptions</v>
      </c>
      <c r="J300" s="181" t="str">
        <f>VLOOKUP(A300,Headings!$C$1:$H$3948,4,FALSE)</f>
        <v>Legend code</v>
      </c>
      <c r="K300" s="181" t="str">
        <f t="shared" si="7"/>
        <v>GEOL_LEG|303</v>
      </c>
      <c r="L300" s="181"/>
    </row>
    <row r="301" spans="1:12" hidden="1" x14ac:dyDescent="0.35">
      <c r="A301" s="181" t="s">
        <v>617</v>
      </c>
      <c r="B301" s="182">
        <v>304</v>
      </c>
      <c r="C301" s="181" t="s">
        <v>6836</v>
      </c>
      <c r="D301" s="178">
        <v>4.0999999999999996</v>
      </c>
      <c r="E301" s="181" t="s">
        <v>6450</v>
      </c>
      <c r="F301" s="184">
        <v>40323</v>
      </c>
      <c r="G301" s="181"/>
      <c r="H301" s="181" t="s">
        <v>6451</v>
      </c>
      <c r="I301" s="181" t="str">
        <f>VLOOKUP(LEFT(A301,4),Groups!$A$1:$C$188,3,FALSE)</f>
        <v>Field Geological Descriptions</v>
      </c>
      <c r="J301" s="181" t="str">
        <f>VLOOKUP(A301,Headings!$C$1:$H$3948,4,FALSE)</f>
        <v>Legend code</v>
      </c>
      <c r="K301" s="181" t="str">
        <f t="shared" si="7"/>
        <v>GEOL_LEG|304</v>
      </c>
      <c r="L301" s="181"/>
    </row>
    <row r="302" spans="1:12" hidden="1" x14ac:dyDescent="0.35">
      <c r="A302" s="181" t="s">
        <v>617</v>
      </c>
      <c r="B302" s="182">
        <v>305</v>
      </c>
      <c r="C302" s="181" t="s">
        <v>6837</v>
      </c>
      <c r="D302" s="178">
        <v>4.0999999999999996</v>
      </c>
      <c r="E302" s="181" t="s">
        <v>6450</v>
      </c>
      <c r="F302" s="184">
        <v>40323</v>
      </c>
      <c r="G302" s="181"/>
      <c r="H302" s="181" t="s">
        <v>6451</v>
      </c>
      <c r="I302" s="181" t="str">
        <f>VLOOKUP(LEFT(A302,4),Groups!$A$1:$C$188,3,FALSE)</f>
        <v>Field Geological Descriptions</v>
      </c>
      <c r="J302" s="181" t="str">
        <f>VLOOKUP(A302,Headings!$C$1:$H$3948,4,FALSE)</f>
        <v>Legend code</v>
      </c>
      <c r="K302" s="181" t="str">
        <f t="shared" si="7"/>
        <v>GEOL_LEG|305</v>
      </c>
      <c r="L302" s="181"/>
    </row>
    <row r="303" spans="1:12" hidden="1" x14ac:dyDescent="0.35">
      <c r="A303" s="181" t="s">
        <v>617</v>
      </c>
      <c r="B303" s="182">
        <v>309</v>
      </c>
      <c r="C303" s="181" t="s">
        <v>6838</v>
      </c>
      <c r="D303" s="178">
        <v>4.0999999999999996</v>
      </c>
      <c r="E303" s="181" t="s">
        <v>6450</v>
      </c>
      <c r="F303" s="184">
        <v>42844</v>
      </c>
      <c r="G303" s="181"/>
      <c r="H303" s="181" t="s">
        <v>6451</v>
      </c>
      <c r="I303" s="181" t="str">
        <f>VLOOKUP(LEFT(A303,4),Groups!$A$1:$C$188,3,FALSE)</f>
        <v>Field Geological Descriptions</v>
      </c>
      <c r="J303" s="181" t="str">
        <f>VLOOKUP(A303,Headings!$C$1:$H$3948,4,FALSE)</f>
        <v>Legend code</v>
      </c>
      <c r="K303" s="181" t="str">
        <f t="shared" si="7"/>
        <v>GEOL_LEG|309</v>
      </c>
      <c r="L303" s="181"/>
    </row>
    <row r="304" spans="1:12" hidden="1" x14ac:dyDescent="0.35">
      <c r="A304" s="181" t="s">
        <v>617</v>
      </c>
      <c r="B304" s="182">
        <v>310</v>
      </c>
      <c r="C304" s="181" t="s">
        <v>6839</v>
      </c>
      <c r="D304" s="178">
        <v>4.0999999999999996</v>
      </c>
      <c r="E304" s="181" t="s">
        <v>6450</v>
      </c>
      <c r="F304" s="184">
        <v>40323</v>
      </c>
      <c r="G304" s="181"/>
      <c r="H304" s="181" t="s">
        <v>6451</v>
      </c>
      <c r="I304" s="181" t="str">
        <f>VLOOKUP(LEFT(A304,4),Groups!$A$1:$C$188,3,FALSE)</f>
        <v>Field Geological Descriptions</v>
      </c>
      <c r="J304" s="181" t="str">
        <f>VLOOKUP(A304,Headings!$C$1:$H$3948,4,FALSE)</f>
        <v>Legend code</v>
      </c>
      <c r="K304" s="181" t="str">
        <f t="shared" si="7"/>
        <v>GEOL_LEG|310</v>
      </c>
      <c r="L304" s="181"/>
    </row>
    <row r="305" spans="1:12" hidden="1" x14ac:dyDescent="0.35">
      <c r="A305" s="181" t="s">
        <v>617</v>
      </c>
      <c r="B305" s="182">
        <v>312</v>
      </c>
      <c r="C305" s="181" t="s">
        <v>6840</v>
      </c>
      <c r="D305" s="178">
        <v>4.0999999999999996</v>
      </c>
      <c r="E305" s="181" t="s">
        <v>6450</v>
      </c>
      <c r="F305" s="184">
        <v>43034</v>
      </c>
      <c r="G305" s="181"/>
      <c r="H305" s="181" t="s">
        <v>6451</v>
      </c>
      <c r="I305" s="181" t="str">
        <f>VLOOKUP(LEFT(A305,4),Groups!$A$1:$C$188,3,FALSE)</f>
        <v>Field Geological Descriptions</v>
      </c>
      <c r="J305" s="181" t="str">
        <f>VLOOKUP(A305,Headings!$C$1:$H$3948,4,FALSE)</f>
        <v>Legend code</v>
      </c>
      <c r="K305" s="181" t="str">
        <f t="shared" si="7"/>
        <v>GEOL_LEG|312</v>
      </c>
      <c r="L305" s="181"/>
    </row>
    <row r="306" spans="1:12" hidden="1" x14ac:dyDescent="0.35">
      <c r="A306" s="181" t="s">
        <v>617</v>
      </c>
      <c r="B306" s="182">
        <v>314</v>
      </c>
      <c r="C306" s="181" t="s">
        <v>6841</v>
      </c>
      <c r="D306" s="178">
        <v>4.0999999999999996</v>
      </c>
      <c r="E306" s="181" t="s">
        <v>6450</v>
      </c>
      <c r="F306" s="184">
        <v>40323</v>
      </c>
      <c r="G306" s="181"/>
      <c r="H306" s="181" t="s">
        <v>6451</v>
      </c>
      <c r="I306" s="181" t="str">
        <f>VLOOKUP(LEFT(A306,4),Groups!$A$1:$C$188,3,FALSE)</f>
        <v>Field Geological Descriptions</v>
      </c>
      <c r="J306" s="181" t="str">
        <f>VLOOKUP(A306,Headings!$C$1:$H$3948,4,FALSE)</f>
        <v>Legend code</v>
      </c>
      <c r="K306" s="181" t="str">
        <f t="shared" si="7"/>
        <v>GEOL_LEG|314</v>
      </c>
      <c r="L306" s="181"/>
    </row>
    <row r="307" spans="1:12" hidden="1" x14ac:dyDescent="0.35">
      <c r="A307" s="181" t="s">
        <v>617</v>
      </c>
      <c r="B307" s="182">
        <v>316</v>
      </c>
      <c r="C307" s="181" t="s">
        <v>6842</v>
      </c>
      <c r="D307" s="178">
        <v>4.0999999999999996</v>
      </c>
      <c r="E307" s="181" t="s">
        <v>6450</v>
      </c>
      <c r="F307" s="184">
        <v>40323</v>
      </c>
      <c r="G307" s="181"/>
      <c r="H307" s="181" t="s">
        <v>6451</v>
      </c>
      <c r="I307" s="181" t="str">
        <f>VLOOKUP(LEFT(A307,4),Groups!$A$1:$C$188,3,FALSE)</f>
        <v>Field Geological Descriptions</v>
      </c>
      <c r="J307" s="181" t="str">
        <f>VLOOKUP(A307,Headings!$C$1:$H$3948,4,FALSE)</f>
        <v>Legend code</v>
      </c>
      <c r="K307" s="181" t="str">
        <f t="shared" si="7"/>
        <v>GEOL_LEG|316</v>
      </c>
      <c r="L307" s="181"/>
    </row>
    <row r="308" spans="1:12" hidden="1" x14ac:dyDescent="0.35">
      <c r="A308" s="181" t="s">
        <v>617</v>
      </c>
      <c r="B308" s="182">
        <v>317</v>
      </c>
      <c r="C308" s="181" t="s">
        <v>6843</v>
      </c>
      <c r="D308" s="178">
        <v>4.0999999999999996</v>
      </c>
      <c r="E308" s="181" t="s">
        <v>6450</v>
      </c>
      <c r="F308" s="184">
        <v>40323</v>
      </c>
      <c r="G308" s="181"/>
      <c r="H308" s="181" t="s">
        <v>6451</v>
      </c>
      <c r="I308" s="181" t="str">
        <f>VLOOKUP(LEFT(A308,4),Groups!$A$1:$C$188,3,FALSE)</f>
        <v>Field Geological Descriptions</v>
      </c>
      <c r="J308" s="181" t="str">
        <f>VLOOKUP(A308,Headings!$C$1:$H$3948,4,FALSE)</f>
        <v>Legend code</v>
      </c>
      <c r="K308" s="181" t="str">
        <f t="shared" si="7"/>
        <v>GEOL_LEG|317</v>
      </c>
      <c r="L308" s="181"/>
    </row>
    <row r="309" spans="1:12" hidden="1" x14ac:dyDescent="0.35">
      <c r="A309" s="181" t="s">
        <v>617</v>
      </c>
      <c r="B309" s="182">
        <v>318</v>
      </c>
      <c r="C309" s="181" t="s">
        <v>6844</v>
      </c>
      <c r="D309" s="178">
        <v>4.0999999999999996</v>
      </c>
      <c r="E309" s="181" t="s">
        <v>6450</v>
      </c>
      <c r="F309" s="184">
        <v>40323</v>
      </c>
      <c r="G309" s="181"/>
      <c r="H309" s="181" t="s">
        <v>6451</v>
      </c>
      <c r="I309" s="181" t="str">
        <f>VLOOKUP(LEFT(A309,4),Groups!$A$1:$C$188,3,FALSE)</f>
        <v>Field Geological Descriptions</v>
      </c>
      <c r="J309" s="181" t="str">
        <f>VLOOKUP(A309,Headings!$C$1:$H$3948,4,FALSE)</f>
        <v>Legend code</v>
      </c>
      <c r="K309" s="181" t="str">
        <f t="shared" si="7"/>
        <v>GEOL_LEG|318</v>
      </c>
      <c r="L309" s="181"/>
    </row>
    <row r="310" spans="1:12" hidden="1" x14ac:dyDescent="0.35">
      <c r="A310" s="181" t="s">
        <v>617</v>
      </c>
      <c r="B310" s="182">
        <v>319</v>
      </c>
      <c r="C310" s="181" t="s">
        <v>6845</v>
      </c>
      <c r="D310" s="178">
        <v>4.0999999999999996</v>
      </c>
      <c r="E310" s="181" t="s">
        <v>6450</v>
      </c>
      <c r="F310" s="184">
        <v>40323</v>
      </c>
      <c r="G310" s="181"/>
      <c r="H310" s="181" t="s">
        <v>6451</v>
      </c>
      <c r="I310" s="181" t="str">
        <f>VLOOKUP(LEFT(A310,4),Groups!$A$1:$C$188,3,FALSE)</f>
        <v>Field Geological Descriptions</v>
      </c>
      <c r="J310" s="181" t="str">
        <f>VLOOKUP(A310,Headings!$C$1:$H$3948,4,FALSE)</f>
        <v>Legend code</v>
      </c>
      <c r="K310" s="181" t="str">
        <f t="shared" si="7"/>
        <v>GEOL_LEG|319</v>
      </c>
      <c r="L310" s="181"/>
    </row>
    <row r="311" spans="1:12" hidden="1" x14ac:dyDescent="0.35">
      <c r="A311" s="181" t="s">
        <v>617</v>
      </c>
      <c r="B311" s="182">
        <v>320</v>
      </c>
      <c r="C311" s="181" t="s">
        <v>6846</v>
      </c>
      <c r="D311" s="178">
        <v>4.0999999999999996</v>
      </c>
      <c r="E311" s="181" t="s">
        <v>6450</v>
      </c>
      <c r="F311" s="184">
        <v>40323</v>
      </c>
      <c r="G311" s="181"/>
      <c r="H311" s="181" t="s">
        <v>6451</v>
      </c>
      <c r="I311" s="181" t="str">
        <f>VLOOKUP(LEFT(A311,4),Groups!$A$1:$C$188,3,FALSE)</f>
        <v>Field Geological Descriptions</v>
      </c>
      <c r="J311" s="181" t="str">
        <f>VLOOKUP(A311,Headings!$C$1:$H$3948,4,FALSE)</f>
        <v>Legend code</v>
      </c>
      <c r="K311" s="181" t="str">
        <f t="shared" si="7"/>
        <v>GEOL_LEG|320</v>
      </c>
      <c r="L311" s="181"/>
    </row>
    <row r="312" spans="1:12" hidden="1" x14ac:dyDescent="0.35">
      <c r="A312" s="181" t="s">
        <v>617</v>
      </c>
      <c r="B312" s="182">
        <v>321</v>
      </c>
      <c r="C312" s="181" t="s">
        <v>6847</v>
      </c>
      <c r="D312" s="178">
        <v>4.0999999999999996</v>
      </c>
      <c r="E312" s="181" t="s">
        <v>6450</v>
      </c>
      <c r="F312" s="184">
        <v>40323</v>
      </c>
      <c r="G312" s="181"/>
      <c r="H312" s="181" t="s">
        <v>6451</v>
      </c>
      <c r="I312" s="181" t="str">
        <f>VLOOKUP(LEFT(A312,4),Groups!$A$1:$C$188,3,FALSE)</f>
        <v>Field Geological Descriptions</v>
      </c>
      <c r="J312" s="181" t="str">
        <f>VLOOKUP(A312,Headings!$C$1:$H$3948,4,FALSE)</f>
        <v>Legend code</v>
      </c>
      <c r="K312" s="181" t="str">
        <f t="shared" si="7"/>
        <v>GEOL_LEG|321</v>
      </c>
      <c r="L312" s="181"/>
    </row>
    <row r="313" spans="1:12" hidden="1" x14ac:dyDescent="0.35">
      <c r="A313" s="181" t="s">
        <v>617</v>
      </c>
      <c r="B313" s="182">
        <v>322</v>
      </c>
      <c r="C313" s="181" t="s">
        <v>6848</v>
      </c>
      <c r="D313" s="178">
        <v>4.0999999999999996</v>
      </c>
      <c r="E313" s="181" t="s">
        <v>6450</v>
      </c>
      <c r="F313" s="184">
        <v>40323</v>
      </c>
      <c r="G313" s="181"/>
      <c r="H313" s="181" t="s">
        <v>6451</v>
      </c>
      <c r="I313" s="181" t="str">
        <f>VLOOKUP(LEFT(A313,4),Groups!$A$1:$C$188,3,FALSE)</f>
        <v>Field Geological Descriptions</v>
      </c>
      <c r="J313" s="181" t="str">
        <f>VLOOKUP(A313,Headings!$C$1:$H$3948,4,FALSE)</f>
        <v>Legend code</v>
      </c>
      <c r="K313" s="181" t="str">
        <f t="shared" si="7"/>
        <v>GEOL_LEG|322</v>
      </c>
      <c r="L313" s="181"/>
    </row>
    <row r="314" spans="1:12" hidden="1" x14ac:dyDescent="0.35">
      <c r="A314" s="181" t="s">
        <v>617</v>
      </c>
      <c r="B314" s="182">
        <v>323</v>
      </c>
      <c r="C314" s="181" t="s">
        <v>6849</v>
      </c>
      <c r="D314" s="178">
        <v>4.0999999999999996</v>
      </c>
      <c r="E314" s="181" t="s">
        <v>6450</v>
      </c>
      <c r="F314" s="184">
        <v>40323</v>
      </c>
      <c r="G314" s="181"/>
      <c r="H314" s="181" t="s">
        <v>6451</v>
      </c>
      <c r="I314" s="181" t="str">
        <f>VLOOKUP(LEFT(A314,4),Groups!$A$1:$C$188,3,FALSE)</f>
        <v>Field Geological Descriptions</v>
      </c>
      <c r="J314" s="181" t="str">
        <f>VLOOKUP(A314,Headings!$C$1:$H$3948,4,FALSE)</f>
        <v>Legend code</v>
      </c>
      <c r="K314" s="181" t="str">
        <f t="shared" si="7"/>
        <v>GEOL_LEG|323</v>
      </c>
      <c r="L314" s="181"/>
    </row>
    <row r="315" spans="1:12" hidden="1" x14ac:dyDescent="0.35">
      <c r="A315" s="181" t="s">
        <v>617</v>
      </c>
      <c r="B315" s="182">
        <v>324</v>
      </c>
      <c r="C315" s="181" t="s">
        <v>6850</v>
      </c>
      <c r="D315" s="178">
        <v>4.0999999999999996</v>
      </c>
      <c r="E315" s="181" t="s">
        <v>6450</v>
      </c>
      <c r="F315" s="184">
        <v>40323</v>
      </c>
      <c r="G315" s="181"/>
      <c r="H315" s="181" t="s">
        <v>6451</v>
      </c>
      <c r="I315" s="181" t="str">
        <f>VLOOKUP(LEFT(A315,4),Groups!$A$1:$C$188,3,FALSE)</f>
        <v>Field Geological Descriptions</v>
      </c>
      <c r="J315" s="181" t="str">
        <f>VLOOKUP(A315,Headings!$C$1:$H$3948,4,FALSE)</f>
        <v>Legend code</v>
      </c>
      <c r="K315" s="181" t="str">
        <f t="shared" si="7"/>
        <v>GEOL_LEG|324</v>
      </c>
      <c r="L315" s="181"/>
    </row>
    <row r="316" spans="1:12" hidden="1" x14ac:dyDescent="0.35">
      <c r="A316" s="181" t="s">
        <v>617</v>
      </c>
      <c r="B316" s="182">
        <v>325</v>
      </c>
      <c r="C316" s="181" t="s">
        <v>6851</v>
      </c>
      <c r="D316" s="178">
        <v>4.0999999999999996</v>
      </c>
      <c r="E316" s="181" t="s">
        <v>6450</v>
      </c>
      <c r="F316" s="184">
        <v>40323</v>
      </c>
      <c r="G316" s="181"/>
      <c r="H316" s="181" t="s">
        <v>6451</v>
      </c>
      <c r="I316" s="181" t="str">
        <f>VLOOKUP(LEFT(A316,4),Groups!$A$1:$C$188,3,FALSE)</f>
        <v>Field Geological Descriptions</v>
      </c>
      <c r="J316" s="181" t="str">
        <f>VLOOKUP(A316,Headings!$C$1:$H$3948,4,FALSE)</f>
        <v>Legend code</v>
      </c>
      <c r="K316" s="181" t="str">
        <f t="shared" si="7"/>
        <v>GEOL_LEG|325</v>
      </c>
      <c r="L316" s="181"/>
    </row>
    <row r="317" spans="1:12" hidden="1" x14ac:dyDescent="0.35">
      <c r="A317" s="181" t="s">
        <v>617</v>
      </c>
      <c r="B317" s="182">
        <v>326</v>
      </c>
      <c r="C317" s="181" t="s">
        <v>6852</v>
      </c>
      <c r="D317" s="178">
        <v>4.0999999999999996</v>
      </c>
      <c r="E317" s="181" t="s">
        <v>6450</v>
      </c>
      <c r="F317" s="184">
        <v>40323</v>
      </c>
      <c r="G317" s="181"/>
      <c r="H317" s="181" t="s">
        <v>6451</v>
      </c>
      <c r="I317" s="181" t="str">
        <f>VLOOKUP(LEFT(A317,4),Groups!$A$1:$C$188,3,FALSE)</f>
        <v>Field Geological Descriptions</v>
      </c>
      <c r="J317" s="181" t="str">
        <f>VLOOKUP(A317,Headings!$C$1:$H$3948,4,FALSE)</f>
        <v>Legend code</v>
      </c>
      <c r="K317" s="181" t="str">
        <f t="shared" si="7"/>
        <v>GEOL_LEG|326</v>
      </c>
      <c r="L317" s="181"/>
    </row>
    <row r="318" spans="1:12" hidden="1" x14ac:dyDescent="0.35">
      <c r="A318" s="181" t="s">
        <v>617</v>
      </c>
      <c r="B318" s="182">
        <v>327</v>
      </c>
      <c r="C318" s="181" t="s">
        <v>6853</v>
      </c>
      <c r="D318" s="178">
        <v>4.0999999999999996</v>
      </c>
      <c r="E318" s="181" t="s">
        <v>6450</v>
      </c>
      <c r="F318" s="184">
        <v>40323</v>
      </c>
      <c r="G318" s="181"/>
      <c r="H318" s="181" t="s">
        <v>6451</v>
      </c>
      <c r="I318" s="181" t="str">
        <f>VLOOKUP(LEFT(A318,4),Groups!$A$1:$C$188,3,FALSE)</f>
        <v>Field Geological Descriptions</v>
      </c>
      <c r="J318" s="181" t="str">
        <f>VLOOKUP(A318,Headings!$C$1:$H$3948,4,FALSE)</f>
        <v>Legend code</v>
      </c>
      <c r="K318" s="181" t="str">
        <f t="shared" si="7"/>
        <v>GEOL_LEG|327</v>
      </c>
      <c r="L318" s="181"/>
    </row>
    <row r="319" spans="1:12" hidden="1" x14ac:dyDescent="0.35">
      <c r="A319" s="181" t="s">
        <v>617</v>
      </c>
      <c r="B319" s="182">
        <v>328</v>
      </c>
      <c r="C319" s="181" t="s">
        <v>6854</v>
      </c>
      <c r="D319" s="178">
        <v>4.0999999999999996</v>
      </c>
      <c r="E319" s="181" t="s">
        <v>6450</v>
      </c>
      <c r="F319" s="184">
        <v>40323</v>
      </c>
      <c r="G319" s="181"/>
      <c r="H319" s="181" t="s">
        <v>6451</v>
      </c>
      <c r="I319" s="181" t="str">
        <f>VLOOKUP(LEFT(A319,4),Groups!$A$1:$C$188,3,FALSE)</f>
        <v>Field Geological Descriptions</v>
      </c>
      <c r="J319" s="181" t="str">
        <f>VLOOKUP(A319,Headings!$C$1:$H$3948,4,FALSE)</f>
        <v>Legend code</v>
      </c>
      <c r="K319" s="181" t="str">
        <f t="shared" si="7"/>
        <v>GEOL_LEG|328</v>
      </c>
      <c r="L319" s="181"/>
    </row>
    <row r="320" spans="1:12" hidden="1" x14ac:dyDescent="0.35">
      <c r="A320" s="181" t="s">
        <v>617</v>
      </c>
      <c r="B320" s="182">
        <v>331</v>
      </c>
      <c r="C320" s="181" t="s">
        <v>6855</v>
      </c>
      <c r="D320" s="178">
        <v>4.0999999999999996</v>
      </c>
      <c r="E320" s="181" t="s">
        <v>6450</v>
      </c>
      <c r="F320" s="184">
        <v>40323</v>
      </c>
      <c r="G320" s="181"/>
      <c r="H320" s="181" t="s">
        <v>6451</v>
      </c>
      <c r="I320" s="181" t="str">
        <f>VLOOKUP(LEFT(A320,4),Groups!$A$1:$C$188,3,FALSE)</f>
        <v>Field Geological Descriptions</v>
      </c>
      <c r="J320" s="181" t="str">
        <f>VLOOKUP(A320,Headings!$C$1:$H$3948,4,FALSE)</f>
        <v>Legend code</v>
      </c>
      <c r="K320" s="181" t="str">
        <f t="shared" si="7"/>
        <v>GEOL_LEG|331</v>
      </c>
      <c r="L320" s="181"/>
    </row>
    <row r="321" spans="1:12" hidden="1" x14ac:dyDescent="0.35">
      <c r="A321" s="181" t="s">
        <v>617</v>
      </c>
      <c r="B321" s="182">
        <v>332</v>
      </c>
      <c r="C321" s="181" t="s">
        <v>6856</v>
      </c>
      <c r="D321" s="178">
        <v>4.0999999999999996</v>
      </c>
      <c r="E321" s="181" t="s">
        <v>6450</v>
      </c>
      <c r="F321" s="184">
        <v>42941</v>
      </c>
      <c r="G321" s="181"/>
      <c r="H321" s="181" t="s">
        <v>6451</v>
      </c>
      <c r="I321" s="181" t="str">
        <f>VLOOKUP(LEFT(A321,4),Groups!$A$1:$C$188,3,FALSE)</f>
        <v>Field Geological Descriptions</v>
      </c>
      <c r="J321" s="181" t="str">
        <f>VLOOKUP(A321,Headings!$C$1:$H$3948,4,FALSE)</f>
        <v>Legend code</v>
      </c>
      <c r="K321" s="181" t="str">
        <f t="shared" si="7"/>
        <v>GEOL_LEG|332</v>
      </c>
      <c r="L321" s="181"/>
    </row>
    <row r="322" spans="1:12" hidden="1" x14ac:dyDescent="0.35">
      <c r="A322" s="181" t="s">
        <v>617</v>
      </c>
      <c r="B322" s="182">
        <v>401</v>
      </c>
      <c r="C322" s="181" t="s">
        <v>2199</v>
      </c>
      <c r="D322" s="178">
        <v>4.0999999999999996</v>
      </c>
      <c r="E322" s="181" t="s">
        <v>6450</v>
      </c>
      <c r="F322" s="184">
        <v>40323</v>
      </c>
      <c r="G322" s="181"/>
      <c r="H322" s="181" t="s">
        <v>6451</v>
      </c>
      <c r="I322" s="181" t="str">
        <f>VLOOKUP(LEFT(A322,4),Groups!$A$1:$C$188,3,FALSE)</f>
        <v>Field Geological Descriptions</v>
      </c>
      <c r="J322" s="181" t="str">
        <f>VLOOKUP(A322,Headings!$C$1:$H$3948,4,FALSE)</f>
        <v>Legend code</v>
      </c>
      <c r="K322" s="181" t="str">
        <f t="shared" ref="K322:K385" si="8">A322&amp;"|"&amp;B322</f>
        <v>GEOL_LEG|401</v>
      </c>
      <c r="L322" s="181"/>
    </row>
    <row r="323" spans="1:12" hidden="1" x14ac:dyDescent="0.35">
      <c r="A323" s="181" t="s">
        <v>617</v>
      </c>
      <c r="B323" s="182">
        <v>402</v>
      </c>
      <c r="C323" s="181" t="s">
        <v>6591</v>
      </c>
      <c r="D323" s="178">
        <v>4.0999999999999996</v>
      </c>
      <c r="E323" s="181" t="s">
        <v>6450</v>
      </c>
      <c r="F323" s="184">
        <v>40323</v>
      </c>
      <c r="G323" s="181"/>
      <c r="H323" s="181" t="s">
        <v>6451</v>
      </c>
      <c r="I323" s="181" t="str">
        <f>VLOOKUP(LEFT(A323,4),Groups!$A$1:$C$188,3,FALSE)</f>
        <v>Field Geological Descriptions</v>
      </c>
      <c r="J323" s="181" t="str">
        <f>VLOOKUP(A323,Headings!$C$1:$H$3948,4,FALSE)</f>
        <v>Legend code</v>
      </c>
      <c r="K323" s="181" t="str">
        <f t="shared" si="8"/>
        <v>GEOL_LEG|402</v>
      </c>
      <c r="L323" s="181"/>
    </row>
    <row r="324" spans="1:12" hidden="1" x14ac:dyDescent="0.35">
      <c r="A324" s="181" t="s">
        <v>617</v>
      </c>
      <c r="B324" s="182">
        <v>403</v>
      </c>
      <c r="C324" s="181" t="s">
        <v>6592</v>
      </c>
      <c r="D324" s="178">
        <v>4.0999999999999996</v>
      </c>
      <c r="E324" s="181" t="s">
        <v>6450</v>
      </c>
      <c r="F324" s="184">
        <v>40323</v>
      </c>
      <c r="G324" s="181"/>
      <c r="H324" s="181" t="s">
        <v>6451</v>
      </c>
      <c r="I324" s="181" t="str">
        <f>VLOOKUP(LEFT(A324,4),Groups!$A$1:$C$188,3,FALSE)</f>
        <v>Field Geological Descriptions</v>
      </c>
      <c r="J324" s="181" t="str">
        <f>VLOOKUP(A324,Headings!$C$1:$H$3948,4,FALSE)</f>
        <v>Legend code</v>
      </c>
      <c r="K324" s="181" t="str">
        <f t="shared" si="8"/>
        <v>GEOL_LEG|403</v>
      </c>
      <c r="L324" s="181"/>
    </row>
    <row r="325" spans="1:12" hidden="1" x14ac:dyDescent="0.35">
      <c r="A325" s="181" t="s">
        <v>617</v>
      </c>
      <c r="B325" s="182">
        <v>404</v>
      </c>
      <c r="C325" s="181" t="s">
        <v>6857</v>
      </c>
      <c r="D325" s="178">
        <v>4.0999999999999996</v>
      </c>
      <c r="E325" s="181" t="s">
        <v>6450</v>
      </c>
      <c r="F325" s="184">
        <v>40323</v>
      </c>
      <c r="G325" s="181"/>
      <c r="H325" s="181" t="s">
        <v>6451</v>
      </c>
      <c r="I325" s="181" t="str">
        <f>VLOOKUP(LEFT(A325,4),Groups!$A$1:$C$188,3,FALSE)</f>
        <v>Field Geological Descriptions</v>
      </c>
      <c r="J325" s="181" t="str">
        <f>VLOOKUP(A325,Headings!$C$1:$H$3948,4,FALSE)</f>
        <v>Legend code</v>
      </c>
      <c r="K325" s="181" t="str">
        <f t="shared" si="8"/>
        <v>GEOL_LEG|404</v>
      </c>
      <c r="L325" s="181"/>
    </row>
    <row r="326" spans="1:12" hidden="1" x14ac:dyDescent="0.35">
      <c r="A326" s="181" t="s">
        <v>617</v>
      </c>
      <c r="B326" s="182">
        <v>405</v>
      </c>
      <c r="C326" s="181" t="s">
        <v>6858</v>
      </c>
      <c r="D326" s="178">
        <v>4.0999999999999996</v>
      </c>
      <c r="E326" s="181" t="s">
        <v>6450</v>
      </c>
      <c r="F326" s="184">
        <v>40323</v>
      </c>
      <c r="G326" s="181"/>
      <c r="H326" s="181" t="s">
        <v>6451</v>
      </c>
      <c r="I326" s="181" t="str">
        <f>VLOOKUP(LEFT(A326,4),Groups!$A$1:$C$188,3,FALSE)</f>
        <v>Field Geological Descriptions</v>
      </c>
      <c r="J326" s="181" t="str">
        <f>VLOOKUP(A326,Headings!$C$1:$H$3948,4,FALSE)</f>
        <v>Legend code</v>
      </c>
      <c r="K326" s="181" t="str">
        <f t="shared" si="8"/>
        <v>GEOL_LEG|405</v>
      </c>
      <c r="L326" s="181"/>
    </row>
    <row r="327" spans="1:12" hidden="1" x14ac:dyDescent="0.35">
      <c r="A327" s="181" t="s">
        <v>617</v>
      </c>
      <c r="B327" s="182">
        <v>406</v>
      </c>
      <c r="C327" s="181" t="s">
        <v>6859</v>
      </c>
      <c r="D327" s="178">
        <v>4.0999999999999996</v>
      </c>
      <c r="E327" s="181" t="s">
        <v>6450</v>
      </c>
      <c r="F327" s="184">
        <v>40323</v>
      </c>
      <c r="G327" s="181"/>
      <c r="H327" s="181" t="s">
        <v>6451</v>
      </c>
      <c r="I327" s="181" t="str">
        <f>VLOOKUP(LEFT(A327,4),Groups!$A$1:$C$188,3,FALSE)</f>
        <v>Field Geological Descriptions</v>
      </c>
      <c r="J327" s="181" t="str">
        <f>VLOOKUP(A327,Headings!$C$1:$H$3948,4,FALSE)</f>
        <v>Legend code</v>
      </c>
      <c r="K327" s="181" t="str">
        <f t="shared" si="8"/>
        <v>GEOL_LEG|406</v>
      </c>
      <c r="L327" s="181"/>
    </row>
    <row r="328" spans="1:12" hidden="1" x14ac:dyDescent="0.35">
      <c r="A328" s="181" t="s">
        <v>617</v>
      </c>
      <c r="B328" s="182">
        <v>410</v>
      </c>
      <c r="C328" s="181" t="s">
        <v>6860</v>
      </c>
      <c r="D328" s="178">
        <v>4.0999999999999996</v>
      </c>
      <c r="E328" s="181" t="s">
        <v>6450</v>
      </c>
      <c r="F328" s="184">
        <v>40323</v>
      </c>
      <c r="G328" s="181"/>
      <c r="H328" s="181" t="s">
        <v>6451</v>
      </c>
      <c r="I328" s="181" t="str">
        <f>VLOOKUP(LEFT(A328,4),Groups!$A$1:$C$188,3,FALSE)</f>
        <v>Field Geological Descriptions</v>
      </c>
      <c r="J328" s="181" t="str">
        <f>VLOOKUP(A328,Headings!$C$1:$H$3948,4,FALSE)</f>
        <v>Legend code</v>
      </c>
      <c r="K328" s="181" t="str">
        <f t="shared" si="8"/>
        <v>GEOL_LEG|410</v>
      </c>
      <c r="L328" s="181"/>
    </row>
    <row r="329" spans="1:12" hidden="1" x14ac:dyDescent="0.35">
      <c r="A329" s="181" t="s">
        <v>617</v>
      </c>
      <c r="B329" s="182">
        <v>411</v>
      </c>
      <c r="C329" s="181" t="s">
        <v>6861</v>
      </c>
      <c r="D329" s="178">
        <v>4.0999999999999996</v>
      </c>
      <c r="E329" s="181" t="s">
        <v>6450</v>
      </c>
      <c r="F329" s="184">
        <v>40323</v>
      </c>
      <c r="G329" s="181"/>
      <c r="H329" s="181" t="s">
        <v>6451</v>
      </c>
      <c r="I329" s="181" t="str">
        <f>VLOOKUP(LEFT(A329,4),Groups!$A$1:$C$188,3,FALSE)</f>
        <v>Field Geological Descriptions</v>
      </c>
      <c r="J329" s="181" t="str">
        <f>VLOOKUP(A329,Headings!$C$1:$H$3948,4,FALSE)</f>
        <v>Legend code</v>
      </c>
      <c r="K329" s="181" t="str">
        <f t="shared" si="8"/>
        <v>GEOL_LEG|411</v>
      </c>
      <c r="L329" s="181"/>
    </row>
    <row r="330" spans="1:12" hidden="1" x14ac:dyDescent="0.35">
      <c r="A330" s="181" t="s">
        <v>617</v>
      </c>
      <c r="B330" s="182">
        <v>412</v>
      </c>
      <c r="C330" s="181" t="s">
        <v>6862</v>
      </c>
      <c r="D330" s="178">
        <v>4.0999999999999996</v>
      </c>
      <c r="E330" s="181" t="s">
        <v>6450</v>
      </c>
      <c r="F330" s="184">
        <v>40323</v>
      </c>
      <c r="G330" s="181"/>
      <c r="H330" s="181" t="s">
        <v>6451</v>
      </c>
      <c r="I330" s="181" t="str">
        <f>VLOOKUP(LEFT(A330,4),Groups!$A$1:$C$188,3,FALSE)</f>
        <v>Field Geological Descriptions</v>
      </c>
      <c r="J330" s="181" t="str">
        <f>VLOOKUP(A330,Headings!$C$1:$H$3948,4,FALSE)</f>
        <v>Legend code</v>
      </c>
      <c r="K330" s="181" t="str">
        <f t="shared" si="8"/>
        <v>GEOL_LEG|412</v>
      </c>
      <c r="L330" s="181"/>
    </row>
    <row r="331" spans="1:12" hidden="1" x14ac:dyDescent="0.35">
      <c r="A331" s="181" t="s">
        <v>617</v>
      </c>
      <c r="B331" s="182">
        <v>413</v>
      </c>
      <c r="C331" s="181" t="s">
        <v>6863</v>
      </c>
      <c r="D331" s="178">
        <v>4.0999999999999996</v>
      </c>
      <c r="E331" s="181" t="s">
        <v>6450</v>
      </c>
      <c r="F331" s="184">
        <v>40323</v>
      </c>
      <c r="G331" s="181"/>
      <c r="H331" s="181" t="s">
        <v>6451</v>
      </c>
      <c r="I331" s="181" t="str">
        <f>VLOOKUP(LEFT(A331,4),Groups!$A$1:$C$188,3,FALSE)</f>
        <v>Field Geological Descriptions</v>
      </c>
      <c r="J331" s="181" t="str">
        <f>VLOOKUP(A331,Headings!$C$1:$H$3948,4,FALSE)</f>
        <v>Legend code</v>
      </c>
      <c r="K331" s="181" t="str">
        <f t="shared" si="8"/>
        <v>GEOL_LEG|413</v>
      </c>
      <c r="L331" s="181"/>
    </row>
    <row r="332" spans="1:12" hidden="1" x14ac:dyDescent="0.35">
      <c r="A332" s="181" t="s">
        <v>617</v>
      </c>
      <c r="B332" s="182">
        <v>414</v>
      </c>
      <c r="C332" s="181" t="s">
        <v>6864</v>
      </c>
      <c r="D332" s="178">
        <v>4.0999999999999996</v>
      </c>
      <c r="E332" s="181" t="s">
        <v>6450</v>
      </c>
      <c r="F332" s="184">
        <v>40323</v>
      </c>
      <c r="G332" s="181"/>
      <c r="H332" s="181" t="s">
        <v>6451</v>
      </c>
      <c r="I332" s="181" t="str">
        <f>VLOOKUP(LEFT(A332,4),Groups!$A$1:$C$188,3,FALSE)</f>
        <v>Field Geological Descriptions</v>
      </c>
      <c r="J332" s="181" t="str">
        <f>VLOOKUP(A332,Headings!$C$1:$H$3948,4,FALSE)</f>
        <v>Legend code</v>
      </c>
      <c r="K332" s="181" t="str">
        <f t="shared" si="8"/>
        <v>GEOL_LEG|414</v>
      </c>
      <c r="L332" s="181"/>
    </row>
    <row r="333" spans="1:12" hidden="1" x14ac:dyDescent="0.35">
      <c r="A333" s="181" t="s">
        <v>617</v>
      </c>
      <c r="B333" s="182">
        <v>415</v>
      </c>
      <c r="C333" s="181" t="s">
        <v>6865</v>
      </c>
      <c r="D333" s="178">
        <v>4.0999999999999996</v>
      </c>
      <c r="E333" s="181" t="s">
        <v>6450</v>
      </c>
      <c r="F333" s="184">
        <v>40323</v>
      </c>
      <c r="G333" s="181"/>
      <c r="H333" s="181" t="s">
        <v>6451</v>
      </c>
      <c r="I333" s="181" t="str">
        <f>VLOOKUP(LEFT(A333,4),Groups!$A$1:$C$188,3,FALSE)</f>
        <v>Field Geological Descriptions</v>
      </c>
      <c r="J333" s="181" t="str">
        <f>VLOOKUP(A333,Headings!$C$1:$H$3948,4,FALSE)</f>
        <v>Legend code</v>
      </c>
      <c r="K333" s="181" t="str">
        <f t="shared" si="8"/>
        <v>GEOL_LEG|415</v>
      </c>
      <c r="L333" s="181"/>
    </row>
    <row r="334" spans="1:12" hidden="1" x14ac:dyDescent="0.35">
      <c r="A334" s="181" t="s">
        <v>617</v>
      </c>
      <c r="B334" s="182">
        <v>416</v>
      </c>
      <c r="C334" s="181" t="s">
        <v>6866</v>
      </c>
      <c r="D334" s="178">
        <v>4.0999999999999996</v>
      </c>
      <c r="E334" s="181" t="s">
        <v>6450</v>
      </c>
      <c r="F334" s="184">
        <v>40323</v>
      </c>
      <c r="G334" s="181"/>
      <c r="H334" s="181" t="s">
        <v>6451</v>
      </c>
      <c r="I334" s="181" t="str">
        <f>VLOOKUP(LEFT(A334,4),Groups!$A$1:$C$188,3,FALSE)</f>
        <v>Field Geological Descriptions</v>
      </c>
      <c r="J334" s="181" t="str">
        <f>VLOOKUP(A334,Headings!$C$1:$H$3948,4,FALSE)</f>
        <v>Legend code</v>
      </c>
      <c r="K334" s="181" t="str">
        <f t="shared" si="8"/>
        <v>GEOL_LEG|416</v>
      </c>
      <c r="L334" s="181"/>
    </row>
    <row r="335" spans="1:12" hidden="1" x14ac:dyDescent="0.35">
      <c r="A335" s="181" t="s">
        <v>617</v>
      </c>
      <c r="B335" s="182">
        <v>417</v>
      </c>
      <c r="C335" s="181" t="s">
        <v>6867</v>
      </c>
      <c r="D335" s="178">
        <v>4.0999999999999996</v>
      </c>
      <c r="E335" s="181" t="s">
        <v>6450</v>
      </c>
      <c r="F335" s="184">
        <v>40323</v>
      </c>
      <c r="G335" s="181"/>
      <c r="H335" s="181" t="s">
        <v>6451</v>
      </c>
      <c r="I335" s="181" t="str">
        <f>VLOOKUP(LEFT(A335,4),Groups!$A$1:$C$188,3,FALSE)</f>
        <v>Field Geological Descriptions</v>
      </c>
      <c r="J335" s="181" t="str">
        <f>VLOOKUP(A335,Headings!$C$1:$H$3948,4,FALSE)</f>
        <v>Legend code</v>
      </c>
      <c r="K335" s="181" t="str">
        <f t="shared" si="8"/>
        <v>GEOL_LEG|417</v>
      </c>
      <c r="L335" s="181"/>
    </row>
    <row r="336" spans="1:12" hidden="1" x14ac:dyDescent="0.35">
      <c r="A336" s="181" t="s">
        <v>617</v>
      </c>
      <c r="B336" s="182">
        <v>418</v>
      </c>
      <c r="C336" s="181" t="s">
        <v>6868</v>
      </c>
      <c r="D336" s="178">
        <v>4.0999999999999996</v>
      </c>
      <c r="E336" s="181" t="s">
        <v>6450</v>
      </c>
      <c r="F336" s="184">
        <v>40323</v>
      </c>
      <c r="G336" s="181"/>
      <c r="H336" s="181" t="s">
        <v>6451</v>
      </c>
      <c r="I336" s="181" t="str">
        <f>VLOOKUP(LEFT(A336,4),Groups!$A$1:$C$188,3,FALSE)</f>
        <v>Field Geological Descriptions</v>
      </c>
      <c r="J336" s="181" t="str">
        <f>VLOOKUP(A336,Headings!$C$1:$H$3948,4,FALSE)</f>
        <v>Legend code</v>
      </c>
      <c r="K336" s="181" t="str">
        <f t="shared" si="8"/>
        <v>GEOL_LEG|418</v>
      </c>
      <c r="L336" s="181"/>
    </row>
    <row r="337" spans="1:12" hidden="1" x14ac:dyDescent="0.35">
      <c r="A337" s="181" t="s">
        <v>617</v>
      </c>
      <c r="B337" s="182">
        <v>419</v>
      </c>
      <c r="C337" s="181" t="s">
        <v>6869</v>
      </c>
      <c r="D337" s="178">
        <v>4.0999999999999996</v>
      </c>
      <c r="E337" s="181" t="s">
        <v>6450</v>
      </c>
      <c r="F337" s="184">
        <v>42877</v>
      </c>
      <c r="G337" s="181"/>
      <c r="H337" s="181" t="s">
        <v>6451</v>
      </c>
      <c r="I337" s="181" t="str">
        <f>VLOOKUP(LEFT(A337,4),Groups!$A$1:$C$188,3,FALSE)</f>
        <v>Field Geological Descriptions</v>
      </c>
      <c r="J337" s="181" t="str">
        <f>VLOOKUP(A337,Headings!$C$1:$H$3948,4,FALSE)</f>
        <v>Legend code</v>
      </c>
      <c r="K337" s="181" t="str">
        <f t="shared" si="8"/>
        <v>GEOL_LEG|419</v>
      </c>
      <c r="L337" s="181"/>
    </row>
    <row r="338" spans="1:12" hidden="1" x14ac:dyDescent="0.35">
      <c r="A338" s="181" t="s">
        <v>617</v>
      </c>
      <c r="B338" s="182">
        <v>430</v>
      </c>
      <c r="C338" s="181" t="s">
        <v>6870</v>
      </c>
      <c r="D338" s="178">
        <v>4.0999999999999996</v>
      </c>
      <c r="E338" s="181" t="s">
        <v>6450</v>
      </c>
      <c r="F338" s="184">
        <v>40323</v>
      </c>
      <c r="G338" s="181"/>
      <c r="H338" s="181" t="s">
        <v>6451</v>
      </c>
      <c r="I338" s="181" t="str">
        <f>VLOOKUP(LEFT(A338,4),Groups!$A$1:$C$188,3,FALSE)</f>
        <v>Field Geological Descriptions</v>
      </c>
      <c r="J338" s="181" t="str">
        <f>VLOOKUP(A338,Headings!$C$1:$H$3948,4,FALSE)</f>
        <v>Legend code</v>
      </c>
      <c r="K338" s="181" t="str">
        <f t="shared" si="8"/>
        <v>GEOL_LEG|430</v>
      </c>
      <c r="L338" s="181"/>
    </row>
    <row r="339" spans="1:12" hidden="1" x14ac:dyDescent="0.35">
      <c r="A339" s="181" t="s">
        <v>617</v>
      </c>
      <c r="B339" s="182">
        <v>431</v>
      </c>
      <c r="C339" s="181" t="s">
        <v>6871</v>
      </c>
      <c r="D339" s="178">
        <v>4.0999999999999996</v>
      </c>
      <c r="E339" s="181" t="s">
        <v>6450</v>
      </c>
      <c r="F339" s="184">
        <v>40323</v>
      </c>
      <c r="G339" s="181"/>
      <c r="H339" s="181" t="s">
        <v>6451</v>
      </c>
      <c r="I339" s="181" t="str">
        <f>VLOOKUP(LEFT(A339,4),Groups!$A$1:$C$188,3,FALSE)</f>
        <v>Field Geological Descriptions</v>
      </c>
      <c r="J339" s="181" t="str">
        <f>VLOOKUP(A339,Headings!$C$1:$H$3948,4,FALSE)</f>
        <v>Legend code</v>
      </c>
      <c r="K339" s="181" t="str">
        <f t="shared" si="8"/>
        <v>GEOL_LEG|431</v>
      </c>
      <c r="L339" s="181"/>
    </row>
    <row r="340" spans="1:12" hidden="1" x14ac:dyDescent="0.35">
      <c r="A340" s="181" t="s">
        <v>617</v>
      </c>
      <c r="B340" s="182">
        <v>433</v>
      </c>
      <c r="C340" s="181" t="s">
        <v>6872</v>
      </c>
      <c r="D340" s="178">
        <v>4.0999999999999996</v>
      </c>
      <c r="E340" s="181" t="s">
        <v>6450</v>
      </c>
      <c r="F340" s="184">
        <v>40323</v>
      </c>
      <c r="G340" s="181"/>
      <c r="H340" s="181" t="s">
        <v>6451</v>
      </c>
      <c r="I340" s="181" t="str">
        <f>VLOOKUP(LEFT(A340,4),Groups!$A$1:$C$188,3,FALSE)</f>
        <v>Field Geological Descriptions</v>
      </c>
      <c r="J340" s="181" t="str">
        <f>VLOOKUP(A340,Headings!$C$1:$H$3948,4,FALSE)</f>
        <v>Legend code</v>
      </c>
      <c r="K340" s="181" t="str">
        <f t="shared" si="8"/>
        <v>GEOL_LEG|433</v>
      </c>
      <c r="L340" s="181"/>
    </row>
    <row r="341" spans="1:12" hidden="1" x14ac:dyDescent="0.35">
      <c r="A341" s="181" t="s">
        <v>617</v>
      </c>
      <c r="B341" s="182">
        <v>434</v>
      </c>
      <c r="C341" s="181" t="s">
        <v>6873</v>
      </c>
      <c r="D341" s="178">
        <v>4.0999999999999996</v>
      </c>
      <c r="E341" s="181" t="s">
        <v>6450</v>
      </c>
      <c r="F341" s="184">
        <v>40323</v>
      </c>
      <c r="G341" s="181"/>
      <c r="H341" s="181" t="s">
        <v>6451</v>
      </c>
      <c r="I341" s="181" t="str">
        <f>VLOOKUP(LEFT(A341,4),Groups!$A$1:$C$188,3,FALSE)</f>
        <v>Field Geological Descriptions</v>
      </c>
      <c r="J341" s="181" t="str">
        <f>VLOOKUP(A341,Headings!$C$1:$H$3948,4,FALSE)</f>
        <v>Legend code</v>
      </c>
      <c r="K341" s="181" t="str">
        <f t="shared" si="8"/>
        <v>GEOL_LEG|434</v>
      </c>
      <c r="L341" s="181"/>
    </row>
    <row r="342" spans="1:12" hidden="1" x14ac:dyDescent="0.35">
      <c r="A342" s="181" t="s">
        <v>617</v>
      </c>
      <c r="B342" s="182">
        <v>435</v>
      </c>
      <c r="C342" s="181" t="s">
        <v>6874</v>
      </c>
      <c r="D342" s="178">
        <v>4.0999999999999996</v>
      </c>
      <c r="E342" s="181" t="s">
        <v>6450</v>
      </c>
      <c r="F342" s="184">
        <v>40323</v>
      </c>
      <c r="G342" s="181"/>
      <c r="H342" s="181" t="s">
        <v>6451</v>
      </c>
      <c r="I342" s="181" t="str">
        <f>VLOOKUP(LEFT(A342,4),Groups!$A$1:$C$188,3,FALSE)</f>
        <v>Field Geological Descriptions</v>
      </c>
      <c r="J342" s="181" t="str">
        <f>VLOOKUP(A342,Headings!$C$1:$H$3948,4,FALSE)</f>
        <v>Legend code</v>
      </c>
      <c r="K342" s="181" t="str">
        <f t="shared" si="8"/>
        <v>GEOL_LEG|435</v>
      </c>
      <c r="L342" s="181"/>
    </row>
    <row r="343" spans="1:12" hidden="1" x14ac:dyDescent="0.35">
      <c r="A343" s="181" t="s">
        <v>617</v>
      </c>
      <c r="B343" s="182">
        <v>436</v>
      </c>
      <c r="C343" s="181" t="s">
        <v>6875</v>
      </c>
      <c r="D343" s="178">
        <v>4.0999999999999996</v>
      </c>
      <c r="E343" s="181" t="s">
        <v>6450</v>
      </c>
      <c r="F343" s="184">
        <v>40323</v>
      </c>
      <c r="G343" s="181"/>
      <c r="H343" s="181" t="s">
        <v>6451</v>
      </c>
      <c r="I343" s="181" t="str">
        <f>VLOOKUP(LEFT(A343,4),Groups!$A$1:$C$188,3,FALSE)</f>
        <v>Field Geological Descriptions</v>
      </c>
      <c r="J343" s="181" t="str">
        <f>VLOOKUP(A343,Headings!$C$1:$H$3948,4,FALSE)</f>
        <v>Legend code</v>
      </c>
      <c r="K343" s="181" t="str">
        <f t="shared" si="8"/>
        <v>GEOL_LEG|436</v>
      </c>
      <c r="L343" s="181"/>
    </row>
    <row r="344" spans="1:12" hidden="1" x14ac:dyDescent="0.35">
      <c r="A344" s="181" t="s">
        <v>617</v>
      </c>
      <c r="B344" s="182">
        <v>501</v>
      </c>
      <c r="C344" s="181" t="s">
        <v>691</v>
      </c>
      <c r="D344" s="178">
        <v>4.0999999999999996</v>
      </c>
      <c r="E344" s="181" t="s">
        <v>6450</v>
      </c>
      <c r="F344" s="184">
        <v>40323</v>
      </c>
      <c r="G344" s="181"/>
      <c r="H344" s="181" t="s">
        <v>6451</v>
      </c>
      <c r="I344" s="181" t="str">
        <f>VLOOKUP(LEFT(A344,4),Groups!$A$1:$C$188,3,FALSE)</f>
        <v>Field Geological Descriptions</v>
      </c>
      <c r="J344" s="181" t="str">
        <f>VLOOKUP(A344,Headings!$C$1:$H$3948,4,FALSE)</f>
        <v>Legend code</v>
      </c>
      <c r="K344" s="181" t="str">
        <f t="shared" si="8"/>
        <v>GEOL_LEG|501</v>
      </c>
      <c r="L344" s="181"/>
    </row>
    <row r="345" spans="1:12" hidden="1" x14ac:dyDescent="0.35">
      <c r="A345" s="181" t="s">
        <v>617</v>
      </c>
      <c r="B345" s="182">
        <v>502</v>
      </c>
      <c r="C345" s="181" t="s">
        <v>6876</v>
      </c>
      <c r="D345" s="178">
        <v>4.0999999999999996</v>
      </c>
      <c r="E345" s="181" t="s">
        <v>6450</v>
      </c>
      <c r="F345" s="184">
        <v>40323</v>
      </c>
      <c r="G345" s="181"/>
      <c r="H345" s="181" t="s">
        <v>6451</v>
      </c>
      <c r="I345" s="181" t="str">
        <f>VLOOKUP(LEFT(A345,4),Groups!$A$1:$C$188,3,FALSE)</f>
        <v>Field Geological Descriptions</v>
      </c>
      <c r="J345" s="181" t="str">
        <f>VLOOKUP(A345,Headings!$C$1:$H$3948,4,FALSE)</f>
        <v>Legend code</v>
      </c>
      <c r="K345" s="181" t="str">
        <f t="shared" si="8"/>
        <v>GEOL_LEG|502</v>
      </c>
      <c r="L345" s="181"/>
    </row>
    <row r="346" spans="1:12" hidden="1" x14ac:dyDescent="0.35">
      <c r="A346" s="181" t="s">
        <v>617</v>
      </c>
      <c r="B346" s="182">
        <v>503</v>
      </c>
      <c r="C346" s="181" t="s">
        <v>6877</v>
      </c>
      <c r="D346" s="178">
        <v>4.0999999999999996</v>
      </c>
      <c r="E346" s="181" t="s">
        <v>6450</v>
      </c>
      <c r="F346" s="184">
        <v>40323</v>
      </c>
      <c r="G346" s="181"/>
      <c r="H346" s="181" t="s">
        <v>6451</v>
      </c>
      <c r="I346" s="181" t="str">
        <f>VLOOKUP(LEFT(A346,4),Groups!$A$1:$C$188,3,FALSE)</f>
        <v>Field Geological Descriptions</v>
      </c>
      <c r="J346" s="181" t="str">
        <f>VLOOKUP(A346,Headings!$C$1:$H$3948,4,FALSE)</f>
        <v>Legend code</v>
      </c>
      <c r="K346" s="181" t="str">
        <f t="shared" si="8"/>
        <v>GEOL_LEG|503</v>
      </c>
      <c r="L346" s="181"/>
    </row>
    <row r="347" spans="1:12" hidden="1" x14ac:dyDescent="0.35">
      <c r="A347" s="181" t="s">
        <v>617</v>
      </c>
      <c r="B347" s="182">
        <v>504</v>
      </c>
      <c r="C347" s="181" t="s">
        <v>6878</v>
      </c>
      <c r="D347" s="178">
        <v>4.0999999999999996</v>
      </c>
      <c r="E347" s="181" t="s">
        <v>6450</v>
      </c>
      <c r="F347" s="184">
        <v>40323</v>
      </c>
      <c r="G347" s="181"/>
      <c r="H347" s="181" t="s">
        <v>6451</v>
      </c>
      <c r="I347" s="181" t="str">
        <f>VLOOKUP(LEFT(A347,4),Groups!$A$1:$C$188,3,FALSE)</f>
        <v>Field Geological Descriptions</v>
      </c>
      <c r="J347" s="181" t="str">
        <f>VLOOKUP(A347,Headings!$C$1:$H$3948,4,FALSE)</f>
        <v>Legend code</v>
      </c>
      <c r="K347" s="181" t="str">
        <f t="shared" si="8"/>
        <v>GEOL_LEG|504</v>
      </c>
      <c r="L347" s="181"/>
    </row>
    <row r="348" spans="1:12" hidden="1" x14ac:dyDescent="0.35">
      <c r="A348" s="181" t="s">
        <v>617</v>
      </c>
      <c r="B348" s="182">
        <v>505</v>
      </c>
      <c r="C348" s="181" t="s">
        <v>6879</v>
      </c>
      <c r="D348" s="178">
        <v>4.0999999999999996</v>
      </c>
      <c r="E348" s="181" t="s">
        <v>6450</v>
      </c>
      <c r="F348" s="184">
        <v>40323</v>
      </c>
      <c r="G348" s="181"/>
      <c r="H348" s="181" t="s">
        <v>6451</v>
      </c>
      <c r="I348" s="181" t="str">
        <f>VLOOKUP(LEFT(A348,4),Groups!$A$1:$C$188,3,FALSE)</f>
        <v>Field Geological Descriptions</v>
      </c>
      <c r="J348" s="181" t="str">
        <f>VLOOKUP(A348,Headings!$C$1:$H$3948,4,FALSE)</f>
        <v>Legend code</v>
      </c>
      <c r="K348" s="181" t="str">
        <f t="shared" si="8"/>
        <v>GEOL_LEG|505</v>
      </c>
      <c r="L348" s="181"/>
    </row>
    <row r="349" spans="1:12" hidden="1" x14ac:dyDescent="0.35">
      <c r="A349" s="181" t="s">
        <v>617</v>
      </c>
      <c r="B349" s="182">
        <v>506</v>
      </c>
      <c r="C349" s="181" t="s">
        <v>6880</v>
      </c>
      <c r="D349" s="178">
        <v>4.0999999999999996</v>
      </c>
      <c r="E349" s="181" t="s">
        <v>6450</v>
      </c>
      <c r="F349" s="184">
        <v>40323</v>
      </c>
      <c r="G349" s="181"/>
      <c r="H349" s="181" t="s">
        <v>6451</v>
      </c>
      <c r="I349" s="181" t="str">
        <f>VLOOKUP(LEFT(A349,4),Groups!$A$1:$C$188,3,FALSE)</f>
        <v>Field Geological Descriptions</v>
      </c>
      <c r="J349" s="181" t="str">
        <f>VLOOKUP(A349,Headings!$C$1:$H$3948,4,FALSE)</f>
        <v>Legend code</v>
      </c>
      <c r="K349" s="181" t="str">
        <f t="shared" si="8"/>
        <v>GEOL_LEG|506</v>
      </c>
      <c r="L349" s="181"/>
    </row>
    <row r="350" spans="1:12" hidden="1" x14ac:dyDescent="0.35">
      <c r="A350" s="181" t="s">
        <v>617</v>
      </c>
      <c r="B350" s="182">
        <v>507</v>
      </c>
      <c r="C350" s="181" t="s">
        <v>6881</v>
      </c>
      <c r="D350" s="178">
        <v>4.0999999999999996</v>
      </c>
      <c r="E350" s="181" t="s">
        <v>6450</v>
      </c>
      <c r="F350" s="184">
        <v>40323</v>
      </c>
      <c r="G350" s="181"/>
      <c r="H350" s="181" t="s">
        <v>6451</v>
      </c>
      <c r="I350" s="181" t="str">
        <f>VLOOKUP(LEFT(A350,4),Groups!$A$1:$C$188,3,FALSE)</f>
        <v>Field Geological Descriptions</v>
      </c>
      <c r="J350" s="181" t="str">
        <f>VLOOKUP(A350,Headings!$C$1:$H$3948,4,FALSE)</f>
        <v>Legend code</v>
      </c>
      <c r="K350" s="181" t="str">
        <f t="shared" si="8"/>
        <v>GEOL_LEG|507</v>
      </c>
      <c r="L350" s="181"/>
    </row>
    <row r="351" spans="1:12" hidden="1" x14ac:dyDescent="0.35">
      <c r="A351" s="181" t="s">
        <v>617</v>
      </c>
      <c r="B351" s="182">
        <v>509</v>
      </c>
      <c r="C351" s="181" t="s">
        <v>6882</v>
      </c>
      <c r="D351" s="178">
        <v>4.0999999999999996</v>
      </c>
      <c r="E351" s="181" t="s">
        <v>6450</v>
      </c>
      <c r="F351" s="184">
        <v>40323</v>
      </c>
      <c r="G351" s="181"/>
      <c r="H351" s="181" t="s">
        <v>6451</v>
      </c>
      <c r="I351" s="181" t="str">
        <f>VLOOKUP(LEFT(A351,4),Groups!$A$1:$C$188,3,FALSE)</f>
        <v>Field Geological Descriptions</v>
      </c>
      <c r="J351" s="181" t="str">
        <f>VLOOKUP(A351,Headings!$C$1:$H$3948,4,FALSE)</f>
        <v>Legend code</v>
      </c>
      <c r="K351" s="181" t="str">
        <f t="shared" si="8"/>
        <v>GEOL_LEG|509</v>
      </c>
      <c r="L351" s="181"/>
    </row>
    <row r="352" spans="1:12" hidden="1" x14ac:dyDescent="0.35">
      <c r="A352" s="181" t="s">
        <v>617</v>
      </c>
      <c r="B352" s="182">
        <v>510</v>
      </c>
      <c r="C352" s="181" t="s">
        <v>6883</v>
      </c>
      <c r="D352" s="178">
        <v>4.0999999999999996</v>
      </c>
      <c r="E352" s="181" t="s">
        <v>6450</v>
      </c>
      <c r="F352" s="184">
        <v>40323</v>
      </c>
      <c r="G352" s="181"/>
      <c r="H352" s="181" t="s">
        <v>6451</v>
      </c>
      <c r="I352" s="181" t="str">
        <f>VLOOKUP(LEFT(A352,4),Groups!$A$1:$C$188,3,FALSE)</f>
        <v>Field Geological Descriptions</v>
      </c>
      <c r="J352" s="181" t="str">
        <f>VLOOKUP(A352,Headings!$C$1:$H$3948,4,FALSE)</f>
        <v>Legend code</v>
      </c>
      <c r="K352" s="181" t="str">
        <f t="shared" si="8"/>
        <v>GEOL_LEG|510</v>
      </c>
      <c r="L352" s="181"/>
    </row>
    <row r="353" spans="1:12" hidden="1" x14ac:dyDescent="0.35">
      <c r="A353" s="181" t="s">
        <v>617</v>
      </c>
      <c r="B353" s="182">
        <v>511</v>
      </c>
      <c r="C353" s="181" t="s">
        <v>6884</v>
      </c>
      <c r="D353" s="178">
        <v>4.0999999999999996</v>
      </c>
      <c r="E353" s="181" t="s">
        <v>6450</v>
      </c>
      <c r="F353" s="184">
        <v>40323</v>
      </c>
      <c r="G353" s="181"/>
      <c r="H353" s="181" t="s">
        <v>6451</v>
      </c>
      <c r="I353" s="181" t="str">
        <f>VLOOKUP(LEFT(A353,4),Groups!$A$1:$C$188,3,FALSE)</f>
        <v>Field Geological Descriptions</v>
      </c>
      <c r="J353" s="181" t="str">
        <f>VLOOKUP(A353,Headings!$C$1:$H$3948,4,FALSE)</f>
        <v>Legend code</v>
      </c>
      <c r="K353" s="181" t="str">
        <f t="shared" si="8"/>
        <v>GEOL_LEG|511</v>
      </c>
      <c r="L353" s="181"/>
    </row>
    <row r="354" spans="1:12" hidden="1" x14ac:dyDescent="0.35">
      <c r="A354" s="181" t="s">
        <v>617</v>
      </c>
      <c r="B354" s="182">
        <v>512</v>
      </c>
      <c r="C354" s="181" t="s">
        <v>6885</v>
      </c>
      <c r="D354" s="178">
        <v>4.0999999999999996</v>
      </c>
      <c r="E354" s="181" t="s">
        <v>6450</v>
      </c>
      <c r="F354" s="184">
        <v>40323</v>
      </c>
      <c r="G354" s="181"/>
      <c r="H354" s="181" t="s">
        <v>6451</v>
      </c>
      <c r="I354" s="181" t="str">
        <f>VLOOKUP(LEFT(A354,4),Groups!$A$1:$C$188,3,FALSE)</f>
        <v>Field Geological Descriptions</v>
      </c>
      <c r="J354" s="181" t="str">
        <f>VLOOKUP(A354,Headings!$C$1:$H$3948,4,FALSE)</f>
        <v>Legend code</v>
      </c>
      <c r="K354" s="181" t="str">
        <f t="shared" si="8"/>
        <v>GEOL_LEG|512</v>
      </c>
      <c r="L354" s="181"/>
    </row>
    <row r="355" spans="1:12" hidden="1" x14ac:dyDescent="0.35">
      <c r="A355" s="181" t="s">
        <v>617</v>
      </c>
      <c r="B355" s="182">
        <v>513</v>
      </c>
      <c r="C355" s="181" t="s">
        <v>6886</v>
      </c>
      <c r="D355" s="178">
        <v>4.0999999999999996</v>
      </c>
      <c r="E355" s="181" t="s">
        <v>6450</v>
      </c>
      <c r="F355" s="184">
        <v>42829</v>
      </c>
      <c r="G355" s="181"/>
      <c r="H355" s="181" t="s">
        <v>6451</v>
      </c>
      <c r="I355" s="181" t="str">
        <f>VLOOKUP(LEFT(A355,4),Groups!$A$1:$C$188,3,FALSE)</f>
        <v>Field Geological Descriptions</v>
      </c>
      <c r="J355" s="181" t="str">
        <f>VLOOKUP(A355,Headings!$C$1:$H$3948,4,FALSE)</f>
        <v>Legend code</v>
      </c>
      <c r="K355" s="181" t="str">
        <f t="shared" si="8"/>
        <v>GEOL_LEG|513</v>
      </c>
      <c r="L355" s="181"/>
    </row>
    <row r="356" spans="1:12" hidden="1" x14ac:dyDescent="0.35">
      <c r="A356" s="181" t="s">
        <v>617</v>
      </c>
      <c r="B356" s="182">
        <v>517</v>
      </c>
      <c r="C356" s="181" t="s">
        <v>6887</v>
      </c>
      <c r="D356" s="178">
        <v>4.0999999999999996</v>
      </c>
      <c r="E356" s="181" t="s">
        <v>6450</v>
      </c>
      <c r="F356" s="184">
        <v>40323</v>
      </c>
      <c r="G356" s="181"/>
      <c r="H356" s="181" t="s">
        <v>6451</v>
      </c>
      <c r="I356" s="181" t="str">
        <f>VLOOKUP(LEFT(A356,4),Groups!$A$1:$C$188,3,FALSE)</f>
        <v>Field Geological Descriptions</v>
      </c>
      <c r="J356" s="181" t="str">
        <f>VLOOKUP(A356,Headings!$C$1:$H$3948,4,FALSE)</f>
        <v>Legend code</v>
      </c>
      <c r="K356" s="181" t="str">
        <f t="shared" si="8"/>
        <v>GEOL_LEG|517</v>
      </c>
      <c r="L356" s="181"/>
    </row>
    <row r="357" spans="1:12" hidden="1" x14ac:dyDescent="0.35">
      <c r="A357" s="181" t="s">
        <v>617</v>
      </c>
      <c r="B357" s="182">
        <v>520</v>
      </c>
      <c r="C357" s="181" t="s">
        <v>6888</v>
      </c>
      <c r="D357" s="178">
        <v>4.0999999999999996</v>
      </c>
      <c r="E357" s="181" t="s">
        <v>6450</v>
      </c>
      <c r="F357" s="184">
        <v>40323</v>
      </c>
      <c r="G357" s="181"/>
      <c r="H357" s="181" t="s">
        <v>6451</v>
      </c>
      <c r="I357" s="181" t="str">
        <f>VLOOKUP(LEFT(A357,4),Groups!$A$1:$C$188,3,FALSE)</f>
        <v>Field Geological Descriptions</v>
      </c>
      <c r="J357" s="181" t="str">
        <f>VLOOKUP(A357,Headings!$C$1:$H$3948,4,FALSE)</f>
        <v>Legend code</v>
      </c>
      <c r="K357" s="181" t="str">
        <f t="shared" si="8"/>
        <v>GEOL_LEG|520</v>
      </c>
      <c r="L357" s="181"/>
    </row>
    <row r="358" spans="1:12" hidden="1" x14ac:dyDescent="0.35">
      <c r="A358" s="181" t="s">
        <v>617</v>
      </c>
      <c r="B358" s="182">
        <v>521</v>
      </c>
      <c r="C358" s="181" t="s">
        <v>6889</v>
      </c>
      <c r="D358" s="178">
        <v>4.0999999999999996</v>
      </c>
      <c r="E358" s="181" t="s">
        <v>6450</v>
      </c>
      <c r="F358" s="184">
        <v>40323</v>
      </c>
      <c r="G358" s="181"/>
      <c r="H358" s="181" t="s">
        <v>6451</v>
      </c>
      <c r="I358" s="181" t="str">
        <f>VLOOKUP(LEFT(A358,4),Groups!$A$1:$C$188,3,FALSE)</f>
        <v>Field Geological Descriptions</v>
      </c>
      <c r="J358" s="181" t="str">
        <f>VLOOKUP(A358,Headings!$C$1:$H$3948,4,FALSE)</f>
        <v>Legend code</v>
      </c>
      <c r="K358" s="181" t="str">
        <f t="shared" si="8"/>
        <v>GEOL_LEG|521</v>
      </c>
      <c r="L358" s="181"/>
    </row>
    <row r="359" spans="1:12" hidden="1" x14ac:dyDescent="0.35">
      <c r="A359" s="181" t="s">
        <v>617</v>
      </c>
      <c r="B359" s="182">
        <v>522</v>
      </c>
      <c r="C359" s="181" t="s">
        <v>6890</v>
      </c>
      <c r="D359" s="178">
        <v>4.0999999999999996</v>
      </c>
      <c r="E359" s="181" t="s">
        <v>6450</v>
      </c>
      <c r="F359" s="184">
        <v>40323</v>
      </c>
      <c r="G359" s="181"/>
      <c r="H359" s="181" t="s">
        <v>6451</v>
      </c>
      <c r="I359" s="181" t="str">
        <f>VLOOKUP(LEFT(A359,4),Groups!$A$1:$C$188,3,FALSE)</f>
        <v>Field Geological Descriptions</v>
      </c>
      <c r="J359" s="181" t="str">
        <f>VLOOKUP(A359,Headings!$C$1:$H$3948,4,FALSE)</f>
        <v>Legend code</v>
      </c>
      <c r="K359" s="181" t="str">
        <f t="shared" si="8"/>
        <v>GEOL_LEG|522</v>
      </c>
      <c r="L359" s="181"/>
    </row>
    <row r="360" spans="1:12" hidden="1" x14ac:dyDescent="0.35">
      <c r="A360" s="181" t="s">
        <v>617</v>
      </c>
      <c r="B360" s="182">
        <v>523</v>
      </c>
      <c r="C360" s="181" t="s">
        <v>6891</v>
      </c>
      <c r="D360" s="178">
        <v>4.0999999999999996</v>
      </c>
      <c r="E360" s="181" t="s">
        <v>6450</v>
      </c>
      <c r="F360" s="184">
        <v>40323</v>
      </c>
      <c r="G360" s="181"/>
      <c r="H360" s="181" t="s">
        <v>6451</v>
      </c>
      <c r="I360" s="181" t="str">
        <f>VLOOKUP(LEFT(A360,4),Groups!$A$1:$C$188,3,FALSE)</f>
        <v>Field Geological Descriptions</v>
      </c>
      <c r="J360" s="181" t="str">
        <f>VLOOKUP(A360,Headings!$C$1:$H$3948,4,FALSE)</f>
        <v>Legend code</v>
      </c>
      <c r="K360" s="181" t="str">
        <f t="shared" si="8"/>
        <v>GEOL_LEG|523</v>
      </c>
      <c r="L360" s="181"/>
    </row>
    <row r="361" spans="1:12" hidden="1" x14ac:dyDescent="0.35">
      <c r="A361" s="181" t="s">
        <v>617</v>
      </c>
      <c r="B361" s="182">
        <v>524</v>
      </c>
      <c r="C361" s="181" t="s">
        <v>6892</v>
      </c>
      <c r="D361" s="178">
        <v>4.0999999999999996</v>
      </c>
      <c r="E361" s="181" t="s">
        <v>6450</v>
      </c>
      <c r="F361" s="184">
        <v>40323</v>
      </c>
      <c r="G361" s="181"/>
      <c r="H361" s="181" t="s">
        <v>6451</v>
      </c>
      <c r="I361" s="181" t="str">
        <f>VLOOKUP(LEFT(A361,4),Groups!$A$1:$C$188,3,FALSE)</f>
        <v>Field Geological Descriptions</v>
      </c>
      <c r="J361" s="181" t="str">
        <f>VLOOKUP(A361,Headings!$C$1:$H$3948,4,FALSE)</f>
        <v>Legend code</v>
      </c>
      <c r="K361" s="181" t="str">
        <f t="shared" si="8"/>
        <v>GEOL_LEG|524</v>
      </c>
      <c r="L361" s="181"/>
    </row>
    <row r="362" spans="1:12" hidden="1" x14ac:dyDescent="0.35">
      <c r="A362" s="181" t="s">
        <v>617</v>
      </c>
      <c r="B362" s="182">
        <v>525</v>
      </c>
      <c r="C362" s="181" t="s">
        <v>6893</v>
      </c>
      <c r="D362" s="178">
        <v>4.0999999999999996</v>
      </c>
      <c r="E362" s="181" t="s">
        <v>6450</v>
      </c>
      <c r="F362" s="184">
        <v>40323</v>
      </c>
      <c r="G362" s="181"/>
      <c r="H362" s="181" t="s">
        <v>6451</v>
      </c>
      <c r="I362" s="181" t="str">
        <f>VLOOKUP(LEFT(A362,4),Groups!$A$1:$C$188,3,FALSE)</f>
        <v>Field Geological Descriptions</v>
      </c>
      <c r="J362" s="181" t="str">
        <f>VLOOKUP(A362,Headings!$C$1:$H$3948,4,FALSE)</f>
        <v>Legend code</v>
      </c>
      <c r="K362" s="181" t="str">
        <f t="shared" si="8"/>
        <v>GEOL_LEG|525</v>
      </c>
      <c r="L362" s="181"/>
    </row>
    <row r="363" spans="1:12" hidden="1" x14ac:dyDescent="0.35">
      <c r="A363" s="181" t="s">
        <v>617</v>
      </c>
      <c r="B363" s="182">
        <v>526</v>
      </c>
      <c r="C363" s="181" t="s">
        <v>6894</v>
      </c>
      <c r="D363" s="178">
        <v>4.0999999999999996</v>
      </c>
      <c r="E363" s="181" t="s">
        <v>6450</v>
      </c>
      <c r="F363" s="184">
        <v>40323</v>
      </c>
      <c r="G363" s="181"/>
      <c r="H363" s="181" t="s">
        <v>6451</v>
      </c>
      <c r="I363" s="181" t="str">
        <f>VLOOKUP(LEFT(A363,4),Groups!$A$1:$C$188,3,FALSE)</f>
        <v>Field Geological Descriptions</v>
      </c>
      <c r="J363" s="181" t="str">
        <f>VLOOKUP(A363,Headings!$C$1:$H$3948,4,FALSE)</f>
        <v>Legend code</v>
      </c>
      <c r="K363" s="181" t="str">
        <f t="shared" si="8"/>
        <v>GEOL_LEG|526</v>
      </c>
      <c r="L363" s="181"/>
    </row>
    <row r="364" spans="1:12" hidden="1" x14ac:dyDescent="0.35">
      <c r="A364" s="181" t="s">
        <v>617</v>
      </c>
      <c r="B364" s="182">
        <v>527</v>
      </c>
      <c r="C364" s="181" t="s">
        <v>6895</v>
      </c>
      <c r="D364" s="178">
        <v>4.0999999999999996</v>
      </c>
      <c r="E364" s="181" t="s">
        <v>6450</v>
      </c>
      <c r="F364" s="184">
        <v>40323</v>
      </c>
      <c r="G364" s="181"/>
      <c r="H364" s="181" t="s">
        <v>6451</v>
      </c>
      <c r="I364" s="181" t="str">
        <f>VLOOKUP(LEFT(A364,4),Groups!$A$1:$C$188,3,FALSE)</f>
        <v>Field Geological Descriptions</v>
      </c>
      <c r="J364" s="181" t="str">
        <f>VLOOKUP(A364,Headings!$C$1:$H$3948,4,FALSE)</f>
        <v>Legend code</v>
      </c>
      <c r="K364" s="181" t="str">
        <f t="shared" si="8"/>
        <v>GEOL_LEG|527</v>
      </c>
      <c r="L364" s="181"/>
    </row>
    <row r="365" spans="1:12" hidden="1" x14ac:dyDescent="0.35">
      <c r="A365" s="181" t="s">
        <v>617</v>
      </c>
      <c r="B365" s="182">
        <v>528</v>
      </c>
      <c r="C365" s="181" t="s">
        <v>6896</v>
      </c>
      <c r="D365" s="178">
        <v>4.0999999999999996</v>
      </c>
      <c r="E365" s="181" t="s">
        <v>6450</v>
      </c>
      <c r="F365" s="184">
        <v>40323</v>
      </c>
      <c r="G365" s="181"/>
      <c r="H365" s="181" t="s">
        <v>6451</v>
      </c>
      <c r="I365" s="181" t="str">
        <f>VLOOKUP(LEFT(A365,4),Groups!$A$1:$C$188,3,FALSE)</f>
        <v>Field Geological Descriptions</v>
      </c>
      <c r="J365" s="181" t="str">
        <f>VLOOKUP(A365,Headings!$C$1:$H$3948,4,FALSE)</f>
        <v>Legend code</v>
      </c>
      <c r="K365" s="181" t="str">
        <f t="shared" si="8"/>
        <v>GEOL_LEG|528</v>
      </c>
      <c r="L365" s="181"/>
    </row>
    <row r="366" spans="1:12" hidden="1" x14ac:dyDescent="0.35">
      <c r="A366" s="181" t="s">
        <v>617</v>
      </c>
      <c r="B366" s="182">
        <v>601</v>
      </c>
      <c r="C366" s="181" t="s">
        <v>6897</v>
      </c>
      <c r="D366" s="178">
        <v>4.0999999999999996</v>
      </c>
      <c r="E366" s="181" t="s">
        <v>6450</v>
      </c>
      <c r="F366" s="184">
        <v>40323</v>
      </c>
      <c r="G366" s="181"/>
      <c r="H366" s="181" t="s">
        <v>6451</v>
      </c>
      <c r="I366" s="181" t="str">
        <f>VLOOKUP(LEFT(A366,4),Groups!$A$1:$C$188,3,FALSE)</f>
        <v>Field Geological Descriptions</v>
      </c>
      <c r="J366" s="181" t="str">
        <f>VLOOKUP(A366,Headings!$C$1:$H$3948,4,FALSE)</f>
        <v>Legend code</v>
      </c>
      <c r="K366" s="181" t="str">
        <f t="shared" si="8"/>
        <v>GEOL_LEG|601</v>
      </c>
      <c r="L366" s="181"/>
    </row>
    <row r="367" spans="1:12" hidden="1" x14ac:dyDescent="0.35">
      <c r="A367" s="181" t="s">
        <v>617</v>
      </c>
      <c r="B367" s="182">
        <v>602</v>
      </c>
      <c r="C367" s="181" t="s">
        <v>6898</v>
      </c>
      <c r="D367" s="178">
        <v>4.0999999999999996</v>
      </c>
      <c r="E367" s="181" t="s">
        <v>6450</v>
      </c>
      <c r="F367" s="184">
        <v>40323</v>
      </c>
      <c r="G367" s="181"/>
      <c r="H367" s="181" t="s">
        <v>6451</v>
      </c>
      <c r="I367" s="181" t="str">
        <f>VLOOKUP(LEFT(A367,4),Groups!$A$1:$C$188,3,FALSE)</f>
        <v>Field Geological Descriptions</v>
      </c>
      <c r="J367" s="181" t="str">
        <f>VLOOKUP(A367,Headings!$C$1:$H$3948,4,FALSE)</f>
        <v>Legend code</v>
      </c>
      <c r="K367" s="181" t="str">
        <f t="shared" si="8"/>
        <v>GEOL_LEG|602</v>
      </c>
      <c r="L367" s="181"/>
    </row>
    <row r="368" spans="1:12" hidden="1" x14ac:dyDescent="0.35">
      <c r="A368" s="181" t="s">
        <v>617</v>
      </c>
      <c r="B368" s="182">
        <v>603</v>
      </c>
      <c r="C368" s="181" t="s">
        <v>6899</v>
      </c>
      <c r="D368" s="178">
        <v>4.0999999999999996</v>
      </c>
      <c r="E368" s="181" t="s">
        <v>6450</v>
      </c>
      <c r="F368" s="184">
        <v>40323</v>
      </c>
      <c r="G368" s="181"/>
      <c r="H368" s="181" t="s">
        <v>6451</v>
      </c>
      <c r="I368" s="181" t="str">
        <f>VLOOKUP(LEFT(A368,4),Groups!$A$1:$C$188,3,FALSE)</f>
        <v>Field Geological Descriptions</v>
      </c>
      <c r="J368" s="181" t="str">
        <f>VLOOKUP(A368,Headings!$C$1:$H$3948,4,FALSE)</f>
        <v>Legend code</v>
      </c>
      <c r="K368" s="181" t="str">
        <f t="shared" si="8"/>
        <v>GEOL_LEG|603</v>
      </c>
      <c r="L368" s="181"/>
    </row>
    <row r="369" spans="1:12" hidden="1" x14ac:dyDescent="0.35">
      <c r="A369" s="181" t="s">
        <v>617</v>
      </c>
      <c r="B369" s="182">
        <v>604</v>
      </c>
      <c r="C369" s="181" t="s">
        <v>6900</v>
      </c>
      <c r="D369" s="178">
        <v>4.0999999999999996</v>
      </c>
      <c r="E369" s="181" t="s">
        <v>6450</v>
      </c>
      <c r="F369" s="184">
        <v>40323</v>
      </c>
      <c r="G369" s="181"/>
      <c r="H369" s="181" t="s">
        <v>6451</v>
      </c>
      <c r="I369" s="181" t="str">
        <f>VLOOKUP(LEFT(A369,4),Groups!$A$1:$C$188,3,FALSE)</f>
        <v>Field Geological Descriptions</v>
      </c>
      <c r="J369" s="181" t="str">
        <f>VLOOKUP(A369,Headings!$C$1:$H$3948,4,FALSE)</f>
        <v>Legend code</v>
      </c>
      <c r="K369" s="181" t="str">
        <f t="shared" si="8"/>
        <v>GEOL_LEG|604</v>
      </c>
      <c r="L369" s="181"/>
    </row>
    <row r="370" spans="1:12" hidden="1" x14ac:dyDescent="0.35">
      <c r="A370" s="181" t="s">
        <v>617</v>
      </c>
      <c r="B370" s="182">
        <v>605</v>
      </c>
      <c r="C370" s="181" t="s">
        <v>6901</v>
      </c>
      <c r="D370" s="178">
        <v>4.0999999999999996</v>
      </c>
      <c r="E370" s="181" t="s">
        <v>6450</v>
      </c>
      <c r="F370" s="184">
        <v>40323</v>
      </c>
      <c r="G370" s="181"/>
      <c r="H370" s="181" t="s">
        <v>6451</v>
      </c>
      <c r="I370" s="181" t="str">
        <f>VLOOKUP(LEFT(A370,4),Groups!$A$1:$C$188,3,FALSE)</f>
        <v>Field Geological Descriptions</v>
      </c>
      <c r="J370" s="181" t="str">
        <f>VLOOKUP(A370,Headings!$C$1:$H$3948,4,FALSE)</f>
        <v>Legend code</v>
      </c>
      <c r="K370" s="181" t="str">
        <f t="shared" si="8"/>
        <v>GEOL_LEG|605</v>
      </c>
      <c r="L370" s="181"/>
    </row>
    <row r="371" spans="1:12" hidden="1" x14ac:dyDescent="0.35">
      <c r="A371" s="181" t="s">
        <v>617</v>
      </c>
      <c r="B371" s="182">
        <v>606</v>
      </c>
      <c r="C371" s="181" t="s">
        <v>6902</v>
      </c>
      <c r="D371" s="178">
        <v>4.0999999999999996</v>
      </c>
      <c r="E371" s="181" t="s">
        <v>6450</v>
      </c>
      <c r="F371" s="184">
        <v>40323</v>
      </c>
      <c r="G371" s="181"/>
      <c r="H371" s="181" t="s">
        <v>6451</v>
      </c>
      <c r="I371" s="181" t="str">
        <f>VLOOKUP(LEFT(A371,4),Groups!$A$1:$C$188,3,FALSE)</f>
        <v>Field Geological Descriptions</v>
      </c>
      <c r="J371" s="181" t="str">
        <f>VLOOKUP(A371,Headings!$C$1:$H$3948,4,FALSE)</f>
        <v>Legend code</v>
      </c>
      <c r="K371" s="181" t="str">
        <f t="shared" si="8"/>
        <v>GEOL_LEG|606</v>
      </c>
      <c r="L371" s="181"/>
    </row>
    <row r="372" spans="1:12" hidden="1" x14ac:dyDescent="0.35">
      <c r="A372" s="181" t="s">
        <v>617</v>
      </c>
      <c r="B372" s="182">
        <v>608</v>
      </c>
      <c r="C372" s="181" t="s">
        <v>6903</v>
      </c>
      <c r="D372" s="178">
        <v>4.0999999999999996</v>
      </c>
      <c r="E372" s="181" t="s">
        <v>6450</v>
      </c>
      <c r="F372" s="184">
        <v>40323</v>
      </c>
      <c r="G372" s="181"/>
      <c r="H372" s="181" t="s">
        <v>6451</v>
      </c>
      <c r="I372" s="181" t="str">
        <f>VLOOKUP(LEFT(A372,4),Groups!$A$1:$C$188,3,FALSE)</f>
        <v>Field Geological Descriptions</v>
      </c>
      <c r="J372" s="181" t="str">
        <f>VLOOKUP(A372,Headings!$C$1:$H$3948,4,FALSE)</f>
        <v>Legend code</v>
      </c>
      <c r="K372" s="181" t="str">
        <f t="shared" si="8"/>
        <v>GEOL_LEG|608</v>
      </c>
      <c r="L372" s="181"/>
    </row>
    <row r="373" spans="1:12" hidden="1" x14ac:dyDescent="0.35">
      <c r="A373" s="181" t="s">
        <v>617</v>
      </c>
      <c r="B373" s="182">
        <v>609</v>
      </c>
      <c r="C373" s="181" t="s">
        <v>6904</v>
      </c>
      <c r="D373" s="178">
        <v>4.0999999999999996</v>
      </c>
      <c r="E373" s="181" t="s">
        <v>6450</v>
      </c>
      <c r="F373" s="184">
        <v>40323</v>
      </c>
      <c r="G373" s="181"/>
      <c r="H373" s="181" t="s">
        <v>6451</v>
      </c>
      <c r="I373" s="181" t="str">
        <f>VLOOKUP(LEFT(A373,4),Groups!$A$1:$C$188,3,FALSE)</f>
        <v>Field Geological Descriptions</v>
      </c>
      <c r="J373" s="181" t="str">
        <f>VLOOKUP(A373,Headings!$C$1:$H$3948,4,FALSE)</f>
        <v>Legend code</v>
      </c>
      <c r="K373" s="181" t="str">
        <f t="shared" si="8"/>
        <v>GEOL_LEG|609</v>
      </c>
      <c r="L373" s="181"/>
    </row>
    <row r="374" spans="1:12" hidden="1" x14ac:dyDescent="0.35">
      <c r="A374" s="181" t="s">
        <v>617</v>
      </c>
      <c r="B374" s="182">
        <v>612</v>
      </c>
      <c r="C374" s="181" t="s">
        <v>6905</v>
      </c>
      <c r="D374" s="178">
        <v>4.0999999999999996</v>
      </c>
      <c r="E374" s="181" t="s">
        <v>6450</v>
      </c>
      <c r="F374" s="184">
        <v>40323</v>
      </c>
      <c r="G374" s="181"/>
      <c r="H374" s="181" t="s">
        <v>6451</v>
      </c>
      <c r="I374" s="181" t="str">
        <f>VLOOKUP(LEFT(A374,4),Groups!$A$1:$C$188,3,FALSE)</f>
        <v>Field Geological Descriptions</v>
      </c>
      <c r="J374" s="181" t="str">
        <f>VLOOKUP(A374,Headings!$C$1:$H$3948,4,FALSE)</f>
        <v>Legend code</v>
      </c>
      <c r="K374" s="181" t="str">
        <f t="shared" si="8"/>
        <v>GEOL_LEG|612</v>
      </c>
      <c r="L374" s="181"/>
    </row>
    <row r="375" spans="1:12" hidden="1" x14ac:dyDescent="0.35">
      <c r="A375" s="181" t="s">
        <v>617</v>
      </c>
      <c r="B375" s="182">
        <v>613</v>
      </c>
      <c r="C375" s="181" t="s">
        <v>6906</v>
      </c>
      <c r="D375" s="178">
        <v>4.0999999999999996</v>
      </c>
      <c r="E375" s="181" t="s">
        <v>6450</v>
      </c>
      <c r="F375" s="184">
        <v>40323</v>
      </c>
      <c r="G375" s="181"/>
      <c r="H375" s="181" t="s">
        <v>6451</v>
      </c>
      <c r="I375" s="181" t="str">
        <f>VLOOKUP(LEFT(A375,4),Groups!$A$1:$C$188,3,FALSE)</f>
        <v>Field Geological Descriptions</v>
      </c>
      <c r="J375" s="181" t="str">
        <f>VLOOKUP(A375,Headings!$C$1:$H$3948,4,FALSE)</f>
        <v>Legend code</v>
      </c>
      <c r="K375" s="181" t="str">
        <f t="shared" si="8"/>
        <v>GEOL_LEG|613</v>
      </c>
      <c r="L375" s="181"/>
    </row>
    <row r="376" spans="1:12" hidden="1" x14ac:dyDescent="0.35">
      <c r="A376" s="181" t="s">
        <v>617</v>
      </c>
      <c r="B376" s="182">
        <v>614</v>
      </c>
      <c r="C376" s="181" t="s">
        <v>6907</v>
      </c>
      <c r="D376" s="178">
        <v>4.0999999999999996</v>
      </c>
      <c r="E376" s="181" t="s">
        <v>6450</v>
      </c>
      <c r="F376" s="184">
        <v>40323</v>
      </c>
      <c r="G376" s="181"/>
      <c r="H376" s="181" t="s">
        <v>6451</v>
      </c>
      <c r="I376" s="181" t="str">
        <f>VLOOKUP(LEFT(A376,4),Groups!$A$1:$C$188,3,FALSE)</f>
        <v>Field Geological Descriptions</v>
      </c>
      <c r="J376" s="181" t="str">
        <f>VLOOKUP(A376,Headings!$C$1:$H$3948,4,FALSE)</f>
        <v>Legend code</v>
      </c>
      <c r="K376" s="181" t="str">
        <f t="shared" si="8"/>
        <v>GEOL_LEG|614</v>
      </c>
      <c r="L376" s="181"/>
    </row>
    <row r="377" spans="1:12" hidden="1" x14ac:dyDescent="0.35">
      <c r="A377" s="181" t="s">
        <v>617</v>
      </c>
      <c r="B377" s="182">
        <v>701</v>
      </c>
      <c r="C377" s="181" t="s">
        <v>6908</v>
      </c>
      <c r="D377" s="178">
        <v>4.0999999999999996</v>
      </c>
      <c r="E377" s="181" t="s">
        <v>6450</v>
      </c>
      <c r="F377" s="184">
        <v>40323</v>
      </c>
      <c r="G377" s="181"/>
      <c r="H377" s="181" t="s">
        <v>6451</v>
      </c>
      <c r="I377" s="181" t="str">
        <f>VLOOKUP(LEFT(A377,4),Groups!$A$1:$C$188,3,FALSE)</f>
        <v>Field Geological Descriptions</v>
      </c>
      <c r="J377" s="181" t="str">
        <f>VLOOKUP(A377,Headings!$C$1:$H$3948,4,FALSE)</f>
        <v>Legend code</v>
      </c>
      <c r="K377" s="181" t="str">
        <f t="shared" si="8"/>
        <v>GEOL_LEG|701</v>
      </c>
      <c r="L377" s="181"/>
    </row>
    <row r="378" spans="1:12" hidden="1" x14ac:dyDescent="0.35">
      <c r="A378" s="181" t="s">
        <v>617</v>
      </c>
      <c r="B378" s="182">
        <v>702</v>
      </c>
      <c r="C378" s="181" t="s">
        <v>6909</v>
      </c>
      <c r="D378" s="178">
        <v>4.0999999999999996</v>
      </c>
      <c r="E378" s="181" t="s">
        <v>6450</v>
      </c>
      <c r="F378" s="184">
        <v>40323</v>
      </c>
      <c r="G378" s="181"/>
      <c r="H378" s="181" t="s">
        <v>6451</v>
      </c>
      <c r="I378" s="181" t="str">
        <f>VLOOKUP(LEFT(A378,4),Groups!$A$1:$C$188,3,FALSE)</f>
        <v>Field Geological Descriptions</v>
      </c>
      <c r="J378" s="181" t="str">
        <f>VLOOKUP(A378,Headings!$C$1:$H$3948,4,FALSE)</f>
        <v>Legend code</v>
      </c>
      <c r="K378" s="181" t="str">
        <f t="shared" si="8"/>
        <v>GEOL_LEG|702</v>
      </c>
      <c r="L378" s="181"/>
    </row>
    <row r="379" spans="1:12" hidden="1" x14ac:dyDescent="0.35">
      <c r="A379" s="181" t="s">
        <v>617</v>
      </c>
      <c r="B379" s="182">
        <v>703</v>
      </c>
      <c r="C379" s="181" t="s">
        <v>6910</v>
      </c>
      <c r="D379" s="178">
        <v>4.0999999999999996</v>
      </c>
      <c r="E379" s="181" t="s">
        <v>6450</v>
      </c>
      <c r="F379" s="184">
        <v>40323</v>
      </c>
      <c r="G379" s="181"/>
      <c r="H379" s="181" t="s">
        <v>6451</v>
      </c>
      <c r="I379" s="181" t="str">
        <f>VLOOKUP(LEFT(A379,4),Groups!$A$1:$C$188,3,FALSE)</f>
        <v>Field Geological Descriptions</v>
      </c>
      <c r="J379" s="181" t="str">
        <f>VLOOKUP(A379,Headings!$C$1:$H$3948,4,FALSE)</f>
        <v>Legend code</v>
      </c>
      <c r="K379" s="181" t="str">
        <f t="shared" si="8"/>
        <v>GEOL_LEG|703</v>
      </c>
      <c r="L379" s="181"/>
    </row>
    <row r="380" spans="1:12" hidden="1" x14ac:dyDescent="0.35">
      <c r="A380" s="181" t="s">
        <v>617</v>
      </c>
      <c r="B380" s="182">
        <v>704</v>
      </c>
      <c r="C380" s="181" t="s">
        <v>6911</v>
      </c>
      <c r="D380" s="178">
        <v>4.0999999999999996</v>
      </c>
      <c r="E380" s="181" t="s">
        <v>6450</v>
      </c>
      <c r="F380" s="184">
        <v>40323</v>
      </c>
      <c r="G380" s="181"/>
      <c r="H380" s="181" t="s">
        <v>6451</v>
      </c>
      <c r="I380" s="181" t="str">
        <f>VLOOKUP(LEFT(A380,4),Groups!$A$1:$C$188,3,FALSE)</f>
        <v>Field Geological Descriptions</v>
      </c>
      <c r="J380" s="181" t="str">
        <f>VLOOKUP(A380,Headings!$C$1:$H$3948,4,FALSE)</f>
        <v>Legend code</v>
      </c>
      <c r="K380" s="181" t="str">
        <f t="shared" si="8"/>
        <v>GEOL_LEG|704</v>
      </c>
      <c r="L380" s="181"/>
    </row>
    <row r="381" spans="1:12" hidden="1" x14ac:dyDescent="0.35">
      <c r="A381" s="181" t="s">
        <v>617</v>
      </c>
      <c r="B381" s="182">
        <v>705</v>
      </c>
      <c r="C381" s="181" t="s">
        <v>6912</v>
      </c>
      <c r="D381" s="178">
        <v>4.0999999999999996</v>
      </c>
      <c r="E381" s="181" t="s">
        <v>6450</v>
      </c>
      <c r="F381" s="184">
        <v>40323</v>
      </c>
      <c r="G381" s="181"/>
      <c r="H381" s="181" t="s">
        <v>6451</v>
      </c>
      <c r="I381" s="181" t="str">
        <f>VLOOKUP(LEFT(A381,4),Groups!$A$1:$C$188,3,FALSE)</f>
        <v>Field Geological Descriptions</v>
      </c>
      <c r="J381" s="181" t="str">
        <f>VLOOKUP(A381,Headings!$C$1:$H$3948,4,FALSE)</f>
        <v>Legend code</v>
      </c>
      <c r="K381" s="181" t="str">
        <f t="shared" si="8"/>
        <v>GEOL_LEG|705</v>
      </c>
      <c r="L381" s="181"/>
    </row>
    <row r="382" spans="1:12" hidden="1" x14ac:dyDescent="0.35">
      <c r="A382" s="181" t="s">
        <v>617</v>
      </c>
      <c r="B382" s="182">
        <v>706</v>
      </c>
      <c r="C382" s="181" t="s">
        <v>6913</v>
      </c>
      <c r="D382" s="178">
        <v>4.0999999999999996</v>
      </c>
      <c r="E382" s="181" t="s">
        <v>6450</v>
      </c>
      <c r="F382" s="184">
        <v>40323</v>
      </c>
      <c r="G382" s="181"/>
      <c r="H382" s="181" t="s">
        <v>6451</v>
      </c>
      <c r="I382" s="181" t="str">
        <f>VLOOKUP(LEFT(A382,4),Groups!$A$1:$C$188,3,FALSE)</f>
        <v>Field Geological Descriptions</v>
      </c>
      <c r="J382" s="181" t="str">
        <f>VLOOKUP(A382,Headings!$C$1:$H$3948,4,FALSE)</f>
        <v>Legend code</v>
      </c>
      <c r="K382" s="181" t="str">
        <f t="shared" si="8"/>
        <v>GEOL_LEG|706</v>
      </c>
      <c r="L382" s="181"/>
    </row>
    <row r="383" spans="1:12" hidden="1" x14ac:dyDescent="0.35">
      <c r="A383" s="181" t="s">
        <v>617</v>
      </c>
      <c r="B383" s="182">
        <v>708</v>
      </c>
      <c r="C383" s="181" t="s">
        <v>6914</v>
      </c>
      <c r="D383" s="178">
        <v>4.0999999999999996</v>
      </c>
      <c r="E383" s="181" t="s">
        <v>6450</v>
      </c>
      <c r="F383" s="184">
        <v>40323</v>
      </c>
      <c r="G383" s="181"/>
      <c r="H383" s="181" t="s">
        <v>6451</v>
      </c>
      <c r="I383" s="181" t="str">
        <f>VLOOKUP(LEFT(A383,4),Groups!$A$1:$C$188,3,FALSE)</f>
        <v>Field Geological Descriptions</v>
      </c>
      <c r="J383" s="181" t="str">
        <f>VLOOKUP(A383,Headings!$C$1:$H$3948,4,FALSE)</f>
        <v>Legend code</v>
      </c>
      <c r="K383" s="181" t="str">
        <f t="shared" si="8"/>
        <v>GEOL_LEG|708</v>
      </c>
      <c r="L383" s="181"/>
    </row>
    <row r="384" spans="1:12" hidden="1" x14ac:dyDescent="0.35">
      <c r="A384" s="181" t="s">
        <v>617</v>
      </c>
      <c r="B384" s="182">
        <v>709</v>
      </c>
      <c r="C384" s="181" t="s">
        <v>6915</v>
      </c>
      <c r="D384" s="178">
        <v>4.0999999999999996</v>
      </c>
      <c r="E384" s="181" t="s">
        <v>6450</v>
      </c>
      <c r="F384" s="184">
        <v>40323</v>
      </c>
      <c r="G384" s="181"/>
      <c r="H384" s="181" t="s">
        <v>6451</v>
      </c>
      <c r="I384" s="181" t="str">
        <f>VLOOKUP(LEFT(A384,4),Groups!$A$1:$C$188,3,FALSE)</f>
        <v>Field Geological Descriptions</v>
      </c>
      <c r="J384" s="181" t="str">
        <f>VLOOKUP(A384,Headings!$C$1:$H$3948,4,FALSE)</f>
        <v>Legend code</v>
      </c>
      <c r="K384" s="181" t="str">
        <f t="shared" si="8"/>
        <v>GEOL_LEG|709</v>
      </c>
      <c r="L384" s="181"/>
    </row>
    <row r="385" spans="1:12" hidden="1" x14ac:dyDescent="0.35">
      <c r="A385" s="181" t="s">
        <v>617</v>
      </c>
      <c r="B385" s="182">
        <v>713</v>
      </c>
      <c r="C385" s="181" t="s">
        <v>6916</v>
      </c>
      <c r="D385" s="178">
        <v>4.0999999999999996</v>
      </c>
      <c r="E385" s="181" t="s">
        <v>6450</v>
      </c>
      <c r="F385" s="184">
        <v>40323</v>
      </c>
      <c r="G385" s="181"/>
      <c r="H385" s="181" t="s">
        <v>6451</v>
      </c>
      <c r="I385" s="181" t="str">
        <f>VLOOKUP(LEFT(A385,4),Groups!$A$1:$C$188,3,FALSE)</f>
        <v>Field Geological Descriptions</v>
      </c>
      <c r="J385" s="181" t="str">
        <f>VLOOKUP(A385,Headings!$C$1:$H$3948,4,FALSE)</f>
        <v>Legend code</v>
      </c>
      <c r="K385" s="181" t="str">
        <f t="shared" si="8"/>
        <v>GEOL_LEG|713</v>
      </c>
      <c r="L385" s="181"/>
    </row>
    <row r="386" spans="1:12" hidden="1" x14ac:dyDescent="0.35">
      <c r="A386" s="181" t="s">
        <v>617</v>
      </c>
      <c r="B386" s="182">
        <v>714</v>
      </c>
      <c r="C386" s="181" t="s">
        <v>6917</v>
      </c>
      <c r="D386" s="178">
        <v>4.0999999999999996</v>
      </c>
      <c r="E386" s="181" t="s">
        <v>6450</v>
      </c>
      <c r="F386" s="184">
        <v>40323</v>
      </c>
      <c r="G386" s="181"/>
      <c r="H386" s="181" t="s">
        <v>6451</v>
      </c>
      <c r="I386" s="181" t="str">
        <f>VLOOKUP(LEFT(A386,4),Groups!$A$1:$C$188,3,FALSE)</f>
        <v>Field Geological Descriptions</v>
      </c>
      <c r="J386" s="181" t="str">
        <f>VLOOKUP(A386,Headings!$C$1:$H$3948,4,FALSE)</f>
        <v>Legend code</v>
      </c>
      <c r="K386" s="181" t="str">
        <f t="shared" ref="K386:K449" si="9">A386&amp;"|"&amp;B386</f>
        <v>GEOL_LEG|714</v>
      </c>
      <c r="L386" s="181"/>
    </row>
    <row r="387" spans="1:12" hidden="1" x14ac:dyDescent="0.35">
      <c r="A387" s="181" t="s">
        <v>617</v>
      </c>
      <c r="B387" s="182">
        <v>715</v>
      </c>
      <c r="C387" s="181" t="s">
        <v>6918</v>
      </c>
      <c r="D387" s="178">
        <v>4.0999999999999996</v>
      </c>
      <c r="E387" s="181" t="s">
        <v>6450</v>
      </c>
      <c r="F387" s="184">
        <v>40323</v>
      </c>
      <c r="G387" s="181"/>
      <c r="H387" s="181" t="s">
        <v>6451</v>
      </c>
      <c r="I387" s="181" t="str">
        <f>VLOOKUP(LEFT(A387,4),Groups!$A$1:$C$188,3,FALSE)</f>
        <v>Field Geological Descriptions</v>
      </c>
      <c r="J387" s="181" t="str">
        <f>VLOOKUP(A387,Headings!$C$1:$H$3948,4,FALSE)</f>
        <v>Legend code</v>
      </c>
      <c r="K387" s="181" t="str">
        <f t="shared" si="9"/>
        <v>GEOL_LEG|715</v>
      </c>
      <c r="L387" s="181"/>
    </row>
    <row r="388" spans="1:12" hidden="1" x14ac:dyDescent="0.35">
      <c r="A388" s="181" t="s">
        <v>617</v>
      </c>
      <c r="B388" s="182">
        <v>716</v>
      </c>
      <c r="C388" s="181" t="s">
        <v>6919</v>
      </c>
      <c r="D388" s="178">
        <v>4.0999999999999996</v>
      </c>
      <c r="E388" s="181" t="s">
        <v>6450</v>
      </c>
      <c r="F388" s="184">
        <v>40323</v>
      </c>
      <c r="G388" s="181"/>
      <c r="H388" s="181" t="s">
        <v>6451</v>
      </c>
      <c r="I388" s="181" t="str">
        <f>VLOOKUP(LEFT(A388,4),Groups!$A$1:$C$188,3,FALSE)</f>
        <v>Field Geological Descriptions</v>
      </c>
      <c r="J388" s="181" t="str">
        <f>VLOOKUP(A388,Headings!$C$1:$H$3948,4,FALSE)</f>
        <v>Legend code</v>
      </c>
      <c r="K388" s="181" t="str">
        <f t="shared" si="9"/>
        <v>GEOL_LEG|716</v>
      </c>
      <c r="L388" s="181"/>
    </row>
    <row r="389" spans="1:12" hidden="1" x14ac:dyDescent="0.35">
      <c r="A389" s="181" t="s">
        <v>617</v>
      </c>
      <c r="B389" s="182">
        <v>717</v>
      </c>
      <c r="C389" s="181" t="s">
        <v>6920</v>
      </c>
      <c r="D389" s="178">
        <v>4.0999999999999996</v>
      </c>
      <c r="E389" s="181" t="s">
        <v>6450</v>
      </c>
      <c r="F389" s="184">
        <v>40323</v>
      </c>
      <c r="G389" s="181"/>
      <c r="H389" s="181" t="s">
        <v>6451</v>
      </c>
      <c r="I389" s="181" t="str">
        <f>VLOOKUP(LEFT(A389,4),Groups!$A$1:$C$188,3,FALSE)</f>
        <v>Field Geological Descriptions</v>
      </c>
      <c r="J389" s="181" t="str">
        <f>VLOOKUP(A389,Headings!$C$1:$H$3948,4,FALSE)</f>
        <v>Legend code</v>
      </c>
      <c r="K389" s="181" t="str">
        <f t="shared" si="9"/>
        <v>GEOL_LEG|717</v>
      </c>
      <c r="L389" s="181"/>
    </row>
    <row r="390" spans="1:12" hidden="1" x14ac:dyDescent="0.35">
      <c r="A390" s="181" t="s">
        <v>617</v>
      </c>
      <c r="B390" s="182">
        <v>718</v>
      </c>
      <c r="C390" s="181" t="s">
        <v>6921</v>
      </c>
      <c r="D390" s="178">
        <v>4.0999999999999996</v>
      </c>
      <c r="E390" s="181" t="s">
        <v>6450</v>
      </c>
      <c r="F390" s="184">
        <v>40323</v>
      </c>
      <c r="G390" s="181"/>
      <c r="H390" s="181" t="s">
        <v>6451</v>
      </c>
      <c r="I390" s="181" t="str">
        <f>VLOOKUP(LEFT(A390,4),Groups!$A$1:$C$188,3,FALSE)</f>
        <v>Field Geological Descriptions</v>
      </c>
      <c r="J390" s="181" t="str">
        <f>VLOOKUP(A390,Headings!$C$1:$H$3948,4,FALSE)</f>
        <v>Legend code</v>
      </c>
      <c r="K390" s="181" t="str">
        <f t="shared" si="9"/>
        <v>GEOL_LEG|718</v>
      </c>
      <c r="L390" s="181"/>
    </row>
    <row r="391" spans="1:12" hidden="1" x14ac:dyDescent="0.35">
      <c r="A391" s="181" t="s">
        <v>617</v>
      </c>
      <c r="B391" s="182">
        <v>719</v>
      </c>
      <c r="C391" s="181" t="s">
        <v>6922</v>
      </c>
      <c r="D391" s="178">
        <v>4.0999999999999996</v>
      </c>
      <c r="E391" s="181" t="s">
        <v>6450</v>
      </c>
      <c r="F391" s="184">
        <v>40323</v>
      </c>
      <c r="G391" s="181"/>
      <c r="H391" s="181" t="s">
        <v>6451</v>
      </c>
      <c r="I391" s="181" t="str">
        <f>VLOOKUP(LEFT(A391,4),Groups!$A$1:$C$188,3,FALSE)</f>
        <v>Field Geological Descriptions</v>
      </c>
      <c r="J391" s="181" t="str">
        <f>VLOOKUP(A391,Headings!$C$1:$H$3948,4,FALSE)</f>
        <v>Legend code</v>
      </c>
      <c r="K391" s="181" t="str">
        <f t="shared" si="9"/>
        <v>GEOL_LEG|719</v>
      </c>
      <c r="L391" s="181"/>
    </row>
    <row r="392" spans="1:12" hidden="1" x14ac:dyDescent="0.35">
      <c r="A392" s="181" t="s">
        <v>617</v>
      </c>
      <c r="B392" s="182">
        <v>720</v>
      </c>
      <c r="C392" s="181" t="s">
        <v>6923</v>
      </c>
      <c r="D392" s="178">
        <v>4.0999999999999996</v>
      </c>
      <c r="E392" s="181" t="s">
        <v>6450</v>
      </c>
      <c r="F392" s="184">
        <v>40323</v>
      </c>
      <c r="G392" s="181"/>
      <c r="H392" s="181" t="s">
        <v>6451</v>
      </c>
      <c r="I392" s="181" t="str">
        <f>VLOOKUP(LEFT(A392,4),Groups!$A$1:$C$188,3,FALSE)</f>
        <v>Field Geological Descriptions</v>
      </c>
      <c r="J392" s="181" t="str">
        <f>VLOOKUP(A392,Headings!$C$1:$H$3948,4,FALSE)</f>
        <v>Legend code</v>
      </c>
      <c r="K392" s="181" t="str">
        <f t="shared" si="9"/>
        <v>GEOL_LEG|720</v>
      </c>
      <c r="L392" s="181"/>
    </row>
    <row r="393" spans="1:12" hidden="1" x14ac:dyDescent="0.35">
      <c r="A393" s="181" t="s">
        <v>617</v>
      </c>
      <c r="B393" s="182">
        <v>721</v>
      </c>
      <c r="C393" s="181" t="s">
        <v>6924</v>
      </c>
      <c r="D393" s="178">
        <v>4.0999999999999996</v>
      </c>
      <c r="E393" s="181" t="s">
        <v>6450</v>
      </c>
      <c r="F393" s="184">
        <v>40323</v>
      </c>
      <c r="G393" s="181"/>
      <c r="H393" s="181" t="s">
        <v>6451</v>
      </c>
      <c r="I393" s="181" t="str">
        <f>VLOOKUP(LEFT(A393,4),Groups!$A$1:$C$188,3,FALSE)</f>
        <v>Field Geological Descriptions</v>
      </c>
      <c r="J393" s="181" t="str">
        <f>VLOOKUP(A393,Headings!$C$1:$H$3948,4,FALSE)</f>
        <v>Legend code</v>
      </c>
      <c r="K393" s="181" t="str">
        <f t="shared" si="9"/>
        <v>GEOL_LEG|721</v>
      </c>
      <c r="L393" s="181"/>
    </row>
    <row r="394" spans="1:12" hidden="1" x14ac:dyDescent="0.35">
      <c r="A394" s="181" t="s">
        <v>617</v>
      </c>
      <c r="B394" s="182">
        <v>725</v>
      </c>
      <c r="C394" s="181" t="s">
        <v>6925</v>
      </c>
      <c r="D394" s="178">
        <v>4.0999999999999996</v>
      </c>
      <c r="E394" s="181" t="s">
        <v>6450</v>
      </c>
      <c r="F394" s="184">
        <v>40323</v>
      </c>
      <c r="G394" s="181"/>
      <c r="H394" s="181" t="s">
        <v>6451</v>
      </c>
      <c r="I394" s="181" t="str">
        <f>VLOOKUP(LEFT(A394,4),Groups!$A$1:$C$188,3,FALSE)</f>
        <v>Field Geological Descriptions</v>
      </c>
      <c r="J394" s="181" t="str">
        <f>VLOOKUP(A394,Headings!$C$1:$H$3948,4,FALSE)</f>
        <v>Legend code</v>
      </c>
      <c r="K394" s="181" t="str">
        <f t="shared" si="9"/>
        <v>GEOL_LEG|725</v>
      </c>
      <c r="L394" s="181"/>
    </row>
    <row r="395" spans="1:12" hidden="1" x14ac:dyDescent="0.35">
      <c r="A395" s="181" t="s">
        <v>617</v>
      </c>
      <c r="B395" s="182">
        <v>730</v>
      </c>
      <c r="C395" s="181" t="s">
        <v>6926</v>
      </c>
      <c r="D395" s="178">
        <v>4.0999999999999996</v>
      </c>
      <c r="E395" s="181" t="s">
        <v>6450</v>
      </c>
      <c r="F395" s="184">
        <v>40323</v>
      </c>
      <c r="G395" s="181"/>
      <c r="H395" s="181" t="s">
        <v>6451</v>
      </c>
      <c r="I395" s="181" t="str">
        <f>VLOOKUP(LEFT(A395,4),Groups!$A$1:$C$188,3,FALSE)</f>
        <v>Field Geological Descriptions</v>
      </c>
      <c r="J395" s="181" t="str">
        <f>VLOOKUP(A395,Headings!$C$1:$H$3948,4,FALSE)</f>
        <v>Legend code</v>
      </c>
      <c r="K395" s="181" t="str">
        <f t="shared" si="9"/>
        <v>GEOL_LEG|730</v>
      </c>
      <c r="L395" s="181"/>
    </row>
    <row r="396" spans="1:12" hidden="1" x14ac:dyDescent="0.35">
      <c r="A396" s="181" t="s">
        <v>617</v>
      </c>
      <c r="B396" s="182">
        <v>731</v>
      </c>
      <c r="C396" s="181" t="s">
        <v>6927</v>
      </c>
      <c r="D396" s="178">
        <v>4.0999999999999996</v>
      </c>
      <c r="E396" s="181" t="s">
        <v>6450</v>
      </c>
      <c r="F396" s="184">
        <v>40323</v>
      </c>
      <c r="G396" s="181"/>
      <c r="H396" s="181" t="s">
        <v>6451</v>
      </c>
      <c r="I396" s="181" t="str">
        <f>VLOOKUP(LEFT(A396,4),Groups!$A$1:$C$188,3,FALSE)</f>
        <v>Field Geological Descriptions</v>
      </c>
      <c r="J396" s="181" t="str">
        <f>VLOOKUP(A396,Headings!$C$1:$H$3948,4,FALSE)</f>
        <v>Legend code</v>
      </c>
      <c r="K396" s="181" t="str">
        <f t="shared" si="9"/>
        <v>GEOL_LEG|731</v>
      </c>
      <c r="L396" s="181"/>
    </row>
    <row r="397" spans="1:12" hidden="1" x14ac:dyDescent="0.35">
      <c r="A397" s="181" t="s">
        <v>617</v>
      </c>
      <c r="B397" s="182">
        <v>801</v>
      </c>
      <c r="C397" s="181" t="s">
        <v>6928</v>
      </c>
      <c r="D397" s="178">
        <v>4.0999999999999996</v>
      </c>
      <c r="E397" s="181" t="s">
        <v>6450</v>
      </c>
      <c r="F397" s="184">
        <v>40323</v>
      </c>
      <c r="G397" s="181"/>
      <c r="H397" s="181" t="s">
        <v>6451</v>
      </c>
      <c r="I397" s="181" t="str">
        <f>VLOOKUP(LEFT(A397,4),Groups!$A$1:$C$188,3,FALSE)</f>
        <v>Field Geological Descriptions</v>
      </c>
      <c r="J397" s="181" t="str">
        <f>VLOOKUP(A397,Headings!$C$1:$H$3948,4,FALSE)</f>
        <v>Legend code</v>
      </c>
      <c r="K397" s="181" t="str">
        <f t="shared" si="9"/>
        <v>GEOL_LEG|801</v>
      </c>
      <c r="L397" s="181"/>
    </row>
    <row r="398" spans="1:12" hidden="1" x14ac:dyDescent="0.35">
      <c r="A398" s="181" t="s">
        <v>617</v>
      </c>
      <c r="B398" s="182">
        <v>802</v>
      </c>
      <c r="C398" s="181" t="s">
        <v>6929</v>
      </c>
      <c r="D398" s="178">
        <v>4.0999999999999996</v>
      </c>
      <c r="E398" s="181" t="s">
        <v>6450</v>
      </c>
      <c r="F398" s="184">
        <v>40323</v>
      </c>
      <c r="G398" s="181"/>
      <c r="H398" s="181" t="s">
        <v>6451</v>
      </c>
      <c r="I398" s="181" t="str">
        <f>VLOOKUP(LEFT(A398,4),Groups!$A$1:$C$188,3,FALSE)</f>
        <v>Field Geological Descriptions</v>
      </c>
      <c r="J398" s="181" t="str">
        <f>VLOOKUP(A398,Headings!$C$1:$H$3948,4,FALSE)</f>
        <v>Legend code</v>
      </c>
      <c r="K398" s="181" t="str">
        <f t="shared" si="9"/>
        <v>GEOL_LEG|802</v>
      </c>
      <c r="L398" s="181"/>
    </row>
    <row r="399" spans="1:12" hidden="1" x14ac:dyDescent="0.35">
      <c r="A399" s="181" t="s">
        <v>617</v>
      </c>
      <c r="B399" s="182">
        <v>803</v>
      </c>
      <c r="C399" s="181" t="s">
        <v>6930</v>
      </c>
      <c r="D399" s="178">
        <v>4.0999999999999996</v>
      </c>
      <c r="E399" s="181" t="s">
        <v>6450</v>
      </c>
      <c r="F399" s="184">
        <v>40323</v>
      </c>
      <c r="G399" s="181"/>
      <c r="H399" s="181" t="s">
        <v>6451</v>
      </c>
      <c r="I399" s="181" t="str">
        <f>VLOOKUP(LEFT(A399,4),Groups!$A$1:$C$188,3,FALSE)</f>
        <v>Field Geological Descriptions</v>
      </c>
      <c r="J399" s="181" t="str">
        <f>VLOOKUP(A399,Headings!$C$1:$H$3948,4,FALSE)</f>
        <v>Legend code</v>
      </c>
      <c r="K399" s="181" t="str">
        <f t="shared" si="9"/>
        <v>GEOL_LEG|803</v>
      </c>
      <c r="L399" s="181"/>
    </row>
    <row r="400" spans="1:12" hidden="1" x14ac:dyDescent="0.35">
      <c r="A400" s="181" t="s">
        <v>617</v>
      </c>
      <c r="B400" s="182">
        <v>804</v>
      </c>
      <c r="C400" s="181" t="s">
        <v>6931</v>
      </c>
      <c r="D400" s="178">
        <v>4.0999999999999996</v>
      </c>
      <c r="E400" s="181" t="s">
        <v>6450</v>
      </c>
      <c r="F400" s="184">
        <v>40323</v>
      </c>
      <c r="G400" s="181"/>
      <c r="H400" s="181" t="s">
        <v>6451</v>
      </c>
      <c r="I400" s="181" t="str">
        <f>VLOOKUP(LEFT(A400,4),Groups!$A$1:$C$188,3,FALSE)</f>
        <v>Field Geological Descriptions</v>
      </c>
      <c r="J400" s="181" t="str">
        <f>VLOOKUP(A400,Headings!$C$1:$H$3948,4,FALSE)</f>
        <v>Legend code</v>
      </c>
      <c r="K400" s="181" t="str">
        <f t="shared" si="9"/>
        <v>GEOL_LEG|804</v>
      </c>
      <c r="L400" s="181"/>
    </row>
    <row r="401" spans="1:12" hidden="1" x14ac:dyDescent="0.35">
      <c r="A401" s="181" t="s">
        <v>617</v>
      </c>
      <c r="B401" s="182">
        <v>805</v>
      </c>
      <c r="C401" s="181" t="s">
        <v>6932</v>
      </c>
      <c r="D401" s="178">
        <v>4.0999999999999996</v>
      </c>
      <c r="E401" s="181" t="s">
        <v>6450</v>
      </c>
      <c r="F401" s="184">
        <v>40323</v>
      </c>
      <c r="G401" s="181"/>
      <c r="H401" s="181" t="s">
        <v>6451</v>
      </c>
      <c r="I401" s="181" t="str">
        <f>VLOOKUP(LEFT(A401,4),Groups!$A$1:$C$188,3,FALSE)</f>
        <v>Field Geological Descriptions</v>
      </c>
      <c r="J401" s="181" t="str">
        <f>VLOOKUP(A401,Headings!$C$1:$H$3948,4,FALSE)</f>
        <v>Legend code</v>
      </c>
      <c r="K401" s="181" t="str">
        <f t="shared" si="9"/>
        <v>GEOL_LEG|805</v>
      </c>
      <c r="L401" s="181"/>
    </row>
    <row r="402" spans="1:12" hidden="1" x14ac:dyDescent="0.35">
      <c r="A402" s="181" t="s">
        <v>617</v>
      </c>
      <c r="B402" s="182">
        <v>806</v>
      </c>
      <c r="C402" s="181" t="s">
        <v>6933</v>
      </c>
      <c r="D402" s="178">
        <v>4.0999999999999996</v>
      </c>
      <c r="E402" s="181" t="s">
        <v>6450</v>
      </c>
      <c r="F402" s="184">
        <v>40323</v>
      </c>
      <c r="G402" s="181"/>
      <c r="H402" s="181" t="s">
        <v>6451</v>
      </c>
      <c r="I402" s="181" t="str">
        <f>VLOOKUP(LEFT(A402,4),Groups!$A$1:$C$188,3,FALSE)</f>
        <v>Field Geological Descriptions</v>
      </c>
      <c r="J402" s="181" t="str">
        <f>VLOOKUP(A402,Headings!$C$1:$H$3948,4,FALSE)</f>
        <v>Legend code</v>
      </c>
      <c r="K402" s="181" t="str">
        <f t="shared" si="9"/>
        <v>GEOL_LEG|806</v>
      </c>
      <c r="L402" s="181"/>
    </row>
    <row r="403" spans="1:12" hidden="1" x14ac:dyDescent="0.35">
      <c r="A403" s="181" t="s">
        <v>617</v>
      </c>
      <c r="B403" s="182">
        <v>807</v>
      </c>
      <c r="C403" s="181" t="s">
        <v>6934</v>
      </c>
      <c r="D403" s="178">
        <v>4.0999999999999996</v>
      </c>
      <c r="E403" s="181" t="s">
        <v>6450</v>
      </c>
      <c r="F403" s="184">
        <v>40323</v>
      </c>
      <c r="G403" s="181"/>
      <c r="H403" s="181" t="s">
        <v>6451</v>
      </c>
      <c r="I403" s="181" t="str">
        <f>VLOOKUP(LEFT(A403,4),Groups!$A$1:$C$188,3,FALSE)</f>
        <v>Field Geological Descriptions</v>
      </c>
      <c r="J403" s="181" t="str">
        <f>VLOOKUP(A403,Headings!$C$1:$H$3948,4,FALSE)</f>
        <v>Legend code</v>
      </c>
      <c r="K403" s="181" t="str">
        <f t="shared" si="9"/>
        <v>GEOL_LEG|807</v>
      </c>
      <c r="L403" s="181"/>
    </row>
    <row r="404" spans="1:12" hidden="1" x14ac:dyDescent="0.35">
      <c r="A404" s="181" t="s">
        <v>617</v>
      </c>
      <c r="B404" s="182">
        <v>808</v>
      </c>
      <c r="C404" s="181" t="s">
        <v>6935</v>
      </c>
      <c r="D404" s="178">
        <v>4.0999999999999996</v>
      </c>
      <c r="E404" s="181" t="s">
        <v>6450</v>
      </c>
      <c r="F404" s="184">
        <v>40323</v>
      </c>
      <c r="G404" s="181"/>
      <c r="H404" s="181" t="s">
        <v>6451</v>
      </c>
      <c r="I404" s="181" t="str">
        <f>VLOOKUP(LEFT(A404,4),Groups!$A$1:$C$188,3,FALSE)</f>
        <v>Field Geological Descriptions</v>
      </c>
      <c r="J404" s="181" t="str">
        <f>VLOOKUP(A404,Headings!$C$1:$H$3948,4,FALSE)</f>
        <v>Legend code</v>
      </c>
      <c r="K404" s="181" t="str">
        <f t="shared" si="9"/>
        <v>GEOL_LEG|808</v>
      </c>
      <c r="L404" s="181"/>
    </row>
    <row r="405" spans="1:12" hidden="1" x14ac:dyDescent="0.35">
      <c r="A405" s="181" t="s">
        <v>617</v>
      </c>
      <c r="B405" s="182">
        <v>809</v>
      </c>
      <c r="C405" s="181" t="s">
        <v>6936</v>
      </c>
      <c r="D405" s="178">
        <v>4.0999999999999996</v>
      </c>
      <c r="E405" s="181" t="s">
        <v>6450</v>
      </c>
      <c r="F405" s="184">
        <v>40323</v>
      </c>
      <c r="G405" s="181"/>
      <c r="H405" s="181" t="s">
        <v>6451</v>
      </c>
      <c r="I405" s="181" t="str">
        <f>VLOOKUP(LEFT(A405,4),Groups!$A$1:$C$188,3,FALSE)</f>
        <v>Field Geological Descriptions</v>
      </c>
      <c r="J405" s="181" t="str">
        <f>VLOOKUP(A405,Headings!$C$1:$H$3948,4,FALSE)</f>
        <v>Legend code</v>
      </c>
      <c r="K405" s="181" t="str">
        <f t="shared" si="9"/>
        <v>GEOL_LEG|809</v>
      </c>
      <c r="L405" s="181"/>
    </row>
    <row r="406" spans="1:12" hidden="1" x14ac:dyDescent="0.35">
      <c r="A406" s="181" t="s">
        <v>617</v>
      </c>
      <c r="B406" s="182">
        <v>810</v>
      </c>
      <c r="C406" s="181" t="s">
        <v>6937</v>
      </c>
      <c r="D406" s="178">
        <v>4.0999999999999996</v>
      </c>
      <c r="E406" s="181" t="s">
        <v>6450</v>
      </c>
      <c r="F406" s="184">
        <v>40323</v>
      </c>
      <c r="G406" s="181"/>
      <c r="H406" s="181" t="s">
        <v>6451</v>
      </c>
      <c r="I406" s="181" t="str">
        <f>VLOOKUP(LEFT(A406,4),Groups!$A$1:$C$188,3,FALSE)</f>
        <v>Field Geological Descriptions</v>
      </c>
      <c r="J406" s="181" t="str">
        <f>VLOOKUP(A406,Headings!$C$1:$H$3948,4,FALSE)</f>
        <v>Legend code</v>
      </c>
      <c r="K406" s="181" t="str">
        <f t="shared" si="9"/>
        <v>GEOL_LEG|810</v>
      </c>
      <c r="L406" s="181"/>
    </row>
    <row r="407" spans="1:12" hidden="1" x14ac:dyDescent="0.35">
      <c r="A407" s="181" t="s">
        <v>617</v>
      </c>
      <c r="B407" s="182">
        <v>811</v>
      </c>
      <c r="C407" s="181" t="s">
        <v>6938</v>
      </c>
      <c r="D407" s="178">
        <v>4.0999999999999996</v>
      </c>
      <c r="E407" s="181" t="s">
        <v>6450</v>
      </c>
      <c r="F407" s="184">
        <v>40323</v>
      </c>
      <c r="G407" s="181"/>
      <c r="H407" s="181" t="s">
        <v>6451</v>
      </c>
      <c r="I407" s="181" t="str">
        <f>VLOOKUP(LEFT(A407,4),Groups!$A$1:$C$188,3,FALSE)</f>
        <v>Field Geological Descriptions</v>
      </c>
      <c r="J407" s="181" t="str">
        <f>VLOOKUP(A407,Headings!$C$1:$H$3948,4,FALSE)</f>
        <v>Legend code</v>
      </c>
      <c r="K407" s="181" t="str">
        <f t="shared" si="9"/>
        <v>GEOL_LEG|811</v>
      </c>
      <c r="L407" s="181"/>
    </row>
    <row r="408" spans="1:12" hidden="1" x14ac:dyDescent="0.35">
      <c r="A408" s="181" t="s">
        <v>617</v>
      </c>
      <c r="B408" s="182">
        <v>812</v>
      </c>
      <c r="C408" s="181" t="s">
        <v>6939</v>
      </c>
      <c r="D408" s="178">
        <v>4.0999999999999996</v>
      </c>
      <c r="E408" s="181" t="s">
        <v>6450</v>
      </c>
      <c r="F408" s="184">
        <v>40323</v>
      </c>
      <c r="G408" s="181"/>
      <c r="H408" s="181" t="s">
        <v>6451</v>
      </c>
      <c r="I408" s="181" t="str">
        <f>VLOOKUP(LEFT(A408,4),Groups!$A$1:$C$188,3,FALSE)</f>
        <v>Field Geological Descriptions</v>
      </c>
      <c r="J408" s="181" t="str">
        <f>VLOOKUP(A408,Headings!$C$1:$H$3948,4,FALSE)</f>
        <v>Legend code</v>
      </c>
      <c r="K408" s="181" t="str">
        <f t="shared" si="9"/>
        <v>GEOL_LEG|812</v>
      </c>
      <c r="L408" s="181"/>
    </row>
    <row r="409" spans="1:12" hidden="1" x14ac:dyDescent="0.35">
      <c r="A409" s="181" t="s">
        <v>617</v>
      </c>
      <c r="B409" s="182">
        <v>813</v>
      </c>
      <c r="C409" s="181" t="s">
        <v>6940</v>
      </c>
      <c r="D409" s="178">
        <v>4.0999999999999996</v>
      </c>
      <c r="E409" s="181" t="s">
        <v>6450</v>
      </c>
      <c r="F409" s="184">
        <v>40323</v>
      </c>
      <c r="G409" s="181"/>
      <c r="H409" s="181" t="s">
        <v>6451</v>
      </c>
      <c r="I409" s="181" t="str">
        <f>VLOOKUP(LEFT(A409,4),Groups!$A$1:$C$188,3,FALSE)</f>
        <v>Field Geological Descriptions</v>
      </c>
      <c r="J409" s="181" t="str">
        <f>VLOOKUP(A409,Headings!$C$1:$H$3948,4,FALSE)</f>
        <v>Legend code</v>
      </c>
      <c r="K409" s="181" t="str">
        <f t="shared" si="9"/>
        <v>GEOL_LEG|813</v>
      </c>
      <c r="L409" s="181"/>
    </row>
    <row r="410" spans="1:12" hidden="1" x14ac:dyDescent="0.35">
      <c r="A410" s="181" t="s">
        <v>617</v>
      </c>
      <c r="B410" s="182">
        <v>814</v>
      </c>
      <c r="C410" s="181" t="s">
        <v>6941</v>
      </c>
      <c r="D410" s="178">
        <v>4.0999999999999996</v>
      </c>
      <c r="E410" s="181" t="s">
        <v>6450</v>
      </c>
      <c r="F410" s="184">
        <v>40323</v>
      </c>
      <c r="G410" s="181"/>
      <c r="H410" s="181" t="s">
        <v>6451</v>
      </c>
      <c r="I410" s="181" t="str">
        <f>VLOOKUP(LEFT(A410,4),Groups!$A$1:$C$188,3,FALSE)</f>
        <v>Field Geological Descriptions</v>
      </c>
      <c r="J410" s="181" t="str">
        <f>VLOOKUP(A410,Headings!$C$1:$H$3948,4,FALSE)</f>
        <v>Legend code</v>
      </c>
      <c r="K410" s="181" t="str">
        <f t="shared" si="9"/>
        <v>GEOL_LEG|814</v>
      </c>
      <c r="L410" s="181"/>
    </row>
    <row r="411" spans="1:12" hidden="1" x14ac:dyDescent="0.35">
      <c r="A411" s="181" t="s">
        <v>617</v>
      </c>
      <c r="B411" s="182">
        <v>815</v>
      </c>
      <c r="C411" s="181" t="s">
        <v>6942</v>
      </c>
      <c r="D411" s="178">
        <v>4.0999999999999996</v>
      </c>
      <c r="E411" s="181" t="s">
        <v>6450</v>
      </c>
      <c r="F411" s="184">
        <v>40323</v>
      </c>
      <c r="G411" s="181"/>
      <c r="H411" s="181" t="s">
        <v>6451</v>
      </c>
      <c r="I411" s="181" t="str">
        <f>VLOOKUP(LEFT(A411,4),Groups!$A$1:$C$188,3,FALSE)</f>
        <v>Field Geological Descriptions</v>
      </c>
      <c r="J411" s="181" t="str">
        <f>VLOOKUP(A411,Headings!$C$1:$H$3948,4,FALSE)</f>
        <v>Legend code</v>
      </c>
      <c r="K411" s="181" t="str">
        <f t="shared" si="9"/>
        <v>GEOL_LEG|815</v>
      </c>
      <c r="L411" s="181"/>
    </row>
    <row r="412" spans="1:12" hidden="1" x14ac:dyDescent="0.35">
      <c r="A412" s="181" t="s">
        <v>617</v>
      </c>
      <c r="B412" s="182">
        <v>816</v>
      </c>
      <c r="C412" s="181" t="s">
        <v>6943</v>
      </c>
      <c r="D412" s="178">
        <v>4.0999999999999996</v>
      </c>
      <c r="E412" s="181" t="s">
        <v>6450</v>
      </c>
      <c r="F412" s="184">
        <v>40323</v>
      </c>
      <c r="G412" s="181"/>
      <c r="H412" s="181" t="s">
        <v>6451</v>
      </c>
      <c r="I412" s="181" t="str">
        <f>VLOOKUP(LEFT(A412,4),Groups!$A$1:$C$188,3,FALSE)</f>
        <v>Field Geological Descriptions</v>
      </c>
      <c r="J412" s="181" t="str">
        <f>VLOOKUP(A412,Headings!$C$1:$H$3948,4,FALSE)</f>
        <v>Legend code</v>
      </c>
      <c r="K412" s="181" t="str">
        <f t="shared" si="9"/>
        <v>GEOL_LEG|816</v>
      </c>
      <c r="L412" s="181"/>
    </row>
    <row r="413" spans="1:12" hidden="1" x14ac:dyDescent="0.35">
      <c r="A413" s="181" t="s">
        <v>617</v>
      </c>
      <c r="B413" s="182">
        <v>817</v>
      </c>
      <c r="C413" s="181" t="s">
        <v>6944</v>
      </c>
      <c r="D413" s="178">
        <v>4.0999999999999996</v>
      </c>
      <c r="E413" s="181" t="s">
        <v>6450</v>
      </c>
      <c r="F413" s="184">
        <v>40323</v>
      </c>
      <c r="G413" s="181"/>
      <c r="H413" s="181" t="s">
        <v>6451</v>
      </c>
      <c r="I413" s="181" t="str">
        <f>VLOOKUP(LEFT(A413,4),Groups!$A$1:$C$188,3,FALSE)</f>
        <v>Field Geological Descriptions</v>
      </c>
      <c r="J413" s="181" t="str">
        <f>VLOOKUP(A413,Headings!$C$1:$H$3948,4,FALSE)</f>
        <v>Legend code</v>
      </c>
      <c r="K413" s="181" t="str">
        <f t="shared" si="9"/>
        <v>GEOL_LEG|817</v>
      </c>
      <c r="L413" s="181"/>
    </row>
    <row r="414" spans="1:12" hidden="1" x14ac:dyDescent="0.35">
      <c r="A414" s="181" t="s">
        <v>617</v>
      </c>
      <c r="B414" s="182">
        <v>818</v>
      </c>
      <c r="C414" s="181" t="s">
        <v>6945</v>
      </c>
      <c r="D414" s="178">
        <v>4.0999999999999996</v>
      </c>
      <c r="E414" s="181" t="s">
        <v>6450</v>
      </c>
      <c r="F414" s="184">
        <v>42835</v>
      </c>
      <c r="G414" s="181"/>
      <c r="H414" s="181" t="s">
        <v>6451</v>
      </c>
      <c r="I414" s="181" t="str">
        <f>VLOOKUP(LEFT(A414,4),Groups!$A$1:$C$188,3,FALSE)</f>
        <v>Field Geological Descriptions</v>
      </c>
      <c r="J414" s="181" t="str">
        <f>VLOOKUP(A414,Headings!$C$1:$H$3948,4,FALSE)</f>
        <v>Legend code</v>
      </c>
      <c r="K414" s="181" t="str">
        <f t="shared" si="9"/>
        <v>GEOL_LEG|818</v>
      </c>
      <c r="L414" s="181"/>
    </row>
    <row r="415" spans="1:12" hidden="1" x14ac:dyDescent="0.35">
      <c r="A415" s="181" t="s">
        <v>617</v>
      </c>
      <c r="B415" s="182">
        <v>819</v>
      </c>
      <c r="C415" s="181" t="s">
        <v>6946</v>
      </c>
      <c r="D415" s="178">
        <v>4.0999999999999996</v>
      </c>
      <c r="E415" s="181" t="s">
        <v>6450</v>
      </c>
      <c r="F415" s="184">
        <v>43073</v>
      </c>
      <c r="G415" s="181"/>
      <c r="H415" s="181" t="s">
        <v>6451</v>
      </c>
      <c r="I415" s="181" t="str">
        <f>VLOOKUP(LEFT(A415,4),Groups!$A$1:$C$188,3,FALSE)</f>
        <v>Field Geological Descriptions</v>
      </c>
      <c r="J415" s="181" t="str">
        <f>VLOOKUP(A415,Headings!$C$1:$H$3948,4,FALSE)</f>
        <v>Legend code</v>
      </c>
      <c r="K415" s="181" t="str">
        <f t="shared" si="9"/>
        <v>GEOL_LEG|819</v>
      </c>
      <c r="L415" s="181"/>
    </row>
    <row r="416" spans="1:12" hidden="1" x14ac:dyDescent="0.35">
      <c r="A416" s="181" t="s">
        <v>617</v>
      </c>
      <c r="B416" s="182">
        <v>996</v>
      </c>
      <c r="C416" s="181" t="s">
        <v>6947</v>
      </c>
      <c r="D416" s="178">
        <v>4.0999999999999996</v>
      </c>
      <c r="E416" s="181" t="s">
        <v>6450</v>
      </c>
      <c r="F416" s="184">
        <v>42913</v>
      </c>
      <c r="G416" s="181"/>
      <c r="H416" s="181" t="s">
        <v>6451</v>
      </c>
      <c r="I416" s="181" t="str">
        <f>VLOOKUP(LEFT(A416,4),Groups!$A$1:$C$188,3,FALSE)</f>
        <v>Field Geological Descriptions</v>
      </c>
      <c r="J416" s="181" t="str">
        <f>VLOOKUP(A416,Headings!$C$1:$H$3948,4,FALSE)</f>
        <v>Legend code</v>
      </c>
      <c r="K416" s="181" t="str">
        <f t="shared" si="9"/>
        <v>GEOL_LEG|996</v>
      </c>
      <c r="L416" s="181"/>
    </row>
    <row r="417" spans="1:12" hidden="1" x14ac:dyDescent="0.35">
      <c r="A417" s="181" t="s">
        <v>617</v>
      </c>
      <c r="B417" s="182">
        <v>997</v>
      </c>
      <c r="C417" s="181" t="s">
        <v>6948</v>
      </c>
      <c r="D417" s="178">
        <v>4.0999999999999996</v>
      </c>
      <c r="E417" s="181" t="s">
        <v>6450</v>
      </c>
      <c r="F417" s="184">
        <v>42278</v>
      </c>
      <c r="G417" s="181"/>
      <c r="H417" s="181" t="s">
        <v>6451</v>
      </c>
      <c r="I417" s="181" t="str">
        <f>VLOOKUP(LEFT(A417,4),Groups!$A$1:$C$188,3,FALSE)</f>
        <v>Field Geological Descriptions</v>
      </c>
      <c r="J417" s="181" t="str">
        <f>VLOOKUP(A417,Headings!$C$1:$H$3948,4,FALSE)</f>
        <v>Legend code</v>
      </c>
      <c r="K417" s="181" t="str">
        <f t="shared" si="9"/>
        <v>GEOL_LEG|997</v>
      </c>
      <c r="L417" s="181"/>
    </row>
    <row r="418" spans="1:12" hidden="1" x14ac:dyDescent="0.35">
      <c r="A418" s="181" t="s">
        <v>617</v>
      </c>
      <c r="B418" s="182">
        <v>998</v>
      </c>
      <c r="C418" s="181" t="s">
        <v>6949</v>
      </c>
      <c r="D418" s="178">
        <v>4.0999999999999996</v>
      </c>
      <c r="E418" s="181" t="s">
        <v>6450</v>
      </c>
      <c r="F418" s="184">
        <v>42278</v>
      </c>
      <c r="G418" s="181"/>
      <c r="H418" s="181" t="s">
        <v>6451</v>
      </c>
      <c r="I418" s="181" t="str">
        <f>VLOOKUP(LEFT(A418,4),Groups!$A$1:$C$188,3,FALSE)</f>
        <v>Field Geological Descriptions</v>
      </c>
      <c r="J418" s="181" t="str">
        <f>VLOOKUP(A418,Headings!$C$1:$H$3948,4,FALSE)</f>
        <v>Legend code</v>
      </c>
      <c r="K418" s="181" t="str">
        <f t="shared" si="9"/>
        <v>GEOL_LEG|998</v>
      </c>
      <c r="L418" s="181"/>
    </row>
    <row r="419" spans="1:12" hidden="1" x14ac:dyDescent="0.35">
      <c r="A419" s="181" t="s">
        <v>617</v>
      </c>
      <c r="B419" s="182">
        <v>999</v>
      </c>
      <c r="C419" s="181" t="s">
        <v>6465</v>
      </c>
      <c r="D419" s="178">
        <v>4.0999999999999996</v>
      </c>
      <c r="E419" s="181" t="s">
        <v>6450</v>
      </c>
      <c r="F419" s="184">
        <v>40323</v>
      </c>
      <c r="G419" s="181"/>
      <c r="H419" s="181" t="s">
        <v>6451</v>
      </c>
      <c r="I419" s="181" t="str">
        <f>VLOOKUP(LEFT(A419,4),Groups!$A$1:$C$188,3,FALSE)</f>
        <v>Field Geological Descriptions</v>
      </c>
      <c r="J419" s="181" t="str">
        <f>VLOOKUP(A419,Headings!$C$1:$H$3948,4,FALSE)</f>
        <v>Legend code</v>
      </c>
      <c r="K419" s="181" t="str">
        <f t="shared" si="9"/>
        <v>GEOL_LEG|999</v>
      </c>
      <c r="L419" s="181"/>
    </row>
    <row r="420" spans="1:12" hidden="1" x14ac:dyDescent="0.35">
      <c r="A420" s="181" t="s">
        <v>617</v>
      </c>
      <c r="B420" s="182" t="s">
        <v>6950</v>
      </c>
      <c r="C420" s="181" t="s">
        <v>6951</v>
      </c>
      <c r="D420" s="89" t="s">
        <v>473</v>
      </c>
      <c r="E420" s="181"/>
      <c r="F420" s="181"/>
      <c r="G420" s="183"/>
      <c r="H420" s="181"/>
      <c r="I420" s="181"/>
      <c r="J420" s="181"/>
      <c r="K420" s="181" t="str">
        <f t="shared" si="9"/>
        <v>GEOL_LEG|AU101</v>
      </c>
      <c r="L420" s="181"/>
    </row>
    <row r="421" spans="1:12" hidden="1" x14ac:dyDescent="0.35">
      <c r="A421" s="181" t="s">
        <v>617</v>
      </c>
      <c r="B421" s="182" t="s">
        <v>6952</v>
      </c>
      <c r="C421" s="181" t="s">
        <v>6953</v>
      </c>
      <c r="D421" s="89" t="s">
        <v>473</v>
      </c>
      <c r="E421" s="181"/>
      <c r="F421" s="181"/>
      <c r="G421" s="183"/>
      <c r="H421" s="181"/>
      <c r="I421" s="181"/>
      <c r="J421" s="181"/>
      <c r="K421" s="181" t="str">
        <f t="shared" si="9"/>
        <v>GEOL_LEG|AU102</v>
      </c>
      <c r="L421" s="181"/>
    </row>
    <row r="422" spans="1:12" hidden="1" x14ac:dyDescent="0.35">
      <c r="A422" s="181" t="s">
        <v>617</v>
      </c>
      <c r="B422" s="182" t="s">
        <v>6954</v>
      </c>
      <c r="C422" s="181" t="s">
        <v>6955</v>
      </c>
      <c r="D422" s="89" t="s">
        <v>473</v>
      </c>
      <c r="E422" s="181"/>
      <c r="F422" s="181"/>
      <c r="G422" s="183"/>
      <c r="H422" s="181"/>
      <c r="I422" s="181"/>
      <c r="J422" s="181"/>
      <c r="K422" s="181" t="str">
        <f t="shared" si="9"/>
        <v>GEOL_LEG|AU103</v>
      </c>
      <c r="L422" s="181"/>
    </row>
    <row r="423" spans="1:12" hidden="1" x14ac:dyDescent="0.35">
      <c r="A423" s="181" t="s">
        <v>617</v>
      </c>
      <c r="B423" s="182" t="s">
        <v>6956</v>
      </c>
      <c r="C423" s="181" t="s">
        <v>6957</v>
      </c>
      <c r="D423" s="89" t="s">
        <v>473</v>
      </c>
      <c r="E423" s="181"/>
      <c r="F423" s="181"/>
      <c r="G423" s="183"/>
      <c r="H423" s="181"/>
      <c r="I423" s="181"/>
      <c r="J423" s="181"/>
      <c r="K423" s="181" t="str">
        <f t="shared" si="9"/>
        <v>GEOL_LEG|AU104</v>
      </c>
      <c r="L423" s="181"/>
    </row>
    <row r="424" spans="1:12" hidden="1" x14ac:dyDescent="0.35">
      <c r="A424" s="181" t="s">
        <v>617</v>
      </c>
      <c r="B424" s="182" t="s">
        <v>6958</v>
      </c>
      <c r="C424" s="181" t="s">
        <v>6959</v>
      </c>
      <c r="D424" s="89" t="s">
        <v>473</v>
      </c>
      <c r="E424" s="181"/>
      <c r="F424" s="181"/>
      <c r="G424" s="183"/>
      <c r="H424" s="181"/>
      <c r="I424" s="181"/>
      <c r="J424" s="181"/>
      <c r="K424" s="181" t="str">
        <f t="shared" si="9"/>
        <v>GEOL_LEG|AU105</v>
      </c>
      <c r="L424" s="181"/>
    </row>
    <row r="425" spans="1:12" hidden="1" x14ac:dyDescent="0.35">
      <c r="A425" s="181" t="s">
        <v>617</v>
      </c>
      <c r="B425" s="182" t="s">
        <v>6960</v>
      </c>
      <c r="C425" s="181" t="s">
        <v>6961</v>
      </c>
      <c r="D425" s="89" t="s">
        <v>473</v>
      </c>
      <c r="E425" s="181"/>
      <c r="F425" s="181"/>
      <c r="G425" s="183"/>
      <c r="H425" s="181"/>
      <c r="I425" s="181"/>
      <c r="J425" s="181"/>
      <c r="K425" s="181" t="str">
        <f t="shared" si="9"/>
        <v>GEOL_LEG|AU801</v>
      </c>
      <c r="L425" s="181"/>
    </row>
    <row r="426" spans="1:12" hidden="1" x14ac:dyDescent="0.35">
      <c r="A426" s="181" t="s">
        <v>617</v>
      </c>
      <c r="B426" s="182" t="s">
        <v>621</v>
      </c>
      <c r="C426" s="181" t="s">
        <v>6962</v>
      </c>
      <c r="D426" s="89" t="s">
        <v>473</v>
      </c>
      <c r="E426" s="181"/>
      <c r="F426" s="181"/>
      <c r="G426" s="183"/>
      <c r="H426" s="181"/>
      <c r="I426" s="181"/>
      <c r="J426" s="181"/>
      <c r="K426" s="181" t="str">
        <f t="shared" si="9"/>
        <v>GEOL_LEG|AU802</v>
      </c>
      <c r="L426" s="181"/>
    </row>
    <row r="427" spans="1:12" hidden="1" x14ac:dyDescent="0.35">
      <c r="A427" s="181" t="s">
        <v>617</v>
      </c>
      <c r="B427" s="182" t="s">
        <v>6963</v>
      </c>
      <c r="C427" s="181" t="s">
        <v>6964</v>
      </c>
      <c r="D427" s="89" t="s">
        <v>473</v>
      </c>
      <c r="E427" s="181"/>
      <c r="F427" s="181"/>
      <c r="G427" s="183"/>
      <c r="H427" s="181"/>
      <c r="I427" s="181"/>
      <c r="J427" s="181"/>
      <c r="K427" s="181" t="str">
        <f t="shared" si="9"/>
        <v>GEOL_LEG|AU803</v>
      </c>
      <c r="L427" s="181"/>
    </row>
    <row r="428" spans="1:12" hidden="1" x14ac:dyDescent="0.35">
      <c r="A428" s="181" t="s">
        <v>617</v>
      </c>
      <c r="B428" s="182" t="s">
        <v>6965</v>
      </c>
      <c r="C428" s="181" t="s">
        <v>6966</v>
      </c>
      <c r="D428" s="89" t="s">
        <v>473</v>
      </c>
      <c r="E428" s="181"/>
      <c r="F428" s="181"/>
      <c r="G428" s="183"/>
      <c r="H428" s="181"/>
      <c r="I428" s="181"/>
      <c r="J428" s="181"/>
      <c r="K428" s="181" t="str">
        <f t="shared" si="9"/>
        <v>GEOL_LEG|AU804</v>
      </c>
      <c r="L428" s="181"/>
    </row>
    <row r="429" spans="1:12" hidden="1" x14ac:dyDescent="0.35">
      <c r="A429" s="181" t="s">
        <v>617</v>
      </c>
      <c r="B429" s="182" t="s">
        <v>6967</v>
      </c>
      <c r="C429" s="181" t="s">
        <v>6968</v>
      </c>
      <c r="D429" s="89" t="s">
        <v>473</v>
      </c>
      <c r="E429" s="181"/>
      <c r="F429" s="181"/>
      <c r="G429" s="183"/>
      <c r="H429" s="181"/>
      <c r="I429" s="181"/>
      <c r="J429" s="181"/>
      <c r="K429" s="181" t="str">
        <f t="shared" si="9"/>
        <v>GEOL_LEG|AU805</v>
      </c>
      <c r="L429" s="181"/>
    </row>
    <row r="430" spans="1:12" hidden="1" x14ac:dyDescent="0.35">
      <c r="A430" s="181" t="s">
        <v>617</v>
      </c>
      <c r="B430" s="182" t="s">
        <v>6969</v>
      </c>
      <c r="C430" s="181" t="s">
        <v>6970</v>
      </c>
      <c r="D430" s="89" t="s">
        <v>473</v>
      </c>
      <c r="E430" s="181"/>
      <c r="F430" s="181"/>
      <c r="G430" s="183"/>
      <c r="H430" s="181"/>
      <c r="I430" s="181"/>
      <c r="J430" s="181"/>
      <c r="K430" s="181" t="str">
        <f t="shared" si="9"/>
        <v>GEOL_LEG|AU806</v>
      </c>
      <c r="L430" s="181"/>
    </row>
    <row r="431" spans="1:12" hidden="1" x14ac:dyDescent="0.35">
      <c r="A431" s="181" t="s">
        <v>617</v>
      </c>
      <c r="B431" s="182" t="s">
        <v>6971</v>
      </c>
      <c r="C431" s="181" t="s">
        <v>6972</v>
      </c>
      <c r="D431" s="89" t="s">
        <v>473</v>
      </c>
      <c r="E431" s="181"/>
      <c r="F431" s="181"/>
      <c r="G431" s="183"/>
      <c r="H431" s="181"/>
      <c r="I431" s="181"/>
      <c r="J431" s="181"/>
      <c r="K431" s="181" t="str">
        <f t="shared" si="9"/>
        <v>GEOL_LEG|AU807</v>
      </c>
      <c r="L431" s="181"/>
    </row>
    <row r="432" spans="1:12" hidden="1" x14ac:dyDescent="0.35">
      <c r="A432" s="181" t="s">
        <v>617</v>
      </c>
      <c r="B432" s="182" t="s">
        <v>6973</v>
      </c>
      <c r="C432" s="181" t="s">
        <v>6974</v>
      </c>
      <c r="D432" s="89" t="s">
        <v>473</v>
      </c>
      <c r="E432" s="181"/>
      <c r="F432" s="181"/>
      <c r="G432" s="183"/>
      <c r="H432" s="181"/>
      <c r="I432" s="181"/>
      <c r="J432" s="181"/>
      <c r="K432" s="181" t="str">
        <f t="shared" si="9"/>
        <v>GEOL_LEG|AU808</v>
      </c>
      <c r="L432" s="181"/>
    </row>
    <row r="433" spans="1:12" hidden="1" x14ac:dyDescent="0.35">
      <c r="A433" s="181" t="s">
        <v>617</v>
      </c>
      <c r="B433" s="182" t="s">
        <v>6975</v>
      </c>
      <c r="C433" s="181" t="s">
        <v>6976</v>
      </c>
      <c r="D433" s="89" t="s">
        <v>473</v>
      </c>
      <c r="E433" s="181"/>
      <c r="F433" s="181"/>
      <c r="G433" s="183"/>
      <c r="H433" s="181"/>
      <c r="I433" s="181"/>
      <c r="J433" s="181"/>
      <c r="K433" s="181" t="str">
        <f t="shared" si="9"/>
        <v>GEOL_LEG|AU809</v>
      </c>
      <c r="L433" s="181"/>
    </row>
    <row r="434" spans="1:12" hidden="1" x14ac:dyDescent="0.35">
      <c r="A434" s="181" t="s">
        <v>617</v>
      </c>
      <c r="B434" s="182" t="s">
        <v>6977</v>
      </c>
      <c r="C434" s="181" t="s">
        <v>6978</v>
      </c>
      <c r="D434" s="89" t="s">
        <v>473</v>
      </c>
      <c r="E434" s="181"/>
      <c r="F434" s="181"/>
      <c r="G434" s="183"/>
      <c r="H434" s="181"/>
      <c r="I434" s="181"/>
      <c r="J434" s="181"/>
      <c r="K434" s="181" t="str">
        <f t="shared" si="9"/>
        <v>GEOL_LEG|AU810</v>
      </c>
      <c r="L434" s="181"/>
    </row>
    <row r="435" spans="1:12" hidden="1" x14ac:dyDescent="0.35">
      <c r="A435" s="181" t="s">
        <v>617</v>
      </c>
      <c r="B435" s="182" t="s">
        <v>6979</v>
      </c>
      <c r="C435" s="181" t="s">
        <v>6980</v>
      </c>
      <c r="D435" s="89" t="s">
        <v>473</v>
      </c>
      <c r="E435" s="181"/>
      <c r="F435" s="181"/>
      <c r="G435" s="183"/>
      <c r="H435" s="181"/>
      <c r="I435" s="181"/>
      <c r="J435" s="181"/>
      <c r="K435" s="181" t="str">
        <f t="shared" si="9"/>
        <v>GEOL_LEG|AU811</v>
      </c>
      <c r="L435" s="181"/>
    </row>
    <row r="436" spans="1:12" hidden="1" x14ac:dyDescent="0.35">
      <c r="A436" s="181" t="s">
        <v>617</v>
      </c>
      <c r="B436" s="182" t="s">
        <v>6981</v>
      </c>
      <c r="C436" s="181" t="s">
        <v>6982</v>
      </c>
      <c r="D436" s="89" t="s">
        <v>473</v>
      </c>
      <c r="E436" s="181"/>
      <c r="F436" s="181"/>
      <c r="G436" s="183"/>
      <c r="H436" s="181"/>
      <c r="I436" s="181"/>
      <c r="J436" s="181"/>
      <c r="K436" s="181" t="str">
        <f t="shared" si="9"/>
        <v>GEOL_LEG|AU812</v>
      </c>
      <c r="L436" s="181"/>
    </row>
    <row r="437" spans="1:12" hidden="1" x14ac:dyDescent="0.35">
      <c r="A437" s="181" t="s">
        <v>617</v>
      </c>
      <c r="B437" s="182" t="s">
        <v>6983</v>
      </c>
      <c r="C437" s="181" t="s">
        <v>6984</v>
      </c>
      <c r="D437" s="89" t="s">
        <v>473</v>
      </c>
      <c r="E437" s="181"/>
      <c r="F437" s="181"/>
      <c r="G437" s="183"/>
      <c r="H437" s="181"/>
      <c r="I437" s="181"/>
      <c r="J437" s="181"/>
      <c r="K437" s="181" t="str">
        <f t="shared" si="9"/>
        <v>GEOL_LEG|AU813</v>
      </c>
      <c r="L437" s="181"/>
    </row>
    <row r="438" spans="1:12" hidden="1" x14ac:dyDescent="0.35">
      <c r="A438" s="181" t="s">
        <v>617</v>
      </c>
      <c r="B438" s="182" t="s">
        <v>6985</v>
      </c>
      <c r="C438" s="181" t="s">
        <v>6986</v>
      </c>
      <c r="D438" s="89" t="s">
        <v>473</v>
      </c>
      <c r="E438" s="181"/>
      <c r="F438" s="181"/>
      <c r="G438" s="183"/>
      <c r="H438" s="181"/>
      <c r="I438" s="181"/>
      <c r="J438" s="181"/>
      <c r="K438" s="181" t="str">
        <f t="shared" si="9"/>
        <v>GEOL_LEG|AU814</v>
      </c>
      <c r="L438" s="181"/>
    </row>
    <row r="439" spans="1:12" hidden="1" x14ac:dyDescent="0.35">
      <c r="A439" s="181" t="s">
        <v>617</v>
      </c>
      <c r="B439" s="182" t="s">
        <v>6987</v>
      </c>
      <c r="C439" s="181" t="s">
        <v>6988</v>
      </c>
      <c r="D439" s="89" t="s">
        <v>473</v>
      </c>
      <c r="E439" s="181"/>
      <c r="F439" s="181"/>
      <c r="G439" s="183"/>
      <c r="H439" s="181"/>
      <c r="I439" s="181"/>
      <c r="J439" s="181"/>
      <c r="K439" s="181" t="str">
        <f t="shared" si="9"/>
        <v>GEOL_LEG|AU815</v>
      </c>
      <c r="L439" s="181"/>
    </row>
    <row r="440" spans="1:12" hidden="1" x14ac:dyDescent="0.35">
      <c r="A440" s="181" t="s">
        <v>617</v>
      </c>
      <c r="B440" s="182" t="s">
        <v>6989</v>
      </c>
      <c r="C440" s="181" t="s">
        <v>6990</v>
      </c>
      <c r="D440" s="89" t="s">
        <v>473</v>
      </c>
      <c r="E440" s="181"/>
      <c r="F440" s="181"/>
      <c r="G440" s="183"/>
      <c r="H440" s="181"/>
      <c r="I440" s="181"/>
      <c r="J440" s="181"/>
      <c r="K440" s="181" t="str">
        <f t="shared" si="9"/>
        <v>GEOL_LEG|AU816</v>
      </c>
      <c r="L440" s="181"/>
    </row>
    <row r="441" spans="1:12" hidden="1" x14ac:dyDescent="0.35">
      <c r="A441" s="181" t="s">
        <v>617</v>
      </c>
      <c r="B441" s="182" t="s">
        <v>6991</v>
      </c>
      <c r="C441" s="181" t="s">
        <v>6992</v>
      </c>
      <c r="D441" s="89" t="s">
        <v>473</v>
      </c>
      <c r="E441" s="181"/>
      <c r="F441" s="181"/>
      <c r="G441" s="183"/>
      <c r="H441" s="181"/>
      <c r="I441" s="181"/>
      <c r="J441" s="181"/>
      <c r="K441" s="181" t="str">
        <f t="shared" si="9"/>
        <v>GEOL_LEG|AU817</v>
      </c>
      <c r="L441" s="181"/>
    </row>
    <row r="442" spans="1:12" hidden="1" x14ac:dyDescent="0.35">
      <c r="A442" s="181" t="s">
        <v>617</v>
      </c>
      <c r="B442" s="182" t="s">
        <v>6993</v>
      </c>
      <c r="C442" s="181" t="s">
        <v>6994</v>
      </c>
      <c r="D442" s="89" t="s">
        <v>473</v>
      </c>
      <c r="E442" s="181"/>
      <c r="F442" s="181"/>
      <c r="G442" s="183"/>
      <c r="H442" s="181"/>
      <c r="I442" s="181"/>
      <c r="J442" s="181"/>
      <c r="K442" s="181" t="str">
        <f t="shared" si="9"/>
        <v>GEOL_LEG|AU818</v>
      </c>
      <c r="L442" s="181"/>
    </row>
    <row r="443" spans="1:12" hidden="1" x14ac:dyDescent="0.35">
      <c r="A443" s="181" t="s">
        <v>617</v>
      </c>
      <c r="B443" s="182" t="s">
        <v>6995</v>
      </c>
      <c r="C443" s="181" t="s">
        <v>6996</v>
      </c>
      <c r="D443" s="89" t="s">
        <v>473</v>
      </c>
      <c r="E443" s="181"/>
      <c r="F443" s="181"/>
      <c r="G443" s="183"/>
      <c r="H443" s="181"/>
      <c r="I443" s="181"/>
      <c r="J443" s="181"/>
      <c r="K443" s="181" t="str">
        <f t="shared" si="9"/>
        <v>GEOL_LEG|AU819</v>
      </c>
      <c r="L443" s="181"/>
    </row>
    <row r="444" spans="1:12" hidden="1" x14ac:dyDescent="0.35">
      <c r="A444" s="181" t="s">
        <v>617</v>
      </c>
      <c r="B444" s="182" t="s">
        <v>6997</v>
      </c>
      <c r="C444" s="181" t="s">
        <v>6998</v>
      </c>
      <c r="D444" s="89" t="s">
        <v>473</v>
      </c>
      <c r="E444" s="181"/>
      <c r="F444" s="181"/>
      <c r="G444" s="183"/>
      <c r="H444" s="181"/>
      <c r="I444" s="181"/>
      <c r="J444" s="181"/>
      <c r="K444" s="181" t="str">
        <f t="shared" si="9"/>
        <v>GEOL_LEG|AU820</v>
      </c>
      <c r="L444" s="181"/>
    </row>
    <row r="445" spans="1:12" hidden="1" x14ac:dyDescent="0.35">
      <c r="A445" s="181" t="s">
        <v>617</v>
      </c>
      <c r="B445" s="182" t="s">
        <v>6999</v>
      </c>
      <c r="C445" s="181" t="s">
        <v>7000</v>
      </c>
      <c r="D445" s="89" t="s">
        <v>473</v>
      </c>
      <c r="E445" s="181"/>
      <c r="F445" s="181"/>
      <c r="G445" s="183"/>
      <c r="H445" s="181"/>
      <c r="I445" s="181"/>
      <c r="J445" s="181"/>
      <c r="K445" s="181" t="str">
        <f t="shared" si="9"/>
        <v>GEOL_LEG|AU821</v>
      </c>
      <c r="L445" s="181"/>
    </row>
    <row r="446" spans="1:12" hidden="1" x14ac:dyDescent="0.35">
      <c r="A446" s="181" t="s">
        <v>617</v>
      </c>
      <c r="B446" s="182" t="s">
        <v>7001</v>
      </c>
      <c r="C446" s="181" t="s">
        <v>7002</v>
      </c>
      <c r="D446" s="89" t="s">
        <v>473</v>
      </c>
      <c r="E446" s="181"/>
      <c r="F446" s="181"/>
      <c r="G446" s="183"/>
      <c r="H446" s="181"/>
      <c r="I446" s="181"/>
      <c r="J446" s="181"/>
      <c r="K446" s="181" t="str">
        <f t="shared" si="9"/>
        <v>GEOL_LEG|AU822</v>
      </c>
      <c r="L446" s="181"/>
    </row>
    <row r="447" spans="1:12" hidden="1" x14ac:dyDescent="0.35">
      <c r="A447" s="181" t="s">
        <v>617</v>
      </c>
      <c r="B447" s="182" t="s">
        <v>7003</v>
      </c>
      <c r="C447" s="181" t="s">
        <v>7004</v>
      </c>
      <c r="D447" s="89" t="s">
        <v>473</v>
      </c>
      <c r="E447" s="181"/>
      <c r="F447" s="181"/>
      <c r="G447" s="183"/>
      <c r="H447" s="181"/>
      <c r="I447" s="181"/>
      <c r="J447" s="181"/>
      <c r="K447" s="181" t="str">
        <f t="shared" si="9"/>
        <v>GEOL_LEG|AU823</v>
      </c>
      <c r="L447" s="181"/>
    </row>
    <row r="448" spans="1:12" hidden="1" x14ac:dyDescent="0.35">
      <c r="A448" s="181" t="s">
        <v>617</v>
      </c>
      <c r="B448" s="182" t="s">
        <v>7005</v>
      </c>
      <c r="C448" s="181" t="s">
        <v>7006</v>
      </c>
      <c r="D448" s="89" t="s">
        <v>473</v>
      </c>
      <c r="E448" s="181"/>
      <c r="F448" s="181"/>
      <c r="G448" s="183"/>
      <c r="H448" s="181"/>
      <c r="I448" s="181"/>
      <c r="J448" s="181"/>
      <c r="K448" s="181" t="str">
        <f t="shared" si="9"/>
        <v>GEOL_LEG|AU824</v>
      </c>
      <c r="L448" s="181"/>
    </row>
    <row r="449" spans="1:12" hidden="1" x14ac:dyDescent="0.35">
      <c r="A449" s="181" t="s">
        <v>617</v>
      </c>
      <c r="B449" s="182" t="s">
        <v>7007</v>
      </c>
      <c r="C449" s="181" t="s">
        <v>7008</v>
      </c>
      <c r="D449" s="89" t="s">
        <v>473</v>
      </c>
      <c r="E449" s="181"/>
      <c r="F449" s="181"/>
      <c r="G449" s="183"/>
      <c r="H449" s="181"/>
      <c r="I449" s="181"/>
      <c r="J449" s="181"/>
      <c r="K449" s="181" t="str">
        <f t="shared" si="9"/>
        <v>GEOL_LEG|AU825</v>
      </c>
      <c r="L449" s="181"/>
    </row>
    <row r="450" spans="1:12" hidden="1" x14ac:dyDescent="0.35">
      <c r="A450" s="181" t="s">
        <v>617</v>
      </c>
      <c r="B450" s="182" t="s">
        <v>7009</v>
      </c>
      <c r="C450" s="181" t="s">
        <v>7010</v>
      </c>
      <c r="D450" s="89" t="s">
        <v>473</v>
      </c>
      <c r="E450" s="181"/>
      <c r="F450" s="181"/>
      <c r="G450" s="183"/>
      <c r="H450" s="181"/>
      <c r="I450" s="181"/>
      <c r="J450" s="181"/>
      <c r="K450" s="181" t="str">
        <f t="shared" ref="K450:K513" si="10">A450&amp;"|"&amp;B450</f>
        <v>GEOL_LEG|AU826</v>
      </c>
      <c r="L450" s="181"/>
    </row>
    <row r="451" spans="1:12" hidden="1" x14ac:dyDescent="0.35">
      <c r="A451" s="181" t="s">
        <v>617</v>
      </c>
      <c r="B451" s="182" t="s">
        <v>7011</v>
      </c>
      <c r="C451" s="181" t="s">
        <v>7012</v>
      </c>
      <c r="D451" s="89" t="s">
        <v>473</v>
      </c>
      <c r="E451" s="181"/>
      <c r="F451" s="181"/>
      <c r="G451" s="183"/>
      <c r="H451" s="181"/>
      <c r="I451" s="181"/>
      <c r="J451" s="181"/>
      <c r="K451" s="181" t="str">
        <f t="shared" si="10"/>
        <v>GEOL_LEG|AU827</v>
      </c>
      <c r="L451" s="181"/>
    </row>
    <row r="452" spans="1:12" hidden="1" x14ac:dyDescent="0.35">
      <c r="A452" s="181" t="s">
        <v>617</v>
      </c>
      <c r="B452" s="182" t="s">
        <v>7013</v>
      </c>
      <c r="C452" s="181" t="s">
        <v>7014</v>
      </c>
      <c r="D452" s="89" t="s">
        <v>473</v>
      </c>
      <c r="E452" s="181"/>
      <c r="F452" s="181"/>
      <c r="G452" s="183"/>
      <c r="H452" s="181"/>
      <c r="I452" s="181"/>
      <c r="J452" s="181"/>
      <c r="K452" s="181" t="str">
        <f t="shared" si="10"/>
        <v>GEOL_LEG|AU828</v>
      </c>
      <c r="L452" s="181"/>
    </row>
    <row r="453" spans="1:12" hidden="1" x14ac:dyDescent="0.35">
      <c r="A453" s="181" t="s">
        <v>617</v>
      </c>
      <c r="B453" s="182" t="s">
        <v>7015</v>
      </c>
      <c r="C453" s="181" t="s">
        <v>7016</v>
      </c>
      <c r="D453" s="89" t="s">
        <v>473</v>
      </c>
      <c r="E453" s="181"/>
      <c r="F453" s="181"/>
      <c r="G453" s="183"/>
      <c r="H453" s="181"/>
      <c r="I453" s="181"/>
      <c r="J453" s="181"/>
      <c r="K453" s="181" t="str">
        <f t="shared" si="10"/>
        <v>GEOL_LEG|AU829</v>
      </c>
      <c r="L453" s="181"/>
    </row>
    <row r="454" spans="1:12" hidden="1" x14ac:dyDescent="0.35">
      <c r="A454" s="181" t="s">
        <v>617</v>
      </c>
      <c r="B454" s="182" t="s">
        <v>7017</v>
      </c>
      <c r="C454" s="181" t="s">
        <v>7018</v>
      </c>
      <c r="D454" s="89" t="s">
        <v>473</v>
      </c>
      <c r="E454" s="181"/>
      <c r="F454" s="181"/>
      <c r="G454" s="183"/>
      <c r="H454" s="181"/>
      <c r="I454" s="181"/>
      <c r="J454" s="181"/>
      <c r="K454" s="181" t="str">
        <f t="shared" si="10"/>
        <v>GEOL_LEG|AU830</v>
      </c>
      <c r="L454" s="181"/>
    </row>
    <row r="455" spans="1:12" hidden="1" x14ac:dyDescent="0.35">
      <c r="A455" s="181" t="s">
        <v>617</v>
      </c>
      <c r="B455" s="182" t="s">
        <v>7019</v>
      </c>
      <c r="C455" s="181" t="s">
        <v>7020</v>
      </c>
      <c r="D455" s="89" t="s">
        <v>473</v>
      </c>
      <c r="E455" s="181"/>
      <c r="F455" s="181"/>
      <c r="G455" s="183"/>
      <c r="H455" s="181"/>
      <c r="I455" s="181"/>
      <c r="J455" s="181"/>
      <c r="K455" s="181" t="str">
        <f t="shared" si="10"/>
        <v>GEOL_LEG|AU831</v>
      </c>
      <c r="L455" s="181"/>
    </row>
    <row r="456" spans="1:12" hidden="1" x14ac:dyDescent="0.35">
      <c r="A456" s="181" t="s">
        <v>617</v>
      </c>
      <c r="B456" s="182" t="s">
        <v>7021</v>
      </c>
      <c r="C456" s="181" t="s">
        <v>7022</v>
      </c>
      <c r="D456" s="89" t="s">
        <v>473</v>
      </c>
      <c r="E456" s="181"/>
      <c r="F456" s="181"/>
      <c r="G456" s="183"/>
      <c r="H456" s="181"/>
      <c r="I456" s="181"/>
      <c r="J456" s="181"/>
      <c r="K456" s="181" t="str">
        <f t="shared" si="10"/>
        <v>GEOL_LEG|AU832</v>
      </c>
      <c r="L456" s="181"/>
    </row>
    <row r="457" spans="1:12" hidden="1" x14ac:dyDescent="0.35">
      <c r="A457" s="181" t="s">
        <v>617</v>
      </c>
      <c r="B457" s="182" t="s">
        <v>7023</v>
      </c>
      <c r="C457" s="181" t="s">
        <v>7024</v>
      </c>
      <c r="D457" s="89" t="s">
        <v>473</v>
      </c>
      <c r="E457" s="181"/>
      <c r="F457" s="181"/>
      <c r="G457" s="183"/>
      <c r="H457" s="181"/>
      <c r="I457" s="181"/>
      <c r="J457" s="181"/>
      <c r="K457" s="181" t="str">
        <f t="shared" si="10"/>
        <v>GEOL_LEG|AU833</v>
      </c>
      <c r="L457" s="181"/>
    </row>
    <row r="458" spans="1:12" hidden="1" x14ac:dyDescent="0.35">
      <c r="A458" s="181" t="s">
        <v>617</v>
      </c>
      <c r="B458" s="182" t="s">
        <v>7025</v>
      </c>
      <c r="C458" s="181" t="s">
        <v>7026</v>
      </c>
      <c r="D458" s="89" t="s">
        <v>473</v>
      </c>
      <c r="E458" s="181"/>
      <c r="F458" s="181"/>
      <c r="G458" s="183"/>
      <c r="H458" s="181"/>
      <c r="I458" s="181"/>
      <c r="J458" s="181"/>
      <c r="K458" s="181" t="str">
        <f t="shared" si="10"/>
        <v>GEOL_LEG|AU834</v>
      </c>
      <c r="L458" s="181"/>
    </row>
    <row r="459" spans="1:12" hidden="1" x14ac:dyDescent="0.35">
      <c r="A459" s="181" t="s">
        <v>617</v>
      </c>
      <c r="B459" s="182" t="s">
        <v>7027</v>
      </c>
      <c r="C459" s="181" t="s">
        <v>7028</v>
      </c>
      <c r="D459" s="89" t="s">
        <v>473</v>
      </c>
      <c r="E459" s="181"/>
      <c r="F459" s="181"/>
      <c r="G459" s="183"/>
      <c r="H459" s="181"/>
      <c r="I459" s="181"/>
      <c r="J459" s="181"/>
      <c r="K459" s="181" t="str">
        <f t="shared" si="10"/>
        <v>GEOL_LEG|AU835</v>
      </c>
      <c r="L459" s="181"/>
    </row>
    <row r="460" spans="1:12" hidden="1" x14ac:dyDescent="0.35">
      <c r="A460" s="181" t="s">
        <v>617</v>
      </c>
      <c r="B460" s="182" t="s">
        <v>7029</v>
      </c>
      <c r="C460" s="181" t="s">
        <v>7030</v>
      </c>
      <c r="D460" s="89" t="s">
        <v>473</v>
      </c>
      <c r="E460" s="181"/>
      <c r="F460" s="181"/>
      <c r="G460" s="183"/>
      <c r="H460" s="181"/>
      <c r="I460" s="181"/>
      <c r="J460" s="181"/>
      <c r="K460" s="181" t="str">
        <f t="shared" si="10"/>
        <v>GEOL_LEG|AU836</v>
      </c>
      <c r="L460" s="181"/>
    </row>
    <row r="461" spans="1:12" hidden="1" x14ac:dyDescent="0.35">
      <c r="A461" s="181" t="s">
        <v>617</v>
      </c>
      <c r="B461" s="182" t="s">
        <v>7031</v>
      </c>
      <c r="C461" s="181" t="s">
        <v>7032</v>
      </c>
      <c r="D461" s="89" t="s">
        <v>473</v>
      </c>
      <c r="E461" s="181"/>
      <c r="F461" s="181"/>
      <c r="G461" s="183"/>
      <c r="H461" s="181"/>
      <c r="I461" s="181"/>
      <c r="J461" s="181"/>
      <c r="K461" s="181" t="str">
        <f t="shared" si="10"/>
        <v>GEOL_LEG|AU837</v>
      </c>
      <c r="L461" s="181"/>
    </row>
    <row r="462" spans="1:12" hidden="1" x14ac:dyDescent="0.35">
      <c r="A462" s="181" t="s">
        <v>617</v>
      </c>
      <c r="B462" s="182" t="s">
        <v>7033</v>
      </c>
      <c r="C462" s="181" t="s">
        <v>7034</v>
      </c>
      <c r="D462" s="89" t="s">
        <v>473</v>
      </c>
      <c r="E462" s="181"/>
      <c r="F462" s="181"/>
      <c r="G462" s="183"/>
      <c r="H462" s="181"/>
      <c r="I462" s="181"/>
      <c r="J462" s="181"/>
      <c r="K462" s="181" t="str">
        <f t="shared" si="10"/>
        <v>GEOL_LEG|AU838</v>
      </c>
      <c r="L462" s="181"/>
    </row>
    <row r="463" spans="1:12" hidden="1" x14ac:dyDescent="0.35">
      <c r="A463" s="181" t="s">
        <v>617</v>
      </c>
      <c r="B463" s="182" t="s">
        <v>7035</v>
      </c>
      <c r="C463" s="181" t="s">
        <v>7036</v>
      </c>
      <c r="D463" s="89" t="s">
        <v>473</v>
      </c>
      <c r="E463" s="181"/>
      <c r="F463" s="181"/>
      <c r="G463" s="183"/>
      <c r="H463" s="181"/>
      <c r="I463" s="181"/>
      <c r="J463" s="181"/>
      <c r="K463" s="181" t="str">
        <f t="shared" si="10"/>
        <v>GEOL_LEG|AU839</v>
      </c>
      <c r="L463" s="181"/>
    </row>
    <row r="464" spans="1:12" hidden="1" x14ac:dyDescent="0.35">
      <c r="A464" s="181" t="s">
        <v>617</v>
      </c>
      <c r="B464" s="182" t="s">
        <v>7037</v>
      </c>
      <c r="C464" s="181" t="s">
        <v>6945</v>
      </c>
      <c r="D464" s="89" t="s">
        <v>473</v>
      </c>
      <c r="E464" s="181"/>
      <c r="F464" s="181"/>
      <c r="G464" s="183"/>
      <c r="H464" s="181"/>
      <c r="I464" s="181"/>
      <c r="J464" s="181"/>
      <c r="K464" s="181" t="str">
        <f t="shared" si="10"/>
        <v>GEOL_LEG|AU840</v>
      </c>
      <c r="L464" s="181"/>
    </row>
    <row r="465" spans="1:12" hidden="1" x14ac:dyDescent="0.35">
      <c r="A465" s="181" t="s">
        <v>617</v>
      </c>
      <c r="B465" s="182" t="s">
        <v>7038</v>
      </c>
      <c r="C465" s="181" t="s">
        <v>7039</v>
      </c>
      <c r="D465" s="89" t="s">
        <v>473</v>
      </c>
      <c r="E465" s="181"/>
      <c r="F465" s="181"/>
      <c r="G465" s="183"/>
      <c r="H465" s="181"/>
      <c r="I465" s="181"/>
      <c r="J465" s="181"/>
      <c r="K465" s="181" t="str">
        <f t="shared" si="10"/>
        <v>GEOL_LEG|AU841</v>
      </c>
      <c r="L465" s="181"/>
    </row>
    <row r="466" spans="1:12" hidden="1" x14ac:dyDescent="0.35">
      <c r="A466" s="181" t="s">
        <v>617</v>
      </c>
      <c r="B466" s="182" t="s">
        <v>7040</v>
      </c>
      <c r="C466" s="181" t="s">
        <v>7041</v>
      </c>
      <c r="D466" s="89" t="s">
        <v>473</v>
      </c>
      <c r="E466" s="181"/>
      <c r="F466" s="181"/>
      <c r="G466" s="183"/>
      <c r="H466" s="181"/>
      <c r="I466" s="181"/>
      <c r="J466" s="181"/>
      <c r="K466" s="181" t="str">
        <f t="shared" si="10"/>
        <v>GEOL_LEG|AU842</v>
      </c>
      <c r="L466" s="181"/>
    </row>
    <row r="467" spans="1:12" hidden="1" x14ac:dyDescent="0.35">
      <c r="A467" s="181" t="s">
        <v>617</v>
      </c>
      <c r="B467" s="182" t="s">
        <v>7042</v>
      </c>
      <c r="C467" s="181" t="s">
        <v>7043</v>
      </c>
      <c r="D467" s="89" t="s">
        <v>473</v>
      </c>
      <c r="E467" s="181"/>
      <c r="F467" s="181"/>
      <c r="G467" s="183"/>
      <c r="H467" s="181"/>
      <c r="I467" s="181"/>
      <c r="J467" s="181"/>
      <c r="K467" s="181" t="str">
        <f t="shared" si="10"/>
        <v>GEOL_LEG|AU843</v>
      </c>
      <c r="L467" s="181"/>
    </row>
    <row r="468" spans="1:12" hidden="1" x14ac:dyDescent="0.35">
      <c r="A468" s="181" t="s">
        <v>617</v>
      </c>
      <c r="B468" s="182" t="s">
        <v>7044</v>
      </c>
      <c r="C468" s="181" t="s">
        <v>7045</v>
      </c>
      <c r="D468" s="89" t="s">
        <v>473</v>
      </c>
      <c r="E468" s="181"/>
      <c r="F468" s="181"/>
      <c r="G468" s="183"/>
      <c r="H468" s="181"/>
      <c r="I468" s="181"/>
      <c r="J468" s="181"/>
      <c r="K468" s="181" t="str">
        <f t="shared" si="10"/>
        <v>GEOL_LEG|AU844</v>
      </c>
      <c r="L468" s="181"/>
    </row>
    <row r="469" spans="1:12" hidden="1" x14ac:dyDescent="0.35">
      <c r="A469" s="181" t="s">
        <v>617</v>
      </c>
      <c r="B469" s="182" t="s">
        <v>7046</v>
      </c>
      <c r="C469" s="181" t="s">
        <v>7047</v>
      </c>
      <c r="D469" s="89" t="s">
        <v>473</v>
      </c>
      <c r="E469" s="181"/>
      <c r="F469" s="181"/>
      <c r="G469" s="183"/>
      <c r="H469" s="181"/>
      <c r="I469" s="181"/>
      <c r="J469" s="181"/>
      <c r="K469" s="181" t="str">
        <f t="shared" si="10"/>
        <v>GEOL_LEG|AU845</v>
      </c>
      <c r="L469" s="181"/>
    </row>
    <row r="470" spans="1:12" hidden="1" x14ac:dyDescent="0.35">
      <c r="A470" s="181" t="s">
        <v>617</v>
      </c>
      <c r="B470" s="182" t="s">
        <v>7048</v>
      </c>
      <c r="C470" s="181" t="s">
        <v>7049</v>
      </c>
      <c r="D470" s="89" t="s">
        <v>473</v>
      </c>
      <c r="E470" s="181"/>
      <c r="F470" s="181"/>
      <c r="G470" s="183"/>
      <c r="H470" s="181"/>
      <c r="I470" s="181"/>
      <c r="J470" s="181"/>
      <c r="K470" s="181" t="str">
        <f t="shared" si="10"/>
        <v>GEOL_LEG|AU846</v>
      </c>
      <c r="L470" s="181"/>
    </row>
    <row r="471" spans="1:12" hidden="1" x14ac:dyDescent="0.35">
      <c r="A471" s="181" t="s">
        <v>617</v>
      </c>
      <c r="B471" s="182" t="s">
        <v>7050</v>
      </c>
      <c r="C471" s="181" t="s">
        <v>7051</v>
      </c>
      <c r="D471" s="89" t="s">
        <v>473</v>
      </c>
      <c r="E471" s="181"/>
      <c r="F471" s="181"/>
      <c r="G471" s="183"/>
      <c r="H471" s="181"/>
      <c r="I471" s="181"/>
      <c r="J471" s="181"/>
      <c r="K471" s="181" t="str">
        <f t="shared" si="10"/>
        <v>GEOL_LEG|AU847</v>
      </c>
      <c r="L471" s="181"/>
    </row>
    <row r="472" spans="1:12" hidden="1" x14ac:dyDescent="0.35">
      <c r="A472" s="181" t="s">
        <v>617</v>
      </c>
      <c r="B472" s="182" t="s">
        <v>7052</v>
      </c>
      <c r="C472" s="181" t="s">
        <v>7053</v>
      </c>
      <c r="D472" s="89" t="s">
        <v>473</v>
      </c>
      <c r="E472" s="181"/>
      <c r="F472" s="181"/>
      <c r="G472" s="183"/>
      <c r="H472" s="181"/>
      <c r="I472" s="181"/>
      <c r="J472" s="181"/>
      <c r="K472" s="181" t="str">
        <f t="shared" si="10"/>
        <v>GEOL_LEG|AU848</v>
      </c>
      <c r="L472" s="181"/>
    </row>
    <row r="473" spans="1:12" hidden="1" x14ac:dyDescent="0.35">
      <c r="A473" s="181" t="s">
        <v>617</v>
      </c>
      <c r="B473" s="182" t="s">
        <v>7054</v>
      </c>
      <c r="C473" s="181" t="s">
        <v>7055</v>
      </c>
      <c r="D473" s="89" t="s">
        <v>473</v>
      </c>
      <c r="E473" s="181"/>
      <c r="F473" s="181"/>
      <c r="G473" s="183"/>
      <c r="H473" s="181"/>
      <c r="I473" s="181"/>
      <c r="J473" s="181"/>
      <c r="K473" s="181" t="str">
        <f t="shared" si="10"/>
        <v>GEOL_LEG|AU849</v>
      </c>
      <c r="L473" s="181"/>
    </row>
    <row r="474" spans="1:12" hidden="1" x14ac:dyDescent="0.35">
      <c r="A474" s="181" t="s">
        <v>617</v>
      </c>
      <c r="B474" s="182" t="s">
        <v>7056</v>
      </c>
      <c r="C474" s="181" t="s">
        <v>7057</v>
      </c>
      <c r="D474" s="89" t="s">
        <v>473</v>
      </c>
      <c r="E474" s="181"/>
      <c r="F474" s="181"/>
      <c r="G474" s="183"/>
      <c r="H474" s="181"/>
      <c r="I474" s="181"/>
      <c r="J474" s="181"/>
      <c r="K474" s="181" t="str">
        <f t="shared" si="10"/>
        <v>GEOL_LEG|AU850</v>
      </c>
      <c r="L474" s="181"/>
    </row>
    <row r="475" spans="1:12" hidden="1" x14ac:dyDescent="0.35">
      <c r="A475" s="181" t="s">
        <v>617</v>
      </c>
      <c r="B475" s="182" t="s">
        <v>7058</v>
      </c>
      <c r="C475" s="181" t="s">
        <v>7059</v>
      </c>
      <c r="D475" s="89" t="s">
        <v>473</v>
      </c>
      <c r="E475" s="181"/>
      <c r="F475" s="181"/>
      <c r="G475" s="183"/>
      <c r="H475" s="181"/>
      <c r="I475" s="181"/>
      <c r="J475" s="181"/>
      <c r="K475" s="181" t="str">
        <f t="shared" si="10"/>
        <v>GEOL_LEG|AU851</v>
      </c>
      <c r="L475" s="181"/>
    </row>
    <row r="476" spans="1:12" hidden="1" x14ac:dyDescent="0.35">
      <c r="A476" s="181" t="s">
        <v>617</v>
      </c>
      <c r="B476" s="182" t="s">
        <v>7060</v>
      </c>
      <c r="C476" s="181" t="s">
        <v>7061</v>
      </c>
      <c r="D476" s="89" t="s">
        <v>473</v>
      </c>
      <c r="E476" s="181"/>
      <c r="F476" s="181"/>
      <c r="G476" s="183"/>
      <c r="H476" s="181"/>
      <c r="I476" s="181"/>
      <c r="J476" s="181"/>
      <c r="K476" s="181" t="str">
        <f t="shared" si="10"/>
        <v>GEOL_LEG|AU852</v>
      </c>
      <c r="L476" s="181"/>
    </row>
    <row r="477" spans="1:12" hidden="1" x14ac:dyDescent="0.35">
      <c r="A477" s="181" t="s">
        <v>617</v>
      </c>
      <c r="B477" s="182" t="s">
        <v>7062</v>
      </c>
      <c r="C477" s="181" t="s">
        <v>6928</v>
      </c>
      <c r="D477" s="89" t="s">
        <v>473</v>
      </c>
      <c r="E477" s="181"/>
      <c r="F477" s="181"/>
      <c r="G477" s="183"/>
      <c r="H477" s="181"/>
      <c r="I477" s="181"/>
      <c r="J477" s="181"/>
      <c r="K477" s="181" t="str">
        <f t="shared" si="10"/>
        <v>GEOL_LEG|AU853</v>
      </c>
      <c r="L477" s="181"/>
    </row>
    <row r="478" spans="1:12" hidden="1" x14ac:dyDescent="0.35">
      <c r="A478" s="181" t="s">
        <v>617</v>
      </c>
      <c r="B478" s="182" t="s">
        <v>7063</v>
      </c>
      <c r="C478" s="181" t="s">
        <v>7064</v>
      </c>
      <c r="D478" s="89" t="s">
        <v>473</v>
      </c>
      <c r="E478" s="181"/>
      <c r="F478" s="181"/>
      <c r="G478" s="183"/>
      <c r="H478" s="181"/>
      <c r="I478" s="181"/>
      <c r="J478" s="181"/>
      <c r="K478" s="181" t="str">
        <f t="shared" si="10"/>
        <v>GEOL_LEG|AU854</v>
      </c>
      <c r="L478" s="181"/>
    </row>
    <row r="479" spans="1:12" hidden="1" x14ac:dyDescent="0.35">
      <c r="A479" s="181" t="s">
        <v>617</v>
      </c>
      <c r="B479" s="182" t="s">
        <v>7065</v>
      </c>
      <c r="C479" s="181" t="s">
        <v>7066</v>
      </c>
      <c r="D479" s="89" t="s">
        <v>473</v>
      </c>
      <c r="E479" s="181"/>
      <c r="F479" s="181"/>
      <c r="G479" s="183"/>
      <c r="H479" s="181"/>
      <c r="I479" s="181"/>
      <c r="J479" s="181"/>
      <c r="K479" s="181" t="str">
        <f t="shared" si="10"/>
        <v>GEOL_LEG|AU855</v>
      </c>
      <c r="L479" s="181"/>
    </row>
    <row r="480" spans="1:12" hidden="1" x14ac:dyDescent="0.35">
      <c r="A480" s="181" t="s">
        <v>617</v>
      </c>
      <c r="B480" s="182" t="s">
        <v>7067</v>
      </c>
      <c r="C480" s="181" t="s">
        <v>7068</v>
      </c>
      <c r="D480" s="89" t="s">
        <v>473</v>
      </c>
      <c r="E480" s="181"/>
      <c r="F480" s="181"/>
      <c r="G480" s="183"/>
      <c r="H480" s="181"/>
      <c r="I480" s="181"/>
      <c r="J480" s="181"/>
      <c r="K480" s="181" t="str">
        <f t="shared" si="10"/>
        <v>GEOL_LEG|AU856</v>
      </c>
      <c r="L480" s="181"/>
    </row>
    <row r="481" spans="1:12" hidden="1" x14ac:dyDescent="0.35">
      <c r="A481" s="181" t="s">
        <v>617</v>
      </c>
      <c r="B481" s="182" t="s">
        <v>7069</v>
      </c>
      <c r="C481" s="181" t="s">
        <v>7070</v>
      </c>
      <c r="D481" s="89" t="s">
        <v>473</v>
      </c>
      <c r="E481" s="181"/>
      <c r="F481" s="181"/>
      <c r="G481" s="183"/>
      <c r="H481" s="181"/>
      <c r="I481" s="181"/>
      <c r="J481" s="181"/>
      <c r="K481" s="181" t="str">
        <f t="shared" si="10"/>
        <v>GEOL_LEG|AU857</v>
      </c>
      <c r="L481" s="181"/>
    </row>
    <row r="482" spans="1:12" hidden="1" x14ac:dyDescent="0.35">
      <c r="A482" s="181" t="s">
        <v>617</v>
      </c>
      <c r="B482" s="182" t="s">
        <v>7071</v>
      </c>
      <c r="C482" s="181" t="s">
        <v>7072</v>
      </c>
      <c r="D482" s="89" t="s">
        <v>473</v>
      </c>
      <c r="E482" s="181"/>
      <c r="F482" s="181"/>
      <c r="G482" s="183"/>
      <c r="H482" s="181"/>
      <c r="I482" s="181"/>
      <c r="J482" s="181"/>
      <c r="K482" s="181" t="str">
        <f t="shared" si="10"/>
        <v>GEOL_LEG|AU858</v>
      </c>
      <c r="L482" s="181"/>
    </row>
    <row r="483" spans="1:12" hidden="1" x14ac:dyDescent="0.35">
      <c r="A483" s="181" t="s">
        <v>617</v>
      </c>
      <c r="B483" s="182" t="s">
        <v>7073</v>
      </c>
      <c r="C483" s="181" t="s">
        <v>7074</v>
      </c>
      <c r="D483" s="89" t="s">
        <v>473</v>
      </c>
      <c r="E483" s="181"/>
      <c r="F483" s="181"/>
      <c r="G483" s="183"/>
      <c r="H483" s="181"/>
      <c r="I483" s="181"/>
      <c r="J483" s="181"/>
      <c r="K483" s="181" t="str">
        <f t="shared" si="10"/>
        <v>GEOL_LEG|AU859</v>
      </c>
      <c r="L483" s="181"/>
    </row>
    <row r="484" spans="1:12" hidden="1" x14ac:dyDescent="0.35">
      <c r="A484" s="181" t="s">
        <v>617</v>
      </c>
      <c r="B484" s="182" t="s">
        <v>7075</v>
      </c>
      <c r="C484" s="181" t="s">
        <v>7076</v>
      </c>
      <c r="D484" s="89" t="s">
        <v>473</v>
      </c>
      <c r="E484" s="181"/>
      <c r="F484" s="181"/>
      <c r="G484" s="183"/>
      <c r="H484" s="181"/>
      <c r="I484" s="181"/>
      <c r="J484" s="181"/>
      <c r="K484" s="181" t="str">
        <f t="shared" si="10"/>
        <v>GEOL_LEG|AU860</v>
      </c>
      <c r="L484" s="181"/>
    </row>
    <row r="485" spans="1:12" hidden="1" x14ac:dyDescent="0.35">
      <c r="A485" s="181" t="s">
        <v>617</v>
      </c>
      <c r="B485" s="182" t="s">
        <v>7077</v>
      </c>
      <c r="C485" s="181" t="s">
        <v>7078</v>
      </c>
      <c r="D485" s="89" t="s">
        <v>473</v>
      </c>
      <c r="E485" s="181"/>
      <c r="F485" s="181"/>
      <c r="G485" s="183"/>
      <c r="H485" s="181"/>
      <c r="I485" s="181"/>
      <c r="J485" s="181"/>
      <c r="K485" s="181" t="str">
        <f t="shared" si="10"/>
        <v>GEOL_LEG|AU861</v>
      </c>
      <c r="L485" s="181"/>
    </row>
    <row r="486" spans="1:12" hidden="1" x14ac:dyDescent="0.35">
      <c r="A486" s="181" t="s">
        <v>617</v>
      </c>
      <c r="B486" s="182" t="s">
        <v>7079</v>
      </c>
      <c r="C486" s="181" t="s">
        <v>7080</v>
      </c>
      <c r="D486" s="89" t="s">
        <v>473</v>
      </c>
      <c r="E486" s="181"/>
      <c r="F486" s="181"/>
      <c r="G486" s="183"/>
      <c r="H486" s="181"/>
      <c r="I486" s="181"/>
      <c r="J486" s="181"/>
      <c r="K486" s="181" t="str">
        <f t="shared" si="10"/>
        <v>GEOL_LEG|AU862</v>
      </c>
      <c r="L486" s="181"/>
    </row>
    <row r="487" spans="1:12" hidden="1" x14ac:dyDescent="0.35">
      <c r="A487" s="181" t="s">
        <v>617</v>
      </c>
      <c r="B487" s="182" t="s">
        <v>7081</v>
      </c>
      <c r="C487" s="181" t="s">
        <v>7082</v>
      </c>
      <c r="D487" s="89" t="s">
        <v>473</v>
      </c>
      <c r="E487" s="181"/>
      <c r="F487" s="181"/>
      <c r="G487" s="183"/>
      <c r="H487" s="181"/>
      <c r="I487" s="181"/>
      <c r="J487" s="181"/>
      <c r="K487" s="181" t="str">
        <f t="shared" si="10"/>
        <v>GEOL_LEG|AU863</v>
      </c>
      <c r="L487" s="181"/>
    </row>
    <row r="488" spans="1:12" hidden="1" x14ac:dyDescent="0.35">
      <c r="A488" s="181" t="s">
        <v>617</v>
      </c>
      <c r="B488" s="182" t="s">
        <v>7083</v>
      </c>
      <c r="C488" s="181" t="s">
        <v>7084</v>
      </c>
      <c r="D488" s="89" t="s">
        <v>473</v>
      </c>
      <c r="E488" s="181"/>
      <c r="F488" s="181"/>
      <c r="G488" s="183"/>
      <c r="H488" s="181"/>
      <c r="I488" s="181"/>
      <c r="J488" s="181"/>
      <c r="K488" s="181" t="str">
        <f t="shared" si="10"/>
        <v>GEOL_LEG|AU864</v>
      </c>
      <c r="L488" s="181"/>
    </row>
    <row r="489" spans="1:12" hidden="1" x14ac:dyDescent="0.35">
      <c r="A489" s="181" t="s">
        <v>617</v>
      </c>
      <c r="B489" s="182" t="s">
        <v>7085</v>
      </c>
      <c r="C489" s="181" t="s">
        <v>7086</v>
      </c>
      <c r="D489" s="89" t="s">
        <v>473</v>
      </c>
      <c r="E489" s="181"/>
      <c r="F489" s="181"/>
      <c r="G489" s="183"/>
      <c r="H489" s="181"/>
      <c r="I489" s="181"/>
      <c r="J489" s="181"/>
      <c r="K489" s="181" t="str">
        <f t="shared" si="10"/>
        <v>GEOL_LEG|AU865</v>
      </c>
      <c r="L489" s="181"/>
    </row>
    <row r="490" spans="1:12" hidden="1" x14ac:dyDescent="0.35">
      <c r="A490" s="181" t="s">
        <v>617</v>
      </c>
      <c r="B490" s="182" t="s">
        <v>7087</v>
      </c>
      <c r="C490" s="181" t="s">
        <v>7088</v>
      </c>
      <c r="D490" s="89" t="s">
        <v>473</v>
      </c>
      <c r="E490" s="181"/>
      <c r="F490" s="181"/>
      <c r="G490" s="183"/>
      <c r="H490" s="181"/>
      <c r="I490" s="181"/>
      <c r="J490" s="181"/>
      <c r="K490" s="181" t="str">
        <f t="shared" si="10"/>
        <v>GEOL_LEG|AU866</v>
      </c>
      <c r="L490" s="181"/>
    </row>
    <row r="491" spans="1:12" hidden="1" x14ac:dyDescent="0.35">
      <c r="A491" s="181" t="s">
        <v>617</v>
      </c>
      <c r="B491" s="182" t="s">
        <v>7089</v>
      </c>
      <c r="C491" s="181" t="s">
        <v>7090</v>
      </c>
      <c r="D491" s="89" t="s">
        <v>473</v>
      </c>
      <c r="E491" s="181"/>
      <c r="F491" s="181"/>
      <c r="G491" s="183"/>
      <c r="H491" s="181"/>
      <c r="I491" s="181"/>
      <c r="J491" s="181"/>
      <c r="K491" s="181" t="str">
        <f t="shared" si="10"/>
        <v>GEOL_LEG|AU867</v>
      </c>
      <c r="L491" s="181"/>
    </row>
    <row r="492" spans="1:12" hidden="1" x14ac:dyDescent="0.35">
      <c r="A492" s="181" t="s">
        <v>617</v>
      </c>
      <c r="B492" s="182" t="s">
        <v>7091</v>
      </c>
      <c r="C492" s="181" t="s">
        <v>7092</v>
      </c>
      <c r="D492" s="89" t="s">
        <v>473</v>
      </c>
      <c r="E492" s="181"/>
      <c r="F492" s="181"/>
      <c r="G492" s="183"/>
      <c r="H492" s="181"/>
      <c r="I492" s="181"/>
      <c r="J492" s="181"/>
      <c r="K492" s="181" t="str">
        <f t="shared" si="10"/>
        <v>GEOL_LEG|AU868</v>
      </c>
      <c r="L492" s="181"/>
    </row>
    <row r="493" spans="1:12" hidden="1" x14ac:dyDescent="0.35">
      <c r="A493" s="181" t="s">
        <v>617</v>
      </c>
      <c r="B493" s="182" t="s">
        <v>7093</v>
      </c>
      <c r="C493" s="181" t="s">
        <v>7094</v>
      </c>
      <c r="D493" s="89" t="s">
        <v>473</v>
      </c>
      <c r="E493" s="181"/>
      <c r="F493" s="181"/>
      <c r="G493" s="183"/>
      <c r="H493" s="181"/>
      <c r="I493" s="181"/>
      <c r="J493" s="181"/>
      <c r="K493" s="181" t="str">
        <f t="shared" si="10"/>
        <v>GEOL_LEG|AU869</v>
      </c>
      <c r="L493" s="181"/>
    </row>
    <row r="494" spans="1:12" hidden="1" x14ac:dyDescent="0.35">
      <c r="A494" s="181" t="s">
        <v>617</v>
      </c>
      <c r="B494" s="182" t="s">
        <v>7095</v>
      </c>
      <c r="C494" s="181" t="s">
        <v>7096</v>
      </c>
      <c r="D494" s="89" t="s">
        <v>473</v>
      </c>
      <c r="E494" s="181"/>
      <c r="F494" s="181"/>
      <c r="G494" s="183"/>
      <c r="H494" s="181"/>
      <c r="I494" s="181"/>
      <c r="J494" s="181"/>
      <c r="K494" s="181" t="str">
        <f t="shared" si="10"/>
        <v>GEOL_LEG|AU870</v>
      </c>
      <c r="L494" s="181"/>
    </row>
    <row r="495" spans="1:12" hidden="1" x14ac:dyDescent="0.35">
      <c r="A495" s="181" t="s">
        <v>617</v>
      </c>
      <c r="B495" s="182" t="s">
        <v>7097</v>
      </c>
      <c r="C495" s="181" t="s">
        <v>7098</v>
      </c>
      <c r="D495" s="89" t="s">
        <v>473</v>
      </c>
      <c r="E495" s="181"/>
      <c r="F495" s="181"/>
      <c r="G495" s="183"/>
      <c r="H495" s="181"/>
      <c r="I495" s="181"/>
      <c r="J495" s="181"/>
      <c r="K495" s="181" t="str">
        <f t="shared" si="10"/>
        <v>GEOL_LEG|AU871</v>
      </c>
      <c r="L495" s="181"/>
    </row>
    <row r="496" spans="1:12" hidden="1" x14ac:dyDescent="0.35">
      <c r="A496" s="181" t="s">
        <v>617</v>
      </c>
      <c r="B496" s="182" t="s">
        <v>7099</v>
      </c>
      <c r="C496" s="181" t="s">
        <v>7100</v>
      </c>
      <c r="D496" s="89" t="s">
        <v>473</v>
      </c>
      <c r="E496" s="181"/>
      <c r="F496" s="181"/>
      <c r="G496" s="183"/>
      <c r="H496" s="181"/>
      <c r="I496" s="181"/>
      <c r="J496" s="181"/>
      <c r="K496" s="181" t="str">
        <f t="shared" si="10"/>
        <v>GEOL_LEG|AU872</v>
      </c>
      <c r="L496" s="181"/>
    </row>
    <row r="497" spans="1:12" hidden="1" x14ac:dyDescent="0.35">
      <c r="A497" s="106" t="s">
        <v>617</v>
      </c>
      <c r="B497" s="107" t="s">
        <v>7101</v>
      </c>
      <c r="C497" s="106" t="s">
        <v>7102</v>
      </c>
      <c r="D497" s="89" t="s">
        <v>473</v>
      </c>
      <c r="E497" s="181"/>
      <c r="F497" s="181"/>
      <c r="G497" s="183"/>
      <c r="H497" s="181"/>
      <c r="I497" s="181"/>
      <c r="J497" s="181"/>
      <c r="K497" s="181" t="str">
        <f t="shared" si="10"/>
        <v>GEOL_LEG|AU999</v>
      </c>
      <c r="L497" s="181"/>
    </row>
    <row r="498" spans="1:12" hidden="1" x14ac:dyDescent="0.35">
      <c r="A498" s="88" t="s">
        <v>2894</v>
      </c>
      <c r="B498" s="88" t="s">
        <v>7103</v>
      </c>
      <c r="C498" s="89" t="s">
        <v>7103</v>
      </c>
      <c r="D498" s="89" t="s">
        <v>473</v>
      </c>
      <c r="E498" s="181"/>
      <c r="F498" s="181"/>
      <c r="G498" s="183"/>
      <c r="H498" s="181"/>
      <c r="I498" s="181"/>
      <c r="J498" s="181"/>
      <c r="K498" s="181" t="str">
        <f t="shared" si="10"/>
        <v>GEOL_ORG|aeolian soil</v>
      </c>
      <c r="L498" s="181"/>
    </row>
    <row r="499" spans="1:12" hidden="1" x14ac:dyDescent="0.35">
      <c r="A499" s="88" t="s">
        <v>2894</v>
      </c>
      <c r="B499" s="88" t="s">
        <v>2893</v>
      </c>
      <c r="C499" s="89" t="s">
        <v>2893</v>
      </c>
      <c r="D499" s="89" t="s">
        <v>473</v>
      </c>
      <c r="E499" s="181"/>
      <c r="F499" s="181"/>
      <c r="G499" s="183"/>
      <c r="H499" s="181"/>
      <c r="I499" s="181"/>
      <c r="J499" s="181"/>
      <c r="K499" s="181" t="str">
        <f t="shared" si="10"/>
        <v>GEOL_ORG|alluvial soil</v>
      </c>
      <c r="L499" s="181"/>
    </row>
    <row r="500" spans="1:12" hidden="1" x14ac:dyDescent="0.35">
      <c r="A500" s="88" t="s">
        <v>2894</v>
      </c>
      <c r="B500" s="88" t="s">
        <v>7104</v>
      </c>
      <c r="C500" s="89" t="s">
        <v>7104</v>
      </c>
      <c r="D500" s="89" t="s">
        <v>473</v>
      </c>
      <c r="E500" s="181"/>
      <c r="F500" s="181"/>
      <c r="G500" s="183"/>
      <c r="H500" s="181"/>
      <c r="I500" s="181"/>
      <c r="J500" s="181"/>
      <c r="K500" s="181" t="str">
        <f t="shared" si="10"/>
        <v>GEOL_ORG|basecourse</v>
      </c>
      <c r="L500" s="181"/>
    </row>
    <row r="501" spans="1:12" hidden="1" x14ac:dyDescent="0.35">
      <c r="A501" s="88" t="s">
        <v>2894</v>
      </c>
      <c r="B501" s="88" t="s">
        <v>7105</v>
      </c>
      <c r="C501" s="89" t="s">
        <v>7105</v>
      </c>
      <c r="D501" s="89" t="s">
        <v>473</v>
      </c>
      <c r="E501" s="181"/>
      <c r="F501" s="181"/>
      <c r="G501" s="183"/>
      <c r="H501" s="181"/>
      <c r="I501" s="181"/>
      <c r="J501" s="181"/>
      <c r="K501" s="181" t="str">
        <f t="shared" si="10"/>
        <v>GEOL_ORG|colluvial soil</v>
      </c>
      <c r="L501" s="181"/>
    </row>
    <row r="502" spans="1:12" hidden="1" x14ac:dyDescent="0.35">
      <c r="A502" s="88" t="s">
        <v>2894</v>
      </c>
      <c r="B502" s="88" t="s">
        <v>7106</v>
      </c>
      <c r="C502" s="89" t="s">
        <v>7106</v>
      </c>
      <c r="D502" s="89" t="s">
        <v>473</v>
      </c>
      <c r="E502" s="181"/>
      <c r="F502" s="181"/>
      <c r="G502" s="183"/>
      <c r="H502" s="181"/>
      <c r="I502" s="181"/>
      <c r="J502" s="181"/>
      <c r="K502" s="181" t="str">
        <f t="shared" si="10"/>
        <v>GEOL_ORG|estuarine soil</v>
      </c>
      <c r="L502" s="181"/>
    </row>
    <row r="503" spans="1:12" hidden="1" x14ac:dyDescent="0.35">
      <c r="A503" s="88" t="s">
        <v>2894</v>
      </c>
      <c r="B503" s="88" t="s">
        <v>7107</v>
      </c>
      <c r="C503" s="89" t="s">
        <v>7107</v>
      </c>
      <c r="D503" s="89" t="s">
        <v>473</v>
      </c>
      <c r="E503" s="181"/>
      <c r="F503" s="181"/>
      <c r="G503" s="183"/>
      <c r="H503" s="181"/>
      <c r="I503" s="181"/>
      <c r="J503" s="181"/>
      <c r="K503" s="181" t="str">
        <f t="shared" si="10"/>
        <v>GEOL_ORG|extremely weathered material</v>
      </c>
      <c r="L503" s="181"/>
    </row>
    <row r="504" spans="1:12" hidden="1" x14ac:dyDescent="0.35">
      <c r="A504" s="88" t="s">
        <v>2894</v>
      </c>
      <c r="B504" s="88" t="s">
        <v>7108</v>
      </c>
      <c r="C504" s="89" t="s">
        <v>7108</v>
      </c>
      <c r="D504" s="89" t="s">
        <v>473</v>
      </c>
      <c r="E504" s="181"/>
      <c r="F504" s="181"/>
      <c r="G504" s="183"/>
      <c r="H504" s="181"/>
      <c r="I504" s="181"/>
      <c r="J504" s="181"/>
      <c r="K504" s="181" t="str">
        <f t="shared" si="10"/>
        <v>GEOL_ORG|fill</v>
      </c>
      <c r="L504" s="181"/>
    </row>
    <row r="505" spans="1:12" hidden="1" x14ac:dyDescent="0.35">
      <c r="A505" s="88" t="s">
        <v>2894</v>
      </c>
      <c r="B505" s="88" t="s">
        <v>7109</v>
      </c>
      <c r="C505" s="89" t="s">
        <v>7109</v>
      </c>
      <c r="D505" s="89" t="s">
        <v>473</v>
      </c>
      <c r="E505" s="181"/>
      <c r="F505" s="181"/>
      <c r="G505" s="183"/>
      <c r="H505" s="181"/>
      <c r="I505" s="181"/>
      <c r="J505" s="181"/>
      <c r="K505" s="181" t="str">
        <f t="shared" si="10"/>
        <v>GEOL_ORG|lacustrine soil</v>
      </c>
      <c r="L505" s="181"/>
    </row>
    <row r="506" spans="1:12" hidden="1" x14ac:dyDescent="0.35">
      <c r="A506" s="88" t="s">
        <v>2894</v>
      </c>
      <c r="B506" s="88" t="s">
        <v>7110</v>
      </c>
      <c r="C506" s="89" t="s">
        <v>7110</v>
      </c>
      <c r="D506" s="89" t="s">
        <v>473</v>
      </c>
      <c r="E506" s="181"/>
      <c r="F506" s="181"/>
      <c r="G506" s="183"/>
      <c r="H506" s="181"/>
      <c r="I506" s="181"/>
      <c r="J506" s="181"/>
      <c r="K506" s="181" t="str">
        <f t="shared" si="10"/>
        <v>GEOL_ORG|marine soil</v>
      </c>
      <c r="L506" s="181"/>
    </row>
    <row r="507" spans="1:12" hidden="1" x14ac:dyDescent="0.35">
      <c r="A507" s="88" t="s">
        <v>2894</v>
      </c>
      <c r="B507" s="88" t="s">
        <v>670</v>
      </c>
      <c r="C507" s="89" t="s">
        <v>670</v>
      </c>
      <c r="D507" s="89" t="s">
        <v>473</v>
      </c>
      <c r="E507" s="181"/>
      <c r="F507" s="181"/>
      <c r="G507" s="183"/>
      <c r="H507" s="181"/>
      <c r="I507" s="181"/>
      <c r="J507" s="181"/>
      <c r="K507" s="181" t="str">
        <f t="shared" si="10"/>
        <v>GEOL_ORG|residual soil</v>
      </c>
      <c r="L507" s="181"/>
    </row>
    <row r="508" spans="1:12" hidden="1" x14ac:dyDescent="0.35">
      <c r="A508" s="88" t="s">
        <v>2894</v>
      </c>
      <c r="B508" s="88" t="s">
        <v>7111</v>
      </c>
      <c r="C508" s="89" t="s">
        <v>7111</v>
      </c>
      <c r="D508" s="89" t="s">
        <v>473</v>
      </c>
      <c r="E508" s="181"/>
      <c r="F508" s="181"/>
      <c r="G508" s="183"/>
      <c r="H508" s="181"/>
      <c r="I508" s="181"/>
      <c r="J508" s="181"/>
      <c r="K508" s="181" t="str">
        <f t="shared" si="10"/>
        <v>GEOL_ORG|road surface</v>
      </c>
      <c r="L508" s="181"/>
    </row>
    <row r="509" spans="1:12" hidden="1" x14ac:dyDescent="0.35">
      <c r="A509" s="88" t="s">
        <v>2894</v>
      </c>
      <c r="B509" s="88" t="s">
        <v>7112</v>
      </c>
      <c r="C509" s="89" t="s">
        <v>7112</v>
      </c>
      <c r="D509" s="89" t="s">
        <v>473</v>
      </c>
      <c r="E509" s="181"/>
      <c r="F509" s="181"/>
      <c r="G509" s="183"/>
      <c r="H509" s="181"/>
      <c r="I509" s="181"/>
      <c r="J509" s="181"/>
      <c r="K509" s="181" t="str">
        <f t="shared" si="10"/>
        <v>GEOL_ORG|sub-basecourse</v>
      </c>
      <c r="L509" s="181"/>
    </row>
    <row r="510" spans="1:12" hidden="1" x14ac:dyDescent="0.35">
      <c r="A510" s="88" t="s">
        <v>2894</v>
      </c>
      <c r="B510" s="88" t="s">
        <v>7113</v>
      </c>
      <c r="C510" s="89" t="s">
        <v>7113</v>
      </c>
      <c r="D510" s="89" t="s">
        <v>473</v>
      </c>
      <c r="E510" s="181"/>
      <c r="F510" s="181"/>
      <c r="G510" s="183"/>
      <c r="H510" s="181"/>
      <c r="I510" s="181"/>
      <c r="J510" s="181"/>
      <c r="K510" s="181" t="str">
        <f t="shared" si="10"/>
        <v>GEOL_ORG|topsoil</v>
      </c>
      <c r="L510" s="181"/>
    </row>
    <row r="511" spans="1:12" hidden="1" x14ac:dyDescent="0.35">
      <c r="A511" s="88" t="s">
        <v>2892</v>
      </c>
      <c r="B511" s="88" t="s">
        <v>657</v>
      </c>
      <c r="C511" s="89" t="s">
        <v>657</v>
      </c>
      <c r="D511" s="89" t="s">
        <v>473</v>
      </c>
      <c r="E511" s="181"/>
      <c r="F511" s="181"/>
      <c r="G511" s="183"/>
      <c r="H511" s="181"/>
      <c r="I511" s="181"/>
      <c r="J511" s="181"/>
      <c r="K511" s="181" t="str">
        <f t="shared" si="10"/>
        <v>GEOL_ORQ|possibly</v>
      </c>
      <c r="L511" s="181"/>
    </row>
    <row r="512" spans="1:12" hidden="1" x14ac:dyDescent="0.35">
      <c r="A512" s="88" t="s">
        <v>2892</v>
      </c>
      <c r="B512" s="88" t="s">
        <v>7114</v>
      </c>
      <c r="C512" s="88" t="s">
        <v>7114</v>
      </c>
      <c r="D512" s="89" t="s">
        <v>473</v>
      </c>
      <c r="E512" s="181"/>
      <c r="F512" s="181"/>
      <c r="G512" s="183"/>
      <c r="H512" s="181"/>
      <c r="I512" s="181"/>
      <c r="J512" s="181"/>
      <c r="K512" s="181" t="str">
        <f t="shared" si="10"/>
        <v>GEOL_ORQ|probably</v>
      </c>
      <c r="L512" s="181"/>
    </row>
    <row r="513" spans="1:12" hidden="1" x14ac:dyDescent="0.35">
      <c r="A513" s="88" t="s">
        <v>2905</v>
      </c>
      <c r="B513" s="88" t="s">
        <v>7115</v>
      </c>
      <c r="C513" s="89" t="s">
        <v>7115</v>
      </c>
      <c r="D513" s="89" t="s">
        <v>473</v>
      </c>
      <c r="E513" s="181"/>
      <c r="F513" s="181"/>
      <c r="G513" s="183"/>
      <c r="H513" s="181"/>
      <c r="I513" s="181"/>
      <c r="J513" s="181"/>
      <c r="K513" s="181" t="str">
        <f t="shared" si="10"/>
        <v>GEOL_P|coarse</v>
      </c>
      <c r="L513" s="181"/>
    </row>
    <row r="514" spans="1:12" hidden="1" x14ac:dyDescent="0.35">
      <c r="A514" s="88" t="s">
        <v>2905</v>
      </c>
      <c r="B514" s="88" t="s">
        <v>714</v>
      </c>
      <c r="C514" s="89" t="s">
        <v>714</v>
      </c>
      <c r="D514" s="89" t="s">
        <v>473</v>
      </c>
      <c r="E514" s="181"/>
      <c r="F514" s="181"/>
      <c r="G514" s="183"/>
      <c r="H514" s="181"/>
      <c r="I514" s="181"/>
      <c r="J514" s="181"/>
      <c r="K514" s="181" t="str">
        <f t="shared" ref="K514:K577" si="11">A514&amp;"|"&amp;B514</f>
        <v>GEOL_P|fine</v>
      </c>
      <c r="L514" s="181"/>
    </row>
    <row r="515" spans="1:12" hidden="1" x14ac:dyDescent="0.35">
      <c r="A515" s="88" t="s">
        <v>2905</v>
      </c>
      <c r="B515" s="88" t="s">
        <v>715</v>
      </c>
      <c r="C515" s="89" t="s">
        <v>715</v>
      </c>
      <c r="D515" s="89" t="s">
        <v>473</v>
      </c>
      <c r="E515" s="181"/>
      <c r="F515" s="181"/>
      <c r="G515" s="183"/>
      <c r="H515" s="181"/>
      <c r="I515" s="181"/>
      <c r="J515" s="181"/>
      <c r="K515" s="181" t="str">
        <f t="shared" si="11"/>
        <v>GEOL_P|medium</v>
      </c>
      <c r="L515" s="181"/>
    </row>
    <row r="516" spans="1:12" hidden="1" x14ac:dyDescent="0.35">
      <c r="A516" s="88" t="s">
        <v>2909</v>
      </c>
      <c r="B516" s="88" t="s">
        <v>7116</v>
      </c>
      <c r="C516" s="88" t="s">
        <v>7116</v>
      </c>
      <c r="D516" s="89" t="s">
        <v>473</v>
      </c>
      <c r="E516" s="181"/>
      <c r="F516" s="181"/>
      <c r="G516" s="183"/>
      <c r="H516" s="181"/>
      <c r="I516" s="181"/>
      <c r="J516" s="181"/>
      <c r="K516" s="181" t="str">
        <f t="shared" si="11"/>
        <v>GEOL_RMC|dry</v>
      </c>
      <c r="L516" s="181"/>
    </row>
    <row r="517" spans="1:12" hidden="1" x14ac:dyDescent="0.35">
      <c r="A517" s="88" t="s">
        <v>2909</v>
      </c>
      <c r="B517" s="88" t="s">
        <v>7117</v>
      </c>
      <c r="C517" s="88" t="s">
        <v>7117</v>
      </c>
      <c r="D517" s="89" t="s">
        <v>473</v>
      </c>
      <c r="E517" s="181"/>
      <c r="F517" s="181"/>
      <c r="G517" s="183"/>
      <c r="H517" s="181"/>
      <c r="I517" s="181"/>
      <c r="J517" s="181"/>
      <c r="K517" s="181" t="str">
        <f t="shared" si="11"/>
        <v>GEOL_RMC|moist</v>
      </c>
      <c r="L517" s="181"/>
    </row>
    <row r="518" spans="1:12" hidden="1" x14ac:dyDescent="0.35">
      <c r="A518" s="88" t="s">
        <v>2909</v>
      </c>
      <c r="B518" s="88" t="s">
        <v>7118</v>
      </c>
      <c r="C518" s="88" t="s">
        <v>7118</v>
      </c>
      <c r="D518" s="89" t="s">
        <v>473</v>
      </c>
      <c r="E518" s="181"/>
      <c r="F518" s="181"/>
      <c r="G518" s="183"/>
      <c r="H518" s="181"/>
      <c r="I518" s="181"/>
      <c r="J518" s="181"/>
      <c r="K518" s="181" t="str">
        <f t="shared" si="11"/>
        <v>GEOL_RMC|wet</v>
      </c>
      <c r="L518" s="181"/>
    </row>
    <row r="519" spans="1:12" hidden="1" x14ac:dyDescent="0.35">
      <c r="A519" s="88" t="s">
        <v>2897</v>
      </c>
      <c r="B519" s="88" t="s">
        <v>7119</v>
      </c>
      <c r="C519" s="89" t="s">
        <v>7119</v>
      </c>
      <c r="D519" s="89" t="s">
        <v>473</v>
      </c>
      <c r="E519" s="181"/>
      <c r="F519" s="181"/>
      <c r="G519" s="183"/>
      <c r="H519" s="181"/>
      <c r="I519" s="181"/>
      <c r="J519" s="181"/>
      <c r="K519" s="181" t="str">
        <f t="shared" si="11"/>
        <v>GEOL_RNM|agglomerate</v>
      </c>
      <c r="L519" s="181"/>
    </row>
    <row r="520" spans="1:12" hidden="1" x14ac:dyDescent="0.35">
      <c r="A520" s="88" t="s">
        <v>2897</v>
      </c>
      <c r="B520" s="88" t="s">
        <v>702</v>
      </c>
      <c r="C520" s="89" t="s">
        <v>702</v>
      </c>
      <c r="D520" s="89" t="s">
        <v>473</v>
      </c>
      <c r="E520" s="181"/>
      <c r="F520" s="181"/>
      <c r="G520" s="183"/>
      <c r="H520" s="181"/>
      <c r="I520" s="181"/>
      <c r="J520" s="181"/>
      <c r="K520" s="181" t="str">
        <f t="shared" si="11"/>
        <v>GEOL_RNM|andesite</v>
      </c>
      <c r="L520" s="181"/>
    </row>
    <row r="521" spans="1:12" hidden="1" x14ac:dyDescent="0.35">
      <c r="A521" s="88" t="s">
        <v>2897</v>
      </c>
      <c r="B521" s="88" t="s">
        <v>7120</v>
      </c>
      <c r="C521" s="89" t="s">
        <v>7120</v>
      </c>
      <c r="D521" s="89" t="s">
        <v>473</v>
      </c>
      <c r="E521" s="181"/>
      <c r="F521" s="181"/>
      <c r="G521" s="183"/>
      <c r="H521" s="181"/>
      <c r="I521" s="181"/>
      <c r="J521" s="181"/>
      <c r="K521" s="181" t="str">
        <f t="shared" si="11"/>
        <v>GEOL_RNM|anhydrite</v>
      </c>
      <c r="L521" s="181"/>
    </row>
    <row r="522" spans="1:12" hidden="1" x14ac:dyDescent="0.35">
      <c r="A522" s="88" t="s">
        <v>2897</v>
      </c>
      <c r="B522" s="88" t="s">
        <v>7121</v>
      </c>
      <c r="C522" s="89" t="s">
        <v>7121</v>
      </c>
      <c r="D522" s="89" t="s">
        <v>473</v>
      </c>
      <c r="E522" s="181"/>
      <c r="F522" s="181"/>
      <c r="G522" s="183"/>
      <c r="H522" s="181"/>
      <c r="I522" s="181"/>
      <c r="J522" s="181"/>
      <c r="K522" s="181" t="str">
        <f t="shared" si="11"/>
        <v>GEOL_RNM|aplite</v>
      </c>
      <c r="L522" s="181"/>
    </row>
    <row r="523" spans="1:12" hidden="1" x14ac:dyDescent="0.35">
      <c r="A523" s="88" t="s">
        <v>2897</v>
      </c>
      <c r="B523" s="88" t="s">
        <v>7122</v>
      </c>
      <c r="C523" s="89" t="s">
        <v>7122</v>
      </c>
      <c r="D523" s="89" t="s">
        <v>473</v>
      </c>
      <c r="E523" s="181"/>
      <c r="F523" s="181"/>
      <c r="G523" s="183"/>
      <c r="H523" s="181"/>
      <c r="I523" s="181"/>
      <c r="J523" s="181"/>
      <c r="K523" s="181" t="str">
        <f t="shared" si="11"/>
        <v>GEOL_RNM|arkose</v>
      </c>
      <c r="L523" s="181"/>
    </row>
    <row r="524" spans="1:12" hidden="1" x14ac:dyDescent="0.35">
      <c r="A524" s="88" t="s">
        <v>2897</v>
      </c>
      <c r="B524" s="88" t="s">
        <v>7123</v>
      </c>
      <c r="C524" s="89" t="s">
        <v>7123</v>
      </c>
      <c r="D524" s="89" t="s">
        <v>473</v>
      </c>
      <c r="E524" s="181"/>
      <c r="F524" s="181"/>
      <c r="G524" s="183"/>
      <c r="H524" s="181"/>
      <c r="I524" s="181"/>
      <c r="J524" s="181"/>
      <c r="K524" s="181" t="str">
        <f t="shared" si="11"/>
        <v>GEOL_RNM|basalt</v>
      </c>
      <c r="L524" s="181"/>
    </row>
    <row r="525" spans="1:12" hidden="1" x14ac:dyDescent="0.35">
      <c r="A525" s="88" t="s">
        <v>2897</v>
      </c>
      <c r="B525" s="88" t="s">
        <v>7124</v>
      </c>
      <c r="C525" s="89" t="s">
        <v>7124</v>
      </c>
      <c r="D525" s="89" t="s">
        <v>473</v>
      </c>
      <c r="E525" s="181"/>
      <c r="F525" s="181"/>
      <c r="G525" s="183"/>
      <c r="H525" s="181"/>
      <c r="I525" s="181"/>
      <c r="J525" s="181"/>
      <c r="K525" s="181" t="str">
        <f t="shared" si="11"/>
        <v>GEOL_RNM|breccia</v>
      </c>
      <c r="L525" s="181"/>
    </row>
    <row r="526" spans="1:12" hidden="1" x14ac:dyDescent="0.35">
      <c r="A526" s="88" t="s">
        <v>2897</v>
      </c>
      <c r="B526" s="88" t="s">
        <v>7125</v>
      </c>
      <c r="C526" s="89" t="s">
        <v>7125</v>
      </c>
      <c r="D526" s="89" t="s">
        <v>473</v>
      </c>
      <c r="E526" s="181"/>
      <c r="F526" s="181"/>
      <c r="G526" s="183"/>
      <c r="H526" s="181"/>
      <c r="I526" s="181"/>
      <c r="J526" s="181"/>
      <c r="K526" s="181" t="str">
        <f t="shared" si="11"/>
        <v>GEOL_RNM|calcarenite</v>
      </c>
      <c r="L526" s="181"/>
    </row>
    <row r="527" spans="1:12" hidden="1" x14ac:dyDescent="0.35">
      <c r="A527" s="88" t="s">
        <v>2897</v>
      </c>
      <c r="B527" s="88" t="s">
        <v>7126</v>
      </c>
      <c r="C527" s="89" t="s">
        <v>7126</v>
      </c>
      <c r="D527" s="89" t="s">
        <v>473</v>
      </c>
      <c r="E527" s="181"/>
      <c r="F527" s="181"/>
      <c r="G527" s="183"/>
      <c r="H527" s="181"/>
      <c r="I527" s="181"/>
      <c r="J527" s="181"/>
      <c r="K527" s="181" t="str">
        <f t="shared" si="11"/>
        <v>GEOL_RNM|calcilutite</v>
      </c>
      <c r="L527" s="181"/>
    </row>
    <row r="528" spans="1:12" hidden="1" x14ac:dyDescent="0.35">
      <c r="A528" s="88" t="s">
        <v>2897</v>
      </c>
      <c r="B528" s="88" t="s">
        <v>7127</v>
      </c>
      <c r="C528" s="89" t="s">
        <v>7127</v>
      </c>
      <c r="D528" s="89" t="s">
        <v>473</v>
      </c>
      <c r="E528" s="181"/>
      <c r="F528" s="181"/>
      <c r="G528" s="183"/>
      <c r="H528" s="181"/>
      <c r="I528" s="181"/>
      <c r="J528" s="181"/>
      <c r="K528" s="181" t="str">
        <f t="shared" si="11"/>
        <v>GEOL_RNM|calcirudite</v>
      </c>
      <c r="L528" s="181"/>
    </row>
    <row r="529" spans="1:12" hidden="1" x14ac:dyDescent="0.35">
      <c r="A529" s="88" t="s">
        <v>2897</v>
      </c>
      <c r="B529" s="88" t="s">
        <v>7128</v>
      </c>
      <c r="C529" s="89" t="s">
        <v>7128</v>
      </c>
      <c r="D529" s="89" t="s">
        <v>473</v>
      </c>
      <c r="E529" s="181"/>
      <c r="F529" s="181"/>
      <c r="G529" s="183"/>
      <c r="H529" s="181"/>
      <c r="I529" s="181"/>
      <c r="J529" s="181"/>
      <c r="K529" s="181" t="str">
        <f t="shared" si="11"/>
        <v>GEOL_RNM|calcisiltite</v>
      </c>
      <c r="L529" s="181"/>
    </row>
    <row r="530" spans="1:12" hidden="1" x14ac:dyDescent="0.35">
      <c r="A530" s="88" t="s">
        <v>2897</v>
      </c>
      <c r="B530" s="88" t="s">
        <v>7129</v>
      </c>
      <c r="C530" s="88" t="s">
        <v>7129</v>
      </c>
      <c r="D530" s="89" t="s">
        <v>473</v>
      </c>
      <c r="E530" s="181"/>
      <c r="F530" s="181"/>
      <c r="G530" s="183"/>
      <c r="H530" s="181"/>
      <c r="I530" s="181"/>
      <c r="J530" s="181"/>
      <c r="K530" s="181" t="str">
        <f t="shared" si="11"/>
        <v>GEOL_RNM|calcrete</v>
      </c>
      <c r="L530" s="181"/>
    </row>
    <row r="531" spans="1:12" hidden="1" x14ac:dyDescent="0.35">
      <c r="A531" s="88" t="s">
        <v>2897</v>
      </c>
      <c r="B531" s="88" t="s">
        <v>7130</v>
      </c>
      <c r="C531" s="89" t="s">
        <v>7130</v>
      </c>
      <c r="D531" s="89" t="s">
        <v>473</v>
      </c>
      <c r="E531" s="181"/>
      <c r="F531" s="181"/>
      <c r="G531" s="183"/>
      <c r="H531" s="181"/>
      <c r="I531" s="181"/>
      <c r="J531" s="181"/>
      <c r="K531" s="181" t="str">
        <f t="shared" si="11"/>
        <v>GEOL_RNM|chalk</v>
      </c>
      <c r="L531" s="181"/>
    </row>
    <row r="532" spans="1:12" hidden="1" x14ac:dyDescent="0.35">
      <c r="A532" s="88" t="s">
        <v>2897</v>
      </c>
      <c r="B532" s="88" t="s">
        <v>7131</v>
      </c>
      <c r="C532" s="89" t="s">
        <v>7131</v>
      </c>
      <c r="D532" s="89" t="s">
        <v>473</v>
      </c>
      <c r="E532" s="181"/>
      <c r="F532" s="181"/>
      <c r="G532" s="183"/>
      <c r="H532" s="181"/>
      <c r="I532" s="181"/>
      <c r="J532" s="181"/>
      <c r="K532" s="181" t="str">
        <f t="shared" si="11"/>
        <v>GEOL_RNM|chert</v>
      </c>
      <c r="L532" s="181"/>
    </row>
    <row r="533" spans="1:12" hidden="1" x14ac:dyDescent="0.35">
      <c r="A533" s="88" t="s">
        <v>2897</v>
      </c>
      <c r="B533" s="88" t="s">
        <v>7132</v>
      </c>
      <c r="C533" s="89" t="s">
        <v>7132</v>
      </c>
      <c r="D533" s="89" t="s">
        <v>473</v>
      </c>
      <c r="E533" s="181"/>
      <c r="F533" s="181"/>
      <c r="G533" s="183"/>
      <c r="H533" s="181"/>
      <c r="I533" s="181"/>
      <c r="J533" s="181"/>
      <c r="K533" s="181" t="str">
        <f t="shared" si="11"/>
        <v>GEOL_RNM|claystone</v>
      </c>
      <c r="L533" s="181"/>
    </row>
    <row r="534" spans="1:12" hidden="1" x14ac:dyDescent="0.35">
      <c r="A534" s="88" t="s">
        <v>2897</v>
      </c>
      <c r="B534" s="88" t="s">
        <v>7133</v>
      </c>
      <c r="C534" s="89" t="s">
        <v>7133</v>
      </c>
      <c r="D534" s="89" t="s">
        <v>473</v>
      </c>
      <c r="E534" s="181"/>
      <c r="F534" s="181"/>
      <c r="G534" s="183"/>
      <c r="H534" s="181"/>
      <c r="I534" s="181"/>
      <c r="J534" s="181"/>
      <c r="K534" s="181" t="str">
        <f t="shared" si="11"/>
        <v>GEOL_RNM|coal</v>
      </c>
      <c r="L534" s="181"/>
    </row>
    <row r="535" spans="1:12" hidden="1" x14ac:dyDescent="0.35">
      <c r="A535" s="88" t="s">
        <v>2897</v>
      </c>
      <c r="B535" s="88" t="s">
        <v>7134</v>
      </c>
      <c r="C535" s="89" t="s">
        <v>7134</v>
      </c>
      <c r="D535" s="89" t="s">
        <v>473</v>
      </c>
      <c r="E535" s="181"/>
      <c r="F535" s="181"/>
      <c r="G535" s="183"/>
      <c r="H535" s="181"/>
      <c r="I535" s="181"/>
      <c r="J535" s="181"/>
      <c r="K535" s="181" t="str">
        <f t="shared" si="11"/>
        <v>GEOL_RNM|coal lignite</v>
      </c>
      <c r="L535" s="181"/>
    </row>
    <row r="536" spans="1:12" hidden="1" x14ac:dyDescent="0.35">
      <c r="A536" s="88" t="s">
        <v>2897</v>
      </c>
      <c r="B536" s="88" t="s">
        <v>7135</v>
      </c>
      <c r="C536" s="89" t="s">
        <v>7135</v>
      </c>
      <c r="D536" s="89" t="s">
        <v>473</v>
      </c>
      <c r="E536" s="181"/>
      <c r="F536" s="181"/>
      <c r="G536" s="183"/>
      <c r="H536" s="181"/>
      <c r="I536" s="181"/>
      <c r="J536" s="181"/>
      <c r="K536" s="181" t="str">
        <f t="shared" si="11"/>
        <v>GEOL_RNM|conglomerate</v>
      </c>
      <c r="L536" s="181"/>
    </row>
    <row r="537" spans="1:12" hidden="1" x14ac:dyDescent="0.35">
      <c r="A537" s="88" t="s">
        <v>2897</v>
      </c>
      <c r="B537" s="88" t="s">
        <v>7136</v>
      </c>
      <c r="C537" s="89" t="s">
        <v>7136</v>
      </c>
      <c r="D537" s="89" t="s">
        <v>473</v>
      </c>
      <c r="E537" s="181"/>
      <c r="F537" s="181"/>
      <c r="G537" s="183"/>
      <c r="H537" s="181"/>
      <c r="I537" s="181"/>
      <c r="J537" s="181"/>
      <c r="K537" s="181" t="str">
        <f t="shared" si="11"/>
        <v>GEOL_RNM|diorite</v>
      </c>
      <c r="L537" s="181"/>
    </row>
    <row r="538" spans="1:12" hidden="1" x14ac:dyDescent="0.35">
      <c r="A538" s="88" t="s">
        <v>2897</v>
      </c>
      <c r="B538" s="88" t="s">
        <v>7137</v>
      </c>
      <c r="C538" s="89" t="s">
        <v>7137</v>
      </c>
      <c r="D538" s="89" t="s">
        <v>473</v>
      </c>
      <c r="E538" s="181"/>
      <c r="F538" s="181"/>
      <c r="G538" s="183"/>
      <c r="H538" s="181"/>
      <c r="I538" s="181"/>
      <c r="J538" s="181"/>
      <c r="K538" s="181" t="str">
        <f t="shared" si="11"/>
        <v>GEOL_RNM|dolerite</v>
      </c>
      <c r="L538" s="181"/>
    </row>
    <row r="539" spans="1:12" hidden="1" x14ac:dyDescent="0.35">
      <c r="A539" s="88" t="s">
        <v>2897</v>
      </c>
      <c r="B539" s="88" t="s">
        <v>7138</v>
      </c>
      <c r="C539" s="89" t="s">
        <v>7138</v>
      </c>
      <c r="D539" s="89" t="s">
        <v>473</v>
      </c>
      <c r="E539" s="181"/>
      <c r="F539" s="181"/>
      <c r="G539" s="183"/>
      <c r="H539" s="181"/>
      <c r="I539" s="181"/>
      <c r="J539" s="181"/>
      <c r="K539" s="181" t="str">
        <f t="shared" si="11"/>
        <v>GEOL_RNM|dolomite</v>
      </c>
      <c r="L539" s="181"/>
    </row>
    <row r="540" spans="1:12" hidden="1" x14ac:dyDescent="0.35">
      <c r="A540" s="88" t="s">
        <v>2897</v>
      </c>
      <c r="B540" s="88" t="s">
        <v>7139</v>
      </c>
      <c r="C540" s="89" t="s">
        <v>7139</v>
      </c>
      <c r="D540" s="89" t="s">
        <v>473</v>
      </c>
      <c r="E540" s="181"/>
      <c r="F540" s="181"/>
      <c r="G540" s="183"/>
      <c r="H540" s="181"/>
      <c r="I540" s="181"/>
      <c r="J540" s="181"/>
      <c r="K540" s="181" t="str">
        <f t="shared" si="11"/>
        <v>GEOL_RNM|ferricrete</v>
      </c>
      <c r="L540" s="181"/>
    </row>
    <row r="541" spans="1:12" hidden="1" x14ac:dyDescent="0.35">
      <c r="A541" s="88" t="s">
        <v>2897</v>
      </c>
      <c r="B541" s="88" t="s">
        <v>7140</v>
      </c>
      <c r="C541" s="89" t="s">
        <v>7140</v>
      </c>
      <c r="D541" s="89" t="s">
        <v>473</v>
      </c>
      <c r="E541" s="181"/>
      <c r="F541" s="181"/>
      <c r="G541" s="183"/>
      <c r="H541" s="181"/>
      <c r="I541" s="181"/>
      <c r="J541" s="181"/>
      <c r="K541" s="181" t="str">
        <f t="shared" si="11"/>
        <v>GEOL_RNM|gabbro</v>
      </c>
      <c r="L541" s="181"/>
    </row>
    <row r="542" spans="1:12" hidden="1" x14ac:dyDescent="0.35">
      <c r="A542" s="88" t="s">
        <v>2897</v>
      </c>
      <c r="B542" s="88" t="s">
        <v>7141</v>
      </c>
      <c r="C542" s="89" t="s">
        <v>7141</v>
      </c>
      <c r="D542" s="89" t="s">
        <v>473</v>
      </c>
      <c r="E542" s="181"/>
      <c r="F542" s="181"/>
      <c r="G542" s="183"/>
      <c r="H542" s="181"/>
      <c r="I542" s="181"/>
      <c r="J542" s="181"/>
      <c r="K542" s="181" t="str">
        <f t="shared" si="11"/>
        <v>GEOL_RNM|gneiss</v>
      </c>
      <c r="L542" s="181"/>
    </row>
    <row r="543" spans="1:12" hidden="1" x14ac:dyDescent="0.35">
      <c r="A543" s="88" t="s">
        <v>2897</v>
      </c>
      <c r="B543" s="88" t="s">
        <v>7142</v>
      </c>
      <c r="C543" s="89" t="s">
        <v>7142</v>
      </c>
      <c r="D543" s="89" t="s">
        <v>473</v>
      </c>
      <c r="E543" s="181"/>
      <c r="F543" s="181"/>
      <c r="G543" s="183"/>
      <c r="H543" s="181"/>
      <c r="I543" s="181"/>
      <c r="J543" s="181"/>
      <c r="K543" s="181" t="str">
        <f t="shared" si="11"/>
        <v>GEOL_RNM|granite</v>
      </c>
      <c r="L543" s="181"/>
    </row>
    <row r="544" spans="1:12" hidden="1" x14ac:dyDescent="0.35">
      <c r="A544" s="88" t="s">
        <v>2897</v>
      </c>
      <c r="B544" s="88" t="s">
        <v>7143</v>
      </c>
      <c r="C544" s="89" t="s">
        <v>7143</v>
      </c>
      <c r="D544" s="89" t="s">
        <v>473</v>
      </c>
      <c r="E544" s="181"/>
      <c r="F544" s="181"/>
      <c r="G544" s="183"/>
      <c r="H544" s="181"/>
      <c r="I544" s="181"/>
      <c r="J544" s="181"/>
      <c r="K544" s="181" t="str">
        <f t="shared" si="11"/>
        <v>GEOL_RNM|granulite</v>
      </c>
      <c r="L544" s="181"/>
    </row>
    <row r="545" spans="1:12" hidden="1" x14ac:dyDescent="0.35">
      <c r="A545" s="88" t="s">
        <v>2897</v>
      </c>
      <c r="B545" s="88" t="s">
        <v>7144</v>
      </c>
      <c r="C545" s="89" t="s">
        <v>7144</v>
      </c>
      <c r="D545" s="89" t="s">
        <v>473</v>
      </c>
      <c r="E545" s="181"/>
      <c r="F545" s="181"/>
      <c r="G545" s="183"/>
      <c r="H545" s="181"/>
      <c r="I545" s="181"/>
      <c r="J545" s="181"/>
      <c r="K545" s="181" t="str">
        <f t="shared" si="11"/>
        <v>GEOL_RNM|greywacke</v>
      </c>
      <c r="L545" s="181"/>
    </row>
    <row r="546" spans="1:12" hidden="1" x14ac:dyDescent="0.35">
      <c r="A546" s="88" t="s">
        <v>2897</v>
      </c>
      <c r="B546" s="88" t="s">
        <v>7145</v>
      </c>
      <c r="C546" s="88" t="s">
        <v>7145</v>
      </c>
      <c r="D546" s="89" t="s">
        <v>473</v>
      </c>
      <c r="E546" s="181"/>
      <c r="F546" s="181"/>
      <c r="G546" s="183"/>
      <c r="H546" s="181"/>
      <c r="I546" s="181"/>
      <c r="J546" s="181"/>
      <c r="K546" s="181" t="str">
        <f t="shared" si="11"/>
        <v>GEOL_RNM|gypcrete</v>
      </c>
      <c r="L546" s="181"/>
    </row>
    <row r="547" spans="1:12" hidden="1" x14ac:dyDescent="0.35">
      <c r="A547" s="88" t="s">
        <v>2897</v>
      </c>
      <c r="B547" s="88" t="s">
        <v>7146</v>
      </c>
      <c r="C547" s="89" t="s">
        <v>7146</v>
      </c>
      <c r="D547" s="89" t="s">
        <v>473</v>
      </c>
      <c r="E547" s="181"/>
      <c r="F547" s="181"/>
      <c r="G547" s="183"/>
      <c r="H547" s="181"/>
      <c r="I547" s="181"/>
      <c r="J547" s="181"/>
      <c r="K547" s="181" t="str">
        <f t="shared" si="11"/>
        <v>GEOL_RNM|gypsum</v>
      </c>
      <c r="L547" s="181"/>
    </row>
    <row r="548" spans="1:12" hidden="1" x14ac:dyDescent="0.35">
      <c r="A548" s="88" t="s">
        <v>2897</v>
      </c>
      <c r="B548" s="88" t="s">
        <v>7147</v>
      </c>
      <c r="C548" s="89" t="s">
        <v>7147</v>
      </c>
      <c r="D548" s="89" t="s">
        <v>473</v>
      </c>
      <c r="E548" s="181"/>
      <c r="F548" s="181"/>
      <c r="G548" s="183"/>
      <c r="H548" s="181"/>
      <c r="I548" s="181"/>
      <c r="J548" s="181"/>
      <c r="K548" s="181" t="str">
        <f t="shared" si="11"/>
        <v>GEOL_RNM|halite</v>
      </c>
      <c r="L548" s="181"/>
    </row>
    <row r="549" spans="1:12" hidden="1" x14ac:dyDescent="0.35">
      <c r="A549" s="88" t="s">
        <v>2897</v>
      </c>
      <c r="B549" s="88" t="s">
        <v>7148</v>
      </c>
      <c r="C549" s="89" t="s">
        <v>7148</v>
      </c>
      <c r="D549" s="89" t="s">
        <v>473</v>
      </c>
      <c r="E549" s="181"/>
      <c r="F549" s="181"/>
      <c r="G549" s="183"/>
      <c r="H549" s="181"/>
      <c r="I549" s="181"/>
      <c r="J549" s="181"/>
      <c r="K549" s="181" t="str">
        <f t="shared" si="11"/>
        <v>GEOL_RNM|hornfels</v>
      </c>
      <c r="L549" s="181"/>
    </row>
    <row r="550" spans="1:12" hidden="1" x14ac:dyDescent="0.35">
      <c r="A550" s="88" t="s">
        <v>2897</v>
      </c>
      <c r="B550" s="88" t="s">
        <v>7149</v>
      </c>
      <c r="C550" s="89" t="s">
        <v>7149</v>
      </c>
      <c r="D550" s="89" t="s">
        <v>473</v>
      </c>
      <c r="E550" s="181"/>
      <c r="F550" s="181"/>
      <c r="G550" s="183"/>
      <c r="H550" s="181"/>
      <c r="I550" s="181"/>
      <c r="J550" s="181"/>
      <c r="K550" s="181" t="str">
        <f t="shared" si="11"/>
        <v>GEOL_RNM|ignumbrite</v>
      </c>
      <c r="L550" s="181"/>
    </row>
    <row r="551" spans="1:12" hidden="1" x14ac:dyDescent="0.35">
      <c r="A551" s="88" t="s">
        <v>2897</v>
      </c>
      <c r="B551" s="88" t="s">
        <v>7150</v>
      </c>
      <c r="C551" s="89" t="s">
        <v>7150</v>
      </c>
      <c r="D551" s="89" t="s">
        <v>473</v>
      </c>
      <c r="E551" s="181"/>
      <c r="F551" s="181"/>
      <c r="G551" s="183"/>
      <c r="H551" s="181"/>
      <c r="I551" s="181"/>
      <c r="J551" s="181"/>
      <c r="K551" s="181" t="str">
        <f t="shared" si="11"/>
        <v>GEOL_RNM|ironstone</v>
      </c>
      <c r="L551" s="181"/>
    </row>
    <row r="552" spans="1:12" hidden="1" x14ac:dyDescent="0.35">
      <c r="A552" s="88" t="s">
        <v>2897</v>
      </c>
      <c r="B552" s="88" t="s">
        <v>7151</v>
      </c>
      <c r="C552" s="88" t="s">
        <v>7151</v>
      </c>
      <c r="D552" s="89" t="s">
        <v>473</v>
      </c>
      <c r="E552" s="181"/>
      <c r="F552" s="181"/>
      <c r="G552" s="183"/>
      <c r="H552" s="181"/>
      <c r="I552" s="181"/>
      <c r="J552" s="181"/>
      <c r="K552" s="181" t="str">
        <f t="shared" si="11"/>
        <v>GEOL_RNM|laminite</v>
      </c>
      <c r="L552" s="181"/>
    </row>
    <row r="553" spans="1:12" hidden="1" x14ac:dyDescent="0.35">
      <c r="A553" s="88" t="s">
        <v>2897</v>
      </c>
      <c r="B553" s="88" t="s">
        <v>7152</v>
      </c>
      <c r="C553" s="89" t="s">
        <v>7152</v>
      </c>
      <c r="D553" s="89" t="s">
        <v>473</v>
      </c>
      <c r="E553" s="181"/>
      <c r="F553" s="181"/>
      <c r="G553" s="183"/>
      <c r="H553" s="181"/>
      <c r="I553" s="181"/>
      <c r="J553" s="181"/>
      <c r="K553" s="181" t="str">
        <f t="shared" si="11"/>
        <v>GEOL_RNM|lignite</v>
      </c>
      <c r="L553" s="181"/>
    </row>
    <row r="554" spans="1:12" hidden="1" x14ac:dyDescent="0.35">
      <c r="A554" s="88" t="s">
        <v>2897</v>
      </c>
      <c r="B554" s="88" t="s">
        <v>7153</v>
      </c>
      <c r="C554" s="89" t="s">
        <v>7153</v>
      </c>
      <c r="D554" s="89" t="s">
        <v>473</v>
      </c>
      <c r="E554" s="181"/>
      <c r="F554" s="181"/>
      <c r="G554" s="183"/>
      <c r="H554" s="181"/>
      <c r="I554" s="181"/>
      <c r="J554" s="181"/>
      <c r="K554" s="181" t="str">
        <f t="shared" si="11"/>
        <v>GEOL_RNM|limestone</v>
      </c>
      <c r="L554" s="181"/>
    </row>
    <row r="555" spans="1:12" hidden="1" x14ac:dyDescent="0.35">
      <c r="A555" s="88" t="s">
        <v>2897</v>
      </c>
      <c r="B555" s="88" t="s">
        <v>7154</v>
      </c>
      <c r="C555" s="89" t="s">
        <v>7154</v>
      </c>
      <c r="D555" s="89" t="s">
        <v>473</v>
      </c>
      <c r="E555" s="181"/>
      <c r="F555" s="181"/>
      <c r="G555" s="183"/>
      <c r="H555" s="181"/>
      <c r="I555" s="181"/>
      <c r="J555" s="181"/>
      <c r="K555" s="181" t="str">
        <f t="shared" si="11"/>
        <v>GEOL_RNM|marble</v>
      </c>
      <c r="L555" s="181"/>
    </row>
    <row r="556" spans="1:12" hidden="1" x14ac:dyDescent="0.35">
      <c r="A556" s="88" t="s">
        <v>2897</v>
      </c>
      <c r="B556" s="88" t="s">
        <v>7155</v>
      </c>
      <c r="C556" s="89" t="s">
        <v>7155</v>
      </c>
      <c r="D556" s="89" t="s">
        <v>473</v>
      </c>
      <c r="E556" s="181"/>
      <c r="F556" s="181"/>
      <c r="G556" s="183"/>
      <c r="H556" s="181"/>
      <c r="I556" s="181"/>
      <c r="J556" s="181"/>
      <c r="K556" s="181" t="str">
        <f t="shared" si="11"/>
        <v>GEOL_RNM|microdiorite</v>
      </c>
      <c r="L556" s="181"/>
    </row>
    <row r="557" spans="1:12" hidden="1" x14ac:dyDescent="0.35">
      <c r="A557" s="88" t="s">
        <v>2897</v>
      </c>
      <c r="B557" s="88" t="s">
        <v>7156</v>
      </c>
      <c r="C557" s="89" t="s">
        <v>7156</v>
      </c>
      <c r="D557" s="89" t="s">
        <v>473</v>
      </c>
      <c r="E557" s="181"/>
      <c r="F557" s="181"/>
      <c r="G557" s="183"/>
      <c r="H557" s="181"/>
      <c r="I557" s="181"/>
      <c r="J557" s="181"/>
      <c r="K557" s="181" t="str">
        <f t="shared" si="11"/>
        <v>GEOL_RNM|microgranite</v>
      </c>
      <c r="L557" s="181"/>
    </row>
    <row r="558" spans="1:12" hidden="1" x14ac:dyDescent="0.35">
      <c r="A558" s="88" t="s">
        <v>2897</v>
      </c>
      <c r="B558" s="88" t="s">
        <v>7157</v>
      </c>
      <c r="C558" s="89" t="s">
        <v>7157</v>
      </c>
      <c r="D558" s="89" t="s">
        <v>473</v>
      </c>
      <c r="E558" s="181"/>
      <c r="F558" s="181"/>
      <c r="G558" s="183"/>
      <c r="H558" s="181"/>
      <c r="I558" s="181"/>
      <c r="J558" s="181"/>
      <c r="K558" s="181" t="str">
        <f t="shared" si="11"/>
        <v>GEOL_RNM|migmatite</v>
      </c>
      <c r="L558" s="181"/>
    </row>
    <row r="559" spans="1:12" hidden="1" x14ac:dyDescent="0.35">
      <c r="A559" s="88" t="s">
        <v>2897</v>
      </c>
      <c r="B559" s="88" t="s">
        <v>7158</v>
      </c>
      <c r="C559" s="89" t="s">
        <v>7158</v>
      </c>
      <c r="D559" s="89" t="s">
        <v>473</v>
      </c>
      <c r="E559" s="181"/>
      <c r="F559" s="181"/>
      <c r="G559" s="183"/>
      <c r="H559" s="181"/>
      <c r="I559" s="181"/>
      <c r="J559" s="181"/>
      <c r="K559" s="181" t="str">
        <f t="shared" si="11"/>
        <v>GEOL_RNM|mudstone</v>
      </c>
      <c r="L559" s="181"/>
    </row>
    <row r="560" spans="1:12" hidden="1" x14ac:dyDescent="0.35">
      <c r="A560" s="88" t="s">
        <v>2897</v>
      </c>
      <c r="B560" s="88" t="s">
        <v>7159</v>
      </c>
      <c r="C560" s="89" t="s">
        <v>7159</v>
      </c>
      <c r="D560" s="89" t="s">
        <v>473</v>
      </c>
      <c r="E560" s="181"/>
      <c r="F560" s="181"/>
      <c r="G560" s="183"/>
      <c r="H560" s="181"/>
      <c r="I560" s="181"/>
      <c r="J560" s="181"/>
      <c r="K560" s="181" t="str">
        <f t="shared" si="11"/>
        <v>GEOL_RNM|peridotite</v>
      </c>
      <c r="L560" s="181"/>
    </row>
    <row r="561" spans="1:12" hidden="1" x14ac:dyDescent="0.35">
      <c r="A561" s="88" t="s">
        <v>2897</v>
      </c>
      <c r="B561" s="88" t="s">
        <v>7160</v>
      </c>
      <c r="C561" s="89" t="s">
        <v>7160</v>
      </c>
      <c r="D561" s="89" t="s">
        <v>473</v>
      </c>
      <c r="E561" s="181"/>
      <c r="F561" s="181"/>
      <c r="G561" s="183"/>
      <c r="H561" s="181"/>
      <c r="I561" s="181"/>
      <c r="J561" s="181"/>
      <c r="K561" s="181" t="str">
        <f t="shared" si="11"/>
        <v>GEOL_RNM|phyllite</v>
      </c>
      <c r="L561" s="181"/>
    </row>
    <row r="562" spans="1:12" hidden="1" x14ac:dyDescent="0.35">
      <c r="A562" s="88" t="s">
        <v>2897</v>
      </c>
      <c r="B562" s="88" t="s">
        <v>7161</v>
      </c>
      <c r="C562" s="89" t="s">
        <v>7161</v>
      </c>
      <c r="D562" s="89" t="s">
        <v>473</v>
      </c>
      <c r="E562" s="181"/>
      <c r="F562" s="181"/>
      <c r="G562" s="183"/>
      <c r="H562" s="181"/>
      <c r="I562" s="181"/>
      <c r="J562" s="181"/>
      <c r="K562" s="181" t="str">
        <f t="shared" si="11"/>
        <v>GEOL_RNM|quartzite</v>
      </c>
      <c r="L562" s="181"/>
    </row>
    <row r="563" spans="1:12" hidden="1" x14ac:dyDescent="0.35">
      <c r="A563" s="88" t="s">
        <v>2897</v>
      </c>
      <c r="B563" s="88" t="s">
        <v>7162</v>
      </c>
      <c r="C563" s="89" t="s">
        <v>7162</v>
      </c>
      <c r="D563" s="89" t="s">
        <v>473</v>
      </c>
      <c r="E563" s="181"/>
      <c r="F563" s="181"/>
      <c r="G563" s="183"/>
      <c r="H563" s="181"/>
      <c r="I563" s="181"/>
      <c r="J563" s="181"/>
      <c r="K563" s="181" t="str">
        <f t="shared" si="11"/>
        <v>GEOL_RNM|rhyolite</v>
      </c>
      <c r="L563" s="181"/>
    </row>
    <row r="564" spans="1:12" hidden="1" x14ac:dyDescent="0.35">
      <c r="A564" s="88" t="s">
        <v>2897</v>
      </c>
      <c r="B564" s="88" t="s">
        <v>701</v>
      </c>
      <c r="C564" s="89" t="s">
        <v>701</v>
      </c>
      <c r="D564" s="89" t="s">
        <v>473</v>
      </c>
      <c r="E564" s="181"/>
      <c r="F564" s="181"/>
      <c r="G564" s="183"/>
      <c r="H564" s="181"/>
      <c r="I564" s="181"/>
      <c r="J564" s="181"/>
      <c r="K564" s="181" t="str">
        <f t="shared" si="11"/>
        <v>GEOL_RNM|sandstone</v>
      </c>
      <c r="L564" s="181"/>
    </row>
    <row r="565" spans="1:12" hidden="1" x14ac:dyDescent="0.35">
      <c r="A565" s="88" t="s">
        <v>2897</v>
      </c>
      <c r="B565" s="88" t="s">
        <v>7163</v>
      </c>
      <c r="C565" s="89" t="s">
        <v>7163</v>
      </c>
      <c r="D565" s="89" t="s">
        <v>473</v>
      </c>
      <c r="E565" s="181"/>
      <c r="F565" s="181"/>
      <c r="G565" s="183"/>
      <c r="H565" s="181"/>
      <c r="I565" s="181"/>
      <c r="J565" s="181"/>
      <c r="K565" s="181" t="str">
        <f t="shared" si="11"/>
        <v>GEOL_RNM|schist</v>
      </c>
      <c r="L565" s="181"/>
    </row>
    <row r="566" spans="1:12" hidden="1" x14ac:dyDescent="0.35">
      <c r="A566" s="88" t="s">
        <v>2897</v>
      </c>
      <c r="B566" s="88" t="s">
        <v>7164</v>
      </c>
      <c r="C566" s="89" t="s">
        <v>7164</v>
      </c>
      <c r="D566" s="89" t="s">
        <v>473</v>
      </c>
      <c r="E566" s="181"/>
      <c r="F566" s="181"/>
      <c r="G566" s="183"/>
      <c r="H566" s="181"/>
      <c r="I566" s="181"/>
      <c r="J566" s="181"/>
      <c r="K566" s="181" t="str">
        <f t="shared" si="11"/>
        <v>GEOL_RNM|serpentine</v>
      </c>
      <c r="L566" s="181"/>
    </row>
    <row r="567" spans="1:12" hidden="1" x14ac:dyDescent="0.35">
      <c r="A567" s="88" t="s">
        <v>2897</v>
      </c>
      <c r="B567" s="88" t="s">
        <v>7165</v>
      </c>
      <c r="C567" s="89" t="s">
        <v>7165</v>
      </c>
      <c r="D567" s="89" t="s">
        <v>473</v>
      </c>
      <c r="E567" s="181"/>
      <c r="F567" s="181"/>
      <c r="G567" s="183"/>
      <c r="H567" s="181"/>
      <c r="I567" s="181"/>
      <c r="J567" s="181"/>
      <c r="K567" s="181" t="str">
        <f t="shared" si="11"/>
        <v>GEOL_RNM|shale</v>
      </c>
      <c r="L567" s="181"/>
    </row>
    <row r="568" spans="1:12" hidden="1" x14ac:dyDescent="0.35">
      <c r="A568" s="88" t="s">
        <v>2897</v>
      </c>
      <c r="B568" s="88" t="s">
        <v>7166</v>
      </c>
      <c r="C568" s="88" t="s">
        <v>7166</v>
      </c>
      <c r="D568" s="89" t="s">
        <v>473</v>
      </c>
      <c r="E568" s="181"/>
      <c r="F568" s="181"/>
      <c r="G568" s="183"/>
      <c r="H568" s="181"/>
      <c r="I568" s="181"/>
      <c r="J568" s="181"/>
      <c r="K568" s="181" t="str">
        <f t="shared" si="11"/>
        <v>GEOL_RNM|silcrete</v>
      </c>
      <c r="L568" s="181"/>
    </row>
    <row r="569" spans="1:12" hidden="1" x14ac:dyDescent="0.35">
      <c r="A569" s="88" t="s">
        <v>2897</v>
      </c>
      <c r="B569" s="88" t="s">
        <v>792</v>
      </c>
      <c r="C569" s="89" t="s">
        <v>792</v>
      </c>
      <c r="D569" s="89" t="s">
        <v>473</v>
      </c>
      <c r="E569" s="181"/>
      <c r="F569" s="181"/>
      <c r="G569" s="183"/>
      <c r="H569" s="181"/>
      <c r="I569" s="181"/>
      <c r="J569" s="181"/>
      <c r="K569" s="181" t="str">
        <f t="shared" si="11"/>
        <v>GEOL_RNM|siltstone</v>
      </c>
      <c r="L569" s="181"/>
    </row>
    <row r="570" spans="1:12" hidden="1" x14ac:dyDescent="0.35">
      <c r="A570" s="88" t="s">
        <v>2897</v>
      </c>
      <c r="B570" s="88" t="s">
        <v>7167</v>
      </c>
      <c r="C570" s="89" t="s">
        <v>7167</v>
      </c>
      <c r="D570" s="89" t="s">
        <v>473</v>
      </c>
      <c r="E570" s="181"/>
      <c r="F570" s="181"/>
      <c r="G570" s="183"/>
      <c r="H570" s="181"/>
      <c r="I570" s="181"/>
      <c r="J570" s="181"/>
      <c r="K570" s="181" t="str">
        <f t="shared" si="11"/>
        <v>GEOL_RNM|slate</v>
      </c>
      <c r="L570" s="181"/>
    </row>
    <row r="571" spans="1:12" hidden="1" x14ac:dyDescent="0.35">
      <c r="A571" s="88" t="s">
        <v>2897</v>
      </c>
      <c r="B571" s="88" t="s">
        <v>7168</v>
      </c>
      <c r="C571" s="89" t="s">
        <v>7168</v>
      </c>
      <c r="D571" s="89" t="s">
        <v>473</v>
      </c>
      <c r="E571" s="181"/>
      <c r="F571" s="181"/>
      <c r="G571" s="183"/>
      <c r="H571" s="181"/>
      <c r="I571" s="181"/>
      <c r="J571" s="181"/>
      <c r="K571" s="181" t="str">
        <f t="shared" si="11"/>
        <v>GEOL_RNM|syenite</v>
      </c>
      <c r="L571" s="181"/>
    </row>
    <row r="572" spans="1:12" hidden="1" x14ac:dyDescent="0.35">
      <c r="A572" s="88" t="s">
        <v>2897</v>
      </c>
      <c r="B572" s="88" t="s">
        <v>7169</v>
      </c>
      <c r="C572" s="89" t="s">
        <v>7169</v>
      </c>
      <c r="D572" s="89" t="s">
        <v>473</v>
      </c>
      <c r="E572" s="181"/>
      <c r="F572" s="181"/>
      <c r="G572" s="183"/>
      <c r="H572" s="181"/>
      <c r="I572" s="181"/>
      <c r="J572" s="181"/>
      <c r="K572" s="181" t="str">
        <f t="shared" si="11"/>
        <v>GEOL_RNM|tuff</v>
      </c>
      <c r="L572" s="181"/>
    </row>
    <row r="573" spans="1:12" hidden="1" x14ac:dyDescent="0.35">
      <c r="A573" s="88" t="s">
        <v>2897</v>
      </c>
      <c r="B573" s="88" t="s">
        <v>7170</v>
      </c>
      <c r="C573" s="89" t="s">
        <v>7170</v>
      </c>
      <c r="D573" s="89" t="s">
        <v>473</v>
      </c>
      <c r="E573" s="181"/>
      <c r="F573" s="181"/>
      <c r="G573" s="183"/>
      <c r="H573" s="181"/>
      <c r="I573" s="181"/>
      <c r="J573" s="181"/>
      <c r="K573" s="181" t="str">
        <f t="shared" si="11"/>
        <v>GEOL_RNM|volcanic breccia</v>
      </c>
      <c r="L573" s="181"/>
    </row>
    <row r="574" spans="1:12" hidden="1" x14ac:dyDescent="0.35">
      <c r="A574" s="88" t="s">
        <v>2897</v>
      </c>
      <c r="B574" s="88" t="s">
        <v>7171</v>
      </c>
      <c r="C574" s="89" t="s">
        <v>7171</v>
      </c>
      <c r="D574" s="89" t="s">
        <v>473</v>
      </c>
      <c r="E574" s="181"/>
      <c r="F574" s="181"/>
      <c r="G574" s="183"/>
      <c r="H574" s="181"/>
      <c r="I574" s="181"/>
      <c r="J574" s="181"/>
      <c r="K574" s="181" t="str">
        <f t="shared" si="11"/>
        <v>GEOL_RNM|volcanic glass</v>
      </c>
      <c r="L574" s="181"/>
    </row>
    <row r="575" spans="1:12" hidden="1" x14ac:dyDescent="0.35">
      <c r="A575" s="88" t="s">
        <v>2897</v>
      </c>
      <c r="B575" s="88" t="s">
        <v>7172</v>
      </c>
      <c r="C575" s="89" t="s">
        <v>7172</v>
      </c>
      <c r="D575" s="89" t="s">
        <v>473</v>
      </c>
      <c r="E575" s="181"/>
      <c r="F575" s="181"/>
      <c r="G575" s="183"/>
      <c r="H575" s="181"/>
      <c r="I575" s="181"/>
      <c r="J575" s="181"/>
      <c r="K575" s="181" t="str">
        <f t="shared" si="11"/>
        <v>GEOL_RNM|welded tuff</v>
      </c>
      <c r="L575" s="181"/>
    </row>
    <row r="576" spans="1:12" hidden="1" x14ac:dyDescent="0.35">
      <c r="A576" s="88" t="s">
        <v>2903</v>
      </c>
      <c r="B576" s="88" t="s">
        <v>7173</v>
      </c>
      <c r="C576" s="89" t="s">
        <v>7173</v>
      </c>
      <c r="D576" s="89" t="s">
        <v>473</v>
      </c>
      <c r="E576" s="181"/>
      <c r="F576" s="181"/>
      <c r="G576" s="183"/>
      <c r="H576" s="181"/>
      <c r="I576" s="181"/>
      <c r="J576" s="181"/>
      <c r="K576" s="181" t="str">
        <f t="shared" si="11"/>
        <v>GEOL_RNQ|argillaceous</v>
      </c>
      <c r="L576" s="181"/>
    </row>
    <row r="577" spans="1:12" hidden="1" x14ac:dyDescent="0.35">
      <c r="A577" s="88" t="s">
        <v>2903</v>
      </c>
      <c r="B577" s="88" t="s">
        <v>688</v>
      </c>
      <c r="C577" s="89" t="s">
        <v>688</v>
      </c>
      <c r="D577" s="89" t="s">
        <v>473</v>
      </c>
      <c r="E577" s="181"/>
      <c r="F577" s="181"/>
      <c r="G577" s="183"/>
      <c r="H577" s="181"/>
      <c r="I577" s="181"/>
      <c r="J577" s="181"/>
      <c r="K577" s="181" t="str">
        <f t="shared" si="11"/>
        <v>GEOL_RNQ|calcareous</v>
      </c>
      <c r="L577" s="181"/>
    </row>
    <row r="578" spans="1:12" hidden="1" x14ac:dyDescent="0.35">
      <c r="A578" s="88" t="s">
        <v>2903</v>
      </c>
      <c r="B578" s="88" t="s">
        <v>7174</v>
      </c>
      <c r="C578" s="89" t="s">
        <v>7174</v>
      </c>
      <c r="D578" s="89" t="s">
        <v>473</v>
      </c>
      <c r="E578" s="181"/>
      <c r="F578" s="181"/>
      <c r="G578" s="183"/>
      <c r="H578" s="181"/>
      <c r="I578" s="181"/>
      <c r="J578" s="181"/>
      <c r="K578" s="181" t="str">
        <f t="shared" ref="K578:K635" si="12">A578&amp;"|"&amp;B578</f>
        <v>GEOL_RNQ|calcareous clayey</v>
      </c>
      <c r="L578" s="181"/>
    </row>
    <row r="579" spans="1:12" hidden="1" x14ac:dyDescent="0.35">
      <c r="A579" s="88" t="s">
        <v>2903</v>
      </c>
      <c r="B579" s="88" t="s">
        <v>698</v>
      </c>
      <c r="C579" s="89" t="s">
        <v>698</v>
      </c>
      <c r="D579" s="89" t="s">
        <v>473</v>
      </c>
      <c r="E579" s="181"/>
      <c r="F579" s="181"/>
      <c r="G579" s="183"/>
      <c r="H579" s="181"/>
      <c r="I579" s="181"/>
      <c r="J579" s="181"/>
      <c r="K579" s="181" t="str">
        <f t="shared" si="12"/>
        <v>GEOL_RNQ|carbonaceous</v>
      </c>
      <c r="L579" s="181"/>
    </row>
    <row r="580" spans="1:12" hidden="1" x14ac:dyDescent="0.35">
      <c r="A580" s="88" t="s">
        <v>2903</v>
      </c>
      <c r="B580" s="88" t="s">
        <v>746</v>
      </c>
      <c r="C580" s="89" t="s">
        <v>746</v>
      </c>
      <c r="D580" s="89" t="s">
        <v>473</v>
      </c>
      <c r="E580" s="181"/>
      <c r="F580" s="181"/>
      <c r="G580" s="183"/>
      <c r="H580" s="181"/>
      <c r="I580" s="181"/>
      <c r="J580" s="181"/>
      <c r="K580" s="181" t="str">
        <f t="shared" si="12"/>
        <v>GEOL_RNQ|clastic</v>
      </c>
      <c r="L580" s="181"/>
    </row>
    <row r="581" spans="1:12" hidden="1" x14ac:dyDescent="0.35">
      <c r="A581" s="88" t="s">
        <v>2903</v>
      </c>
      <c r="B581" s="88" t="s">
        <v>7175</v>
      </c>
      <c r="C581" s="89" t="s">
        <v>7175</v>
      </c>
      <c r="D581" s="89" t="s">
        <v>473</v>
      </c>
      <c r="E581" s="181"/>
      <c r="F581" s="181"/>
      <c r="G581" s="183"/>
      <c r="H581" s="181"/>
      <c r="I581" s="181"/>
      <c r="J581" s="181"/>
      <c r="K581" s="181" t="str">
        <f t="shared" si="12"/>
        <v>GEOL_RNQ|coal and carbonaceous</v>
      </c>
      <c r="L581" s="181"/>
    </row>
    <row r="582" spans="1:12" hidden="1" x14ac:dyDescent="0.35">
      <c r="A582" s="88" t="s">
        <v>2903</v>
      </c>
      <c r="B582" s="88" t="s">
        <v>7176</v>
      </c>
      <c r="C582" s="89" t="s">
        <v>7176</v>
      </c>
      <c r="D582" s="89" t="s">
        <v>473</v>
      </c>
      <c r="E582" s="181"/>
      <c r="F582" s="181"/>
      <c r="G582" s="183"/>
      <c r="H582" s="181"/>
      <c r="I582" s="181"/>
      <c r="J582" s="181"/>
      <c r="K582" s="181" t="str">
        <f t="shared" si="12"/>
        <v>GEOL_RNQ|conglomeratic</v>
      </c>
      <c r="L582" s="181"/>
    </row>
    <row r="583" spans="1:12" hidden="1" x14ac:dyDescent="0.35">
      <c r="A583" s="88" t="s">
        <v>2903</v>
      </c>
      <c r="B583" s="88" t="s">
        <v>7177</v>
      </c>
      <c r="C583" s="89" t="s">
        <v>7177</v>
      </c>
      <c r="D583" s="89" t="s">
        <v>473</v>
      </c>
      <c r="E583" s="181"/>
      <c r="F583" s="181"/>
      <c r="G583" s="183"/>
      <c r="H583" s="181"/>
      <c r="I583" s="181"/>
      <c r="J583" s="181"/>
      <c r="K583" s="181" t="str">
        <f t="shared" si="12"/>
        <v>GEOL_RNQ|crystalline</v>
      </c>
      <c r="L583" s="181"/>
    </row>
    <row r="584" spans="1:12" hidden="1" x14ac:dyDescent="0.35">
      <c r="A584" s="88" t="s">
        <v>2903</v>
      </c>
      <c r="B584" s="88" t="s">
        <v>7178</v>
      </c>
      <c r="C584" s="88" t="s">
        <v>7178</v>
      </c>
      <c r="D584" s="89" t="s">
        <v>473</v>
      </c>
      <c r="E584" s="181"/>
      <c r="F584" s="181"/>
      <c r="G584" s="183"/>
      <c r="H584" s="181"/>
      <c r="I584" s="181"/>
      <c r="J584" s="181"/>
      <c r="K584" s="181" t="str">
        <f t="shared" si="12"/>
        <v>GEOL_RNQ|impure</v>
      </c>
      <c r="L584" s="181"/>
    </row>
    <row r="585" spans="1:12" hidden="1" x14ac:dyDescent="0.35">
      <c r="A585" s="88" t="s">
        <v>2903</v>
      </c>
      <c r="B585" s="88" t="s">
        <v>772</v>
      </c>
      <c r="C585" s="89" t="s">
        <v>772</v>
      </c>
      <c r="D585" s="89" t="s">
        <v>473</v>
      </c>
      <c r="E585" s="181"/>
      <c r="F585" s="181"/>
      <c r="G585" s="183"/>
      <c r="H585" s="181"/>
      <c r="I585" s="181"/>
      <c r="J585" s="181"/>
      <c r="K585" s="181" t="str">
        <f t="shared" si="12"/>
        <v>GEOL_RNQ|interbedded</v>
      </c>
      <c r="L585" s="181"/>
    </row>
    <row r="586" spans="1:12" hidden="1" x14ac:dyDescent="0.35">
      <c r="A586" s="88" t="s">
        <v>2903</v>
      </c>
      <c r="B586" s="88" t="s">
        <v>7179</v>
      </c>
      <c r="C586" s="89" t="s">
        <v>7179</v>
      </c>
      <c r="D586" s="89" t="s">
        <v>473</v>
      </c>
      <c r="E586" s="181"/>
      <c r="F586" s="181"/>
      <c r="G586" s="183"/>
      <c r="H586" s="181"/>
      <c r="I586" s="181"/>
      <c r="J586" s="181"/>
      <c r="K586" s="181" t="str">
        <f t="shared" si="12"/>
        <v>GEOL_RNQ|lithic</v>
      </c>
      <c r="L586" s="181"/>
    </row>
    <row r="587" spans="1:12" hidden="1" x14ac:dyDescent="0.35">
      <c r="A587" s="88" t="s">
        <v>2903</v>
      </c>
      <c r="B587" s="88" t="s">
        <v>7180</v>
      </c>
      <c r="C587" s="89" t="s">
        <v>7180</v>
      </c>
      <c r="D587" s="89" t="s">
        <v>473</v>
      </c>
      <c r="E587" s="181"/>
      <c r="F587" s="181"/>
      <c r="G587" s="183"/>
      <c r="H587" s="181"/>
      <c r="I587" s="181"/>
      <c r="J587" s="181"/>
      <c r="K587" s="181" t="str">
        <f t="shared" si="12"/>
        <v>GEOL_RNQ|meta</v>
      </c>
      <c r="L587" s="181"/>
    </row>
    <row r="588" spans="1:12" hidden="1" x14ac:dyDescent="0.35">
      <c r="A588" s="88" t="s">
        <v>2903</v>
      </c>
      <c r="B588" s="88" t="s">
        <v>7181</v>
      </c>
      <c r="C588" s="88" t="s">
        <v>7181</v>
      </c>
      <c r="D588" s="89" t="s">
        <v>473</v>
      </c>
      <c r="E588" s="181"/>
      <c r="F588" s="181"/>
      <c r="G588" s="183"/>
      <c r="H588" s="181"/>
      <c r="I588" s="181"/>
      <c r="J588" s="181"/>
      <c r="K588" s="181" t="str">
        <f t="shared" si="12"/>
        <v>GEOL_RNQ|quartzose</v>
      </c>
      <c r="L588" s="181"/>
    </row>
    <row r="589" spans="1:12" hidden="1" x14ac:dyDescent="0.35">
      <c r="A589" s="88" t="s">
        <v>2903</v>
      </c>
      <c r="B589" s="88" t="s">
        <v>7182</v>
      </c>
      <c r="C589" s="89" t="s">
        <v>7182</v>
      </c>
      <c r="D589" s="89" t="s">
        <v>473</v>
      </c>
      <c r="E589" s="181"/>
      <c r="F589" s="181"/>
      <c r="G589" s="183"/>
      <c r="H589" s="181"/>
      <c r="I589" s="181"/>
      <c r="J589" s="181"/>
      <c r="K589" s="181" t="str">
        <f t="shared" si="12"/>
        <v>GEOL_RNQ|sandy</v>
      </c>
      <c r="L589" s="181"/>
    </row>
    <row r="590" spans="1:12" hidden="1" x14ac:dyDescent="0.35">
      <c r="A590" s="88" t="s">
        <v>2903</v>
      </c>
      <c r="B590" s="88" t="s">
        <v>7183</v>
      </c>
      <c r="C590" s="89" t="s">
        <v>7183</v>
      </c>
      <c r="D590" s="89" t="s">
        <v>473</v>
      </c>
      <c r="E590" s="181"/>
      <c r="F590" s="181"/>
      <c r="G590" s="183"/>
      <c r="H590" s="181"/>
      <c r="I590" s="181"/>
      <c r="J590" s="181"/>
      <c r="K590" s="181" t="str">
        <f t="shared" si="12"/>
        <v>GEOL_RNQ|siliceous</v>
      </c>
      <c r="L590" s="181"/>
    </row>
    <row r="591" spans="1:12" hidden="1" x14ac:dyDescent="0.35">
      <c r="A591" s="88" t="s">
        <v>2903</v>
      </c>
      <c r="B591" s="88" t="s">
        <v>7184</v>
      </c>
      <c r="C591" s="89" t="s">
        <v>7184</v>
      </c>
      <c r="D591" s="89" t="s">
        <v>473</v>
      </c>
      <c r="E591" s="181"/>
      <c r="F591" s="181"/>
      <c r="G591" s="183"/>
      <c r="H591" s="181"/>
      <c r="I591" s="181"/>
      <c r="J591" s="181"/>
      <c r="K591" s="181" t="str">
        <f t="shared" si="12"/>
        <v>GEOL_RNQ|siliceous detrital</v>
      </c>
      <c r="L591" s="181"/>
    </row>
    <row r="592" spans="1:12" hidden="1" x14ac:dyDescent="0.35">
      <c r="A592" s="88" t="s">
        <v>2903</v>
      </c>
      <c r="B592" s="88" t="s">
        <v>7185</v>
      </c>
      <c r="C592" s="89" t="s">
        <v>7185</v>
      </c>
      <c r="D592" s="89" t="s">
        <v>473</v>
      </c>
      <c r="E592" s="181"/>
      <c r="F592" s="181"/>
      <c r="G592" s="183"/>
      <c r="H592" s="181"/>
      <c r="I592" s="181"/>
      <c r="J592" s="181"/>
      <c r="K592" s="181" t="str">
        <f t="shared" si="12"/>
        <v>GEOL_RNQ|silty</v>
      </c>
      <c r="L592" s="181"/>
    </row>
    <row r="593" spans="1:12" hidden="1" x14ac:dyDescent="0.35">
      <c r="A593" s="88" t="s">
        <v>2903</v>
      </c>
      <c r="B593" s="88" t="s">
        <v>7186</v>
      </c>
      <c r="C593" s="89" t="s">
        <v>7186</v>
      </c>
      <c r="D593" s="89" t="s">
        <v>473</v>
      </c>
      <c r="E593" s="181"/>
      <c r="F593" s="181"/>
      <c r="G593" s="183"/>
      <c r="H593" s="181"/>
      <c r="I593" s="181"/>
      <c r="J593" s="181"/>
      <c r="K593" s="181" t="str">
        <f t="shared" si="12"/>
        <v>GEOL_RNQ|tuffaceous</v>
      </c>
      <c r="L593" s="181"/>
    </row>
    <row r="594" spans="1:12" hidden="1" x14ac:dyDescent="0.35">
      <c r="A594" s="88" t="s">
        <v>2898</v>
      </c>
      <c r="B594" s="88" t="s">
        <v>7187</v>
      </c>
      <c r="C594" s="89" t="s">
        <v>7188</v>
      </c>
      <c r="D594" s="89" t="s">
        <v>473</v>
      </c>
      <c r="E594" s="181"/>
      <c r="F594" s="181"/>
      <c r="G594" s="183"/>
      <c r="H594" s="181"/>
      <c r="I594" s="181"/>
      <c r="J594" s="181"/>
      <c r="K594" s="181" t="str">
        <f t="shared" si="12"/>
        <v>GEOL_SCL|CH</v>
      </c>
      <c r="L594" s="181"/>
    </row>
    <row r="595" spans="1:12" hidden="1" x14ac:dyDescent="0.35">
      <c r="A595" s="88" t="s">
        <v>2898</v>
      </c>
      <c r="B595" s="88" t="s">
        <v>7189</v>
      </c>
      <c r="C595" s="89" t="s">
        <v>7190</v>
      </c>
      <c r="D595" s="89" t="s">
        <v>473</v>
      </c>
      <c r="E595" s="181"/>
      <c r="F595" s="181"/>
      <c r="G595" s="183"/>
      <c r="H595" s="181"/>
      <c r="I595" s="181"/>
      <c r="J595" s="181"/>
      <c r="K595" s="181" t="str">
        <f t="shared" si="12"/>
        <v>GEOL_SCL|CH-MH</v>
      </c>
      <c r="L595" s="181"/>
    </row>
    <row r="596" spans="1:12" hidden="1" x14ac:dyDescent="0.35">
      <c r="A596" s="88" t="s">
        <v>2898</v>
      </c>
      <c r="B596" s="88" t="s">
        <v>7191</v>
      </c>
      <c r="C596" s="89" t="s">
        <v>7192</v>
      </c>
      <c r="D596" s="89" t="s">
        <v>473</v>
      </c>
      <c r="E596" s="181"/>
      <c r="F596" s="181"/>
      <c r="G596" s="183"/>
      <c r="H596" s="181"/>
      <c r="I596" s="181"/>
      <c r="J596" s="181"/>
      <c r="K596" s="181" t="str">
        <f t="shared" si="12"/>
        <v>GEOL_SCL|CH-OH</v>
      </c>
      <c r="L596" s="181"/>
    </row>
    <row r="597" spans="1:12" hidden="1" x14ac:dyDescent="0.35">
      <c r="A597" s="88" t="s">
        <v>2898</v>
      </c>
      <c r="B597" s="88" t="s">
        <v>681</v>
      </c>
      <c r="C597" s="89" t="s">
        <v>7193</v>
      </c>
      <c r="D597" s="89" t="s">
        <v>473</v>
      </c>
      <c r="E597" s="181"/>
      <c r="F597" s="181"/>
      <c r="G597" s="183"/>
      <c r="H597" s="181"/>
      <c r="I597" s="181"/>
      <c r="J597" s="181"/>
      <c r="K597" s="181" t="str">
        <f t="shared" si="12"/>
        <v>GEOL_SCL|CI</v>
      </c>
      <c r="L597" s="181"/>
    </row>
    <row r="598" spans="1:12" hidden="1" x14ac:dyDescent="0.35">
      <c r="A598" s="88" t="s">
        <v>2898</v>
      </c>
      <c r="B598" s="88" t="s">
        <v>7194</v>
      </c>
      <c r="C598" s="89" t="s">
        <v>7195</v>
      </c>
      <c r="D598" s="89" t="s">
        <v>473</v>
      </c>
      <c r="E598" s="181"/>
      <c r="F598" s="181"/>
      <c r="G598" s="183"/>
      <c r="H598" s="181"/>
      <c r="I598" s="181"/>
      <c r="J598" s="181"/>
      <c r="K598" s="181" t="str">
        <f t="shared" si="12"/>
        <v>GEOL_SCL|CI-CH</v>
      </c>
      <c r="L598" s="181"/>
    </row>
    <row r="599" spans="1:12" hidden="1" x14ac:dyDescent="0.35">
      <c r="A599" s="88" t="s">
        <v>2898</v>
      </c>
      <c r="B599" s="88" t="s">
        <v>7196</v>
      </c>
      <c r="C599" s="89" t="s">
        <v>7197</v>
      </c>
      <c r="D599" s="89" t="s">
        <v>473</v>
      </c>
      <c r="E599" s="181"/>
      <c r="F599" s="181"/>
      <c r="G599" s="183"/>
      <c r="H599" s="181"/>
      <c r="I599" s="181"/>
      <c r="J599" s="181"/>
      <c r="K599" s="181" t="str">
        <f t="shared" si="12"/>
        <v>GEOL_SCL|CI-ML</v>
      </c>
      <c r="L599" s="181"/>
    </row>
    <row r="600" spans="1:12" hidden="1" x14ac:dyDescent="0.35">
      <c r="A600" s="88" t="s">
        <v>2898</v>
      </c>
      <c r="B600" s="88" t="s">
        <v>7198</v>
      </c>
      <c r="C600" s="89" t="s">
        <v>7199</v>
      </c>
      <c r="D600" s="89" t="s">
        <v>473</v>
      </c>
      <c r="E600" s="181"/>
      <c r="F600" s="181"/>
      <c r="G600" s="183"/>
      <c r="H600" s="181"/>
      <c r="I600" s="181"/>
      <c r="J600" s="181"/>
      <c r="K600" s="181" t="str">
        <f t="shared" si="12"/>
        <v>GEOL_SCL|CI-OL</v>
      </c>
      <c r="L600" s="181"/>
    </row>
    <row r="601" spans="1:12" hidden="1" x14ac:dyDescent="0.35">
      <c r="A601" s="88" t="s">
        <v>2898</v>
      </c>
      <c r="B601" s="88" t="s">
        <v>6724</v>
      </c>
      <c r="C601" s="89" t="s">
        <v>7200</v>
      </c>
      <c r="D601" s="89" t="s">
        <v>473</v>
      </c>
      <c r="E601" s="181"/>
      <c r="F601" s="181"/>
      <c r="G601" s="183"/>
      <c r="H601" s="181"/>
      <c r="I601" s="181"/>
      <c r="J601" s="181"/>
      <c r="K601" s="181" t="str">
        <f t="shared" si="12"/>
        <v>GEOL_SCL|CL</v>
      </c>
      <c r="L601" s="181"/>
    </row>
    <row r="602" spans="1:12" hidden="1" x14ac:dyDescent="0.35">
      <c r="A602" s="88" t="s">
        <v>2898</v>
      </c>
      <c r="B602" s="88" t="s">
        <v>7201</v>
      </c>
      <c r="C602" s="89" t="s">
        <v>7202</v>
      </c>
      <c r="D602" s="89" t="s">
        <v>473</v>
      </c>
      <c r="E602" s="181"/>
      <c r="F602" s="181"/>
      <c r="G602" s="183"/>
      <c r="H602" s="181"/>
      <c r="I602" s="181"/>
      <c r="J602" s="181"/>
      <c r="K602" s="181" t="str">
        <f t="shared" si="12"/>
        <v>GEOL_SCL|CL-CI</v>
      </c>
      <c r="L602" s="181"/>
    </row>
    <row r="603" spans="1:12" hidden="1" x14ac:dyDescent="0.35">
      <c r="A603" s="88" t="s">
        <v>2898</v>
      </c>
      <c r="B603" s="88" t="s">
        <v>7203</v>
      </c>
      <c r="C603" s="89" t="s">
        <v>7204</v>
      </c>
      <c r="D603" s="89" t="s">
        <v>473</v>
      </c>
      <c r="E603" s="181"/>
      <c r="F603" s="181"/>
      <c r="G603" s="183"/>
      <c r="H603" s="181"/>
      <c r="I603" s="181"/>
      <c r="J603" s="181"/>
      <c r="K603" s="181" t="str">
        <f t="shared" si="12"/>
        <v>GEOL_SCL|CL-ML</v>
      </c>
      <c r="L603" s="181"/>
    </row>
    <row r="604" spans="1:12" hidden="1" x14ac:dyDescent="0.35">
      <c r="A604" s="88" t="s">
        <v>2898</v>
      </c>
      <c r="B604" s="88" t="s">
        <v>7205</v>
      </c>
      <c r="C604" s="89" t="s">
        <v>7206</v>
      </c>
      <c r="D604" s="89" t="s">
        <v>473</v>
      </c>
      <c r="E604" s="181"/>
      <c r="F604" s="181"/>
      <c r="G604" s="183"/>
      <c r="H604" s="181"/>
      <c r="I604" s="181"/>
      <c r="J604" s="181"/>
      <c r="K604" s="181" t="str">
        <f t="shared" si="12"/>
        <v>GEOL_SCL|CL-OL</v>
      </c>
      <c r="L604" s="181"/>
    </row>
    <row r="605" spans="1:12" hidden="1" x14ac:dyDescent="0.35">
      <c r="A605" s="88" t="s">
        <v>2898</v>
      </c>
      <c r="B605" s="88" t="s">
        <v>7207</v>
      </c>
      <c r="C605" s="89" t="s">
        <v>6876</v>
      </c>
      <c r="D605" s="89" t="s">
        <v>473</v>
      </c>
      <c r="E605" s="181"/>
      <c r="F605" s="181"/>
      <c r="G605" s="183"/>
      <c r="H605" s="181"/>
      <c r="I605" s="181"/>
      <c r="J605" s="181"/>
      <c r="K605" s="181" t="str">
        <f t="shared" si="12"/>
        <v>GEOL_SCL|GC</v>
      </c>
      <c r="L605" s="181"/>
    </row>
    <row r="606" spans="1:12" hidden="1" x14ac:dyDescent="0.35">
      <c r="A606" s="88" t="s">
        <v>2898</v>
      </c>
      <c r="B606" s="88" t="s">
        <v>7208</v>
      </c>
      <c r="C606" s="89" t="s">
        <v>7209</v>
      </c>
      <c r="D606" s="89" t="s">
        <v>473</v>
      </c>
      <c r="E606" s="181"/>
      <c r="F606" s="181"/>
      <c r="G606" s="183"/>
      <c r="H606" s="181"/>
      <c r="I606" s="181"/>
      <c r="J606" s="181"/>
      <c r="K606" s="181" t="str">
        <f t="shared" si="12"/>
        <v>GEOL_SCL|GC-GM</v>
      </c>
      <c r="L606" s="181"/>
    </row>
    <row r="607" spans="1:12" hidden="1" x14ac:dyDescent="0.35">
      <c r="A607" s="88" t="s">
        <v>2898</v>
      </c>
      <c r="B607" s="88" t="s">
        <v>7210</v>
      </c>
      <c r="C607" s="89" t="s">
        <v>6877</v>
      </c>
      <c r="D607" s="89" t="s">
        <v>473</v>
      </c>
      <c r="E607" s="181"/>
      <c r="F607" s="181"/>
      <c r="G607" s="183"/>
      <c r="H607" s="181"/>
      <c r="I607" s="181"/>
      <c r="J607" s="181"/>
      <c r="K607" s="181" t="str">
        <f t="shared" si="12"/>
        <v>GEOL_SCL|GM</v>
      </c>
      <c r="L607" s="181"/>
    </row>
    <row r="608" spans="1:12" hidden="1" x14ac:dyDescent="0.35">
      <c r="A608" s="88" t="s">
        <v>2898</v>
      </c>
      <c r="B608" s="88" t="s">
        <v>7211</v>
      </c>
      <c r="C608" s="89" t="s">
        <v>7212</v>
      </c>
      <c r="D608" s="89" t="s">
        <v>473</v>
      </c>
      <c r="E608" s="181"/>
      <c r="F608" s="181"/>
      <c r="G608" s="183"/>
      <c r="H608" s="181"/>
      <c r="I608" s="181"/>
      <c r="J608" s="181"/>
      <c r="K608" s="181" t="str">
        <f t="shared" si="12"/>
        <v>GEOL_SCL|GP</v>
      </c>
      <c r="L608" s="181"/>
    </row>
    <row r="609" spans="1:12" hidden="1" x14ac:dyDescent="0.35">
      <c r="A609" s="88" t="s">
        <v>2898</v>
      </c>
      <c r="B609" s="88" t="s">
        <v>7213</v>
      </c>
      <c r="C609" s="89" t="s">
        <v>7214</v>
      </c>
      <c r="D609" s="89" t="s">
        <v>473</v>
      </c>
      <c r="E609" s="181"/>
      <c r="F609" s="181"/>
      <c r="G609" s="183"/>
      <c r="H609" s="181"/>
      <c r="I609" s="181"/>
      <c r="J609" s="181"/>
      <c r="K609" s="181" t="str">
        <f t="shared" si="12"/>
        <v>GEOL_SCL|GP-GC</v>
      </c>
      <c r="L609" s="181"/>
    </row>
    <row r="610" spans="1:12" hidden="1" x14ac:dyDescent="0.35">
      <c r="A610" s="88" t="s">
        <v>2898</v>
      </c>
      <c r="B610" s="88" t="s">
        <v>7215</v>
      </c>
      <c r="C610" s="89" t="s">
        <v>7216</v>
      </c>
      <c r="D610" s="89" t="s">
        <v>473</v>
      </c>
      <c r="E610" s="181"/>
      <c r="F610" s="181"/>
      <c r="G610" s="183"/>
      <c r="H610" s="181"/>
      <c r="I610" s="181"/>
      <c r="J610" s="181"/>
      <c r="K610" s="181" t="str">
        <f t="shared" si="12"/>
        <v>GEOL_SCL|GP-GM</v>
      </c>
      <c r="L610" s="181"/>
    </row>
    <row r="611" spans="1:12" hidden="1" x14ac:dyDescent="0.35">
      <c r="A611" s="88" t="s">
        <v>2898</v>
      </c>
      <c r="B611" s="88" t="s">
        <v>680</v>
      </c>
      <c r="C611" s="89" t="s">
        <v>7217</v>
      </c>
      <c r="D611" s="89" t="s">
        <v>473</v>
      </c>
      <c r="E611" s="181"/>
      <c r="F611" s="181"/>
      <c r="G611" s="183"/>
      <c r="H611" s="181"/>
      <c r="I611" s="181"/>
      <c r="J611" s="181"/>
      <c r="K611" s="181" t="str">
        <f t="shared" si="12"/>
        <v>GEOL_SCL|GW</v>
      </c>
      <c r="L611" s="181"/>
    </row>
    <row r="612" spans="1:12" hidden="1" x14ac:dyDescent="0.35">
      <c r="A612" s="88" t="s">
        <v>2898</v>
      </c>
      <c r="B612" s="88" t="s">
        <v>7218</v>
      </c>
      <c r="C612" s="89" t="s">
        <v>7219</v>
      </c>
      <c r="D612" s="89" t="s">
        <v>473</v>
      </c>
      <c r="E612" s="181"/>
      <c r="F612" s="181"/>
      <c r="G612" s="183"/>
      <c r="H612" s="181"/>
      <c r="I612" s="181"/>
      <c r="J612" s="181"/>
      <c r="K612" s="181" t="str">
        <f t="shared" si="12"/>
        <v>GEOL_SCL|GW-GC</v>
      </c>
      <c r="L612" s="181"/>
    </row>
    <row r="613" spans="1:12" hidden="1" x14ac:dyDescent="0.35">
      <c r="A613" s="88" t="s">
        <v>2898</v>
      </c>
      <c r="B613" s="88" t="s">
        <v>7220</v>
      </c>
      <c r="C613" s="89" t="s">
        <v>7221</v>
      </c>
      <c r="D613" s="89" t="s">
        <v>473</v>
      </c>
      <c r="E613" s="181"/>
      <c r="F613" s="181"/>
      <c r="G613" s="183"/>
      <c r="H613" s="181"/>
      <c r="I613" s="181"/>
      <c r="J613" s="181"/>
      <c r="K613" s="181" t="str">
        <f t="shared" si="12"/>
        <v>GEOL_SCL|GW-GM</v>
      </c>
      <c r="L613" s="181"/>
    </row>
    <row r="614" spans="1:12" hidden="1" x14ac:dyDescent="0.35">
      <c r="A614" s="88" t="s">
        <v>2898</v>
      </c>
      <c r="B614" s="88" t="s">
        <v>7222</v>
      </c>
      <c r="C614" s="89" t="s">
        <v>7223</v>
      </c>
      <c r="D614" s="89" t="s">
        <v>473</v>
      </c>
      <c r="E614" s="181"/>
      <c r="F614" s="181"/>
      <c r="G614" s="183"/>
      <c r="H614" s="181"/>
      <c r="I614" s="181"/>
      <c r="J614" s="181"/>
      <c r="K614" s="181" t="str">
        <f t="shared" si="12"/>
        <v>GEOL_SCL|MH</v>
      </c>
      <c r="L614" s="181"/>
    </row>
    <row r="615" spans="1:12" hidden="1" x14ac:dyDescent="0.35">
      <c r="A615" s="88" t="s">
        <v>2898</v>
      </c>
      <c r="B615" s="88" t="s">
        <v>7224</v>
      </c>
      <c r="C615" s="89" t="s">
        <v>7225</v>
      </c>
      <c r="D615" s="89" t="s">
        <v>473</v>
      </c>
      <c r="E615" s="181"/>
      <c r="F615" s="181"/>
      <c r="G615" s="183"/>
      <c r="H615" s="181"/>
      <c r="I615" s="181"/>
      <c r="J615" s="181"/>
      <c r="K615" s="181" t="str">
        <f t="shared" si="12"/>
        <v>GEOL_SCL|MH-OH</v>
      </c>
      <c r="L615" s="181"/>
    </row>
    <row r="616" spans="1:12" hidden="1" x14ac:dyDescent="0.35">
      <c r="A616" s="88" t="s">
        <v>2898</v>
      </c>
      <c r="B616" s="88" t="s">
        <v>7226</v>
      </c>
      <c r="C616" s="89" t="s">
        <v>7227</v>
      </c>
      <c r="D616" s="89" t="s">
        <v>473</v>
      </c>
      <c r="E616" s="181"/>
      <c r="F616" s="181"/>
      <c r="G616" s="183"/>
      <c r="H616" s="181"/>
      <c r="I616" s="181"/>
      <c r="J616" s="181"/>
      <c r="K616" s="181" t="str">
        <f t="shared" si="12"/>
        <v>GEOL_SCL|ML</v>
      </c>
      <c r="L616" s="181"/>
    </row>
    <row r="617" spans="1:12" hidden="1" x14ac:dyDescent="0.35">
      <c r="A617" s="88" t="s">
        <v>2898</v>
      </c>
      <c r="B617" s="88" t="s">
        <v>7228</v>
      </c>
      <c r="C617" s="89" t="s">
        <v>7229</v>
      </c>
      <c r="D617" s="89" t="s">
        <v>473</v>
      </c>
      <c r="E617" s="181"/>
      <c r="F617" s="181"/>
      <c r="G617" s="183"/>
      <c r="H617" s="181"/>
      <c r="I617" s="181"/>
      <c r="J617" s="181"/>
      <c r="K617" s="181" t="str">
        <f t="shared" si="12"/>
        <v>GEOL_SCL|ML-OL</v>
      </c>
      <c r="L617" s="181"/>
    </row>
    <row r="618" spans="1:12" hidden="1" x14ac:dyDescent="0.35">
      <c r="A618" s="88" t="s">
        <v>2898</v>
      </c>
      <c r="B618" s="88" t="s">
        <v>6405</v>
      </c>
      <c r="C618" s="89" t="s">
        <v>7230</v>
      </c>
      <c r="D618" s="89" t="s">
        <v>473</v>
      </c>
      <c r="E618" s="181"/>
      <c r="F618" s="181"/>
      <c r="G618" s="183"/>
      <c r="H618" s="181"/>
      <c r="I618" s="181"/>
      <c r="J618" s="181"/>
      <c r="K618" s="181" t="str">
        <f t="shared" si="12"/>
        <v>GEOL_SCL|OH</v>
      </c>
      <c r="L618" s="181"/>
    </row>
    <row r="619" spans="1:12" hidden="1" x14ac:dyDescent="0.35">
      <c r="A619" s="88" t="s">
        <v>2898</v>
      </c>
      <c r="B619" s="88" t="s">
        <v>7231</v>
      </c>
      <c r="C619" s="89" t="s">
        <v>7232</v>
      </c>
      <c r="D619" s="89" t="s">
        <v>473</v>
      </c>
      <c r="E619" s="181"/>
      <c r="F619" s="181"/>
      <c r="G619" s="183"/>
      <c r="H619" s="181"/>
      <c r="I619" s="181"/>
      <c r="J619" s="181"/>
      <c r="K619" s="181" t="str">
        <f t="shared" si="12"/>
        <v>GEOL_SCL|OL</v>
      </c>
      <c r="L619" s="181"/>
    </row>
    <row r="620" spans="1:12" hidden="1" x14ac:dyDescent="0.35">
      <c r="A620" s="88" t="s">
        <v>2898</v>
      </c>
      <c r="B620" s="88" t="s">
        <v>7233</v>
      </c>
      <c r="C620" s="89" t="s">
        <v>6897</v>
      </c>
      <c r="D620" s="89" t="s">
        <v>473</v>
      </c>
      <c r="E620" s="181"/>
      <c r="F620" s="181"/>
      <c r="G620" s="183"/>
      <c r="H620" s="181"/>
      <c r="I620" s="181"/>
      <c r="J620" s="181"/>
      <c r="K620" s="181" t="str">
        <f t="shared" si="12"/>
        <v>GEOL_SCL|Pt</v>
      </c>
      <c r="L620" s="181"/>
    </row>
    <row r="621" spans="1:12" hidden="1" x14ac:dyDescent="0.35">
      <c r="A621" s="88" t="s">
        <v>2898</v>
      </c>
      <c r="B621" s="88" t="s">
        <v>6590</v>
      </c>
      <c r="C621" s="89" t="s">
        <v>6591</v>
      </c>
      <c r="D621" s="89" t="s">
        <v>473</v>
      </c>
      <c r="E621" s="181"/>
      <c r="F621" s="181"/>
      <c r="G621" s="183"/>
      <c r="H621" s="181"/>
      <c r="I621" s="181"/>
      <c r="J621" s="181"/>
      <c r="K621" s="181" t="str">
        <f t="shared" si="12"/>
        <v>GEOL_SCL|SC</v>
      </c>
      <c r="L621" s="181"/>
    </row>
    <row r="622" spans="1:12" hidden="1" x14ac:dyDescent="0.35">
      <c r="A622" s="88" t="s">
        <v>2898</v>
      </c>
      <c r="B622" s="88" t="s">
        <v>7234</v>
      </c>
      <c r="C622" s="89" t="s">
        <v>7235</v>
      </c>
      <c r="D622" s="89" t="s">
        <v>473</v>
      </c>
      <c r="E622" s="181"/>
      <c r="F622" s="181"/>
      <c r="G622" s="183"/>
      <c r="H622" s="181"/>
      <c r="I622" s="181"/>
      <c r="J622" s="181"/>
      <c r="K622" s="181" t="str">
        <f t="shared" si="12"/>
        <v>GEOL_SCL|SC-SM</v>
      </c>
      <c r="L622" s="181"/>
    </row>
    <row r="623" spans="1:12" hidden="1" x14ac:dyDescent="0.35">
      <c r="A623" s="88" t="s">
        <v>2898</v>
      </c>
      <c r="B623" s="88" t="s">
        <v>2036</v>
      </c>
      <c r="C623" s="89" t="s">
        <v>6592</v>
      </c>
      <c r="D623" s="89" t="s">
        <v>473</v>
      </c>
      <c r="E623" s="181"/>
      <c r="F623" s="181"/>
      <c r="G623" s="183"/>
      <c r="H623" s="181"/>
      <c r="I623" s="181"/>
      <c r="J623" s="181"/>
      <c r="K623" s="181" t="str">
        <f t="shared" si="12"/>
        <v>GEOL_SCL|SM</v>
      </c>
      <c r="L623" s="181"/>
    </row>
    <row r="624" spans="1:12" hidden="1" x14ac:dyDescent="0.35">
      <c r="A624" s="88" t="s">
        <v>2898</v>
      </c>
      <c r="B624" s="88" t="s">
        <v>682</v>
      </c>
      <c r="C624" s="89" t="s">
        <v>7236</v>
      </c>
      <c r="D624" s="89" t="s">
        <v>473</v>
      </c>
      <c r="E624" s="181"/>
      <c r="F624" s="181"/>
      <c r="G624" s="183"/>
      <c r="H624" s="181"/>
      <c r="I624" s="181"/>
      <c r="J624" s="181"/>
      <c r="K624" s="181" t="str">
        <f t="shared" si="12"/>
        <v>GEOL_SCL|SP</v>
      </c>
      <c r="L624" s="181"/>
    </row>
    <row r="625" spans="1:12" hidden="1" x14ac:dyDescent="0.35">
      <c r="A625" s="88" t="s">
        <v>2898</v>
      </c>
      <c r="B625" s="88" t="s">
        <v>7237</v>
      </c>
      <c r="C625" s="89" t="s">
        <v>7238</v>
      </c>
      <c r="D625" s="89" t="s">
        <v>473</v>
      </c>
      <c r="E625" s="181"/>
      <c r="F625" s="181"/>
      <c r="G625" s="183"/>
      <c r="H625" s="181"/>
      <c r="I625" s="181"/>
      <c r="J625" s="181"/>
      <c r="K625" s="181" t="str">
        <f t="shared" si="12"/>
        <v>GEOL_SCL|SP-SC</v>
      </c>
      <c r="L625" s="181"/>
    </row>
    <row r="626" spans="1:12" hidden="1" x14ac:dyDescent="0.35">
      <c r="A626" s="88" t="s">
        <v>2898</v>
      </c>
      <c r="B626" s="88" t="s">
        <v>7239</v>
      </c>
      <c r="C626" s="89" t="s">
        <v>7240</v>
      </c>
      <c r="D626" s="89" t="s">
        <v>473</v>
      </c>
      <c r="E626" s="181"/>
      <c r="F626" s="181"/>
      <c r="G626" s="183"/>
      <c r="H626" s="181"/>
      <c r="I626" s="181"/>
      <c r="J626" s="181"/>
      <c r="K626" s="181" t="str">
        <f t="shared" si="12"/>
        <v>GEOL_SCL|SP-SM</v>
      </c>
      <c r="L626" s="181"/>
    </row>
    <row r="627" spans="1:12" hidden="1" x14ac:dyDescent="0.35">
      <c r="A627" s="88" t="s">
        <v>2898</v>
      </c>
      <c r="B627" s="88" t="s">
        <v>6350</v>
      </c>
      <c r="C627" s="89" t="s">
        <v>7241</v>
      </c>
      <c r="D627" s="89" t="s">
        <v>473</v>
      </c>
      <c r="E627" s="181"/>
      <c r="F627" s="181"/>
      <c r="G627" s="183"/>
      <c r="H627" s="181"/>
      <c r="I627" s="181"/>
      <c r="J627" s="181"/>
      <c r="K627" s="181" t="str">
        <f t="shared" si="12"/>
        <v>GEOL_SCL|SW</v>
      </c>
      <c r="L627" s="181"/>
    </row>
    <row r="628" spans="1:12" hidden="1" x14ac:dyDescent="0.35">
      <c r="A628" s="88" t="s">
        <v>2898</v>
      </c>
      <c r="B628" s="88" t="s">
        <v>7242</v>
      </c>
      <c r="C628" s="89" t="s">
        <v>7243</v>
      </c>
      <c r="D628" s="89" t="s">
        <v>473</v>
      </c>
      <c r="E628" s="181"/>
      <c r="F628" s="181"/>
      <c r="G628" s="183"/>
      <c r="H628" s="181"/>
      <c r="I628" s="181"/>
      <c r="J628" s="181"/>
      <c r="K628" s="181" t="str">
        <f t="shared" si="12"/>
        <v>GEOL_SCL|SW-SC</v>
      </c>
      <c r="L628" s="181"/>
    </row>
    <row r="629" spans="1:12" hidden="1" x14ac:dyDescent="0.35">
      <c r="A629" s="88" t="s">
        <v>2898</v>
      </c>
      <c r="B629" s="88" t="s">
        <v>7244</v>
      </c>
      <c r="C629" s="89" t="s">
        <v>7245</v>
      </c>
      <c r="D629" s="89" t="s">
        <v>473</v>
      </c>
      <c r="E629" s="181"/>
      <c r="F629" s="181"/>
      <c r="G629" s="183"/>
      <c r="H629" s="181"/>
      <c r="I629" s="181"/>
      <c r="J629" s="181"/>
      <c r="K629" s="181" t="str">
        <f t="shared" si="12"/>
        <v>GEOL_SCL|SW-SM</v>
      </c>
      <c r="L629" s="181"/>
    </row>
    <row r="630" spans="1:12" hidden="1" x14ac:dyDescent="0.35">
      <c r="A630" s="88" t="s">
        <v>2907</v>
      </c>
      <c r="B630" s="88" t="s">
        <v>731</v>
      </c>
      <c r="C630" s="89" t="s">
        <v>731</v>
      </c>
      <c r="D630" s="89" t="s">
        <v>473</v>
      </c>
      <c r="E630" s="181"/>
      <c r="F630" s="181"/>
      <c r="G630" s="183"/>
      <c r="H630" s="181"/>
      <c r="I630" s="181"/>
      <c r="J630" s="181"/>
      <c r="K630" s="181" t="str">
        <f t="shared" si="12"/>
        <v>GEOL_SH|angular</v>
      </c>
      <c r="L630" s="181"/>
    </row>
    <row r="631" spans="1:12" hidden="1" x14ac:dyDescent="0.35">
      <c r="A631" s="88" t="s">
        <v>2907</v>
      </c>
      <c r="B631" s="88" t="s">
        <v>7246</v>
      </c>
      <c r="C631" s="89" t="s">
        <v>7246</v>
      </c>
      <c r="D631" s="89" t="s">
        <v>473</v>
      </c>
      <c r="E631" s="181"/>
      <c r="F631" s="181"/>
      <c r="G631" s="183"/>
      <c r="H631" s="181"/>
      <c r="I631" s="181"/>
      <c r="J631" s="181"/>
      <c r="K631" s="181" t="str">
        <f t="shared" si="12"/>
        <v>GEOL_SH|elongated</v>
      </c>
      <c r="L631" s="181"/>
    </row>
    <row r="632" spans="1:12" hidden="1" x14ac:dyDescent="0.35">
      <c r="A632" s="88" t="s">
        <v>2907</v>
      </c>
      <c r="B632" s="88" t="s">
        <v>7247</v>
      </c>
      <c r="C632" s="89" t="s">
        <v>7247</v>
      </c>
      <c r="D632" s="89" t="s">
        <v>473</v>
      </c>
      <c r="E632" s="181"/>
      <c r="F632" s="181"/>
      <c r="G632" s="183"/>
      <c r="H632" s="181"/>
      <c r="I632" s="181"/>
      <c r="J632" s="181"/>
      <c r="K632" s="181" t="str">
        <f t="shared" si="12"/>
        <v>GEOL_SH|platy</v>
      </c>
      <c r="L632" s="181"/>
    </row>
    <row r="633" spans="1:12" hidden="1" x14ac:dyDescent="0.35">
      <c r="A633" s="88" t="s">
        <v>2907</v>
      </c>
      <c r="B633" s="88" t="s">
        <v>7249</v>
      </c>
      <c r="C633" s="89" t="s">
        <v>7249</v>
      </c>
      <c r="D633" s="89" t="s">
        <v>473</v>
      </c>
      <c r="E633" s="181"/>
      <c r="F633" s="181"/>
      <c r="G633" s="183"/>
      <c r="H633" s="181"/>
      <c r="I633" s="181"/>
      <c r="J633" s="181"/>
      <c r="K633" s="181" t="str">
        <f t="shared" si="12"/>
        <v>GEOL_SH|rounded</v>
      </c>
      <c r="L633" s="181"/>
    </row>
    <row r="634" spans="1:12" hidden="1" x14ac:dyDescent="0.35">
      <c r="A634" s="88" t="s">
        <v>2907</v>
      </c>
      <c r="B634" s="88" t="s">
        <v>7253</v>
      </c>
      <c r="C634" s="89" t="s">
        <v>7253</v>
      </c>
      <c r="D634" s="89" t="s">
        <v>473</v>
      </c>
      <c r="E634" s="181"/>
      <c r="F634" s="181"/>
      <c r="G634" s="183"/>
      <c r="H634" s="181"/>
      <c r="I634" s="181"/>
      <c r="J634" s="181"/>
      <c r="K634" s="181" t="str">
        <f t="shared" si="12"/>
        <v>GEOL_SH|sub-angular</v>
      </c>
      <c r="L634" s="181"/>
    </row>
    <row r="635" spans="1:12" hidden="1" x14ac:dyDescent="0.35">
      <c r="A635" s="88" t="s">
        <v>2907</v>
      </c>
      <c r="B635" s="88" t="s">
        <v>7255</v>
      </c>
      <c r="C635" s="89" t="s">
        <v>7255</v>
      </c>
      <c r="D635" s="89" t="s">
        <v>473</v>
      </c>
      <c r="E635" s="181"/>
      <c r="F635" s="181"/>
      <c r="G635" s="183"/>
      <c r="H635" s="181"/>
      <c r="I635" s="181"/>
      <c r="J635" s="181"/>
      <c r="K635" s="181" t="str">
        <f t="shared" si="12"/>
        <v>GEOL_SH|sub-rounded</v>
      </c>
      <c r="L635" s="181"/>
    </row>
    <row r="636" spans="1:12" hidden="1" x14ac:dyDescent="0.35">
      <c r="A636" s="88" t="s">
        <v>2908</v>
      </c>
      <c r="B636" s="88" t="s">
        <v>7257</v>
      </c>
      <c r="C636" s="89" t="s">
        <v>7258</v>
      </c>
      <c r="D636" s="89" t="s">
        <v>473</v>
      </c>
      <c r="E636" s="181"/>
      <c r="F636" s="181"/>
      <c r="G636" s="183"/>
      <c r="H636" s="181"/>
      <c r="I636" s="181"/>
      <c r="J636" s="181"/>
      <c r="K636" s="181" t="str">
        <f t="shared" ref="K636:K700" si="13">A636&amp;"|"&amp;B636</f>
        <v>GEOL_SL|high</v>
      </c>
      <c r="L636" s="181"/>
    </row>
    <row r="637" spans="1:12" hidden="1" x14ac:dyDescent="0.35">
      <c r="A637" s="88" t="s">
        <v>2908</v>
      </c>
      <c r="B637" s="88" t="s">
        <v>7259</v>
      </c>
      <c r="C637" s="89" t="s">
        <v>7260</v>
      </c>
      <c r="D637" s="89" t="s">
        <v>473</v>
      </c>
      <c r="E637" s="181"/>
      <c r="F637" s="181"/>
      <c r="G637" s="183"/>
      <c r="H637" s="181"/>
      <c r="I637" s="181"/>
      <c r="J637" s="181"/>
      <c r="K637" s="181" t="str">
        <f t="shared" si="13"/>
        <v>GEOL_SL|low</v>
      </c>
      <c r="L637" s="181"/>
    </row>
    <row r="638" spans="1:12" hidden="1" x14ac:dyDescent="0.35">
      <c r="A638" s="88" t="s">
        <v>2908</v>
      </c>
      <c r="B638" s="88" t="s">
        <v>734</v>
      </c>
      <c r="C638" s="88" t="s">
        <v>734</v>
      </c>
      <c r="D638" s="89" t="s">
        <v>473</v>
      </c>
      <c r="E638" s="181"/>
      <c r="F638" s="181"/>
      <c r="G638" s="183"/>
      <c r="H638" s="181"/>
      <c r="I638" s="181"/>
      <c r="J638" s="181"/>
      <c r="K638" s="181" t="str">
        <f t="shared" si="13"/>
        <v>GEOL_SL|low to medium</v>
      </c>
      <c r="L638" s="181"/>
    </row>
    <row r="639" spans="1:12" hidden="1" x14ac:dyDescent="0.35">
      <c r="A639" s="88" t="s">
        <v>2908</v>
      </c>
      <c r="B639" s="88" t="s">
        <v>715</v>
      </c>
      <c r="C639" s="89" t="s">
        <v>7261</v>
      </c>
      <c r="D639" s="89" t="s">
        <v>473</v>
      </c>
      <c r="E639" s="181"/>
      <c r="F639" s="181"/>
      <c r="G639" s="183"/>
      <c r="H639" s="181"/>
      <c r="I639" s="181"/>
      <c r="J639" s="181"/>
      <c r="K639" s="181" t="str">
        <f t="shared" si="13"/>
        <v>GEOL_SL|medium</v>
      </c>
      <c r="L639" s="181"/>
    </row>
    <row r="640" spans="1:12" hidden="1" x14ac:dyDescent="0.35">
      <c r="A640" s="88" t="s">
        <v>2908</v>
      </c>
      <c r="B640" s="88" t="s">
        <v>7262</v>
      </c>
      <c r="C640" s="88" t="s">
        <v>7262</v>
      </c>
      <c r="D640" s="89" t="s">
        <v>473</v>
      </c>
      <c r="E640" s="181"/>
      <c r="F640" s="181"/>
      <c r="G640" s="183"/>
      <c r="H640" s="181"/>
      <c r="I640" s="181"/>
      <c r="J640" s="181"/>
      <c r="K640" s="181" t="str">
        <f t="shared" si="13"/>
        <v>GEOL_SL|medium to high</v>
      </c>
      <c r="L640" s="181"/>
    </row>
    <row r="641" spans="1:12" hidden="1" x14ac:dyDescent="0.35">
      <c r="A641" s="88" t="s">
        <v>2908</v>
      </c>
      <c r="B641" s="88" t="s">
        <v>7263</v>
      </c>
      <c r="C641" s="89" t="s">
        <v>7263</v>
      </c>
      <c r="D641" s="89" t="s">
        <v>473</v>
      </c>
      <c r="E641" s="181"/>
      <c r="F641" s="181"/>
      <c r="G641" s="183"/>
      <c r="H641" s="181"/>
      <c r="I641" s="181"/>
      <c r="J641" s="181"/>
      <c r="K641" s="181" t="str">
        <f t="shared" si="13"/>
        <v>GEOL_SL|non</v>
      </c>
      <c r="L641" s="181"/>
    </row>
    <row r="642" spans="1:12" hidden="1" x14ac:dyDescent="0.35">
      <c r="A642" s="88" t="s">
        <v>2901</v>
      </c>
      <c r="B642" s="88" t="s">
        <v>7264</v>
      </c>
      <c r="C642" s="89" t="s">
        <v>7264</v>
      </c>
      <c r="D642" s="89" t="s">
        <v>473</v>
      </c>
      <c r="E642" s="181"/>
      <c r="F642" s="181"/>
      <c r="G642" s="183"/>
      <c r="H642" s="181"/>
      <c r="I642" s="181"/>
      <c r="J642" s="181"/>
      <c r="K642" s="181" t="str">
        <f t="shared" si="13"/>
        <v>GEOL_SN|asphalt</v>
      </c>
      <c r="L642" s="181"/>
    </row>
    <row r="643" spans="1:12" hidden="1" x14ac:dyDescent="0.35">
      <c r="A643" s="88" t="s">
        <v>2901</v>
      </c>
      <c r="B643" s="88" t="s">
        <v>7265</v>
      </c>
      <c r="C643" s="89" t="s">
        <v>7266</v>
      </c>
      <c r="D643" s="89" t="s">
        <v>473</v>
      </c>
      <c r="E643" s="181"/>
      <c r="F643" s="181"/>
      <c r="G643" s="183"/>
      <c r="H643" s="181"/>
      <c r="I643" s="181"/>
      <c r="J643" s="181"/>
      <c r="K643" s="181" t="str">
        <f t="shared" si="13"/>
        <v>GEOL_SN|boulders</v>
      </c>
      <c r="L643" s="181"/>
    </row>
    <row r="644" spans="1:12" hidden="1" x14ac:dyDescent="0.35">
      <c r="A644" s="88" t="s">
        <v>2901</v>
      </c>
      <c r="B644" s="88" t="s">
        <v>692</v>
      </c>
      <c r="C644" s="89" t="s">
        <v>7267</v>
      </c>
      <c r="D644" s="89" t="s">
        <v>473</v>
      </c>
      <c r="E644" s="181"/>
      <c r="F644" s="181"/>
      <c r="G644" s="183"/>
      <c r="H644" s="181"/>
      <c r="I644" s="181"/>
      <c r="J644" s="181"/>
      <c r="K644" s="181" t="str">
        <f t="shared" si="13"/>
        <v>GEOL_SN|clay</v>
      </c>
      <c r="L644" s="181"/>
    </row>
    <row r="645" spans="1:12" hidden="1" x14ac:dyDescent="0.35">
      <c r="A645" s="88" t="s">
        <v>2901</v>
      </c>
      <c r="B645" s="88" t="s">
        <v>7268</v>
      </c>
      <c r="C645" s="89" t="s">
        <v>7269</v>
      </c>
      <c r="D645" s="89" t="s">
        <v>473</v>
      </c>
      <c r="E645" s="181"/>
      <c r="F645" s="181"/>
      <c r="G645" s="183"/>
      <c r="H645" s="181"/>
      <c r="I645" s="181"/>
      <c r="J645" s="181"/>
      <c r="K645" s="181" t="str">
        <f t="shared" ref="K645" si="14">A645&amp;"|"&amp;B645</f>
        <v>GEOL_SN|cobbles</v>
      </c>
      <c r="L645" s="181"/>
    </row>
    <row r="646" spans="1:12" hidden="1" x14ac:dyDescent="0.35">
      <c r="A646" s="88" t="s">
        <v>2901</v>
      </c>
      <c r="B646" s="88" t="s">
        <v>7270</v>
      </c>
      <c r="C646" s="89" t="s">
        <v>7271</v>
      </c>
      <c r="D646" s="89" t="s">
        <v>473</v>
      </c>
      <c r="E646" s="181"/>
      <c r="F646" s="181"/>
      <c r="G646" s="183"/>
      <c r="H646" s="181"/>
      <c r="I646" s="181"/>
      <c r="J646" s="181"/>
      <c r="K646" s="181" t="str">
        <f t="shared" si="13"/>
        <v>GEOL_SN|cobbles/bounders</v>
      </c>
      <c r="L646" s="181"/>
    </row>
    <row r="647" spans="1:12" hidden="1" x14ac:dyDescent="0.35">
      <c r="A647" s="88" t="s">
        <v>2901</v>
      </c>
      <c r="B647" s="88" t="s">
        <v>7272</v>
      </c>
      <c r="C647" s="89" t="s">
        <v>7272</v>
      </c>
      <c r="D647" s="89" t="s">
        <v>473</v>
      </c>
      <c r="E647" s="181"/>
      <c r="F647" s="181"/>
      <c r="G647" s="183"/>
      <c r="H647" s="181"/>
      <c r="I647" s="181"/>
      <c r="J647" s="181"/>
      <c r="K647" s="181" t="str">
        <f t="shared" si="13"/>
        <v>GEOL_SN|concrete</v>
      </c>
      <c r="L647" s="181"/>
    </row>
    <row r="648" spans="1:12" hidden="1" x14ac:dyDescent="0.35">
      <c r="A648" s="88" t="s">
        <v>2901</v>
      </c>
      <c r="B648" s="88" t="s">
        <v>7273</v>
      </c>
      <c r="C648" s="89" t="s">
        <v>7273</v>
      </c>
      <c r="D648" s="89" t="s">
        <v>473</v>
      </c>
      <c r="E648" s="181"/>
      <c r="F648" s="181"/>
      <c r="G648" s="183"/>
      <c r="H648" s="181"/>
      <c r="I648" s="181"/>
      <c r="J648" s="181"/>
      <c r="K648" s="181" t="str">
        <f t="shared" si="13"/>
        <v>GEOL_SN|geotextile</v>
      </c>
      <c r="L648" s="181"/>
    </row>
    <row r="649" spans="1:12" hidden="1" x14ac:dyDescent="0.35">
      <c r="A649" s="88" t="s">
        <v>2901</v>
      </c>
      <c r="B649" s="88" t="s">
        <v>784</v>
      </c>
      <c r="C649" s="89" t="s">
        <v>7274</v>
      </c>
      <c r="D649" s="89" t="s">
        <v>473</v>
      </c>
      <c r="E649" s="181"/>
      <c r="F649" s="181"/>
      <c r="G649" s="183"/>
      <c r="H649" s="181"/>
      <c r="I649" s="181"/>
      <c r="J649" s="181"/>
      <c r="K649" s="181" t="str">
        <f t="shared" si="13"/>
        <v>GEOL_SN|gravel</v>
      </c>
      <c r="L649" s="181"/>
    </row>
    <row r="650" spans="1:12" hidden="1" x14ac:dyDescent="0.35">
      <c r="A650" s="88" t="s">
        <v>2901</v>
      </c>
      <c r="B650" s="88" t="s">
        <v>7275</v>
      </c>
      <c r="C650" s="89" t="s">
        <v>7275</v>
      </c>
      <c r="D650" s="89" t="s">
        <v>473</v>
      </c>
      <c r="E650" s="181"/>
      <c r="F650" s="181"/>
      <c r="G650" s="183"/>
      <c r="H650" s="181"/>
      <c r="I650" s="181"/>
      <c r="J650" s="181"/>
      <c r="K650" s="181" t="str">
        <f t="shared" si="13"/>
        <v>GEOL_SN|macadam</v>
      </c>
      <c r="L650" s="181"/>
    </row>
    <row r="651" spans="1:12" hidden="1" x14ac:dyDescent="0.35">
      <c r="A651" s="88" t="s">
        <v>2901</v>
      </c>
      <c r="B651" s="88" t="s">
        <v>7276</v>
      </c>
      <c r="C651" s="89" t="s">
        <v>7276</v>
      </c>
      <c r="D651" s="89" t="s">
        <v>473</v>
      </c>
      <c r="E651" s="181"/>
      <c r="F651" s="181"/>
      <c r="G651" s="183"/>
      <c r="H651" s="181"/>
      <c r="I651" s="181"/>
      <c r="J651" s="181"/>
      <c r="K651" s="181" t="str">
        <f t="shared" si="13"/>
        <v>GEOL_SN|old seal</v>
      </c>
      <c r="L651" s="181"/>
    </row>
    <row r="652" spans="1:12" hidden="1" x14ac:dyDescent="0.35">
      <c r="A652" s="88" t="s">
        <v>2901</v>
      </c>
      <c r="B652" s="88" t="s">
        <v>7277</v>
      </c>
      <c r="C652" s="89" t="s">
        <v>7277</v>
      </c>
      <c r="D652" s="89" t="s">
        <v>473</v>
      </c>
      <c r="E652" s="181"/>
      <c r="F652" s="181"/>
      <c r="G652" s="183"/>
      <c r="H652" s="181"/>
      <c r="I652" s="181"/>
      <c r="J652" s="181"/>
      <c r="K652" s="181" t="str">
        <f t="shared" si="13"/>
        <v>GEOL_SN|open grade asphalt</v>
      </c>
      <c r="L652" s="181"/>
    </row>
    <row r="653" spans="1:12" hidden="1" x14ac:dyDescent="0.35">
      <c r="A653" s="88" t="s">
        <v>2901</v>
      </c>
      <c r="B653" s="88" t="s">
        <v>7278</v>
      </c>
      <c r="C653" s="89" t="s">
        <v>7278</v>
      </c>
      <c r="D653" s="89" t="s">
        <v>473</v>
      </c>
      <c r="E653" s="181"/>
      <c r="F653" s="181"/>
      <c r="G653" s="183"/>
      <c r="H653" s="181"/>
      <c r="I653" s="181"/>
      <c r="J653" s="181"/>
      <c r="K653" s="181" t="str">
        <f t="shared" si="13"/>
        <v>GEOL_SN|peat</v>
      </c>
      <c r="L653" s="181"/>
    </row>
    <row r="654" spans="1:12" hidden="1" x14ac:dyDescent="0.35">
      <c r="A654" s="88" t="s">
        <v>2901</v>
      </c>
      <c r="B654" s="88" t="s">
        <v>693</v>
      </c>
      <c r="C654" s="89" t="s">
        <v>7279</v>
      </c>
      <c r="D654" s="89" t="s">
        <v>473</v>
      </c>
      <c r="E654" s="181"/>
      <c r="F654" s="181"/>
      <c r="G654" s="183"/>
      <c r="H654" s="181"/>
      <c r="I654" s="181"/>
      <c r="J654" s="181"/>
      <c r="K654" s="181" t="str">
        <f t="shared" si="13"/>
        <v>GEOL_SN|sand</v>
      </c>
      <c r="L654" s="181"/>
    </row>
    <row r="655" spans="1:12" hidden="1" x14ac:dyDescent="0.35">
      <c r="A655" s="88" t="s">
        <v>2901</v>
      </c>
      <c r="B655" s="88" t="s">
        <v>7280</v>
      </c>
      <c r="C655" s="89" t="s">
        <v>7281</v>
      </c>
      <c r="D655" s="89" t="s">
        <v>473</v>
      </c>
      <c r="E655" s="181"/>
      <c r="F655" s="181"/>
      <c r="G655" s="183"/>
      <c r="H655" s="181"/>
      <c r="I655" s="181"/>
      <c r="J655" s="181"/>
      <c r="K655" s="181" t="str">
        <f t="shared" si="13"/>
        <v>GEOL_SN|silt</v>
      </c>
      <c r="L655" s="181"/>
    </row>
    <row r="656" spans="1:12" hidden="1" x14ac:dyDescent="0.35">
      <c r="A656" s="88" t="s">
        <v>2901</v>
      </c>
      <c r="B656" s="88" t="s">
        <v>7282</v>
      </c>
      <c r="C656" s="89" t="s">
        <v>7282</v>
      </c>
      <c r="D656" s="89" t="s">
        <v>473</v>
      </c>
      <c r="E656" s="181"/>
      <c r="F656" s="181"/>
      <c r="G656" s="183"/>
      <c r="H656" s="181"/>
      <c r="I656" s="181"/>
      <c r="J656" s="181"/>
      <c r="K656" s="181" t="str">
        <f t="shared" si="13"/>
        <v>GEOL_SN|slag</v>
      </c>
      <c r="L656" s="181"/>
    </row>
    <row r="657" spans="1:12" hidden="1" x14ac:dyDescent="0.35">
      <c r="A657" s="88" t="s">
        <v>2901</v>
      </c>
      <c r="B657" s="88" t="s">
        <v>7283</v>
      </c>
      <c r="C657" s="89" t="s">
        <v>7283</v>
      </c>
      <c r="D657" s="89" t="s">
        <v>473</v>
      </c>
      <c r="E657" s="181"/>
      <c r="F657" s="181"/>
      <c r="G657" s="183"/>
      <c r="H657" s="181"/>
      <c r="I657" s="181"/>
      <c r="J657" s="181"/>
      <c r="K657" s="181" t="str">
        <f t="shared" si="13"/>
        <v>GEOL_SN|sprayed seal</v>
      </c>
      <c r="L657" s="181"/>
    </row>
    <row r="658" spans="1:12" hidden="1" x14ac:dyDescent="0.35">
      <c r="A658" s="88" t="s">
        <v>2899</v>
      </c>
      <c r="B658" s="88" t="s">
        <v>7284</v>
      </c>
      <c r="C658" s="89" t="s">
        <v>7284</v>
      </c>
      <c r="D658" s="89" t="s">
        <v>473</v>
      </c>
      <c r="E658" s="181"/>
      <c r="F658" s="181"/>
      <c r="G658" s="183"/>
      <c r="H658" s="181"/>
      <c r="I658" s="181"/>
      <c r="J658" s="181"/>
      <c r="K658" s="181" t="str">
        <f t="shared" si="13"/>
        <v>GEOL_SNM|continuously reinforced</v>
      </c>
      <c r="L658" s="181"/>
    </row>
    <row r="659" spans="1:12" hidden="1" x14ac:dyDescent="0.35">
      <c r="A659" s="88" t="s">
        <v>2899</v>
      </c>
      <c r="B659" s="88" t="s">
        <v>7285</v>
      </c>
      <c r="C659" s="89" t="s">
        <v>7285</v>
      </c>
      <c r="D659" s="89" t="s">
        <v>473</v>
      </c>
      <c r="E659" s="181"/>
      <c r="F659" s="181"/>
      <c r="G659" s="183"/>
      <c r="H659" s="181"/>
      <c r="I659" s="181"/>
      <c r="J659" s="181"/>
      <c r="K659" s="181" t="str">
        <f t="shared" si="13"/>
        <v>GEOL_SNM|heavily bound</v>
      </c>
      <c r="L659" s="181"/>
    </row>
    <row r="660" spans="1:12" hidden="1" x14ac:dyDescent="0.35">
      <c r="A660" s="88" t="s">
        <v>2899</v>
      </c>
      <c r="B660" s="88" t="s">
        <v>7286</v>
      </c>
      <c r="C660" s="89" t="s">
        <v>7286</v>
      </c>
      <c r="D660" s="89" t="s">
        <v>473</v>
      </c>
      <c r="E660" s="181"/>
      <c r="F660" s="181"/>
      <c r="G660" s="183"/>
      <c r="H660" s="181"/>
      <c r="I660" s="181"/>
      <c r="J660" s="181"/>
      <c r="K660" s="181" t="str">
        <f t="shared" si="13"/>
        <v>GEOL_SNM|lean mix</v>
      </c>
      <c r="L660" s="181"/>
    </row>
    <row r="661" spans="1:12" hidden="1" x14ac:dyDescent="0.35">
      <c r="A661" s="88" t="s">
        <v>2899</v>
      </c>
      <c r="B661" s="88" t="s">
        <v>7287</v>
      </c>
      <c r="C661" s="89" t="s">
        <v>7287</v>
      </c>
      <c r="D661" s="89" t="s">
        <v>473</v>
      </c>
      <c r="E661" s="181"/>
      <c r="F661" s="181"/>
      <c r="G661" s="183"/>
      <c r="H661" s="181"/>
      <c r="I661" s="181"/>
      <c r="J661" s="181"/>
      <c r="K661" s="181" t="str">
        <f t="shared" si="13"/>
        <v>GEOL_SNM|lightly bound</v>
      </c>
      <c r="L661" s="181"/>
    </row>
    <row r="662" spans="1:12" hidden="1" x14ac:dyDescent="0.35">
      <c r="A662" s="88" t="s">
        <v>2899</v>
      </c>
      <c r="B662" s="88" t="s">
        <v>7288</v>
      </c>
      <c r="C662" s="89" t="s">
        <v>7288</v>
      </c>
      <c r="D662" s="89" t="s">
        <v>473</v>
      </c>
      <c r="E662" s="181"/>
      <c r="F662" s="181"/>
      <c r="G662" s="183"/>
      <c r="H662" s="181"/>
      <c r="I662" s="181"/>
      <c r="J662" s="181"/>
      <c r="K662" s="181" t="str">
        <f t="shared" si="13"/>
        <v>GEOL_SNM|moderately bound</v>
      </c>
      <c r="L662" s="181"/>
    </row>
    <row r="663" spans="1:12" hidden="1" x14ac:dyDescent="0.35">
      <c r="A663" s="88" t="s">
        <v>2899</v>
      </c>
      <c r="B663" s="88" t="s">
        <v>685</v>
      </c>
      <c r="C663" s="89" t="s">
        <v>685</v>
      </c>
      <c r="D663" s="89" t="s">
        <v>473</v>
      </c>
      <c r="E663" s="181"/>
      <c r="F663" s="181"/>
      <c r="G663" s="183"/>
      <c r="H663" s="181"/>
      <c r="I663" s="181"/>
      <c r="J663" s="181"/>
      <c r="K663" s="181" t="str">
        <f t="shared" si="13"/>
        <v>GEOL_SNM|modified</v>
      </c>
      <c r="L663" s="181"/>
    </row>
    <row r="664" spans="1:12" hidden="1" x14ac:dyDescent="0.35">
      <c r="A664" s="88" t="s">
        <v>2899</v>
      </c>
      <c r="B664" s="88" t="s">
        <v>7289</v>
      </c>
      <c r="C664" s="89" t="s">
        <v>7289</v>
      </c>
      <c r="D664" s="89" t="s">
        <v>473</v>
      </c>
      <c r="E664" s="181"/>
      <c r="F664" s="181"/>
      <c r="G664" s="183"/>
      <c r="H664" s="181"/>
      <c r="I664" s="181"/>
      <c r="J664" s="181"/>
      <c r="K664" s="181" t="str">
        <f t="shared" si="13"/>
        <v>GEOL_SNM|plain</v>
      </c>
      <c r="L664" s="181"/>
    </row>
    <row r="665" spans="1:12" hidden="1" x14ac:dyDescent="0.35">
      <c r="A665" s="88" t="s">
        <v>2900</v>
      </c>
      <c r="B665" s="88" t="s">
        <v>7290</v>
      </c>
      <c r="C665" s="89" t="s">
        <v>7290</v>
      </c>
      <c r="D665" s="89" t="s">
        <v>473</v>
      </c>
      <c r="E665" s="181"/>
      <c r="F665" s="181"/>
      <c r="G665" s="183"/>
      <c r="H665" s="181"/>
      <c r="I665" s="181"/>
      <c r="J665" s="181"/>
      <c r="K665" s="181" t="str">
        <f t="shared" si="13"/>
        <v>GEOL_SNQ|bioclastic</v>
      </c>
      <c r="L665" s="181"/>
    </row>
    <row r="666" spans="1:12" hidden="1" x14ac:dyDescent="0.35">
      <c r="A666" s="88" t="s">
        <v>2900</v>
      </c>
      <c r="B666" s="88" t="s">
        <v>7291</v>
      </c>
      <c r="C666" s="89" t="s">
        <v>7291</v>
      </c>
      <c r="D666" s="89" t="s">
        <v>473</v>
      </c>
      <c r="E666" s="181"/>
      <c r="F666" s="181"/>
      <c r="G666" s="183"/>
      <c r="H666" s="181"/>
      <c r="I666" s="181"/>
      <c r="J666" s="181"/>
      <c r="K666" s="181" t="str">
        <f t="shared" si="13"/>
        <v>GEOL_SNQ|calcereous</v>
      </c>
      <c r="L666" s="181"/>
    </row>
    <row r="667" spans="1:12" hidden="1" x14ac:dyDescent="0.35">
      <c r="A667" s="88" t="s">
        <v>2900</v>
      </c>
      <c r="B667" s="88" t="s">
        <v>7292</v>
      </c>
      <c r="C667" s="89" t="s">
        <v>7292</v>
      </c>
      <c r="D667" s="89" t="s">
        <v>473</v>
      </c>
      <c r="E667" s="181"/>
      <c r="F667" s="181"/>
      <c r="G667" s="183"/>
      <c r="H667" s="181"/>
      <c r="I667" s="181"/>
      <c r="J667" s="181"/>
      <c r="K667" s="181" t="str">
        <f t="shared" si="13"/>
        <v>GEOL_SNQ|carbonate</v>
      </c>
      <c r="L667" s="181"/>
    </row>
    <row r="668" spans="1:12" hidden="1" x14ac:dyDescent="0.35">
      <c r="A668" s="88" t="s">
        <v>2900</v>
      </c>
      <c r="B668" s="88" t="s">
        <v>772</v>
      </c>
      <c r="C668" s="89" t="s">
        <v>772</v>
      </c>
      <c r="D668" s="89" t="s">
        <v>473</v>
      </c>
      <c r="E668" s="181"/>
      <c r="F668" s="181"/>
      <c r="G668" s="183"/>
      <c r="H668" s="181"/>
      <c r="I668" s="181"/>
      <c r="J668" s="181"/>
      <c r="K668" s="181" t="str">
        <f t="shared" si="13"/>
        <v>GEOL_SNQ|interbedded</v>
      </c>
      <c r="L668" s="181"/>
    </row>
    <row r="669" spans="1:12" hidden="1" x14ac:dyDescent="0.35">
      <c r="A669" s="88" t="s">
        <v>2900</v>
      </c>
      <c r="B669" s="88" t="s">
        <v>773</v>
      </c>
      <c r="C669" s="89" t="s">
        <v>773</v>
      </c>
      <c r="D669" s="89" t="s">
        <v>473</v>
      </c>
      <c r="E669" s="181"/>
      <c r="F669" s="181"/>
      <c r="G669" s="183"/>
      <c r="H669" s="181"/>
      <c r="I669" s="181"/>
      <c r="J669" s="181"/>
      <c r="K669" s="181" t="str">
        <f t="shared" si="13"/>
        <v>GEOL_SNQ|interlaminated</v>
      </c>
      <c r="L669" s="181"/>
    </row>
    <row r="670" spans="1:12" hidden="1" x14ac:dyDescent="0.35">
      <c r="A670" s="88" t="s">
        <v>2900</v>
      </c>
      <c r="B670" s="88" t="s">
        <v>7293</v>
      </c>
      <c r="C670" s="89" t="s">
        <v>7293</v>
      </c>
      <c r="D670" s="89" t="s">
        <v>473</v>
      </c>
      <c r="E670" s="181"/>
      <c r="F670" s="181"/>
      <c r="G670" s="183"/>
      <c r="H670" s="181"/>
      <c r="I670" s="181"/>
      <c r="J670" s="181"/>
      <c r="K670" s="181" t="str">
        <f t="shared" si="13"/>
        <v>GEOL_SNQ|Intermixed</v>
      </c>
      <c r="L670" s="181"/>
    </row>
    <row r="671" spans="1:12" hidden="1" x14ac:dyDescent="0.35">
      <c r="A671" s="88" t="s">
        <v>2900</v>
      </c>
      <c r="B671" s="88" t="s">
        <v>7294</v>
      </c>
      <c r="C671" s="89" t="s">
        <v>7294</v>
      </c>
      <c r="D671" s="89" t="s">
        <v>473</v>
      </c>
      <c r="E671" s="181"/>
      <c r="F671" s="181"/>
      <c r="G671" s="183"/>
      <c r="H671" s="181"/>
      <c r="I671" s="181"/>
      <c r="J671" s="181"/>
      <c r="K671" s="181" t="str">
        <f t="shared" si="13"/>
        <v>GEOL_SNQ|layers</v>
      </c>
      <c r="L671" s="181"/>
    </row>
    <row r="672" spans="1:12" hidden="1" x14ac:dyDescent="0.35">
      <c r="A672" s="88" t="s">
        <v>2900</v>
      </c>
      <c r="B672" s="88" t="s">
        <v>7295</v>
      </c>
      <c r="C672" s="89" t="s">
        <v>7295</v>
      </c>
      <c r="D672" s="89" t="s">
        <v>473</v>
      </c>
      <c r="E672" s="181"/>
      <c r="F672" s="181"/>
      <c r="G672" s="183"/>
      <c r="H672" s="181"/>
      <c r="I672" s="181"/>
      <c r="J672" s="181"/>
      <c r="K672" s="181" t="str">
        <f t="shared" si="13"/>
        <v>GEOL_SNQ|lenses</v>
      </c>
      <c r="L672" s="181"/>
    </row>
    <row r="673" spans="1:12" hidden="1" x14ac:dyDescent="0.35">
      <c r="A673" s="88" t="s">
        <v>2900</v>
      </c>
      <c r="B673" s="88" t="s">
        <v>774</v>
      </c>
      <c r="C673" s="88" t="s">
        <v>774</v>
      </c>
      <c r="D673" s="89" t="s">
        <v>473</v>
      </c>
      <c r="E673" s="181"/>
      <c r="F673" s="181"/>
      <c r="G673" s="183"/>
      <c r="H673" s="181"/>
      <c r="I673" s="181"/>
      <c r="J673" s="181"/>
      <c r="K673" s="181" t="str">
        <f t="shared" ref="K673" si="15">A673&amp;"|"&amp;B673</f>
        <v>GEOL_SNQ|mixture of</v>
      </c>
      <c r="L673" s="181"/>
    </row>
    <row r="674" spans="1:12" hidden="1" x14ac:dyDescent="0.35">
      <c r="A674" s="88" t="s">
        <v>2900</v>
      </c>
      <c r="B674" s="88" t="s">
        <v>7296</v>
      </c>
      <c r="C674" s="89" t="s">
        <v>7296</v>
      </c>
      <c r="D674" s="89" t="s">
        <v>473</v>
      </c>
      <c r="E674" s="181"/>
      <c r="F674" s="181"/>
      <c r="G674" s="183"/>
      <c r="H674" s="181"/>
      <c r="I674" s="181"/>
      <c r="J674" s="181"/>
      <c r="K674" s="181" t="str">
        <f t="shared" si="13"/>
        <v>GEOL_SNQ|organic</v>
      </c>
      <c r="L674" s="181"/>
    </row>
    <row r="675" spans="1:12" hidden="1" x14ac:dyDescent="0.35">
      <c r="A675" s="88" t="s">
        <v>2900</v>
      </c>
      <c r="B675" s="88" t="s">
        <v>7297</v>
      </c>
      <c r="C675" s="89" t="s">
        <v>7297</v>
      </c>
      <c r="D675" s="89" t="s">
        <v>473</v>
      </c>
      <c r="E675" s="181"/>
      <c r="F675" s="181"/>
      <c r="G675" s="183"/>
      <c r="H675" s="181"/>
      <c r="I675" s="181"/>
      <c r="J675" s="181"/>
      <c r="K675" s="181" t="str">
        <f t="shared" si="13"/>
        <v>GEOL_SNQ|pockets</v>
      </c>
      <c r="L675" s="181"/>
    </row>
    <row r="676" spans="1:12" hidden="1" x14ac:dyDescent="0.35">
      <c r="A676" s="88" t="s">
        <v>2900</v>
      </c>
      <c r="B676" s="88" t="s">
        <v>7183</v>
      </c>
      <c r="C676" s="89" t="s">
        <v>7183</v>
      </c>
      <c r="D676" s="89" t="s">
        <v>473</v>
      </c>
      <c r="E676" s="181"/>
      <c r="F676" s="181"/>
      <c r="G676" s="183"/>
      <c r="H676" s="181"/>
      <c r="I676" s="181"/>
      <c r="J676" s="181"/>
      <c r="K676" s="181" t="str">
        <f t="shared" si="13"/>
        <v>GEOL_SNQ|siliceous</v>
      </c>
      <c r="L676" s="181"/>
    </row>
    <row r="677" spans="1:12" hidden="1" x14ac:dyDescent="0.35">
      <c r="A677" s="88" t="s">
        <v>2900</v>
      </c>
      <c r="B677" s="88" t="s">
        <v>7298</v>
      </c>
      <c r="C677" s="89" t="s">
        <v>7298</v>
      </c>
      <c r="D677" s="89" t="s">
        <v>473</v>
      </c>
      <c r="E677" s="181"/>
      <c r="F677" s="181"/>
      <c r="G677" s="183"/>
      <c r="H677" s="181"/>
      <c r="I677" s="181"/>
      <c r="J677" s="181"/>
      <c r="K677" s="181" t="str">
        <f t="shared" si="13"/>
        <v>GEOL_SNQ|siliceous carbonate</v>
      </c>
      <c r="L677" s="181"/>
    </row>
    <row r="678" spans="1:12" hidden="1" x14ac:dyDescent="0.35">
      <c r="A678" s="88" t="s">
        <v>2900</v>
      </c>
      <c r="B678" s="88" t="s">
        <v>6798</v>
      </c>
      <c r="C678" s="89" t="s">
        <v>6798</v>
      </c>
      <c r="D678" s="89" t="s">
        <v>473</v>
      </c>
      <c r="E678" s="181"/>
      <c r="F678" s="181"/>
      <c r="G678" s="183"/>
      <c r="H678" s="181"/>
      <c r="I678" s="181"/>
      <c r="J678" s="181"/>
      <c r="K678" s="181" t="str">
        <f t="shared" si="13"/>
        <v>GEOL_SNQ|zones</v>
      </c>
      <c r="L678" s="181"/>
    </row>
    <row r="679" spans="1:12" hidden="1" x14ac:dyDescent="0.35">
      <c r="A679" s="88" t="s">
        <v>2906</v>
      </c>
      <c r="B679" s="88" t="s">
        <v>7299</v>
      </c>
      <c r="C679" s="89" t="s">
        <v>7300</v>
      </c>
      <c r="D679" s="89" t="s">
        <v>473</v>
      </c>
      <c r="E679" s="181"/>
      <c r="F679" s="181"/>
      <c r="G679" s="183"/>
      <c r="H679" s="181"/>
      <c r="I679" s="181"/>
      <c r="J679" s="181"/>
      <c r="K679" s="181" t="str">
        <f t="shared" si="13"/>
        <v>GEOL_SU|gap graded</v>
      </c>
      <c r="L679" s="181"/>
    </row>
    <row r="680" spans="1:12" hidden="1" x14ac:dyDescent="0.35">
      <c r="A680" s="88" t="s">
        <v>2906</v>
      </c>
      <c r="B680" s="88" t="s">
        <v>7301</v>
      </c>
      <c r="C680" s="89" t="s">
        <v>7302</v>
      </c>
      <c r="D680" s="89" t="s">
        <v>473</v>
      </c>
      <c r="E680" s="181"/>
      <c r="F680" s="181"/>
      <c r="G680" s="183"/>
      <c r="H680" s="181"/>
      <c r="I680" s="181"/>
      <c r="J680" s="181"/>
      <c r="K680" s="181" t="str">
        <f t="shared" si="13"/>
        <v>GEOL_SU|poorly graded</v>
      </c>
      <c r="L680" s="181"/>
    </row>
    <row r="681" spans="1:12" hidden="1" x14ac:dyDescent="0.35">
      <c r="A681" s="88" t="s">
        <v>2906</v>
      </c>
      <c r="B681" s="88" t="s">
        <v>7303</v>
      </c>
      <c r="C681" s="89" t="s">
        <v>7304</v>
      </c>
      <c r="D681" s="89" t="s">
        <v>473</v>
      </c>
      <c r="E681" s="181"/>
      <c r="F681" s="181"/>
      <c r="G681" s="183"/>
      <c r="H681" s="181"/>
      <c r="I681" s="181"/>
      <c r="J681" s="181"/>
      <c r="K681" s="181" t="str">
        <f t="shared" si="13"/>
        <v>GEOL_SU|uniform</v>
      </c>
      <c r="L681" s="181"/>
    </row>
    <row r="682" spans="1:12" hidden="1" x14ac:dyDescent="0.35">
      <c r="A682" s="88" t="s">
        <v>2906</v>
      </c>
      <c r="B682" s="88" t="s">
        <v>7305</v>
      </c>
      <c r="C682" s="89" t="s">
        <v>7306</v>
      </c>
      <c r="D682" s="89" t="s">
        <v>473</v>
      </c>
      <c r="E682" s="181"/>
      <c r="F682" s="181"/>
      <c r="G682" s="183"/>
      <c r="H682" s="181"/>
      <c r="I682" s="181"/>
      <c r="J682" s="181"/>
      <c r="K682" s="181" t="str">
        <f t="shared" si="13"/>
        <v>GEOL_SU|well graded</v>
      </c>
      <c r="L682" s="181"/>
    </row>
    <row r="683" spans="1:12" hidden="1" x14ac:dyDescent="0.35">
      <c r="A683" s="181" t="s">
        <v>2972</v>
      </c>
      <c r="B683" s="182" t="s">
        <v>7307</v>
      </c>
      <c r="C683" s="181" t="s">
        <v>7308</v>
      </c>
      <c r="D683" s="178">
        <v>4.0999999999999996</v>
      </c>
      <c r="E683" s="181" t="s">
        <v>6450</v>
      </c>
      <c r="F683" s="184">
        <v>40323</v>
      </c>
      <c r="G683" s="181"/>
      <c r="H683" s="181" t="s">
        <v>6451</v>
      </c>
      <c r="I683" s="181" t="str">
        <f>VLOOKUP(LEFT(A683,4),Groups!$A$1:$C$188,3,FALSE)</f>
        <v>Particle Size Distribution Analysis - Data</v>
      </c>
      <c r="J683" s="181" t="str">
        <f>VLOOKUP(A683,Headings!$C$1:$H$3948,4,FALSE)</f>
        <v>Test type</v>
      </c>
      <c r="K683" s="181" t="str">
        <f t="shared" si="13"/>
        <v>GRAT_TYPE|DS</v>
      </c>
      <c r="L683" s="181"/>
    </row>
    <row r="684" spans="1:12" hidden="1" x14ac:dyDescent="0.35">
      <c r="A684" s="181" t="s">
        <v>2972</v>
      </c>
      <c r="B684" s="182" t="s">
        <v>7309</v>
      </c>
      <c r="C684" s="181" t="s">
        <v>7310</v>
      </c>
      <c r="D684" s="178">
        <v>4.0999999999999996</v>
      </c>
      <c r="E684" s="181" t="s">
        <v>6450</v>
      </c>
      <c r="F684" s="184">
        <v>40323</v>
      </c>
      <c r="G684" s="181"/>
      <c r="H684" s="181" t="s">
        <v>6451</v>
      </c>
      <c r="I684" s="181" t="str">
        <f>VLOOKUP(LEFT(A684,4),Groups!$A$1:$C$188,3,FALSE)</f>
        <v>Particle Size Distribution Analysis - Data</v>
      </c>
      <c r="J684" s="181" t="str">
        <f>VLOOKUP(A684,Headings!$C$1:$H$3948,4,FALSE)</f>
        <v>Test type</v>
      </c>
      <c r="K684" s="181" t="str">
        <f t="shared" si="13"/>
        <v>GRAT_TYPE|HY</v>
      </c>
      <c r="L684" s="181"/>
    </row>
    <row r="685" spans="1:12" hidden="1" x14ac:dyDescent="0.35">
      <c r="A685" s="181" t="s">
        <v>2972</v>
      </c>
      <c r="B685" s="182" t="s">
        <v>7311</v>
      </c>
      <c r="C685" s="181" t="s">
        <v>7312</v>
      </c>
      <c r="D685" s="178">
        <v>4.0999999999999996</v>
      </c>
      <c r="E685" s="181" t="s">
        <v>6450</v>
      </c>
      <c r="F685" s="184">
        <v>40323</v>
      </c>
      <c r="G685" s="181"/>
      <c r="H685" s="181" t="s">
        <v>6451</v>
      </c>
      <c r="I685" s="181" t="str">
        <f>VLOOKUP(LEFT(A685,4),Groups!$A$1:$C$188,3,FALSE)</f>
        <v>Particle Size Distribution Analysis - Data</v>
      </c>
      <c r="J685" s="181" t="str">
        <f>VLOOKUP(A685,Headings!$C$1:$H$3948,4,FALSE)</f>
        <v>Test type</v>
      </c>
      <c r="K685" s="181" t="str">
        <f t="shared" si="13"/>
        <v>GRAT_TYPE|PP</v>
      </c>
      <c r="L685" s="181"/>
    </row>
    <row r="686" spans="1:12" hidden="1" x14ac:dyDescent="0.35">
      <c r="A686" s="181" t="s">
        <v>2972</v>
      </c>
      <c r="B686" s="182" t="s">
        <v>6764</v>
      </c>
      <c r="C686" s="181" t="s">
        <v>3822</v>
      </c>
      <c r="D686" s="178">
        <v>4.0999999999999996</v>
      </c>
      <c r="E686" s="181" t="s">
        <v>6450</v>
      </c>
      <c r="F686" s="184">
        <v>40323</v>
      </c>
      <c r="G686" s="181"/>
      <c r="H686" s="181" t="s">
        <v>6451</v>
      </c>
      <c r="I686" s="181" t="str">
        <f>VLOOKUP(LEFT(A686,4),Groups!$A$1:$C$188,3,FALSE)</f>
        <v>Particle Size Distribution Analysis - Data</v>
      </c>
      <c r="J686" s="181" t="str">
        <f>VLOOKUP(A686,Headings!$C$1:$H$3948,4,FALSE)</f>
        <v>Test type</v>
      </c>
      <c r="K686" s="181" t="str">
        <f t="shared" si="13"/>
        <v>GRAT_TYPE|WS</v>
      </c>
      <c r="L686" s="181"/>
    </row>
    <row r="687" spans="1:12" hidden="1" x14ac:dyDescent="0.35">
      <c r="A687" s="88" t="s">
        <v>3038</v>
      </c>
      <c r="B687" s="88" t="s">
        <v>7313</v>
      </c>
      <c r="C687" s="89" t="s">
        <v>7314</v>
      </c>
      <c r="D687" s="89" t="s">
        <v>473</v>
      </c>
      <c r="E687" s="181"/>
      <c r="F687" s="181"/>
      <c r="G687" s="183"/>
      <c r="H687" s="181"/>
      <c r="I687" s="181"/>
      <c r="J687" s="181"/>
      <c r="K687" s="181" t="str">
        <f t="shared" si="13"/>
        <v>HDPH_METH|AD/T</v>
      </c>
      <c r="L687" s="181"/>
    </row>
    <row r="688" spans="1:12" hidden="1" x14ac:dyDescent="0.35">
      <c r="A688" s="88" t="s">
        <v>3038</v>
      </c>
      <c r="B688" s="88" t="s">
        <v>7315</v>
      </c>
      <c r="C688" s="89" t="s">
        <v>7316</v>
      </c>
      <c r="D688" s="89" t="s">
        <v>473</v>
      </c>
      <c r="E688" s="181"/>
      <c r="F688" s="181"/>
      <c r="G688" s="183"/>
      <c r="H688" s="181"/>
      <c r="I688" s="181"/>
      <c r="J688" s="181"/>
      <c r="K688" s="181" t="str">
        <f t="shared" si="13"/>
        <v>HDPH_METH|AD/V</v>
      </c>
      <c r="L688" s="181"/>
    </row>
    <row r="689" spans="1:12" hidden="1" x14ac:dyDescent="0.35">
      <c r="A689" s="88" t="s">
        <v>3038</v>
      </c>
      <c r="B689" s="88" t="s">
        <v>2843</v>
      </c>
      <c r="C689" s="89" t="s">
        <v>7317</v>
      </c>
      <c r="D689" s="89" t="s">
        <v>473</v>
      </c>
      <c r="E689" s="181"/>
      <c r="F689" s="181"/>
      <c r="G689" s="183"/>
      <c r="H689" s="181"/>
      <c r="I689" s="181"/>
      <c r="J689" s="181"/>
      <c r="K689" s="181" t="str">
        <f t="shared" si="13"/>
        <v>HDPH_METH|AS</v>
      </c>
      <c r="L689" s="181"/>
    </row>
    <row r="690" spans="1:12" hidden="1" x14ac:dyDescent="0.35">
      <c r="A690" s="88" t="s">
        <v>3038</v>
      </c>
      <c r="B690" s="88" t="s">
        <v>7318</v>
      </c>
      <c r="C690" s="89" t="s">
        <v>7319</v>
      </c>
      <c r="D690" s="89" t="s">
        <v>473</v>
      </c>
      <c r="E690" s="181"/>
      <c r="F690" s="181"/>
      <c r="G690" s="183"/>
      <c r="H690" s="181"/>
      <c r="I690" s="181"/>
      <c r="J690" s="181"/>
      <c r="K690" s="181" t="str">
        <f t="shared" si="13"/>
        <v>HDPH_METH|AT</v>
      </c>
      <c r="L690" s="181"/>
    </row>
    <row r="691" spans="1:12" hidden="1" x14ac:dyDescent="0.35">
      <c r="A691" s="88" t="s">
        <v>3038</v>
      </c>
      <c r="B691" s="88" t="s">
        <v>7320</v>
      </c>
      <c r="C691" s="89" t="s">
        <v>7321</v>
      </c>
      <c r="D691" s="89" t="s">
        <v>473</v>
      </c>
      <c r="E691" s="181"/>
      <c r="F691" s="181"/>
      <c r="G691" s="183"/>
      <c r="H691" s="181"/>
      <c r="I691" s="181"/>
      <c r="J691" s="181"/>
      <c r="K691" s="181" t="str">
        <f t="shared" si="13"/>
        <v>HDPH_METH|B</v>
      </c>
      <c r="L691" s="181"/>
    </row>
    <row r="692" spans="1:12" hidden="1" x14ac:dyDescent="0.35">
      <c r="A692" s="88" t="s">
        <v>3038</v>
      </c>
      <c r="B692" s="88" t="s">
        <v>7322</v>
      </c>
      <c r="C692" s="89" t="s">
        <v>7323</v>
      </c>
      <c r="D692" s="89" t="s">
        <v>473</v>
      </c>
      <c r="E692" s="181"/>
      <c r="F692" s="181"/>
      <c r="G692" s="183"/>
      <c r="H692" s="181"/>
      <c r="I692" s="181"/>
      <c r="J692" s="181"/>
      <c r="K692" s="181" t="str">
        <f t="shared" si="13"/>
        <v>HDPH_METH|BH</v>
      </c>
      <c r="L692" s="181"/>
    </row>
    <row r="693" spans="1:12" hidden="1" x14ac:dyDescent="0.35">
      <c r="A693" s="88" t="s">
        <v>3038</v>
      </c>
      <c r="B693" s="88" t="s">
        <v>6579</v>
      </c>
      <c r="C693" s="89" t="s">
        <v>7324</v>
      </c>
      <c r="D693" s="89" t="s">
        <v>473</v>
      </c>
      <c r="E693" s="181"/>
      <c r="F693" s="181"/>
      <c r="G693" s="183"/>
      <c r="H693" s="181"/>
      <c r="I693" s="181"/>
      <c r="J693" s="181"/>
      <c r="K693" s="181" t="str">
        <f t="shared" si="13"/>
        <v>HDPH_METH|CT</v>
      </c>
      <c r="L693" s="181"/>
    </row>
    <row r="694" spans="1:12" hidden="1" x14ac:dyDescent="0.35">
      <c r="A694" s="88" t="s">
        <v>3038</v>
      </c>
      <c r="B694" s="88" t="s">
        <v>6617</v>
      </c>
      <c r="C694" s="89" t="s">
        <v>7325</v>
      </c>
      <c r="D694" s="89" t="s">
        <v>473</v>
      </c>
      <c r="E694" s="181"/>
      <c r="F694" s="181"/>
      <c r="G694" s="183"/>
      <c r="H694" s="181"/>
      <c r="I694" s="181"/>
      <c r="J694" s="181"/>
      <c r="K694" s="181" t="str">
        <f t="shared" si="13"/>
        <v>HDPH_METH|DB</v>
      </c>
      <c r="L694" s="181"/>
    </row>
    <row r="695" spans="1:12" hidden="1" x14ac:dyDescent="0.35">
      <c r="A695" s="88" t="s">
        <v>3038</v>
      </c>
      <c r="B695" s="88" t="s">
        <v>925</v>
      </c>
      <c r="C695" s="89" t="s">
        <v>7326</v>
      </c>
      <c r="D695" s="89" t="s">
        <v>473</v>
      </c>
      <c r="E695" s="181"/>
      <c r="F695" s="181"/>
      <c r="G695" s="183"/>
      <c r="H695" s="181"/>
      <c r="I695" s="181"/>
      <c r="J695" s="181"/>
      <c r="K695" s="181" t="str">
        <f t="shared" si="13"/>
        <v>HDPH_METH|DT</v>
      </c>
      <c r="L695" s="181"/>
    </row>
    <row r="696" spans="1:12" hidden="1" x14ac:dyDescent="0.35">
      <c r="A696" s="88" t="s">
        <v>3038</v>
      </c>
      <c r="B696" s="88" t="s">
        <v>7327</v>
      </c>
      <c r="C696" s="89" t="s">
        <v>7328</v>
      </c>
      <c r="D696" s="89" t="s">
        <v>473</v>
      </c>
      <c r="E696" s="181"/>
      <c r="F696" s="181"/>
      <c r="G696" s="183"/>
      <c r="H696" s="181"/>
      <c r="I696" s="181"/>
      <c r="J696" s="181"/>
      <c r="K696" s="181" t="str">
        <f t="shared" si="13"/>
        <v>HDPH_METH|E</v>
      </c>
      <c r="L696" s="181"/>
    </row>
    <row r="697" spans="1:12" hidden="1" x14ac:dyDescent="0.35">
      <c r="A697" s="88" t="s">
        <v>3038</v>
      </c>
      <c r="B697" s="88" t="s">
        <v>7329</v>
      </c>
      <c r="C697" s="89" t="s">
        <v>7330</v>
      </c>
      <c r="D697" s="89" t="s">
        <v>473</v>
      </c>
      <c r="E697" s="181"/>
      <c r="F697" s="181"/>
      <c r="G697" s="183"/>
      <c r="H697" s="181"/>
      <c r="I697" s="181"/>
      <c r="J697" s="181"/>
      <c r="K697" s="181" t="str">
        <f t="shared" si="13"/>
        <v>HDPH_METH|EH</v>
      </c>
      <c r="L697" s="181"/>
    </row>
    <row r="698" spans="1:12" hidden="1" x14ac:dyDescent="0.35">
      <c r="A698" s="88" t="s">
        <v>3038</v>
      </c>
      <c r="B698" s="88" t="s">
        <v>4980</v>
      </c>
      <c r="C698" s="89" t="s">
        <v>7331</v>
      </c>
      <c r="D698" s="89" t="s">
        <v>473</v>
      </c>
      <c r="E698" s="181"/>
      <c r="F698" s="181"/>
      <c r="G698" s="183"/>
      <c r="H698" s="181"/>
      <c r="I698" s="181"/>
      <c r="J698" s="181"/>
      <c r="K698" s="181" t="str">
        <f t="shared" si="13"/>
        <v>HDPH_METH|HA</v>
      </c>
      <c r="L698" s="181"/>
    </row>
    <row r="699" spans="1:12" hidden="1" x14ac:dyDescent="0.35">
      <c r="A699" s="88" t="s">
        <v>3038</v>
      </c>
      <c r="B699" s="88" t="s">
        <v>7332</v>
      </c>
      <c r="C699" s="89" t="s">
        <v>7333</v>
      </c>
      <c r="D699" s="89" t="s">
        <v>473</v>
      </c>
      <c r="E699" s="181"/>
      <c r="F699" s="181"/>
      <c r="G699" s="183"/>
      <c r="H699" s="181"/>
      <c r="I699" s="181"/>
      <c r="J699" s="181"/>
      <c r="K699" s="181" t="str">
        <f t="shared" si="13"/>
        <v>HDPH_METH|HMLC</v>
      </c>
      <c r="L699" s="181"/>
    </row>
    <row r="700" spans="1:12" hidden="1" x14ac:dyDescent="0.35">
      <c r="A700" s="88" t="s">
        <v>3038</v>
      </c>
      <c r="B700" s="88" t="s">
        <v>2984</v>
      </c>
      <c r="C700" s="89" t="s">
        <v>7334</v>
      </c>
      <c r="D700" s="89" t="s">
        <v>473</v>
      </c>
      <c r="E700" s="181"/>
      <c r="F700" s="181"/>
      <c r="G700" s="183"/>
      <c r="H700" s="181"/>
      <c r="I700" s="181"/>
      <c r="J700" s="181"/>
      <c r="K700" s="181" t="str">
        <f t="shared" si="13"/>
        <v>HDPH_METH|HQ3</v>
      </c>
      <c r="L700" s="181"/>
    </row>
    <row r="701" spans="1:12" hidden="1" x14ac:dyDescent="0.35">
      <c r="A701" s="88" t="s">
        <v>3038</v>
      </c>
      <c r="B701" s="88" t="s">
        <v>7335</v>
      </c>
      <c r="C701" s="89" t="s">
        <v>7336</v>
      </c>
      <c r="D701" s="89" t="s">
        <v>473</v>
      </c>
      <c r="E701" s="181"/>
      <c r="F701" s="181"/>
      <c r="G701" s="183"/>
      <c r="H701" s="181"/>
      <c r="I701" s="181"/>
      <c r="J701" s="181"/>
      <c r="K701" s="181" t="str">
        <f t="shared" ref="K701:K712" si="16">A701&amp;"|"&amp;B701</f>
        <v>HDPH_METH|MZ</v>
      </c>
      <c r="L701" s="181"/>
    </row>
    <row r="702" spans="1:12" hidden="1" x14ac:dyDescent="0.35">
      <c r="A702" s="88" t="s">
        <v>3038</v>
      </c>
      <c r="B702" s="88" t="s">
        <v>676</v>
      </c>
      <c r="C702" s="89" t="s">
        <v>7337</v>
      </c>
      <c r="D702" s="89" t="s">
        <v>473</v>
      </c>
      <c r="E702" s="181"/>
      <c r="F702" s="181"/>
      <c r="G702" s="183"/>
      <c r="H702" s="181"/>
      <c r="I702" s="181"/>
      <c r="J702" s="181"/>
      <c r="K702" s="181" t="str">
        <f t="shared" si="16"/>
        <v>HDPH_METH|N</v>
      </c>
      <c r="L702" s="181"/>
    </row>
    <row r="703" spans="1:12" hidden="1" x14ac:dyDescent="0.35">
      <c r="A703" s="88" t="s">
        <v>3038</v>
      </c>
      <c r="B703" s="88" t="s">
        <v>7338</v>
      </c>
      <c r="C703" s="89" t="s">
        <v>7339</v>
      </c>
      <c r="D703" s="89" t="s">
        <v>473</v>
      </c>
      <c r="E703" s="181"/>
      <c r="F703" s="181"/>
      <c r="G703" s="183"/>
      <c r="H703" s="181"/>
      <c r="I703" s="181"/>
      <c r="J703" s="181"/>
      <c r="K703" s="181" t="str">
        <f t="shared" si="16"/>
        <v>HDPH_METH|NMLC</v>
      </c>
      <c r="L703" s="181"/>
    </row>
    <row r="704" spans="1:12" hidden="1" x14ac:dyDescent="0.35">
      <c r="A704" s="88" t="s">
        <v>3038</v>
      </c>
      <c r="B704" s="88" t="s">
        <v>7340</v>
      </c>
      <c r="C704" s="89" t="s">
        <v>7341</v>
      </c>
      <c r="D704" s="89" t="s">
        <v>473</v>
      </c>
      <c r="E704" s="181"/>
      <c r="F704" s="181"/>
      <c r="G704" s="183"/>
      <c r="H704" s="181"/>
      <c r="I704" s="181"/>
      <c r="J704" s="181"/>
      <c r="K704" s="181" t="str">
        <f t="shared" si="16"/>
        <v>HDPH_METH|NQ3</v>
      </c>
      <c r="L704" s="181"/>
    </row>
    <row r="705" spans="1:12" hidden="1" x14ac:dyDescent="0.35">
      <c r="A705" s="88" t="s">
        <v>3038</v>
      </c>
      <c r="B705" s="88" t="s">
        <v>7342</v>
      </c>
      <c r="C705" s="89" t="s">
        <v>7343</v>
      </c>
      <c r="D705" s="89" t="s">
        <v>473</v>
      </c>
      <c r="E705" s="181"/>
      <c r="F705" s="181"/>
      <c r="G705" s="183"/>
      <c r="H705" s="181"/>
      <c r="I705" s="181"/>
      <c r="J705" s="181"/>
      <c r="K705" s="181" t="str">
        <f t="shared" si="16"/>
        <v>HDPH_METH|PQ3</v>
      </c>
      <c r="L705" s="181"/>
    </row>
    <row r="706" spans="1:12" hidden="1" x14ac:dyDescent="0.35">
      <c r="A706" s="88" t="s">
        <v>3038</v>
      </c>
      <c r="B706" s="88" t="s">
        <v>1999</v>
      </c>
      <c r="C706" s="89" t="s">
        <v>7344</v>
      </c>
      <c r="D706" s="89" t="s">
        <v>473</v>
      </c>
      <c r="E706" s="181"/>
      <c r="F706" s="181"/>
      <c r="G706" s="183"/>
      <c r="H706" s="181"/>
      <c r="I706" s="181"/>
      <c r="J706" s="181"/>
      <c r="K706" s="181" t="str">
        <f t="shared" si="16"/>
        <v>HDPH_METH|PT</v>
      </c>
      <c r="L706" s="181"/>
    </row>
    <row r="707" spans="1:12" hidden="1" x14ac:dyDescent="0.35">
      <c r="A707" s="88" t="s">
        <v>3038</v>
      </c>
      <c r="B707" s="88" t="s">
        <v>7345</v>
      </c>
      <c r="C707" s="89" t="s">
        <v>7346</v>
      </c>
      <c r="D707" s="89" t="s">
        <v>473</v>
      </c>
      <c r="E707" s="181"/>
      <c r="F707" s="181"/>
      <c r="G707" s="183"/>
      <c r="H707" s="181"/>
      <c r="I707" s="181"/>
      <c r="J707" s="181"/>
      <c r="K707" s="181" t="str">
        <f t="shared" si="16"/>
        <v>HDPH_METH|Pushed SPT</v>
      </c>
      <c r="L707" s="181"/>
    </row>
    <row r="708" spans="1:12" hidden="1" x14ac:dyDescent="0.35">
      <c r="A708" s="88" t="s">
        <v>3038</v>
      </c>
      <c r="B708" s="88" t="s">
        <v>966</v>
      </c>
      <c r="C708" s="89" t="s">
        <v>7347</v>
      </c>
      <c r="D708" s="89" t="s">
        <v>473</v>
      </c>
      <c r="E708" s="181"/>
      <c r="F708" s="181"/>
      <c r="G708" s="183"/>
      <c r="H708" s="181"/>
      <c r="I708" s="181"/>
      <c r="J708" s="181"/>
      <c r="K708" s="181" t="str">
        <f t="shared" si="16"/>
        <v>HDPH_METH|R</v>
      </c>
      <c r="L708" s="181"/>
    </row>
    <row r="709" spans="1:12" hidden="1" x14ac:dyDescent="0.35">
      <c r="A709" s="88" t="s">
        <v>3038</v>
      </c>
      <c r="B709" s="88" t="s">
        <v>7348</v>
      </c>
      <c r="C709" s="89" t="s">
        <v>7349</v>
      </c>
      <c r="D709" s="89" t="s">
        <v>473</v>
      </c>
      <c r="E709" s="181"/>
      <c r="F709" s="181"/>
      <c r="G709" s="183"/>
      <c r="H709" s="181"/>
      <c r="I709" s="181"/>
      <c r="J709" s="181"/>
      <c r="K709" s="181" t="str">
        <f t="shared" si="16"/>
        <v>HDPH_METH|RR</v>
      </c>
      <c r="L709" s="181"/>
    </row>
    <row r="710" spans="1:12" hidden="1" x14ac:dyDescent="0.35">
      <c r="A710" s="88" t="s">
        <v>3038</v>
      </c>
      <c r="B710" s="88" t="s">
        <v>7350</v>
      </c>
      <c r="C710" s="89" t="s">
        <v>7351</v>
      </c>
      <c r="D710" s="89" t="s">
        <v>473</v>
      </c>
      <c r="E710" s="181"/>
      <c r="F710" s="181"/>
      <c r="G710" s="183"/>
      <c r="H710" s="181"/>
      <c r="I710" s="181"/>
      <c r="J710" s="181"/>
      <c r="K710" s="181" t="str">
        <f t="shared" si="16"/>
        <v>HDPH_METH|SPT</v>
      </c>
      <c r="L710" s="181"/>
    </row>
    <row r="711" spans="1:12" hidden="1" x14ac:dyDescent="0.35">
      <c r="A711" s="88" t="s">
        <v>3038</v>
      </c>
      <c r="B711" s="88" t="s">
        <v>7352</v>
      </c>
      <c r="C711" s="89" t="s">
        <v>7353</v>
      </c>
      <c r="D711" s="89" t="s">
        <v>473</v>
      </c>
      <c r="E711" s="181"/>
      <c r="F711" s="181"/>
      <c r="G711" s="183"/>
      <c r="H711" s="181"/>
      <c r="I711" s="181"/>
      <c r="J711" s="181"/>
      <c r="K711" s="181" t="str">
        <f t="shared" si="16"/>
        <v>HDPH_METH|WB</v>
      </c>
      <c r="L711" s="181"/>
    </row>
    <row r="712" spans="1:12" hidden="1" x14ac:dyDescent="0.35">
      <c r="A712" s="88" t="s">
        <v>3038</v>
      </c>
      <c r="B712" s="88" t="s">
        <v>608</v>
      </c>
      <c r="C712" s="89" t="s">
        <v>7354</v>
      </c>
      <c r="D712" s="89" t="s">
        <v>473</v>
      </c>
      <c r="E712" s="181"/>
      <c r="F712" s="181"/>
      <c r="G712" s="183"/>
      <c r="H712" s="181"/>
      <c r="I712" s="181"/>
      <c r="J712" s="181"/>
      <c r="K712" s="181" t="str">
        <f t="shared" si="16"/>
        <v>HDPH_METH|X</v>
      </c>
      <c r="L712" s="181"/>
    </row>
    <row r="713" spans="1:12" hidden="1" x14ac:dyDescent="0.35">
      <c r="A713" s="88" t="s">
        <v>3003</v>
      </c>
      <c r="B713" s="88" t="s">
        <v>1417</v>
      </c>
      <c r="C713" s="89" t="s">
        <v>7355</v>
      </c>
      <c r="D713" s="89" t="s">
        <v>473</v>
      </c>
      <c r="E713" s="181"/>
      <c r="F713" s="181"/>
      <c r="G713" s="183"/>
      <c r="H713" s="181"/>
      <c r="I713" s="181"/>
      <c r="J713" s="181"/>
      <c r="K713" s="181" t="s">
        <v>7356</v>
      </c>
      <c r="L713" s="181" t="e">
        <v>#N/A</v>
      </c>
    </row>
    <row r="714" spans="1:12" hidden="1" x14ac:dyDescent="0.35">
      <c r="A714" s="88" t="s">
        <v>3005</v>
      </c>
      <c r="B714" s="88" t="s">
        <v>22</v>
      </c>
      <c r="C714" s="89" t="s">
        <v>22</v>
      </c>
      <c r="D714" s="89" t="s">
        <v>473</v>
      </c>
      <c r="E714" s="181"/>
      <c r="F714" s="181"/>
      <c r="G714" s="183"/>
      <c r="H714" s="181"/>
      <c r="I714" s="181"/>
      <c r="J714" s="181"/>
      <c r="K714" s="181" t="str">
        <f t="shared" ref="K714:K777" si="17">A714&amp;"|"&amp;B714</f>
        <v>HDPH_STAB|-</v>
      </c>
      <c r="L714" s="181"/>
    </row>
    <row r="715" spans="1:12" hidden="1" x14ac:dyDescent="0.35">
      <c r="A715" s="88" t="s">
        <v>3005</v>
      </c>
      <c r="B715" s="88" t="s">
        <v>6511</v>
      </c>
      <c r="C715" s="89" t="s">
        <v>6511</v>
      </c>
      <c r="D715" s="89" t="s">
        <v>473</v>
      </c>
      <c r="E715" s="181"/>
      <c r="F715" s="181"/>
      <c r="G715" s="183"/>
      <c r="H715" s="181"/>
      <c r="I715" s="181"/>
      <c r="J715" s="181"/>
      <c r="K715" s="181" t="str">
        <f t="shared" si="17"/>
        <v>HDPH_STAB|,</v>
      </c>
      <c r="L715" s="181"/>
    </row>
    <row r="716" spans="1:12" hidden="1" x14ac:dyDescent="0.35">
      <c r="A716" s="88" t="s">
        <v>3005</v>
      </c>
      <c r="B716" s="88" t="s">
        <v>6774</v>
      </c>
      <c r="C716" s="89" t="s">
        <v>6774</v>
      </c>
      <c r="D716" s="89" t="s">
        <v>473</v>
      </c>
      <c r="E716" s="181"/>
      <c r="F716" s="181"/>
      <c r="G716" s="183"/>
      <c r="H716" s="181"/>
      <c r="I716" s="181"/>
      <c r="J716" s="181"/>
      <c r="K716" s="181" t="str">
        <f t="shared" si="17"/>
        <v>HDPH_STAB|.</v>
      </c>
      <c r="L716" s="181"/>
    </row>
    <row r="717" spans="1:12" hidden="1" x14ac:dyDescent="0.35">
      <c r="A717" s="88" t="s">
        <v>3005</v>
      </c>
      <c r="B717" s="88" t="s">
        <v>6512</v>
      </c>
      <c r="C717" s="89" t="s">
        <v>6512</v>
      </c>
      <c r="D717" s="89" t="s">
        <v>473</v>
      </c>
      <c r="E717" s="181"/>
      <c r="F717" s="181"/>
      <c r="G717" s="183"/>
      <c r="H717" s="181"/>
      <c r="I717" s="181"/>
      <c r="J717" s="181"/>
      <c r="K717" s="181" t="str">
        <f t="shared" si="17"/>
        <v>HDPH_STAB|/</v>
      </c>
      <c r="L717" s="181"/>
    </row>
    <row r="718" spans="1:12" hidden="1" x14ac:dyDescent="0.35">
      <c r="A718" s="88" t="s">
        <v>3005</v>
      </c>
      <c r="B718" s="88" t="s">
        <v>7313</v>
      </c>
      <c r="C718" s="89" t="s">
        <v>7314</v>
      </c>
      <c r="D718" s="89" t="s">
        <v>473</v>
      </c>
      <c r="E718" s="181"/>
      <c r="F718" s="181"/>
      <c r="G718" s="183"/>
      <c r="H718" s="181"/>
      <c r="I718" s="181"/>
      <c r="J718" s="181"/>
      <c r="K718" s="181" t="str">
        <f t="shared" si="17"/>
        <v>HDPH_STAB|AD/T</v>
      </c>
      <c r="L718" s="181"/>
    </row>
    <row r="719" spans="1:12" hidden="1" x14ac:dyDescent="0.35">
      <c r="A719" s="88" t="s">
        <v>3005</v>
      </c>
      <c r="B719" s="88" t="s">
        <v>7315</v>
      </c>
      <c r="C719" s="89" t="s">
        <v>7316</v>
      </c>
      <c r="D719" s="89" t="s">
        <v>473</v>
      </c>
      <c r="E719" s="181"/>
      <c r="F719" s="181"/>
      <c r="G719" s="183"/>
      <c r="H719" s="181"/>
      <c r="I719" s="181"/>
      <c r="J719" s="181"/>
      <c r="K719" s="181" t="str">
        <f t="shared" si="17"/>
        <v>HDPH_STAB|AD/V</v>
      </c>
      <c r="L719" s="181"/>
    </row>
    <row r="720" spans="1:12" hidden="1" x14ac:dyDescent="0.35">
      <c r="A720" s="88" t="s">
        <v>3005</v>
      </c>
      <c r="B720" s="88" t="s">
        <v>7103</v>
      </c>
      <c r="C720" s="89" t="s">
        <v>7103</v>
      </c>
      <c r="D720" s="89" t="s">
        <v>473</v>
      </c>
      <c r="E720" s="181"/>
      <c r="F720" s="181"/>
      <c r="G720" s="183"/>
      <c r="H720" s="181"/>
      <c r="I720" s="181"/>
      <c r="J720" s="181"/>
      <c r="K720" s="181" t="str">
        <f t="shared" si="17"/>
        <v>HDPH_STAB|aeolian soil</v>
      </c>
      <c r="L720" s="181"/>
    </row>
    <row r="721" spans="1:12" hidden="1" x14ac:dyDescent="0.35">
      <c r="A721" s="88" t="s">
        <v>3005</v>
      </c>
      <c r="B721" s="88" t="s">
        <v>7119</v>
      </c>
      <c r="C721" s="89" t="s">
        <v>7119</v>
      </c>
      <c r="D721" s="89" t="s">
        <v>473</v>
      </c>
      <c r="E721" s="181"/>
      <c r="F721" s="181"/>
      <c r="G721" s="183"/>
      <c r="H721" s="181"/>
      <c r="I721" s="181"/>
      <c r="J721" s="181"/>
      <c r="K721" s="181" t="str">
        <f t="shared" si="17"/>
        <v>HDPH_STAB|agglomerate</v>
      </c>
      <c r="L721" s="181"/>
    </row>
    <row r="722" spans="1:12" hidden="1" x14ac:dyDescent="0.35">
      <c r="A722" s="88" t="s">
        <v>3005</v>
      </c>
      <c r="B722" s="88" t="s">
        <v>6709</v>
      </c>
      <c r="C722" s="89" t="s">
        <v>6709</v>
      </c>
      <c r="D722" s="89" t="s">
        <v>473</v>
      </c>
      <c r="E722" s="181"/>
      <c r="F722" s="181"/>
      <c r="G722" s="183"/>
      <c r="H722" s="181"/>
      <c r="I722" s="181"/>
      <c r="J722" s="181"/>
      <c r="K722" s="181" t="str">
        <f t="shared" si="17"/>
        <v>HDPH_STAB|Air</v>
      </c>
      <c r="L722" s="181"/>
    </row>
    <row r="723" spans="1:12" hidden="1" x14ac:dyDescent="0.35">
      <c r="A723" s="88" t="s">
        <v>3005</v>
      </c>
      <c r="B723" s="88" t="s">
        <v>2893</v>
      </c>
      <c r="C723" s="89" t="s">
        <v>2893</v>
      </c>
      <c r="D723" s="89" t="s">
        <v>473</v>
      </c>
      <c r="E723" s="181"/>
      <c r="F723" s="181"/>
      <c r="G723" s="183"/>
      <c r="H723" s="181"/>
      <c r="I723" s="181"/>
      <c r="J723" s="181"/>
      <c r="K723" s="181" t="str">
        <f t="shared" si="17"/>
        <v>HDPH_STAB|alluvial soil</v>
      </c>
      <c r="L723" s="181"/>
    </row>
    <row r="724" spans="1:12" hidden="1" x14ac:dyDescent="0.35">
      <c r="A724" s="88" t="s">
        <v>3005</v>
      </c>
      <c r="B724" s="88" t="s">
        <v>665</v>
      </c>
      <c r="C724" s="89" t="s">
        <v>665</v>
      </c>
      <c r="D724" s="89" t="s">
        <v>473</v>
      </c>
      <c r="E724" s="181"/>
      <c r="F724" s="181"/>
      <c r="G724" s="183"/>
      <c r="H724" s="181"/>
      <c r="I724" s="181"/>
      <c r="J724" s="181"/>
      <c r="K724" s="181" t="str">
        <f t="shared" si="17"/>
        <v>HDPH_STAB|and</v>
      </c>
      <c r="L724" s="181"/>
    </row>
    <row r="725" spans="1:12" hidden="1" x14ac:dyDescent="0.35">
      <c r="A725" s="88" t="s">
        <v>3005</v>
      </c>
      <c r="B725" s="88" t="s">
        <v>702</v>
      </c>
      <c r="C725" s="89" t="s">
        <v>702</v>
      </c>
      <c r="D725" s="89" t="s">
        <v>473</v>
      </c>
      <c r="E725" s="181"/>
      <c r="F725" s="181"/>
      <c r="G725" s="183"/>
      <c r="H725" s="181"/>
      <c r="I725" s="181"/>
      <c r="J725" s="181"/>
      <c r="K725" s="181" t="str">
        <f t="shared" si="17"/>
        <v>HDPH_STAB|andesite</v>
      </c>
      <c r="L725" s="181"/>
    </row>
    <row r="726" spans="1:12" hidden="1" x14ac:dyDescent="0.35">
      <c r="A726" s="88" t="s">
        <v>3005</v>
      </c>
      <c r="B726" s="88" t="s">
        <v>731</v>
      </c>
      <c r="C726" s="89" t="s">
        <v>731</v>
      </c>
      <c r="D726" s="89" t="s">
        <v>473</v>
      </c>
      <c r="E726" s="181"/>
      <c r="F726" s="181"/>
      <c r="G726" s="183"/>
      <c r="H726" s="181"/>
      <c r="I726" s="181"/>
      <c r="J726" s="181"/>
      <c r="K726" s="181" t="str">
        <f t="shared" si="17"/>
        <v>HDPH_STAB|angular</v>
      </c>
      <c r="L726" s="181"/>
    </row>
    <row r="727" spans="1:12" hidden="1" x14ac:dyDescent="0.35">
      <c r="A727" s="88" t="s">
        <v>3005</v>
      </c>
      <c r="B727" s="88" t="s">
        <v>7120</v>
      </c>
      <c r="C727" s="89" t="s">
        <v>7120</v>
      </c>
      <c r="D727" s="89" t="s">
        <v>473</v>
      </c>
      <c r="E727" s="181"/>
      <c r="F727" s="181"/>
      <c r="G727" s="183"/>
      <c r="H727" s="181"/>
      <c r="I727" s="181"/>
      <c r="J727" s="181"/>
      <c r="K727" s="181" t="str">
        <f t="shared" si="17"/>
        <v>HDPH_STAB|anhydrite</v>
      </c>
      <c r="L727" s="181"/>
    </row>
    <row r="728" spans="1:12" hidden="1" x14ac:dyDescent="0.35">
      <c r="A728" s="88" t="s">
        <v>3005</v>
      </c>
      <c r="B728" s="88" t="s">
        <v>7121</v>
      </c>
      <c r="C728" s="89" t="s">
        <v>7121</v>
      </c>
      <c r="D728" s="89" t="s">
        <v>473</v>
      </c>
      <c r="E728" s="181"/>
      <c r="F728" s="181"/>
      <c r="G728" s="183"/>
      <c r="H728" s="181"/>
      <c r="I728" s="181"/>
      <c r="J728" s="181"/>
      <c r="K728" s="181" t="str">
        <f t="shared" si="17"/>
        <v>HDPH_STAB|aplite</v>
      </c>
      <c r="L728" s="181"/>
    </row>
    <row r="729" spans="1:12" hidden="1" x14ac:dyDescent="0.35">
      <c r="A729" s="88" t="s">
        <v>3005</v>
      </c>
      <c r="B729" s="88" t="s">
        <v>7173</v>
      </c>
      <c r="C729" s="89" t="s">
        <v>7173</v>
      </c>
      <c r="D729" s="89" t="s">
        <v>473</v>
      </c>
      <c r="E729" s="181"/>
      <c r="F729" s="181"/>
      <c r="G729" s="183"/>
      <c r="H729" s="181"/>
      <c r="I729" s="181"/>
      <c r="J729" s="181"/>
      <c r="K729" s="181" t="str">
        <f t="shared" si="17"/>
        <v>HDPH_STAB|argillaceous</v>
      </c>
      <c r="L729" s="181"/>
    </row>
    <row r="730" spans="1:12" hidden="1" x14ac:dyDescent="0.35">
      <c r="A730" s="88" t="s">
        <v>3005</v>
      </c>
      <c r="B730" s="88" t="s">
        <v>7122</v>
      </c>
      <c r="C730" s="89" t="s">
        <v>7122</v>
      </c>
      <c r="D730" s="89" t="s">
        <v>473</v>
      </c>
      <c r="E730" s="181"/>
      <c r="F730" s="181"/>
      <c r="G730" s="183"/>
      <c r="H730" s="181"/>
      <c r="I730" s="181"/>
      <c r="J730" s="181"/>
      <c r="K730" s="181" t="str">
        <f t="shared" si="17"/>
        <v>HDPH_STAB|arkose</v>
      </c>
      <c r="L730" s="181"/>
    </row>
    <row r="731" spans="1:12" hidden="1" x14ac:dyDescent="0.35">
      <c r="A731" s="88" t="s">
        <v>3005</v>
      </c>
      <c r="B731" s="88" t="s">
        <v>2843</v>
      </c>
      <c r="C731" s="89" t="s">
        <v>7317</v>
      </c>
      <c r="D731" s="89" t="s">
        <v>473</v>
      </c>
      <c r="E731" s="181"/>
      <c r="F731" s="181"/>
      <c r="G731" s="183"/>
      <c r="H731" s="181"/>
      <c r="I731" s="181"/>
      <c r="J731" s="181"/>
      <c r="K731" s="181" t="str">
        <f t="shared" si="17"/>
        <v>HDPH_STAB|AS</v>
      </c>
      <c r="L731" s="181"/>
    </row>
    <row r="732" spans="1:12" hidden="1" x14ac:dyDescent="0.35">
      <c r="A732" s="88" t="s">
        <v>3005</v>
      </c>
      <c r="B732" s="88" t="s">
        <v>7264</v>
      </c>
      <c r="C732" s="89" t="s">
        <v>7264</v>
      </c>
      <c r="D732" s="89" t="s">
        <v>473</v>
      </c>
      <c r="E732" s="181"/>
      <c r="F732" s="181"/>
      <c r="G732" s="183"/>
      <c r="H732" s="181"/>
      <c r="I732" s="181"/>
      <c r="J732" s="181"/>
      <c r="K732" s="181" t="str">
        <f t="shared" si="17"/>
        <v>HDPH_STAB|asphalt</v>
      </c>
      <c r="L732" s="181"/>
    </row>
    <row r="733" spans="1:12" hidden="1" x14ac:dyDescent="0.35">
      <c r="A733" s="88" t="s">
        <v>3005</v>
      </c>
      <c r="B733" s="88" t="s">
        <v>7318</v>
      </c>
      <c r="C733" s="89" t="s">
        <v>7319</v>
      </c>
      <c r="D733" s="89" t="s">
        <v>473</v>
      </c>
      <c r="E733" s="181"/>
      <c r="F733" s="181"/>
      <c r="G733" s="183"/>
      <c r="H733" s="181"/>
      <c r="I733" s="181"/>
      <c r="J733" s="181"/>
      <c r="K733" s="181" t="str">
        <f t="shared" si="17"/>
        <v>HDPH_STAB|AT</v>
      </c>
      <c r="L733" s="181"/>
    </row>
    <row r="734" spans="1:12" hidden="1" x14ac:dyDescent="0.35">
      <c r="A734" s="88" t="s">
        <v>3005</v>
      </c>
      <c r="B734" s="88" t="s">
        <v>7320</v>
      </c>
      <c r="C734" s="89" t="s">
        <v>7321</v>
      </c>
      <c r="D734" s="89" t="s">
        <v>473</v>
      </c>
      <c r="E734" s="181"/>
      <c r="F734" s="181"/>
      <c r="G734" s="183"/>
      <c r="H734" s="181"/>
      <c r="I734" s="181"/>
      <c r="J734" s="181"/>
      <c r="K734" s="181" t="str">
        <f t="shared" si="17"/>
        <v>HDPH_STAB|B</v>
      </c>
      <c r="L734" s="181"/>
    </row>
    <row r="735" spans="1:12" hidden="1" x14ac:dyDescent="0.35">
      <c r="A735" s="88" t="s">
        <v>3005</v>
      </c>
      <c r="B735" s="88" t="s">
        <v>7123</v>
      </c>
      <c r="C735" s="89" t="s">
        <v>7123</v>
      </c>
      <c r="D735" s="89" t="s">
        <v>473</v>
      </c>
      <c r="E735" s="181"/>
      <c r="F735" s="181"/>
      <c r="G735" s="183"/>
      <c r="H735" s="181"/>
      <c r="I735" s="181"/>
      <c r="J735" s="181"/>
      <c r="K735" s="181" t="str">
        <f t="shared" si="17"/>
        <v>HDPH_STAB|basalt</v>
      </c>
      <c r="L735" s="181"/>
    </row>
    <row r="736" spans="1:12" hidden="1" x14ac:dyDescent="0.35">
      <c r="A736" s="88" t="s">
        <v>3005</v>
      </c>
      <c r="B736" s="88" t="s">
        <v>7104</v>
      </c>
      <c r="C736" s="89" t="s">
        <v>7104</v>
      </c>
      <c r="D736" s="89" t="s">
        <v>473</v>
      </c>
      <c r="E736" s="181"/>
      <c r="F736" s="181"/>
      <c r="G736" s="183"/>
      <c r="H736" s="181"/>
      <c r="I736" s="181"/>
      <c r="J736" s="181"/>
      <c r="K736" s="181" t="str">
        <f t="shared" si="17"/>
        <v>HDPH_STAB|basecourse</v>
      </c>
      <c r="L736" s="181"/>
    </row>
    <row r="737" spans="1:12" hidden="1" x14ac:dyDescent="0.35">
      <c r="A737" s="88" t="s">
        <v>3005</v>
      </c>
      <c r="B737" s="88" t="s">
        <v>6036</v>
      </c>
      <c r="C737" s="89" t="s">
        <v>6036</v>
      </c>
      <c r="D737" s="89" t="s">
        <v>473</v>
      </c>
      <c r="E737" s="181"/>
      <c r="F737" s="181"/>
      <c r="G737" s="183"/>
      <c r="H737" s="181"/>
      <c r="I737" s="181"/>
      <c r="J737" s="181"/>
      <c r="K737" s="181" t="str">
        <f t="shared" si="17"/>
        <v>HDPH_STAB|becoming</v>
      </c>
      <c r="L737" s="181"/>
    </row>
    <row r="738" spans="1:12" hidden="1" x14ac:dyDescent="0.35">
      <c r="A738" s="88" t="s">
        <v>3005</v>
      </c>
      <c r="B738" s="88" t="s">
        <v>6775</v>
      </c>
      <c r="C738" s="89" t="s">
        <v>6775</v>
      </c>
      <c r="D738" s="89" t="s">
        <v>473</v>
      </c>
      <c r="E738" s="181"/>
      <c r="F738" s="181"/>
      <c r="G738" s="183"/>
      <c r="H738" s="181"/>
      <c r="I738" s="181"/>
      <c r="J738" s="181"/>
      <c r="K738" s="181" t="str">
        <f t="shared" si="17"/>
        <v>HDPH_STAB|beds</v>
      </c>
      <c r="L738" s="181"/>
    </row>
    <row r="739" spans="1:12" hidden="1" x14ac:dyDescent="0.35">
      <c r="A739" s="88" t="s">
        <v>3005</v>
      </c>
      <c r="B739" s="88" t="s">
        <v>6455</v>
      </c>
      <c r="C739" s="89" t="s">
        <v>6455</v>
      </c>
      <c r="D739" s="89" t="s">
        <v>473</v>
      </c>
      <c r="E739" s="181"/>
      <c r="F739" s="181"/>
      <c r="G739" s="183"/>
      <c r="H739" s="181"/>
      <c r="I739" s="181"/>
      <c r="J739" s="181"/>
      <c r="K739" s="181" t="str">
        <f t="shared" si="17"/>
        <v>HDPH_STAB|Bentonite</v>
      </c>
      <c r="L739" s="181"/>
    </row>
    <row r="740" spans="1:12" hidden="1" x14ac:dyDescent="0.35">
      <c r="A740" s="88" t="s">
        <v>3005</v>
      </c>
      <c r="B740" s="88" t="s">
        <v>7322</v>
      </c>
      <c r="C740" s="89" t="s">
        <v>7323</v>
      </c>
      <c r="D740" s="89" t="s">
        <v>473</v>
      </c>
      <c r="E740" s="181"/>
      <c r="F740" s="181"/>
      <c r="G740" s="183"/>
      <c r="H740" s="181"/>
      <c r="I740" s="181"/>
      <c r="J740" s="181"/>
      <c r="K740" s="181" t="str">
        <f t="shared" si="17"/>
        <v>HDPH_STAB|BH</v>
      </c>
      <c r="L740" s="181"/>
    </row>
    <row r="741" spans="1:12" hidden="1" x14ac:dyDescent="0.35">
      <c r="A741" s="88" t="s">
        <v>3005</v>
      </c>
      <c r="B741" s="88" t="s">
        <v>7290</v>
      </c>
      <c r="C741" s="89" t="s">
        <v>7290</v>
      </c>
      <c r="D741" s="89" t="s">
        <v>473</v>
      </c>
      <c r="E741" s="181"/>
      <c r="F741" s="181"/>
      <c r="G741" s="183"/>
      <c r="H741" s="181"/>
      <c r="I741" s="181"/>
      <c r="J741" s="181"/>
      <c r="K741" s="181" t="str">
        <f t="shared" si="17"/>
        <v>HDPH_STAB|bioclastic</v>
      </c>
      <c r="L741" s="181"/>
    </row>
    <row r="742" spans="1:12" hidden="1" x14ac:dyDescent="0.35">
      <c r="A742" s="88" t="s">
        <v>3005</v>
      </c>
      <c r="B742" s="88" t="s">
        <v>6776</v>
      </c>
      <c r="C742" s="89" t="s">
        <v>6776</v>
      </c>
      <c r="D742" s="89" t="s">
        <v>473</v>
      </c>
      <c r="E742" s="181"/>
      <c r="F742" s="181"/>
      <c r="G742" s="183"/>
      <c r="H742" s="181"/>
      <c r="I742" s="181"/>
      <c r="J742" s="181"/>
      <c r="K742" s="181" t="str">
        <f t="shared" si="17"/>
        <v>HDPH_STAB|black</v>
      </c>
      <c r="L742" s="181"/>
    </row>
    <row r="743" spans="1:12" hidden="1" x14ac:dyDescent="0.35">
      <c r="A743" s="88" t="s">
        <v>3005</v>
      </c>
      <c r="B743" s="88" t="s">
        <v>6777</v>
      </c>
      <c r="C743" s="89" t="s">
        <v>6777</v>
      </c>
      <c r="D743" s="89" t="s">
        <v>473</v>
      </c>
      <c r="E743" s="181"/>
      <c r="F743" s="181"/>
      <c r="G743" s="183"/>
      <c r="H743" s="181"/>
      <c r="I743" s="181"/>
      <c r="J743" s="181"/>
      <c r="K743" s="181" t="str">
        <f t="shared" si="17"/>
        <v>HDPH_STAB|blue</v>
      </c>
      <c r="L743" s="181"/>
    </row>
    <row r="744" spans="1:12" hidden="1" x14ac:dyDescent="0.35">
      <c r="A744" s="88" t="s">
        <v>3005</v>
      </c>
      <c r="B744" s="88" t="s">
        <v>7265</v>
      </c>
      <c r="C744" s="89" t="s">
        <v>7266</v>
      </c>
      <c r="D744" s="89" t="s">
        <v>473</v>
      </c>
      <c r="E744" s="181"/>
      <c r="F744" s="181"/>
      <c r="G744" s="183"/>
      <c r="H744" s="181"/>
      <c r="I744" s="181"/>
      <c r="J744" s="181"/>
      <c r="K744" s="181" t="str">
        <f t="shared" si="17"/>
        <v>HDPH_STAB|boulders</v>
      </c>
      <c r="L744" s="181"/>
    </row>
    <row r="745" spans="1:12" hidden="1" x14ac:dyDescent="0.35">
      <c r="A745" s="88" t="s">
        <v>3005</v>
      </c>
      <c r="B745" s="88" t="s">
        <v>7124</v>
      </c>
      <c r="C745" s="89" t="s">
        <v>7124</v>
      </c>
      <c r="D745" s="89" t="s">
        <v>473</v>
      </c>
      <c r="E745" s="181"/>
      <c r="F745" s="181"/>
      <c r="G745" s="183"/>
      <c r="H745" s="181"/>
      <c r="I745" s="181"/>
      <c r="J745" s="181"/>
      <c r="K745" s="181" t="str">
        <f t="shared" si="17"/>
        <v>HDPH_STAB|breccia</v>
      </c>
      <c r="L745" s="181"/>
    </row>
    <row r="746" spans="1:12" hidden="1" x14ac:dyDescent="0.35">
      <c r="A746" s="88" t="s">
        <v>3005</v>
      </c>
      <c r="B746" s="88" t="s">
        <v>6778</v>
      </c>
      <c r="C746" s="89" t="s">
        <v>6778</v>
      </c>
      <c r="D746" s="89" t="s">
        <v>473</v>
      </c>
      <c r="E746" s="181"/>
      <c r="F746" s="181"/>
      <c r="G746" s="183"/>
      <c r="H746" s="181"/>
      <c r="I746" s="181"/>
      <c r="J746" s="181"/>
      <c r="K746" s="181" t="str">
        <f t="shared" si="17"/>
        <v>HDPH_STAB|brown</v>
      </c>
      <c r="L746" s="181"/>
    </row>
    <row r="747" spans="1:12" hidden="1" x14ac:dyDescent="0.35">
      <c r="A747" s="88" t="s">
        <v>3005</v>
      </c>
      <c r="B747" s="88" t="s">
        <v>7125</v>
      </c>
      <c r="C747" s="89" t="s">
        <v>7125</v>
      </c>
      <c r="D747" s="89" t="s">
        <v>473</v>
      </c>
      <c r="E747" s="181"/>
      <c r="F747" s="181"/>
      <c r="G747" s="183"/>
      <c r="H747" s="181"/>
      <c r="I747" s="181"/>
      <c r="J747" s="181"/>
      <c r="K747" s="181" t="str">
        <f t="shared" si="17"/>
        <v>HDPH_STAB|calcarenite</v>
      </c>
      <c r="L747" s="181"/>
    </row>
    <row r="748" spans="1:12" hidden="1" x14ac:dyDescent="0.35">
      <c r="A748" s="88" t="s">
        <v>3005</v>
      </c>
      <c r="B748" s="88" t="s">
        <v>688</v>
      </c>
      <c r="C748" s="89" t="s">
        <v>688</v>
      </c>
      <c r="D748" s="89" t="s">
        <v>473</v>
      </c>
      <c r="E748" s="181"/>
      <c r="F748" s="181"/>
      <c r="G748" s="183"/>
      <c r="H748" s="181"/>
      <c r="I748" s="181"/>
      <c r="J748" s="181"/>
      <c r="K748" s="181" t="str">
        <f t="shared" si="17"/>
        <v>HDPH_STAB|calcareous</v>
      </c>
      <c r="L748" s="181"/>
    </row>
    <row r="749" spans="1:12" hidden="1" x14ac:dyDescent="0.35">
      <c r="A749" s="88" t="s">
        <v>3005</v>
      </c>
      <c r="B749" s="88" t="s">
        <v>7174</v>
      </c>
      <c r="C749" s="89" t="s">
        <v>7174</v>
      </c>
      <c r="D749" s="89" t="s">
        <v>473</v>
      </c>
      <c r="E749" s="181"/>
      <c r="F749" s="181"/>
      <c r="G749" s="183"/>
      <c r="H749" s="181"/>
      <c r="I749" s="181"/>
      <c r="J749" s="181"/>
      <c r="K749" s="181" t="str">
        <f t="shared" si="17"/>
        <v>HDPH_STAB|calcareous clayey</v>
      </c>
      <c r="L749" s="181"/>
    </row>
    <row r="750" spans="1:12" hidden="1" x14ac:dyDescent="0.35">
      <c r="A750" s="88" t="s">
        <v>3005</v>
      </c>
      <c r="B750" s="88" t="s">
        <v>7291</v>
      </c>
      <c r="C750" s="89" t="s">
        <v>7291</v>
      </c>
      <c r="D750" s="89" t="s">
        <v>473</v>
      </c>
      <c r="E750" s="181"/>
      <c r="F750" s="181"/>
      <c r="G750" s="183"/>
      <c r="H750" s="181"/>
      <c r="I750" s="181"/>
      <c r="J750" s="181"/>
      <c r="K750" s="181" t="str">
        <f t="shared" si="17"/>
        <v>HDPH_STAB|calcereous</v>
      </c>
      <c r="L750" s="181"/>
    </row>
    <row r="751" spans="1:12" hidden="1" x14ac:dyDescent="0.35">
      <c r="A751" s="88" t="s">
        <v>3005</v>
      </c>
      <c r="B751" s="88" t="s">
        <v>7126</v>
      </c>
      <c r="C751" s="89" t="s">
        <v>7126</v>
      </c>
      <c r="D751" s="89" t="s">
        <v>473</v>
      </c>
      <c r="E751" s="181"/>
      <c r="F751" s="181"/>
      <c r="G751" s="183"/>
      <c r="H751" s="181"/>
      <c r="I751" s="181"/>
      <c r="J751" s="181"/>
      <c r="K751" s="181" t="str">
        <f t="shared" si="17"/>
        <v>HDPH_STAB|calcilutite</v>
      </c>
      <c r="L751" s="181"/>
    </row>
    <row r="752" spans="1:12" hidden="1" x14ac:dyDescent="0.35">
      <c r="A752" s="88" t="s">
        <v>3005</v>
      </c>
      <c r="B752" s="88" t="s">
        <v>7127</v>
      </c>
      <c r="C752" s="89" t="s">
        <v>7127</v>
      </c>
      <c r="D752" s="89" t="s">
        <v>473</v>
      </c>
      <c r="E752" s="181"/>
      <c r="F752" s="181"/>
      <c r="G752" s="183"/>
      <c r="H752" s="181"/>
      <c r="I752" s="181"/>
      <c r="J752" s="181"/>
      <c r="K752" s="181" t="str">
        <f t="shared" si="17"/>
        <v>HDPH_STAB|calcirudite</v>
      </c>
      <c r="L752" s="181"/>
    </row>
    <row r="753" spans="1:12" hidden="1" x14ac:dyDescent="0.35">
      <c r="A753" s="88" t="s">
        <v>3005</v>
      </c>
      <c r="B753" s="88" t="s">
        <v>7128</v>
      </c>
      <c r="C753" s="89" t="s">
        <v>7128</v>
      </c>
      <c r="D753" s="89" t="s">
        <v>473</v>
      </c>
      <c r="E753" s="181"/>
      <c r="F753" s="181"/>
      <c r="G753" s="183"/>
      <c r="H753" s="181"/>
      <c r="I753" s="181"/>
      <c r="J753" s="181"/>
      <c r="K753" s="181" t="str">
        <f t="shared" si="17"/>
        <v>HDPH_STAB|calcisiltite</v>
      </c>
      <c r="L753" s="181"/>
    </row>
    <row r="754" spans="1:12" hidden="1" x14ac:dyDescent="0.35">
      <c r="A754" s="88" t="s">
        <v>3005</v>
      </c>
      <c r="B754" s="88" t="s">
        <v>7129</v>
      </c>
      <c r="C754" s="88" t="s">
        <v>7129</v>
      </c>
      <c r="D754" s="89" t="s">
        <v>473</v>
      </c>
      <c r="E754" s="181"/>
      <c r="F754" s="181"/>
      <c r="G754" s="183"/>
      <c r="H754" s="181"/>
      <c r="I754" s="181"/>
      <c r="J754" s="181"/>
      <c r="K754" s="181" t="str">
        <f t="shared" si="17"/>
        <v>HDPH_STAB|calcrete</v>
      </c>
      <c r="L754" s="181"/>
    </row>
    <row r="755" spans="1:12" hidden="1" x14ac:dyDescent="0.35">
      <c r="A755" s="88" t="s">
        <v>3005</v>
      </c>
      <c r="B755" s="88" t="s">
        <v>698</v>
      </c>
      <c r="C755" s="89" t="s">
        <v>698</v>
      </c>
      <c r="D755" s="89" t="s">
        <v>473</v>
      </c>
      <c r="E755" s="181"/>
      <c r="F755" s="181"/>
      <c r="G755" s="183"/>
      <c r="H755" s="181"/>
      <c r="I755" s="181"/>
      <c r="J755" s="181"/>
      <c r="K755" s="181" t="str">
        <f t="shared" si="17"/>
        <v>HDPH_STAB|carbonaceous</v>
      </c>
      <c r="L755" s="181"/>
    </row>
    <row r="756" spans="1:12" hidden="1" x14ac:dyDescent="0.35">
      <c r="A756" s="88" t="s">
        <v>3005</v>
      </c>
      <c r="B756" s="88" t="s">
        <v>7292</v>
      </c>
      <c r="C756" s="89" t="s">
        <v>7292</v>
      </c>
      <c r="D756" s="89" t="s">
        <v>473</v>
      </c>
      <c r="E756" s="181"/>
      <c r="F756" s="181"/>
      <c r="G756" s="183"/>
      <c r="H756" s="181"/>
      <c r="I756" s="181"/>
      <c r="J756" s="181"/>
      <c r="K756" s="181" t="str">
        <f t="shared" si="17"/>
        <v>HDPH_STAB|carbonate</v>
      </c>
      <c r="L756" s="181"/>
    </row>
    <row r="757" spans="1:12" hidden="1" x14ac:dyDescent="0.35">
      <c r="A757" s="88" t="s">
        <v>3005</v>
      </c>
      <c r="B757" s="88" t="s">
        <v>7130</v>
      </c>
      <c r="C757" s="89" t="s">
        <v>7130</v>
      </c>
      <c r="D757" s="89" t="s">
        <v>473</v>
      </c>
      <c r="E757" s="181"/>
      <c r="F757" s="181"/>
      <c r="G757" s="183"/>
      <c r="H757" s="181"/>
      <c r="I757" s="181"/>
      <c r="J757" s="181"/>
      <c r="K757" s="181" t="str">
        <f t="shared" si="17"/>
        <v>HDPH_STAB|chalk</v>
      </c>
      <c r="L757" s="181"/>
    </row>
    <row r="758" spans="1:12" hidden="1" x14ac:dyDescent="0.35">
      <c r="A758" s="88" t="s">
        <v>3005</v>
      </c>
      <c r="B758" s="88" t="s">
        <v>7131</v>
      </c>
      <c r="C758" s="89" t="s">
        <v>7131</v>
      </c>
      <c r="D758" s="89" t="s">
        <v>473</v>
      </c>
      <c r="E758" s="181"/>
      <c r="F758" s="181"/>
      <c r="G758" s="183"/>
      <c r="H758" s="181"/>
      <c r="I758" s="181"/>
      <c r="J758" s="181"/>
      <c r="K758" s="181" t="str">
        <f t="shared" si="17"/>
        <v>HDPH_STAB|chert</v>
      </c>
      <c r="L758" s="181"/>
    </row>
    <row r="759" spans="1:12" hidden="1" x14ac:dyDescent="0.35">
      <c r="A759" s="88" t="s">
        <v>3005</v>
      </c>
      <c r="B759" s="88" t="s">
        <v>746</v>
      </c>
      <c r="C759" s="89" t="s">
        <v>746</v>
      </c>
      <c r="D759" s="89" t="s">
        <v>473</v>
      </c>
      <c r="E759" s="181"/>
      <c r="F759" s="181"/>
      <c r="G759" s="183"/>
      <c r="H759" s="181"/>
      <c r="I759" s="181"/>
      <c r="J759" s="181"/>
      <c r="K759" s="181" t="str">
        <f t="shared" si="17"/>
        <v>HDPH_STAB|clastic</v>
      </c>
      <c r="L759" s="181"/>
    </row>
    <row r="760" spans="1:12" hidden="1" x14ac:dyDescent="0.35">
      <c r="A760" s="88" t="s">
        <v>3005</v>
      </c>
      <c r="B760" s="88" t="s">
        <v>692</v>
      </c>
      <c r="C760" s="89" t="s">
        <v>7267</v>
      </c>
      <c r="D760" s="89" t="s">
        <v>473</v>
      </c>
      <c r="E760" s="181"/>
      <c r="F760" s="181"/>
      <c r="G760" s="183"/>
      <c r="H760" s="181"/>
      <c r="I760" s="181"/>
      <c r="J760" s="181"/>
      <c r="K760" s="181" t="str">
        <f t="shared" si="17"/>
        <v>HDPH_STAB|clay</v>
      </c>
      <c r="L760" s="181"/>
    </row>
    <row r="761" spans="1:12" hidden="1" x14ac:dyDescent="0.35">
      <c r="A761" s="88" t="s">
        <v>3005</v>
      </c>
      <c r="B761" s="88" t="s">
        <v>7132</v>
      </c>
      <c r="C761" s="89" t="s">
        <v>7132</v>
      </c>
      <c r="D761" s="89" t="s">
        <v>473</v>
      </c>
      <c r="E761" s="181"/>
      <c r="F761" s="181"/>
      <c r="G761" s="183"/>
      <c r="H761" s="181"/>
      <c r="I761" s="181"/>
      <c r="J761" s="181"/>
      <c r="K761" s="181" t="str">
        <f t="shared" si="17"/>
        <v>HDPH_STAB|claystone</v>
      </c>
      <c r="L761" s="181"/>
    </row>
    <row r="762" spans="1:12" hidden="1" x14ac:dyDescent="0.35">
      <c r="A762" s="88" t="s">
        <v>3005</v>
      </c>
      <c r="B762" s="88" t="s">
        <v>7133</v>
      </c>
      <c r="C762" s="89" t="s">
        <v>7133</v>
      </c>
      <c r="D762" s="89" t="s">
        <v>473</v>
      </c>
      <c r="E762" s="181"/>
      <c r="F762" s="181"/>
      <c r="G762" s="183"/>
      <c r="H762" s="181"/>
      <c r="I762" s="181"/>
      <c r="J762" s="181"/>
      <c r="K762" s="181" t="str">
        <f t="shared" si="17"/>
        <v>HDPH_STAB|coal</v>
      </c>
      <c r="L762" s="181"/>
    </row>
    <row r="763" spans="1:12" hidden="1" x14ac:dyDescent="0.35">
      <c r="A763" s="88" t="s">
        <v>3005</v>
      </c>
      <c r="B763" s="88" t="s">
        <v>7175</v>
      </c>
      <c r="C763" s="89" t="s">
        <v>7175</v>
      </c>
      <c r="D763" s="89" t="s">
        <v>473</v>
      </c>
      <c r="E763" s="181"/>
      <c r="F763" s="181"/>
      <c r="G763" s="183"/>
      <c r="H763" s="181"/>
      <c r="I763" s="181"/>
      <c r="J763" s="181"/>
      <c r="K763" s="181" t="str">
        <f t="shared" si="17"/>
        <v>HDPH_STAB|coal and carbonaceous</v>
      </c>
      <c r="L763" s="181"/>
    </row>
    <row r="764" spans="1:12" hidden="1" x14ac:dyDescent="0.35">
      <c r="A764" s="88" t="s">
        <v>3005</v>
      </c>
      <c r="B764" s="88" t="s">
        <v>7134</v>
      </c>
      <c r="C764" s="89" t="s">
        <v>7134</v>
      </c>
      <c r="D764" s="89" t="s">
        <v>473</v>
      </c>
      <c r="E764" s="181"/>
      <c r="F764" s="181"/>
      <c r="G764" s="183"/>
      <c r="H764" s="181"/>
      <c r="I764" s="181"/>
      <c r="J764" s="181"/>
      <c r="K764" s="181" t="str">
        <f t="shared" si="17"/>
        <v>HDPH_STAB|coal lignite</v>
      </c>
      <c r="L764" s="181"/>
    </row>
    <row r="765" spans="1:12" hidden="1" x14ac:dyDescent="0.35">
      <c r="A765" s="88" t="s">
        <v>3005</v>
      </c>
      <c r="B765" s="88" t="s">
        <v>7115</v>
      </c>
      <c r="C765" s="89" t="s">
        <v>7115</v>
      </c>
      <c r="D765" s="89" t="s">
        <v>473</v>
      </c>
      <c r="E765" s="181"/>
      <c r="F765" s="181"/>
      <c r="G765" s="183"/>
      <c r="H765" s="181"/>
      <c r="I765" s="181"/>
      <c r="J765" s="181"/>
      <c r="K765" s="181" t="str">
        <f t="shared" si="17"/>
        <v>HDPH_STAB|coarse</v>
      </c>
      <c r="L765" s="181"/>
    </row>
    <row r="766" spans="1:12" hidden="1" x14ac:dyDescent="0.35">
      <c r="A766" s="88" t="s">
        <v>3005</v>
      </c>
      <c r="B766" s="88" t="s">
        <v>7268</v>
      </c>
      <c r="C766" s="89" t="s">
        <v>7269</v>
      </c>
      <c r="D766" s="89" t="s">
        <v>473</v>
      </c>
      <c r="E766" s="181"/>
      <c r="F766" s="181"/>
      <c r="G766" s="183"/>
      <c r="H766" s="181"/>
      <c r="I766" s="181"/>
      <c r="J766" s="181"/>
      <c r="K766" s="181" t="str">
        <f t="shared" si="17"/>
        <v>HDPH_STAB|cobbles</v>
      </c>
      <c r="L766" s="181"/>
    </row>
    <row r="767" spans="1:12" hidden="1" x14ac:dyDescent="0.35">
      <c r="A767" s="88" t="s">
        <v>3005</v>
      </c>
      <c r="B767" s="88" t="s">
        <v>7357</v>
      </c>
      <c r="C767" s="89" t="s">
        <v>7358</v>
      </c>
      <c r="D767" s="89" t="s">
        <v>473</v>
      </c>
      <c r="E767" s="181"/>
      <c r="F767" s="181"/>
      <c r="G767" s="183"/>
      <c r="H767" s="181"/>
      <c r="I767" s="181"/>
      <c r="J767" s="181"/>
      <c r="K767" s="181" t="str">
        <f t="shared" si="17"/>
        <v>HDPH_STAB|Collapse on Face A</v>
      </c>
      <c r="L767" s="181"/>
    </row>
    <row r="768" spans="1:12" hidden="1" x14ac:dyDescent="0.35">
      <c r="A768" s="88" t="s">
        <v>3005</v>
      </c>
      <c r="B768" s="88" t="s">
        <v>7359</v>
      </c>
      <c r="C768" s="89" t="s">
        <v>7360</v>
      </c>
      <c r="D768" s="89" t="s">
        <v>473</v>
      </c>
      <c r="E768" s="181"/>
      <c r="F768" s="181"/>
      <c r="G768" s="183"/>
      <c r="H768" s="181"/>
      <c r="I768" s="181"/>
      <c r="J768" s="181"/>
      <c r="K768" s="181" t="str">
        <f t="shared" si="17"/>
        <v>HDPH_STAB|Collapse on Face B</v>
      </c>
      <c r="L768" s="181"/>
    </row>
    <row r="769" spans="1:12" hidden="1" x14ac:dyDescent="0.35">
      <c r="A769" s="88" t="s">
        <v>3005</v>
      </c>
      <c r="B769" s="88" t="s">
        <v>7361</v>
      </c>
      <c r="C769" s="89" t="s">
        <v>7362</v>
      </c>
      <c r="D769" s="89" t="s">
        <v>473</v>
      </c>
      <c r="E769" s="181"/>
      <c r="F769" s="181"/>
      <c r="G769" s="183"/>
      <c r="H769" s="181"/>
      <c r="I769" s="181"/>
      <c r="J769" s="181"/>
      <c r="K769" s="181" t="str">
        <f t="shared" si="17"/>
        <v>HDPH_STAB|Collapse on Face C</v>
      </c>
      <c r="L769" s="181"/>
    </row>
    <row r="770" spans="1:12" hidden="1" x14ac:dyDescent="0.35">
      <c r="A770" s="88" t="s">
        <v>3005</v>
      </c>
      <c r="B770" s="88" t="s">
        <v>7363</v>
      </c>
      <c r="C770" s="89" t="s">
        <v>7364</v>
      </c>
      <c r="D770" s="89" t="s">
        <v>473</v>
      </c>
      <c r="E770" s="181"/>
      <c r="F770" s="181"/>
      <c r="G770" s="183"/>
      <c r="H770" s="181"/>
      <c r="I770" s="181"/>
      <c r="J770" s="181"/>
      <c r="K770" s="181" t="str">
        <f t="shared" si="17"/>
        <v>HDPH_STAB|Collapse on Face D</v>
      </c>
      <c r="L770" s="181"/>
    </row>
    <row r="771" spans="1:12" hidden="1" x14ac:dyDescent="0.35">
      <c r="A771" s="88" t="s">
        <v>3005</v>
      </c>
      <c r="B771" s="88" t="s">
        <v>7105</v>
      </c>
      <c r="C771" s="89" t="s">
        <v>7105</v>
      </c>
      <c r="D771" s="89" t="s">
        <v>473</v>
      </c>
      <c r="E771" s="181"/>
      <c r="F771" s="181"/>
      <c r="G771" s="183"/>
      <c r="H771" s="181"/>
      <c r="I771" s="181"/>
      <c r="J771" s="181"/>
      <c r="K771" s="181" t="str">
        <f t="shared" si="17"/>
        <v>HDPH_STAB|colluvial soil</v>
      </c>
      <c r="L771" s="181"/>
    </row>
    <row r="772" spans="1:12" hidden="1" x14ac:dyDescent="0.35">
      <c r="A772" s="88" t="s">
        <v>3005</v>
      </c>
      <c r="B772" s="88" t="s">
        <v>7272</v>
      </c>
      <c r="C772" s="89" t="s">
        <v>7272</v>
      </c>
      <c r="D772" s="89" t="s">
        <v>473</v>
      </c>
      <c r="E772" s="181"/>
      <c r="F772" s="181"/>
      <c r="G772" s="183"/>
      <c r="H772" s="181"/>
      <c r="I772" s="181"/>
      <c r="J772" s="181"/>
      <c r="K772" s="181" t="str">
        <f t="shared" si="17"/>
        <v>HDPH_STAB|concrete</v>
      </c>
      <c r="L772" s="181"/>
    </row>
    <row r="773" spans="1:12" hidden="1" x14ac:dyDescent="0.35">
      <c r="A773" s="88" t="s">
        <v>3005</v>
      </c>
      <c r="B773" s="88" t="s">
        <v>7135</v>
      </c>
      <c r="C773" s="89" t="s">
        <v>7135</v>
      </c>
      <c r="D773" s="89" t="s">
        <v>473</v>
      </c>
      <c r="E773" s="181"/>
      <c r="F773" s="181"/>
      <c r="G773" s="183"/>
      <c r="H773" s="181"/>
      <c r="I773" s="181"/>
      <c r="J773" s="181"/>
      <c r="K773" s="181" t="str">
        <f t="shared" si="17"/>
        <v>HDPH_STAB|conglomerate</v>
      </c>
      <c r="L773" s="181"/>
    </row>
    <row r="774" spans="1:12" hidden="1" x14ac:dyDescent="0.35">
      <c r="A774" s="88" t="s">
        <v>3005</v>
      </c>
      <c r="B774" s="88" t="s">
        <v>7176</v>
      </c>
      <c r="C774" s="89" t="s">
        <v>7176</v>
      </c>
      <c r="D774" s="89" t="s">
        <v>473</v>
      </c>
      <c r="E774" s="181"/>
      <c r="F774" s="181"/>
      <c r="G774" s="183"/>
      <c r="H774" s="181"/>
      <c r="I774" s="181"/>
      <c r="J774" s="181"/>
      <c r="K774" s="181" t="str">
        <f t="shared" si="17"/>
        <v>HDPH_STAB|conglomeratic</v>
      </c>
      <c r="L774" s="181"/>
    </row>
    <row r="775" spans="1:12" hidden="1" x14ac:dyDescent="0.35">
      <c r="A775" s="88" t="s">
        <v>3005</v>
      </c>
      <c r="B775" s="88" t="s">
        <v>7284</v>
      </c>
      <c r="C775" s="89" t="s">
        <v>7284</v>
      </c>
      <c r="D775" s="89" t="s">
        <v>473</v>
      </c>
      <c r="E775" s="181"/>
      <c r="F775" s="181"/>
      <c r="G775" s="183"/>
      <c r="H775" s="181"/>
      <c r="I775" s="181"/>
      <c r="J775" s="181"/>
      <c r="K775" s="181" t="str">
        <f t="shared" si="17"/>
        <v>HDPH_STAB|continuously reinforced</v>
      </c>
      <c r="L775" s="181"/>
    </row>
    <row r="776" spans="1:12" hidden="1" x14ac:dyDescent="0.35">
      <c r="A776" s="88" t="s">
        <v>3005</v>
      </c>
      <c r="B776" s="88" t="s">
        <v>6779</v>
      </c>
      <c r="C776" s="89" t="s">
        <v>6779</v>
      </c>
      <c r="D776" s="89" t="s">
        <v>473</v>
      </c>
      <c r="E776" s="181"/>
      <c r="F776" s="181"/>
      <c r="G776" s="183"/>
      <c r="H776" s="181"/>
      <c r="I776" s="181"/>
      <c r="J776" s="181"/>
      <c r="K776" s="181" t="str">
        <f t="shared" si="17"/>
        <v>HDPH_STAB|cream</v>
      </c>
      <c r="L776" s="181"/>
    </row>
    <row r="777" spans="1:12" hidden="1" x14ac:dyDescent="0.35">
      <c r="A777" s="88" t="s">
        <v>3005</v>
      </c>
      <c r="B777" s="88" t="s">
        <v>7177</v>
      </c>
      <c r="C777" s="89" t="s">
        <v>7177</v>
      </c>
      <c r="D777" s="89" t="s">
        <v>473</v>
      </c>
      <c r="E777" s="181"/>
      <c r="F777" s="181"/>
      <c r="G777" s="183"/>
      <c r="H777" s="181"/>
      <c r="I777" s="181"/>
      <c r="J777" s="181"/>
      <c r="K777" s="181" t="str">
        <f t="shared" si="17"/>
        <v>HDPH_STAB|crystalline</v>
      </c>
      <c r="L777" s="181"/>
    </row>
    <row r="778" spans="1:12" hidden="1" x14ac:dyDescent="0.35">
      <c r="A778" s="88" t="s">
        <v>3005</v>
      </c>
      <c r="B778" s="88" t="s">
        <v>6615</v>
      </c>
      <c r="C778" s="89" t="s">
        <v>6616</v>
      </c>
      <c r="D778" s="89" t="s">
        <v>473</v>
      </c>
      <c r="E778" s="181"/>
      <c r="F778" s="181"/>
      <c r="G778" s="183"/>
      <c r="H778" s="181"/>
      <c r="I778" s="181"/>
      <c r="J778" s="181"/>
      <c r="K778" s="181" t="str">
        <f t="shared" ref="K778:K841" si="18">A778&amp;"|"&amp;B778</f>
        <v>HDPH_STAB|CS</v>
      </c>
      <c r="L778" s="181"/>
    </row>
    <row r="779" spans="1:12" hidden="1" x14ac:dyDescent="0.35">
      <c r="A779" s="88" t="s">
        <v>3005</v>
      </c>
      <c r="B779" s="88" t="s">
        <v>6579</v>
      </c>
      <c r="C779" s="89" t="s">
        <v>7324</v>
      </c>
      <c r="D779" s="89" t="s">
        <v>473</v>
      </c>
      <c r="E779" s="181"/>
      <c r="F779" s="181"/>
      <c r="G779" s="183"/>
      <c r="H779" s="181"/>
      <c r="I779" s="181"/>
      <c r="J779" s="181"/>
      <c r="K779" s="181" t="str">
        <f t="shared" si="18"/>
        <v>HDPH_STAB|CT</v>
      </c>
      <c r="L779" s="181"/>
    </row>
    <row r="780" spans="1:12" hidden="1" x14ac:dyDescent="0.35">
      <c r="A780" s="88" t="s">
        <v>3005</v>
      </c>
      <c r="B780" s="88" t="s">
        <v>6780</v>
      </c>
      <c r="C780" s="89" t="s">
        <v>6780</v>
      </c>
      <c r="D780" s="89" t="s">
        <v>473</v>
      </c>
      <c r="E780" s="181"/>
      <c r="F780" s="181"/>
      <c r="G780" s="183"/>
      <c r="H780" s="181"/>
      <c r="I780" s="181"/>
      <c r="J780" s="181"/>
      <c r="K780" s="181" t="str">
        <f t="shared" si="18"/>
        <v>HDPH_STAB|dark</v>
      </c>
      <c r="L780" s="181"/>
    </row>
    <row r="781" spans="1:12" hidden="1" x14ac:dyDescent="0.35">
      <c r="A781" s="88" t="s">
        <v>3005</v>
      </c>
      <c r="B781" s="88" t="s">
        <v>6617</v>
      </c>
      <c r="C781" s="89" t="s">
        <v>6618</v>
      </c>
      <c r="D781" s="89" t="s">
        <v>473</v>
      </c>
      <c r="E781" s="181"/>
      <c r="F781" s="181"/>
      <c r="G781" s="183"/>
      <c r="H781" s="181"/>
      <c r="I781" s="181"/>
      <c r="J781" s="181"/>
      <c r="K781" s="181" t="str">
        <f t="shared" si="18"/>
        <v>HDPH_STAB|DB</v>
      </c>
      <c r="L781" s="181"/>
    </row>
    <row r="782" spans="1:12" hidden="1" x14ac:dyDescent="0.35">
      <c r="A782" s="88" t="s">
        <v>3005</v>
      </c>
      <c r="B782" s="88" t="s">
        <v>6617</v>
      </c>
      <c r="C782" s="89" t="s">
        <v>7325</v>
      </c>
      <c r="D782" s="89" t="s">
        <v>473</v>
      </c>
      <c r="E782" s="181"/>
      <c r="F782" s="181"/>
      <c r="G782" s="183"/>
      <c r="H782" s="181"/>
      <c r="I782" s="181"/>
      <c r="J782" s="181"/>
      <c r="K782" s="181" t="str">
        <f t="shared" si="18"/>
        <v>HDPH_STAB|DB</v>
      </c>
      <c r="L782" s="181"/>
    </row>
    <row r="783" spans="1:12" hidden="1" x14ac:dyDescent="0.35">
      <c r="A783" s="88" t="s">
        <v>3005</v>
      </c>
      <c r="B783" s="88" t="s">
        <v>7365</v>
      </c>
      <c r="C783" s="89" t="s">
        <v>7366</v>
      </c>
      <c r="D783" s="89" t="s">
        <v>473</v>
      </c>
      <c r="E783" s="181"/>
      <c r="F783" s="181"/>
      <c r="G783" s="183"/>
      <c r="H783" s="181"/>
      <c r="I783" s="181"/>
      <c r="J783" s="181"/>
      <c r="K783" s="181" t="str">
        <f t="shared" si="18"/>
        <v>HDPH_STAB|dGPS0.001</v>
      </c>
      <c r="L783" s="181"/>
    </row>
    <row r="784" spans="1:12" hidden="1" x14ac:dyDescent="0.35">
      <c r="A784" s="88" t="s">
        <v>3005</v>
      </c>
      <c r="B784" s="88" t="s">
        <v>7367</v>
      </c>
      <c r="C784" s="89" t="s">
        <v>7368</v>
      </c>
      <c r="D784" s="89" t="s">
        <v>473</v>
      </c>
      <c r="E784" s="181"/>
      <c r="F784" s="181"/>
      <c r="G784" s="183"/>
      <c r="H784" s="181"/>
      <c r="I784" s="181"/>
      <c r="J784" s="181"/>
      <c r="K784" s="181" t="str">
        <f t="shared" si="18"/>
        <v>HDPH_STAB|dGPS0.01</v>
      </c>
      <c r="L784" s="181"/>
    </row>
    <row r="785" spans="1:12" hidden="1" x14ac:dyDescent="0.35">
      <c r="A785" s="88" t="s">
        <v>3005</v>
      </c>
      <c r="B785" s="88" t="s">
        <v>7369</v>
      </c>
      <c r="C785" s="89" t="s">
        <v>7370</v>
      </c>
      <c r="D785" s="89" t="s">
        <v>473</v>
      </c>
      <c r="E785" s="181"/>
      <c r="F785" s="181"/>
      <c r="G785" s="183"/>
      <c r="H785" s="181"/>
      <c r="I785" s="181"/>
      <c r="J785" s="181"/>
      <c r="K785" s="181" t="str">
        <f t="shared" si="18"/>
        <v>HDPH_STAB|dGPS0.1</v>
      </c>
      <c r="L785" s="181"/>
    </row>
    <row r="786" spans="1:12" hidden="1" x14ac:dyDescent="0.35">
      <c r="A786" s="88" t="s">
        <v>3005</v>
      </c>
      <c r="B786" s="88" t="s">
        <v>7371</v>
      </c>
      <c r="C786" s="89" t="s">
        <v>7372</v>
      </c>
      <c r="D786" s="89" t="s">
        <v>473</v>
      </c>
      <c r="E786" s="181"/>
      <c r="F786" s="181"/>
      <c r="G786" s="183"/>
      <c r="H786" s="181"/>
      <c r="I786" s="181"/>
      <c r="J786" s="181"/>
      <c r="K786" s="181" t="str">
        <f t="shared" si="18"/>
        <v>HDPH_STAB|dGPS1</v>
      </c>
      <c r="L786" s="181"/>
    </row>
    <row r="787" spans="1:12" hidden="1" x14ac:dyDescent="0.35">
      <c r="A787" s="88" t="s">
        <v>3005</v>
      </c>
      <c r="B787" s="88" t="s">
        <v>7373</v>
      </c>
      <c r="C787" s="89" t="s">
        <v>7374</v>
      </c>
      <c r="D787" s="89" t="s">
        <v>473</v>
      </c>
      <c r="E787" s="181"/>
      <c r="F787" s="181"/>
      <c r="G787" s="183"/>
      <c r="H787" s="181"/>
      <c r="I787" s="181"/>
      <c r="J787" s="181"/>
      <c r="K787" s="181" t="str">
        <f t="shared" si="18"/>
        <v>HDPH_STAB|dGPS2</v>
      </c>
      <c r="L787" s="181"/>
    </row>
    <row r="788" spans="1:12" hidden="1" x14ac:dyDescent="0.35">
      <c r="A788" s="88" t="s">
        <v>3005</v>
      </c>
      <c r="B788" s="88" t="s">
        <v>7136</v>
      </c>
      <c r="C788" s="89" t="s">
        <v>7136</v>
      </c>
      <c r="D788" s="89" t="s">
        <v>473</v>
      </c>
      <c r="E788" s="181"/>
      <c r="F788" s="181"/>
      <c r="G788" s="183"/>
      <c r="H788" s="181"/>
      <c r="I788" s="181"/>
      <c r="J788" s="181"/>
      <c r="K788" s="181" t="str">
        <f t="shared" si="18"/>
        <v>HDPH_STAB|diorite</v>
      </c>
      <c r="L788" s="181"/>
    </row>
    <row r="789" spans="1:12" hidden="1" x14ac:dyDescent="0.35">
      <c r="A789" s="88" t="s">
        <v>3005</v>
      </c>
      <c r="B789" s="88" t="s">
        <v>6619</v>
      </c>
      <c r="C789" s="89" t="s">
        <v>6620</v>
      </c>
      <c r="D789" s="89" t="s">
        <v>473</v>
      </c>
      <c r="E789" s="181"/>
      <c r="F789" s="181"/>
      <c r="G789" s="183"/>
      <c r="H789" s="181"/>
      <c r="I789" s="181"/>
      <c r="J789" s="181"/>
      <c r="K789" s="181" t="str">
        <f t="shared" si="18"/>
        <v>HDPH_STAB|DL</v>
      </c>
      <c r="L789" s="181"/>
    </row>
    <row r="790" spans="1:12" hidden="1" x14ac:dyDescent="0.35">
      <c r="A790" s="88" t="s">
        <v>3005</v>
      </c>
      <c r="B790" s="88" t="s">
        <v>7137</v>
      </c>
      <c r="C790" s="89" t="s">
        <v>7137</v>
      </c>
      <c r="D790" s="89" t="s">
        <v>473</v>
      </c>
      <c r="E790" s="181"/>
      <c r="F790" s="181"/>
      <c r="G790" s="183"/>
      <c r="H790" s="181"/>
      <c r="I790" s="181"/>
      <c r="J790" s="181"/>
      <c r="K790" s="181" t="str">
        <f t="shared" si="18"/>
        <v>HDPH_STAB|dolerite</v>
      </c>
      <c r="L790" s="181"/>
    </row>
    <row r="791" spans="1:12" hidden="1" x14ac:dyDescent="0.35">
      <c r="A791" s="88" t="s">
        <v>3005</v>
      </c>
      <c r="B791" s="88" t="s">
        <v>7138</v>
      </c>
      <c r="C791" s="89" t="s">
        <v>7138</v>
      </c>
      <c r="D791" s="89" t="s">
        <v>473</v>
      </c>
      <c r="E791" s="181"/>
      <c r="F791" s="181"/>
      <c r="G791" s="183"/>
      <c r="H791" s="181"/>
      <c r="I791" s="181"/>
      <c r="J791" s="181"/>
      <c r="K791" s="181" t="str">
        <f t="shared" si="18"/>
        <v>HDPH_STAB|dolomite</v>
      </c>
      <c r="L791" s="181"/>
    </row>
    <row r="792" spans="1:12" hidden="1" x14ac:dyDescent="0.35">
      <c r="A792" s="88" t="s">
        <v>3005</v>
      </c>
      <c r="B792" s="88" t="s">
        <v>7116</v>
      </c>
      <c r="C792" s="88" t="s">
        <v>7116</v>
      </c>
      <c r="D792" s="89" t="s">
        <v>473</v>
      </c>
      <c r="E792" s="181"/>
      <c r="F792" s="181"/>
      <c r="G792" s="183"/>
      <c r="H792" s="181"/>
      <c r="I792" s="181"/>
      <c r="J792" s="181"/>
      <c r="K792" s="181" t="str">
        <f t="shared" si="18"/>
        <v>HDPH_STAB|dry</v>
      </c>
      <c r="L792" s="181"/>
    </row>
    <row r="793" spans="1:12" hidden="1" x14ac:dyDescent="0.35">
      <c r="A793" s="88" t="s">
        <v>3005</v>
      </c>
      <c r="B793" s="88" t="s">
        <v>925</v>
      </c>
      <c r="C793" s="89" t="s">
        <v>7326</v>
      </c>
      <c r="D793" s="89" t="s">
        <v>473</v>
      </c>
      <c r="E793" s="181"/>
      <c r="F793" s="181"/>
      <c r="G793" s="183"/>
      <c r="H793" s="181"/>
      <c r="I793" s="181"/>
      <c r="J793" s="181"/>
      <c r="K793" s="181" t="str">
        <f t="shared" si="18"/>
        <v>HDPH_STAB|DT</v>
      </c>
      <c r="L793" s="181"/>
    </row>
    <row r="794" spans="1:12" hidden="1" x14ac:dyDescent="0.35">
      <c r="A794" s="88" t="s">
        <v>3005</v>
      </c>
      <c r="B794" s="88" t="s">
        <v>7327</v>
      </c>
      <c r="C794" s="89" t="s">
        <v>7328</v>
      </c>
      <c r="D794" s="89" t="s">
        <v>473</v>
      </c>
      <c r="E794" s="181"/>
      <c r="F794" s="181"/>
      <c r="G794" s="183"/>
      <c r="H794" s="181"/>
      <c r="I794" s="181"/>
      <c r="J794" s="181"/>
      <c r="K794" s="181" t="str">
        <f t="shared" si="18"/>
        <v>HDPH_STAB|E</v>
      </c>
      <c r="L794" s="181"/>
    </row>
    <row r="795" spans="1:12" hidden="1" x14ac:dyDescent="0.35">
      <c r="A795" s="88" t="s">
        <v>3005</v>
      </c>
      <c r="B795" s="88" t="s">
        <v>7329</v>
      </c>
      <c r="C795" s="89" t="s">
        <v>7330</v>
      </c>
      <c r="D795" s="89" t="s">
        <v>473</v>
      </c>
      <c r="E795" s="181"/>
      <c r="F795" s="181"/>
      <c r="G795" s="183"/>
      <c r="H795" s="181"/>
      <c r="I795" s="181"/>
      <c r="J795" s="181"/>
      <c r="K795" s="181" t="str">
        <f t="shared" si="18"/>
        <v>HDPH_STAB|EH</v>
      </c>
      <c r="L795" s="181"/>
    </row>
    <row r="796" spans="1:12" hidden="1" x14ac:dyDescent="0.35">
      <c r="A796" s="88" t="s">
        <v>3005</v>
      </c>
      <c r="B796" s="88" t="s">
        <v>7246</v>
      </c>
      <c r="C796" s="89" t="s">
        <v>7246</v>
      </c>
      <c r="D796" s="89" t="s">
        <v>473</v>
      </c>
      <c r="E796" s="181"/>
      <c r="F796" s="181"/>
      <c r="G796" s="183"/>
      <c r="H796" s="181"/>
      <c r="I796" s="181"/>
      <c r="J796" s="181"/>
      <c r="K796" s="181" t="str">
        <f t="shared" si="18"/>
        <v>HDPH_STAB|elongated</v>
      </c>
      <c r="L796" s="181"/>
    </row>
    <row r="797" spans="1:12" hidden="1" x14ac:dyDescent="0.35">
      <c r="A797" s="88" t="s">
        <v>3005</v>
      </c>
      <c r="B797" s="88" t="s">
        <v>7106</v>
      </c>
      <c r="C797" s="89" t="s">
        <v>7106</v>
      </c>
      <c r="D797" s="89" t="s">
        <v>473</v>
      </c>
      <c r="E797" s="181"/>
      <c r="F797" s="181"/>
      <c r="G797" s="183"/>
      <c r="H797" s="181"/>
      <c r="I797" s="181"/>
      <c r="J797" s="181"/>
      <c r="K797" s="181" t="str">
        <f t="shared" si="18"/>
        <v>HDPH_STAB|estuarine soil</v>
      </c>
      <c r="L797" s="181"/>
    </row>
    <row r="798" spans="1:12" hidden="1" x14ac:dyDescent="0.35">
      <c r="A798" s="88" t="s">
        <v>3005</v>
      </c>
      <c r="B798" s="90" t="s">
        <v>6621</v>
      </c>
      <c r="C798" s="90" t="s">
        <v>6622</v>
      </c>
      <c r="D798" s="89" t="s">
        <v>473</v>
      </c>
      <c r="E798" s="181"/>
      <c r="F798" s="181"/>
      <c r="G798" s="183"/>
      <c r="H798" s="181"/>
      <c r="I798" s="181"/>
      <c r="J798" s="181"/>
      <c r="K798" s="181" t="str">
        <f t="shared" si="18"/>
        <v>HDPH_STAB|EW</v>
      </c>
      <c r="L798" s="181"/>
    </row>
    <row r="799" spans="1:12" hidden="1" x14ac:dyDescent="0.35">
      <c r="A799" s="88" t="s">
        <v>3005</v>
      </c>
      <c r="B799" s="88" t="s">
        <v>7107</v>
      </c>
      <c r="C799" s="89" t="s">
        <v>7107</v>
      </c>
      <c r="D799" s="89" t="s">
        <v>473</v>
      </c>
      <c r="E799" s="181"/>
      <c r="F799" s="181"/>
      <c r="G799" s="183"/>
      <c r="H799" s="181"/>
      <c r="I799" s="181"/>
      <c r="J799" s="181"/>
      <c r="K799" s="181" t="str">
        <f t="shared" si="18"/>
        <v>HDPH_STAB|extremely weathered material</v>
      </c>
      <c r="L799" s="181"/>
    </row>
    <row r="800" spans="1:12" hidden="1" x14ac:dyDescent="0.35">
      <c r="A800" s="88" t="s">
        <v>3005</v>
      </c>
      <c r="B800" s="88" t="s">
        <v>7139</v>
      </c>
      <c r="C800" s="89" t="s">
        <v>7139</v>
      </c>
      <c r="D800" s="89" t="s">
        <v>473</v>
      </c>
      <c r="E800" s="181"/>
      <c r="F800" s="181"/>
      <c r="G800" s="183"/>
      <c r="H800" s="181"/>
      <c r="I800" s="181"/>
      <c r="J800" s="181"/>
      <c r="K800" s="181" t="str">
        <f t="shared" si="18"/>
        <v>HDPH_STAB|ferricrete</v>
      </c>
      <c r="L800" s="181"/>
    </row>
    <row r="801" spans="1:12" hidden="1" x14ac:dyDescent="0.35">
      <c r="A801" s="88" t="s">
        <v>3005</v>
      </c>
      <c r="B801" s="88" t="s">
        <v>7108</v>
      </c>
      <c r="C801" s="89" t="s">
        <v>7108</v>
      </c>
      <c r="D801" s="89" t="s">
        <v>473</v>
      </c>
      <c r="E801" s="181"/>
      <c r="F801" s="181"/>
      <c r="G801" s="183"/>
      <c r="H801" s="181"/>
      <c r="I801" s="181"/>
      <c r="J801" s="181"/>
      <c r="K801" s="181" t="str">
        <f t="shared" si="18"/>
        <v>HDPH_STAB|fill</v>
      </c>
      <c r="L801" s="181"/>
    </row>
    <row r="802" spans="1:12" hidden="1" x14ac:dyDescent="0.35">
      <c r="A802" s="88" t="s">
        <v>3005</v>
      </c>
      <c r="B802" s="88" t="s">
        <v>714</v>
      </c>
      <c r="C802" s="89" t="s">
        <v>714</v>
      </c>
      <c r="D802" s="89" t="s">
        <v>473</v>
      </c>
      <c r="E802" s="181"/>
      <c r="F802" s="181"/>
      <c r="G802" s="183"/>
      <c r="H802" s="181"/>
      <c r="I802" s="181"/>
      <c r="J802" s="181"/>
      <c r="K802" s="181" t="str">
        <f t="shared" si="18"/>
        <v>HDPH_STAB|fine</v>
      </c>
      <c r="L802" s="181"/>
    </row>
    <row r="803" spans="1:12" hidden="1" x14ac:dyDescent="0.35">
      <c r="A803" s="88" t="s">
        <v>3005</v>
      </c>
      <c r="B803" s="88" t="s">
        <v>7375</v>
      </c>
      <c r="C803" s="89" t="s">
        <v>7376</v>
      </c>
      <c r="D803" s="89" t="s">
        <v>473</v>
      </c>
      <c r="E803" s="181"/>
      <c r="F803" s="181"/>
      <c r="G803" s="183"/>
      <c r="H803" s="181"/>
      <c r="I803" s="181"/>
      <c r="J803" s="181"/>
      <c r="K803" s="181" t="str">
        <f t="shared" si="18"/>
        <v>HDPH_STAB|Flooding</v>
      </c>
      <c r="L803" s="181"/>
    </row>
    <row r="804" spans="1:12" hidden="1" x14ac:dyDescent="0.35">
      <c r="A804" s="88" t="s">
        <v>3005</v>
      </c>
      <c r="B804" s="88" t="s">
        <v>7377</v>
      </c>
      <c r="C804" s="89" t="s">
        <v>7377</v>
      </c>
      <c r="D804" s="89" t="s">
        <v>473</v>
      </c>
      <c r="E804" s="181"/>
      <c r="F804" s="181"/>
      <c r="G804" s="183"/>
      <c r="H804" s="181"/>
      <c r="I804" s="181"/>
      <c r="J804" s="181"/>
      <c r="K804" s="181" t="str">
        <f t="shared" si="18"/>
        <v>HDPH_STAB|Foundation</v>
      </c>
      <c r="L804" s="181"/>
    </row>
    <row r="805" spans="1:12" hidden="1" x14ac:dyDescent="0.35">
      <c r="A805" s="88" t="s">
        <v>3005</v>
      </c>
      <c r="B805" s="88" t="s">
        <v>7140</v>
      </c>
      <c r="C805" s="89" t="s">
        <v>7140</v>
      </c>
      <c r="D805" s="89" t="s">
        <v>473</v>
      </c>
      <c r="E805" s="181"/>
      <c r="F805" s="181"/>
      <c r="G805" s="183"/>
      <c r="H805" s="181"/>
      <c r="I805" s="181"/>
      <c r="J805" s="181"/>
      <c r="K805" s="181" t="str">
        <f t="shared" si="18"/>
        <v>HDPH_STAB|gabbro</v>
      </c>
      <c r="L805" s="181"/>
    </row>
    <row r="806" spans="1:12" hidden="1" x14ac:dyDescent="0.35">
      <c r="A806" s="88" t="s">
        <v>3005</v>
      </c>
      <c r="B806" s="88" t="s">
        <v>7299</v>
      </c>
      <c r="C806" s="89" t="s">
        <v>7300</v>
      </c>
      <c r="D806" s="89" t="s">
        <v>473</v>
      </c>
      <c r="E806" s="181"/>
      <c r="F806" s="181"/>
      <c r="G806" s="183"/>
      <c r="H806" s="181"/>
      <c r="I806" s="181"/>
      <c r="J806" s="181"/>
      <c r="K806" s="181" t="str">
        <f t="shared" si="18"/>
        <v>HDPH_STAB|gap graded</v>
      </c>
      <c r="L806" s="181"/>
    </row>
    <row r="807" spans="1:12" hidden="1" x14ac:dyDescent="0.35">
      <c r="A807" s="88" t="s">
        <v>3005</v>
      </c>
      <c r="B807" s="88" t="s">
        <v>7273</v>
      </c>
      <c r="C807" s="89" t="s">
        <v>7273</v>
      </c>
      <c r="D807" s="89" t="s">
        <v>473</v>
      </c>
      <c r="E807" s="181"/>
      <c r="F807" s="181"/>
      <c r="G807" s="183"/>
      <c r="H807" s="181"/>
      <c r="I807" s="181"/>
      <c r="J807" s="181"/>
      <c r="K807" s="181" t="str">
        <f t="shared" si="18"/>
        <v>HDPH_STAB|geotextile</v>
      </c>
      <c r="L807" s="181"/>
    </row>
    <row r="808" spans="1:12" hidden="1" x14ac:dyDescent="0.35">
      <c r="A808" s="88" t="s">
        <v>3005</v>
      </c>
      <c r="B808" s="88" t="s">
        <v>7141</v>
      </c>
      <c r="C808" s="89" t="s">
        <v>7141</v>
      </c>
      <c r="D808" s="89" t="s">
        <v>473</v>
      </c>
      <c r="E808" s="181"/>
      <c r="F808" s="181"/>
      <c r="G808" s="183"/>
      <c r="H808" s="181"/>
      <c r="I808" s="181"/>
      <c r="J808" s="181"/>
      <c r="K808" s="181" t="str">
        <f t="shared" si="18"/>
        <v>HDPH_STAB|gneiss</v>
      </c>
      <c r="L808" s="181"/>
    </row>
    <row r="809" spans="1:12" hidden="1" x14ac:dyDescent="0.35">
      <c r="A809" s="88" t="s">
        <v>3005</v>
      </c>
      <c r="B809" s="88" t="s">
        <v>7142</v>
      </c>
      <c r="C809" s="89" t="s">
        <v>7142</v>
      </c>
      <c r="D809" s="89" t="s">
        <v>473</v>
      </c>
      <c r="E809" s="181"/>
      <c r="F809" s="181"/>
      <c r="G809" s="183"/>
      <c r="H809" s="181"/>
      <c r="I809" s="181"/>
      <c r="J809" s="181"/>
      <c r="K809" s="181" t="str">
        <f t="shared" si="18"/>
        <v>HDPH_STAB|granite</v>
      </c>
      <c r="L809" s="181"/>
    </row>
    <row r="810" spans="1:12" hidden="1" x14ac:dyDescent="0.35">
      <c r="A810" s="88" t="s">
        <v>3005</v>
      </c>
      <c r="B810" s="88" t="s">
        <v>7143</v>
      </c>
      <c r="C810" s="89" t="s">
        <v>7143</v>
      </c>
      <c r="D810" s="89" t="s">
        <v>473</v>
      </c>
      <c r="E810" s="181"/>
      <c r="F810" s="181"/>
      <c r="G810" s="183"/>
      <c r="H810" s="181"/>
      <c r="I810" s="181"/>
      <c r="J810" s="181"/>
      <c r="K810" s="181" t="str">
        <f t="shared" si="18"/>
        <v>HDPH_STAB|granulite</v>
      </c>
      <c r="L810" s="181"/>
    </row>
    <row r="811" spans="1:12" hidden="1" x14ac:dyDescent="0.35">
      <c r="A811" s="88" t="s">
        <v>3005</v>
      </c>
      <c r="B811" s="88" t="s">
        <v>784</v>
      </c>
      <c r="C811" s="89" t="s">
        <v>7274</v>
      </c>
      <c r="D811" s="89" t="s">
        <v>473</v>
      </c>
      <c r="E811" s="181"/>
      <c r="F811" s="181"/>
      <c r="G811" s="183"/>
      <c r="H811" s="181"/>
      <c r="I811" s="181"/>
      <c r="J811" s="181"/>
      <c r="K811" s="181" t="str">
        <f t="shared" si="18"/>
        <v>HDPH_STAB|gravel</v>
      </c>
      <c r="L811" s="181"/>
    </row>
    <row r="812" spans="1:12" hidden="1" x14ac:dyDescent="0.35">
      <c r="A812" s="88" t="s">
        <v>3005</v>
      </c>
      <c r="B812" s="88" t="s">
        <v>6781</v>
      </c>
      <c r="C812" s="89" t="s">
        <v>6781</v>
      </c>
      <c r="D812" s="89" t="s">
        <v>473</v>
      </c>
      <c r="E812" s="181"/>
      <c r="F812" s="181"/>
      <c r="G812" s="183"/>
      <c r="H812" s="181"/>
      <c r="I812" s="181"/>
      <c r="J812" s="181"/>
      <c r="K812" s="181" t="str">
        <f t="shared" si="18"/>
        <v>HDPH_STAB|green</v>
      </c>
      <c r="L812" s="181"/>
    </row>
    <row r="813" spans="1:12" hidden="1" x14ac:dyDescent="0.35">
      <c r="A813" s="88" t="s">
        <v>3005</v>
      </c>
      <c r="B813" s="88" t="s">
        <v>709</v>
      </c>
      <c r="C813" s="89" t="s">
        <v>709</v>
      </c>
      <c r="D813" s="89" t="s">
        <v>473</v>
      </c>
      <c r="E813" s="181"/>
      <c r="F813" s="181"/>
      <c r="G813" s="183"/>
      <c r="H813" s="181"/>
      <c r="I813" s="181"/>
      <c r="J813" s="181"/>
      <c r="K813" s="181" t="str">
        <f t="shared" si="18"/>
        <v>HDPH_STAB|grey</v>
      </c>
      <c r="L813" s="181"/>
    </row>
    <row r="814" spans="1:12" hidden="1" x14ac:dyDescent="0.35">
      <c r="A814" s="88" t="s">
        <v>3005</v>
      </c>
      <c r="B814" s="88" t="s">
        <v>7144</v>
      </c>
      <c r="C814" s="89" t="s">
        <v>7144</v>
      </c>
      <c r="D814" s="89" t="s">
        <v>473</v>
      </c>
      <c r="E814" s="181"/>
      <c r="F814" s="181"/>
      <c r="G814" s="183"/>
      <c r="H814" s="181"/>
      <c r="I814" s="181"/>
      <c r="J814" s="181"/>
      <c r="K814" s="181" t="str">
        <f t="shared" si="18"/>
        <v>HDPH_STAB|greywacke</v>
      </c>
      <c r="L814" s="181"/>
    </row>
    <row r="815" spans="1:12" hidden="1" x14ac:dyDescent="0.35">
      <c r="A815" s="88" t="s">
        <v>3005</v>
      </c>
      <c r="B815" s="88" t="s">
        <v>7145</v>
      </c>
      <c r="C815" s="88" t="s">
        <v>7145</v>
      </c>
      <c r="D815" s="89" t="s">
        <v>473</v>
      </c>
      <c r="E815" s="181"/>
      <c r="F815" s="181"/>
      <c r="G815" s="183"/>
      <c r="H815" s="181"/>
      <c r="I815" s="181"/>
      <c r="J815" s="181"/>
      <c r="K815" s="181" t="str">
        <f t="shared" si="18"/>
        <v>HDPH_STAB|gypcrete</v>
      </c>
      <c r="L815" s="181"/>
    </row>
    <row r="816" spans="1:12" hidden="1" x14ac:dyDescent="0.35">
      <c r="A816" s="88" t="s">
        <v>3005</v>
      </c>
      <c r="B816" s="88" t="s">
        <v>7146</v>
      </c>
      <c r="C816" s="89" t="s">
        <v>7146</v>
      </c>
      <c r="D816" s="89" t="s">
        <v>473</v>
      </c>
      <c r="E816" s="181"/>
      <c r="F816" s="181"/>
      <c r="G816" s="183"/>
      <c r="H816" s="181"/>
      <c r="I816" s="181"/>
      <c r="J816" s="181"/>
      <c r="K816" s="181" t="str">
        <f t="shared" si="18"/>
        <v>HDPH_STAB|gypsum</v>
      </c>
      <c r="L816" s="181"/>
    </row>
    <row r="817" spans="1:12" hidden="1" x14ac:dyDescent="0.35">
      <c r="A817" s="88" t="s">
        <v>3005</v>
      </c>
      <c r="B817" s="88" t="s">
        <v>4980</v>
      </c>
      <c r="C817" s="89" t="s">
        <v>7331</v>
      </c>
      <c r="D817" s="89" t="s">
        <v>473</v>
      </c>
      <c r="E817" s="181"/>
      <c r="F817" s="181"/>
      <c r="G817" s="183"/>
      <c r="H817" s="181"/>
      <c r="I817" s="181"/>
      <c r="J817" s="181"/>
      <c r="K817" s="181" t="str">
        <f t="shared" si="18"/>
        <v>HDPH_STAB|HA</v>
      </c>
      <c r="L817" s="181"/>
    </row>
    <row r="818" spans="1:12" hidden="1" x14ac:dyDescent="0.35">
      <c r="A818" s="88" t="s">
        <v>3005</v>
      </c>
      <c r="B818" s="88" t="s">
        <v>7147</v>
      </c>
      <c r="C818" s="89" t="s">
        <v>7147</v>
      </c>
      <c r="D818" s="89" t="s">
        <v>473</v>
      </c>
      <c r="E818" s="181"/>
      <c r="F818" s="181"/>
      <c r="G818" s="183"/>
      <c r="H818" s="181"/>
      <c r="I818" s="181"/>
      <c r="J818" s="181"/>
      <c r="K818" s="181" t="str">
        <f t="shared" si="18"/>
        <v>HDPH_STAB|halite</v>
      </c>
      <c r="L818" s="181"/>
    </row>
    <row r="819" spans="1:12" hidden="1" x14ac:dyDescent="0.35">
      <c r="A819" s="88" t="s">
        <v>3005</v>
      </c>
      <c r="B819" s="88" t="s">
        <v>6623</v>
      </c>
      <c r="C819" s="89" t="s">
        <v>6624</v>
      </c>
      <c r="D819" s="89" t="s">
        <v>473</v>
      </c>
      <c r="E819" s="181"/>
      <c r="F819" s="181"/>
      <c r="G819" s="183"/>
      <c r="H819" s="181"/>
      <c r="I819" s="181"/>
      <c r="J819" s="181"/>
      <c r="K819" s="181" t="str">
        <f t="shared" si="18"/>
        <v>HDPH_STAB|HB</v>
      </c>
      <c r="L819" s="181"/>
    </row>
    <row r="820" spans="1:12" hidden="1" x14ac:dyDescent="0.35">
      <c r="A820" s="88" t="s">
        <v>3005</v>
      </c>
      <c r="B820" s="88" t="s">
        <v>7285</v>
      </c>
      <c r="C820" s="89" t="s">
        <v>7285</v>
      </c>
      <c r="D820" s="89" t="s">
        <v>473</v>
      </c>
      <c r="E820" s="181"/>
      <c r="F820" s="181"/>
      <c r="G820" s="183"/>
      <c r="H820" s="181"/>
      <c r="I820" s="181"/>
      <c r="J820" s="181"/>
      <c r="K820" s="181" t="str">
        <f t="shared" si="18"/>
        <v>HDPH_STAB|heavily bound</v>
      </c>
      <c r="L820" s="181"/>
    </row>
    <row r="821" spans="1:12" hidden="1" x14ac:dyDescent="0.35">
      <c r="A821" s="88" t="s">
        <v>3005</v>
      </c>
      <c r="B821" s="88" t="s">
        <v>7378</v>
      </c>
      <c r="C821" s="89" t="s">
        <v>7379</v>
      </c>
      <c r="D821" s="89" t="s">
        <v>473</v>
      </c>
      <c r="E821" s="181"/>
      <c r="F821" s="181"/>
      <c r="G821" s="183"/>
      <c r="H821" s="181"/>
      <c r="I821" s="181"/>
      <c r="J821" s="181"/>
      <c r="K821" s="181" t="str">
        <f t="shared" si="18"/>
        <v>HDPH_STAB|hhGPS5</v>
      </c>
      <c r="L821" s="181"/>
    </row>
    <row r="822" spans="1:12" hidden="1" x14ac:dyDescent="0.35">
      <c r="A822" s="88" t="s">
        <v>3005</v>
      </c>
      <c r="B822" s="88" t="s">
        <v>7257</v>
      </c>
      <c r="C822" s="89" t="s">
        <v>7258</v>
      </c>
      <c r="D822" s="89" t="s">
        <v>473</v>
      </c>
      <c r="E822" s="181"/>
      <c r="F822" s="181"/>
      <c r="G822" s="183"/>
      <c r="H822" s="181"/>
      <c r="I822" s="181"/>
      <c r="J822" s="181"/>
      <c r="K822" s="181" t="str">
        <f t="shared" si="18"/>
        <v>HDPH_STAB|high</v>
      </c>
      <c r="L822" s="181"/>
    </row>
    <row r="823" spans="1:12" hidden="1" x14ac:dyDescent="0.35">
      <c r="A823" s="88" t="s">
        <v>3005</v>
      </c>
      <c r="B823" s="88" t="s">
        <v>7332</v>
      </c>
      <c r="C823" s="89" t="s">
        <v>7333</v>
      </c>
      <c r="D823" s="89" t="s">
        <v>473</v>
      </c>
      <c r="E823" s="181"/>
      <c r="F823" s="181"/>
      <c r="G823" s="183"/>
      <c r="H823" s="181"/>
      <c r="I823" s="181"/>
      <c r="J823" s="181"/>
      <c r="K823" s="181" t="str">
        <f t="shared" si="18"/>
        <v>HDPH_STAB|HMLC</v>
      </c>
      <c r="L823" s="181"/>
    </row>
    <row r="824" spans="1:12" hidden="1" x14ac:dyDescent="0.35">
      <c r="A824" s="88" t="s">
        <v>3005</v>
      </c>
      <c r="B824" s="88" t="s">
        <v>7148</v>
      </c>
      <c r="C824" s="89" t="s">
        <v>7148</v>
      </c>
      <c r="D824" s="89" t="s">
        <v>473</v>
      </c>
      <c r="E824" s="181"/>
      <c r="F824" s="181"/>
      <c r="G824" s="183"/>
      <c r="H824" s="181"/>
      <c r="I824" s="181"/>
      <c r="J824" s="181"/>
      <c r="K824" s="181" t="str">
        <f t="shared" si="18"/>
        <v>HDPH_STAB|hornfels</v>
      </c>
      <c r="L824" s="181"/>
    </row>
    <row r="825" spans="1:12" hidden="1" x14ac:dyDescent="0.35">
      <c r="A825" s="88" t="s">
        <v>3005</v>
      </c>
      <c r="B825" s="88" t="s">
        <v>2984</v>
      </c>
      <c r="C825" s="89" t="s">
        <v>7334</v>
      </c>
      <c r="D825" s="89" t="s">
        <v>473</v>
      </c>
      <c r="E825" s="181"/>
      <c r="F825" s="181"/>
      <c r="G825" s="183"/>
      <c r="H825" s="181"/>
      <c r="I825" s="181"/>
      <c r="J825" s="181"/>
      <c r="K825" s="181" t="str">
        <f t="shared" si="18"/>
        <v>HDPH_STAB|HQ3</v>
      </c>
      <c r="L825" s="181"/>
    </row>
    <row r="826" spans="1:12" hidden="1" x14ac:dyDescent="0.35">
      <c r="A826" s="88" t="s">
        <v>3005</v>
      </c>
      <c r="B826" s="88" t="s">
        <v>7149</v>
      </c>
      <c r="C826" s="89" t="s">
        <v>7149</v>
      </c>
      <c r="D826" s="89" t="s">
        <v>473</v>
      </c>
      <c r="E826" s="181"/>
      <c r="F826" s="181"/>
      <c r="G826" s="183"/>
      <c r="H826" s="181"/>
      <c r="I826" s="181"/>
      <c r="J826" s="181"/>
      <c r="K826" s="181" t="str">
        <f t="shared" si="18"/>
        <v>HDPH_STAB|ignumbrite</v>
      </c>
      <c r="L826" s="181"/>
    </row>
    <row r="827" spans="1:12" hidden="1" x14ac:dyDescent="0.35">
      <c r="A827" s="88" t="s">
        <v>3005</v>
      </c>
      <c r="B827" s="88" t="s">
        <v>7178</v>
      </c>
      <c r="C827" s="88" t="s">
        <v>7178</v>
      </c>
      <c r="D827" s="89" t="s">
        <v>473</v>
      </c>
      <c r="E827" s="181"/>
      <c r="F827" s="181"/>
      <c r="G827" s="183"/>
      <c r="H827" s="181"/>
      <c r="I827" s="181"/>
      <c r="J827" s="181"/>
      <c r="K827" s="181" t="str">
        <f t="shared" si="18"/>
        <v>HDPH_STAB|impure</v>
      </c>
      <c r="L827" s="181"/>
    </row>
    <row r="828" spans="1:12" hidden="1" x14ac:dyDescent="0.35">
      <c r="A828" s="88" t="s">
        <v>3005</v>
      </c>
      <c r="B828" s="88" t="s">
        <v>6782</v>
      </c>
      <c r="C828" s="89" t="s">
        <v>6782</v>
      </c>
      <c r="D828" s="89" t="s">
        <v>473</v>
      </c>
      <c r="E828" s="181"/>
      <c r="F828" s="181"/>
      <c r="G828" s="183"/>
      <c r="H828" s="181"/>
      <c r="I828" s="181"/>
      <c r="J828" s="181"/>
      <c r="K828" s="181" t="str">
        <f t="shared" si="18"/>
        <v>HDPH_STAB|in</v>
      </c>
      <c r="L828" s="181"/>
    </row>
    <row r="829" spans="1:12" hidden="1" x14ac:dyDescent="0.35">
      <c r="A829" s="88" t="s">
        <v>3005</v>
      </c>
      <c r="B829" s="88" t="s">
        <v>772</v>
      </c>
      <c r="C829" s="89" t="s">
        <v>772</v>
      </c>
      <c r="D829" s="89" t="s">
        <v>473</v>
      </c>
      <c r="E829" s="181"/>
      <c r="F829" s="181"/>
      <c r="G829" s="183"/>
      <c r="H829" s="181"/>
      <c r="I829" s="181"/>
      <c r="J829" s="181"/>
      <c r="K829" s="181" t="str">
        <f t="shared" si="18"/>
        <v>HDPH_STAB|interbedded</v>
      </c>
      <c r="L829" s="181"/>
    </row>
    <row r="830" spans="1:12" hidden="1" x14ac:dyDescent="0.35">
      <c r="A830" s="88" t="s">
        <v>3005</v>
      </c>
      <c r="B830" s="88" t="s">
        <v>772</v>
      </c>
      <c r="C830" s="89" t="s">
        <v>772</v>
      </c>
      <c r="D830" s="89" t="s">
        <v>473</v>
      </c>
      <c r="E830" s="181"/>
      <c r="F830" s="181"/>
      <c r="G830" s="183"/>
      <c r="H830" s="181"/>
      <c r="I830" s="181"/>
      <c r="J830" s="181"/>
      <c r="K830" s="181" t="str">
        <f t="shared" si="18"/>
        <v>HDPH_STAB|interbedded</v>
      </c>
      <c r="L830" s="181"/>
    </row>
    <row r="831" spans="1:12" hidden="1" x14ac:dyDescent="0.35">
      <c r="A831" s="88" t="s">
        <v>3005</v>
      </c>
      <c r="B831" s="88" t="s">
        <v>773</v>
      </c>
      <c r="C831" s="89" t="s">
        <v>773</v>
      </c>
      <c r="D831" s="89" t="s">
        <v>473</v>
      </c>
      <c r="E831" s="181"/>
      <c r="F831" s="181"/>
      <c r="G831" s="183"/>
      <c r="H831" s="181"/>
      <c r="I831" s="181"/>
      <c r="J831" s="181"/>
      <c r="K831" s="181" t="str">
        <f t="shared" si="18"/>
        <v>HDPH_STAB|interlaminated</v>
      </c>
      <c r="L831" s="181"/>
    </row>
    <row r="832" spans="1:12" hidden="1" x14ac:dyDescent="0.35">
      <c r="A832" s="88" t="s">
        <v>3005</v>
      </c>
      <c r="B832" s="88" t="s">
        <v>7293</v>
      </c>
      <c r="C832" s="89" t="s">
        <v>7293</v>
      </c>
      <c r="D832" s="89" t="s">
        <v>473</v>
      </c>
      <c r="E832" s="181"/>
      <c r="F832" s="181"/>
      <c r="G832" s="183"/>
      <c r="H832" s="181"/>
      <c r="I832" s="181"/>
      <c r="J832" s="181"/>
      <c r="K832" s="181" t="str">
        <f t="shared" si="18"/>
        <v>HDPH_STAB|Intermixed</v>
      </c>
      <c r="L832" s="181"/>
    </row>
    <row r="833" spans="1:12" hidden="1" x14ac:dyDescent="0.35">
      <c r="A833" s="88" t="s">
        <v>3005</v>
      </c>
      <c r="B833" s="88" t="s">
        <v>7150</v>
      </c>
      <c r="C833" s="89" t="s">
        <v>7150</v>
      </c>
      <c r="D833" s="89" t="s">
        <v>473</v>
      </c>
      <c r="E833" s="181"/>
      <c r="F833" s="181"/>
      <c r="G833" s="183"/>
      <c r="H833" s="181"/>
      <c r="I833" s="181"/>
      <c r="J833" s="181"/>
      <c r="K833" s="181" t="str">
        <f t="shared" si="18"/>
        <v>HDPH_STAB|ironstone</v>
      </c>
      <c r="L833" s="181"/>
    </row>
    <row r="834" spans="1:12" hidden="1" x14ac:dyDescent="0.35">
      <c r="A834" s="88" t="s">
        <v>3005</v>
      </c>
      <c r="B834" s="88" t="s">
        <v>6625</v>
      </c>
      <c r="C834" s="89" t="s">
        <v>6626</v>
      </c>
      <c r="D834" s="89" t="s">
        <v>473</v>
      </c>
      <c r="E834" s="181"/>
      <c r="F834" s="181"/>
      <c r="G834" s="183"/>
      <c r="H834" s="181"/>
      <c r="I834" s="181"/>
      <c r="J834" s="181"/>
      <c r="K834" s="181" t="str">
        <f t="shared" si="18"/>
        <v>HDPH_STAB|IS</v>
      </c>
      <c r="L834" s="181"/>
    </row>
    <row r="835" spans="1:12" hidden="1" x14ac:dyDescent="0.35">
      <c r="A835" s="88" t="s">
        <v>3005</v>
      </c>
      <c r="B835" s="88" t="s">
        <v>6627</v>
      </c>
      <c r="C835" s="89" t="s">
        <v>6628</v>
      </c>
      <c r="D835" s="89" t="s">
        <v>473</v>
      </c>
      <c r="E835" s="181"/>
      <c r="F835" s="181"/>
      <c r="G835" s="183"/>
      <c r="H835" s="181"/>
      <c r="I835" s="181"/>
      <c r="J835" s="181"/>
      <c r="K835" s="181" t="str">
        <f t="shared" si="18"/>
        <v>HDPH_STAB|J</v>
      </c>
      <c r="L835" s="181"/>
    </row>
    <row r="836" spans="1:12" hidden="1" x14ac:dyDescent="0.35">
      <c r="A836" s="88" t="s">
        <v>3005</v>
      </c>
      <c r="B836" s="88" t="s">
        <v>7109</v>
      </c>
      <c r="C836" s="89" t="s">
        <v>7109</v>
      </c>
      <c r="D836" s="89" t="s">
        <v>473</v>
      </c>
      <c r="E836" s="181"/>
      <c r="F836" s="181"/>
      <c r="G836" s="183"/>
      <c r="H836" s="181"/>
      <c r="I836" s="181"/>
      <c r="J836" s="181"/>
      <c r="K836" s="181" t="str">
        <f t="shared" si="18"/>
        <v>HDPH_STAB|lacustrine soil</v>
      </c>
      <c r="L836" s="181"/>
    </row>
    <row r="837" spans="1:12" hidden="1" x14ac:dyDescent="0.35">
      <c r="A837" s="88" t="s">
        <v>3005</v>
      </c>
      <c r="B837" s="88" t="s">
        <v>7151</v>
      </c>
      <c r="C837" s="88" t="s">
        <v>7151</v>
      </c>
      <c r="D837" s="89" t="s">
        <v>473</v>
      </c>
      <c r="E837" s="181"/>
      <c r="F837" s="181"/>
      <c r="G837" s="183"/>
      <c r="H837" s="181"/>
      <c r="I837" s="181"/>
      <c r="J837" s="181"/>
      <c r="K837" s="181" t="str">
        <f t="shared" si="18"/>
        <v>HDPH_STAB|laminite</v>
      </c>
      <c r="L837" s="181"/>
    </row>
    <row r="838" spans="1:12" hidden="1" x14ac:dyDescent="0.35">
      <c r="A838" s="88" t="s">
        <v>3005</v>
      </c>
      <c r="B838" s="88" t="s">
        <v>7294</v>
      </c>
      <c r="C838" s="89" t="s">
        <v>7294</v>
      </c>
      <c r="D838" s="89" t="s">
        <v>473</v>
      </c>
      <c r="E838" s="181"/>
      <c r="F838" s="181"/>
      <c r="G838" s="183"/>
      <c r="H838" s="181"/>
      <c r="I838" s="181"/>
      <c r="J838" s="181"/>
      <c r="K838" s="181" t="str">
        <f t="shared" si="18"/>
        <v>HDPH_STAB|layers</v>
      </c>
      <c r="L838" s="181"/>
    </row>
    <row r="839" spans="1:12" hidden="1" x14ac:dyDescent="0.35">
      <c r="A839" s="88" t="s">
        <v>3005</v>
      </c>
      <c r="B839" s="88" t="s">
        <v>7286</v>
      </c>
      <c r="C839" s="89" t="s">
        <v>7286</v>
      </c>
      <c r="D839" s="89" t="s">
        <v>473</v>
      </c>
      <c r="E839" s="181"/>
      <c r="F839" s="181"/>
      <c r="G839" s="183"/>
      <c r="H839" s="181"/>
      <c r="I839" s="181"/>
      <c r="J839" s="181"/>
      <c r="K839" s="181" t="str">
        <f t="shared" si="18"/>
        <v>HDPH_STAB|lean mix</v>
      </c>
      <c r="L839" s="181"/>
    </row>
    <row r="840" spans="1:12" hidden="1" x14ac:dyDescent="0.35">
      <c r="A840" s="88" t="s">
        <v>3005</v>
      </c>
      <c r="B840" s="88" t="s">
        <v>7295</v>
      </c>
      <c r="C840" s="89" t="s">
        <v>7295</v>
      </c>
      <c r="D840" s="89" t="s">
        <v>473</v>
      </c>
      <c r="E840" s="181"/>
      <c r="F840" s="181"/>
      <c r="G840" s="183"/>
      <c r="H840" s="181"/>
      <c r="I840" s="181"/>
      <c r="J840" s="181"/>
      <c r="K840" s="181" t="str">
        <f t="shared" si="18"/>
        <v>HDPH_STAB|lenses</v>
      </c>
      <c r="L840" s="181"/>
    </row>
    <row r="841" spans="1:12" hidden="1" x14ac:dyDescent="0.35">
      <c r="A841" s="88" t="s">
        <v>3005</v>
      </c>
      <c r="B841" s="88" t="s">
        <v>7287</v>
      </c>
      <c r="C841" s="89" t="s">
        <v>7287</v>
      </c>
      <c r="D841" s="89" t="s">
        <v>473</v>
      </c>
      <c r="E841" s="181"/>
      <c r="F841" s="181"/>
      <c r="G841" s="183"/>
      <c r="H841" s="181"/>
      <c r="I841" s="181"/>
      <c r="J841" s="181"/>
      <c r="K841" s="181" t="str">
        <f t="shared" si="18"/>
        <v>HDPH_STAB|lightly bound</v>
      </c>
      <c r="L841" s="181"/>
    </row>
    <row r="842" spans="1:12" hidden="1" x14ac:dyDescent="0.35">
      <c r="A842" s="88" t="s">
        <v>3005</v>
      </c>
      <c r="B842" s="88" t="s">
        <v>7152</v>
      </c>
      <c r="C842" s="89" t="s">
        <v>7152</v>
      </c>
      <c r="D842" s="89" t="s">
        <v>473</v>
      </c>
      <c r="E842" s="181"/>
      <c r="F842" s="181"/>
      <c r="G842" s="183"/>
      <c r="H842" s="181"/>
      <c r="I842" s="181"/>
      <c r="J842" s="181"/>
      <c r="K842" s="181" t="str">
        <f t="shared" ref="K842:K905" si="19">A842&amp;"|"&amp;B842</f>
        <v>HDPH_STAB|lignite</v>
      </c>
      <c r="L842" s="181"/>
    </row>
    <row r="843" spans="1:12" hidden="1" x14ac:dyDescent="0.35">
      <c r="A843" s="88" t="s">
        <v>3005</v>
      </c>
      <c r="B843" s="88" t="s">
        <v>7153</v>
      </c>
      <c r="C843" s="89" t="s">
        <v>7153</v>
      </c>
      <c r="D843" s="89" t="s">
        <v>473</v>
      </c>
      <c r="E843" s="181"/>
      <c r="F843" s="181"/>
      <c r="G843" s="183"/>
      <c r="H843" s="181"/>
      <c r="I843" s="181"/>
      <c r="J843" s="181"/>
      <c r="K843" s="181" t="str">
        <f t="shared" si="19"/>
        <v>HDPH_STAB|limestone</v>
      </c>
      <c r="L843" s="181"/>
    </row>
    <row r="844" spans="1:12" hidden="1" x14ac:dyDescent="0.35">
      <c r="A844" s="88" t="s">
        <v>3005</v>
      </c>
      <c r="B844" s="88" t="s">
        <v>7179</v>
      </c>
      <c r="C844" s="89" t="s">
        <v>7179</v>
      </c>
      <c r="D844" s="89" t="s">
        <v>473</v>
      </c>
      <c r="E844" s="181"/>
      <c r="F844" s="181"/>
      <c r="G844" s="183"/>
      <c r="H844" s="181"/>
      <c r="I844" s="181"/>
      <c r="J844" s="181"/>
      <c r="K844" s="181" t="str">
        <f t="shared" si="19"/>
        <v>HDPH_STAB|lithic</v>
      </c>
      <c r="L844" s="181"/>
    </row>
    <row r="845" spans="1:12" hidden="1" x14ac:dyDescent="0.35">
      <c r="A845" s="88" t="s">
        <v>3005</v>
      </c>
      <c r="B845" s="88" t="s">
        <v>7380</v>
      </c>
      <c r="C845" s="89" t="s">
        <v>7381</v>
      </c>
      <c r="D845" s="89" t="s">
        <v>473</v>
      </c>
      <c r="E845" s="181"/>
      <c r="F845" s="181"/>
      <c r="G845" s="183"/>
      <c r="H845" s="181"/>
      <c r="I845" s="181"/>
      <c r="J845" s="181"/>
      <c r="K845" s="181" t="str">
        <f t="shared" si="19"/>
        <v>HDPH_STAB|LL0.1</v>
      </c>
      <c r="L845" s="181"/>
    </row>
    <row r="846" spans="1:12" hidden="1" x14ac:dyDescent="0.35">
      <c r="A846" s="88" t="s">
        <v>3005</v>
      </c>
      <c r="B846" s="88" t="s">
        <v>7382</v>
      </c>
      <c r="C846" s="89" t="s">
        <v>7383</v>
      </c>
      <c r="D846" s="89" t="s">
        <v>473</v>
      </c>
      <c r="E846" s="181"/>
      <c r="F846" s="181"/>
      <c r="G846" s="183"/>
      <c r="H846" s="181"/>
      <c r="I846" s="181"/>
      <c r="J846" s="181"/>
      <c r="K846" s="181" t="str">
        <f t="shared" si="19"/>
        <v>HDPH_STAB|LL1</v>
      </c>
      <c r="L846" s="181"/>
    </row>
    <row r="847" spans="1:12" hidden="1" x14ac:dyDescent="0.35">
      <c r="A847" s="88" t="s">
        <v>3005</v>
      </c>
      <c r="B847" s="88" t="s">
        <v>7259</v>
      </c>
      <c r="C847" s="89" t="s">
        <v>7260</v>
      </c>
      <c r="D847" s="89" t="s">
        <v>473</v>
      </c>
      <c r="E847" s="181"/>
      <c r="F847" s="181"/>
      <c r="G847" s="183"/>
      <c r="H847" s="181"/>
      <c r="I847" s="181"/>
      <c r="J847" s="181"/>
      <c r="K847" s="181" t="str">
        <f t="shared" si="19"/>
        <v>HDPH_STAB|low</v>
      </c>
      <c r="L847" s="181"/>
    </row>
    <row r="848" spans="1:12" hidden="1" x14ac:dyDescent="0.35">
      <c r="A848" s="88" t="s">
        <v>3005</v>
      </c>
      <c r="B848" s="88" t="s">
        <v>734</v>
      </c>
      <c r="C848" s="88" t="s">
        <v>734</v>
      </c>
      <c r="D848" s="89" t="s">
        <v>473</v>
      </c>
      <c r="E848" s="181"/>
      <c r="F848" s="181"/>
      <c r="G848" s="183"/>
      <c r="H848" s="181"/>
      <c r="I848" s="181"/>
      <c r="J848" s="181"/>
      <c r="K848" s="181" t="str">
        <f t="shared" si="19"/>
        <v>HDPH_STAB|low to medium</v>
      </c>
      <c r="L848" s="181"/>
    </row>
    <row r="849" spans="1:12" hidden="1" x14ac:dyDescent="0.35">
      <c r="A849" s="88" t="s">
        <v>3005</v>
      </c>
      <c r="B849" s="88" t="s">
        <v>6712</v>
      </c>
      <c r="C849" s="89" t="s">
        <v>6712</v>
      </c>
      <c r="D849" s="89" t="s">
        <v>473</v>
      </c>
      <c r="E849" s="181"/>
      <c r="F849" s="181"/>
      <c r="G849" s="183"/>
      <c r="H849" s="181"/>
      <c r="I849" s="181"/>
      <c r="J849" s="181"/>
      <c r="K849" s="181" t="str">
        <f t="shared" si="19"/>
        <v>HDPH_STAB|Lubricant</v>
      </c>
      <c r="L849" s="181"/>
    </row>
    <row r="850" spans="1:12" hidden="1" x14ac:dyDescent="0.35">
      <c r="A850" s="88" t="s">
        <v>3005</v>
      </c>
      <c r="B850" s="88" t="s">
        <v>7275</v>
      </c>
      <c r="C850" s="89" t="s">
        <v>7275</v>
      </c>
      <c r="D850" s="89" t="s">
        <v>473</v>
      </c>
      <c r="E850" s="181"/>
      <c r="F850" s="181"/>
      <c r="G850" s="183"/>
      <c r="H850" s="181"/>
      <c r="I850" s="181"/>
      <c r="J850" s="181"/>
      <c r="K850" s="181" t="str">
        <f t="shared" si="19"/>
        <v>HDPH_STAB|macadam</v>
      </c>
      <c r="L850" s="181"/>
    </row>
    <row r="851" spans="1:12" hidden="1" x14ac:dyDescent="0.35">
      <c r="A851" s="88" t="s">
        <v>3005</v>
      </c>
      <c r="B851" s="88" t="s">
        <v>7384</v>
      </c>
      <c r="C851" s="89" t="s">
        <v>7385</v>
      </c>
      <c r="D851" s="89" t="s">
        <v>473</v>
      </c>
      <c r="E851" s="181"/>
      <c r="F851" s="181"/>
      <c r="G851" s="183"/>
      <c r="H851" s="181"/>
      <c r="I851" s="181"/>
      <c r="J851" s="181"/>
      <c r="K851" s="181" t="str">
        <f t="shared" si="19"/>
        <v>HDPH_STAB|Major spalling</v>
      </c>
      <c r="L851" s="181"/>
    </row>
    <row r="852" spans="1:12" hidden="1" x14ac:dyDescent="0.35">
      <c r="A852" s="88" t="s">
        <v>3005</v>
      </c>
      <c r="B852" s="88" t="s">
        <v>7386</v>
      </c>
      <c r="C852" s="89" t="s">
        <v>7387</v>
      </c>
      <c r="D852" s="89" t="s">
        <v>473</v>
      </c>
      <c r="E852" s="181"/>
      <c r="F852" s="181"/>
      <c r="G852" s="183"/>
      <c r="H852" s="181"/>
      <c r="I852" s="181"/>
      <c r="J852" s="181"/>
      <c r="K852" s="181" t="str">
        <f t="shared" si="19"/>
        <v>HDPH_STAB|MAP0.1</v>
      </c>
      <c r="L852" s="181"/>
    </row>
    <row r="853" spans="1:12" hidden="1" x14ac:dyDescent="0.35">
      <c r="A853" s="88" t="s">
        <v>3005</v>
      </c>
      <c r="B853" s="88" t="s">
        <v>7388</v>
      </c>
      <c r="C853" s="89" t="s">
        <v>7389</v>
      </c>
      <c r="D853" s="89" t="s">
        <v>473</v>
      </c>
      <c r="E853" s="181"/>
      <c r="F853" s="181"/>
      <c r="G853" s="183"/>
      <c r="H853" s="181"/>
      <c r="I853" s="181"/>
      <c r="J853" s="181"/>
      <c r="K853" s="181" t="str">
        <f t="shared" si="19"/>
        <v>HDPH_STAB|MAP0.5</v>
      </c>
      <c r="L853" s="181"/>
    </row>
    <row r="854" spans="1:12" hidden="1" x14ac:dyDescent="0.35">
      <c r="A854" s="88" t="s">
        <v>3005</v>
      </c>
      <c r="B854" s="88" t="s">
        <v>7390</v>
      </c>
      <c r="C854" s="89" t="s">
        <v>7391</v>
      </c>
      <c r="D854" s="89" t="s">
        <v>473</v>
      </c>
      <c r="E854" s="181"/>
      <c r="F854" s="181"/>
      <c r="G854" s="183"/>
      <c r="H854" s="181"/>
      <c r="I854" s="181"/>
      <c r="J854" s="181"/>
      <c r="K854" s="181" t="str">
        <f t="shared" si="19"/>
        <v>HDPH_STAB|MAP1</v>
      </c>
      <c r="L854" s="181"/>
    </row>
    <row r="855" spans="1:12" hidden="1" x14ac:dyDescent="0.35">
      <c r="A855" s="88" t="s">
        <v>3005</v>
      </c>
      <c r="B855" s="88" t="s">
        <v>7392</v>
      </c>
      <c r="C855" s="89" t="s">
        <v>7393</v>
      </c>
      <c r="D855" s="89" t="s">
        <v>473</v>
      </c>
      <c r="E855" s="181"/>
      <c r="F855" s="181"/>
      <c r="G855" s="183"/>
      <c r="H855" s="181"/>
      <c r="I855" s="181"/>
      <c r="J855" s="181"/>
      <c r="K855" s="181" t="str">
        <f t="shared" si="19"/>
        <v>HDPH_STAB|MAP5</v>
      </c>
      <c r="L855" s="181"/>
    </row>
    <row r="856" spans="1:12" hidden="1" x14ac:dyDescent="0.35">
      <c r="A856" s="88" t="s">
        <v>3005</v>
      </c>
      <c r="B856" s="88" t="s">
        <v>7154</v>
      </c>
      <c r="C856" s="89" t="s">
        <v>7154</v>
      </c>
      <c r="D856" s="89" t="s">
        <v>473</v>
      </c>
      <c r="E856" s="181"/>
      <c r="F856" s="181"/>
      <c r="G856" s="183"/>
      <c r="H856" s="181"/>
      <c r="I856" s="181"/>
      <c r="J856" s="181"/>
      <c r="K856" s="181" t="str">
        <f t="shared" si="19"/>
        <v>HDPH_STAB|marble</v>
      </c>
      <c r="L856" s="181"/>
    </row>
    <row r="857" spans="1:12" hidden="1" x14ac:dyDescent="0.35">
      <c r="A857" s="88" t="s">
        <v>3005</v>
      </c>
      <c r="B857" s="88" t="s">
        <v>7110</v>
      </c>
      <c r="C857" s="89" t="s">
        <v>7110</v>
      </c>
      <c r="D857" s="89" t="s">
        <v>473</v>
      </c>
      <c r="E857" s="181"/>
      <c r="F857" s="181"/>
      <c r="G857" s="183"/>
      <c r="H857" s="181"/>
      <c r="I857" s="181"/>
      <c r="J857" s="181"/>
      <c r="K857" s="181" t="str">
        <f t="shared" si="19"/>
        <v>HDPH_STAB|marine soil</v>
      </c>
      <c r="L857" s="181"/>
    </row>
    <row r="858" spans="1:12" hidden="1" x14ac:dyDescent="0.35">
      <c r="A858" s="88" t="s">
        <v>3005</v>
      </c>
      <c r="B858" s="90" t="s">
        <v>6629</v>
      </c>
      <c r="C858" s="90" t="s">
        <v>6630</v>
      </c>
      <c r="D858" s="89" t="s">
        <v>473</v>
      </c>
      <c r="E858" s="181"/>
      <c r="F858" s="181"/>
      <c r="G858" s="183"/>
      <c r="H858" s="181"/>
      <c r="I858" s="181"/>
      <c r="J858" s="181"/>
      <c r="K858" s="181" t="str">
        <f t="shared" si="19"/>
        <v>HDPH_STAB|MB</v>
      </c>
      <c r="L858" s="181"/>
    </row>
    <row r="859" spans="1:12" hidden="1" x14ac:dyDescent="0.35">
      <c r="A859" s="88" t="s">
        <v>3005</v>
      </c>
      <c r="B859" s="88" t="s">
        <v>715</v>
      </c>
      <c r="C859" s="89" t="s">
        <v>7261</v>
      </c>
      <c r="D859" s="89" t="s">
        <v>473</v>
      </c>
      <c r="E859" s="181"/>
      <c r="F859" s="181"/>
      <c r="G859" s="183"/>
      <c r="H859" s="181"/>
      <c r="I859" s="181"/>
      <c r="J859" s="181"/>
      <c r="K859" s="181" t="str">
        <f t="shared" si="19"/>
        <v>HDPH_STAB|medium</v>
      </c>
      <c r="L859" s="181"/>
    </row>
    <row r="860" spans="1:12" hidden="1" x14ac:dyDescent="0.35">
      <c r="A860" s="88" t="s">
        <v>3005</v>
      </c>
      <c r="B860" s="88" t="s">
        <v>715</v>
      </c>
      <c r="C860" s="89" t="s">
        <v>715</v>
      </c>
      <c r="D860" s="89" t="s">
        <v>473</v>
      </c>
      <c r="E860" s="181"/>
      <c r="F860" s="181"/>
      <c r="G860" s="183"/>
      <c r="H860" s="181"/>
      <c r="I860" s="181"/>
      <c r="J860" s="181"/>
      <c r="K860" s="181" t="str">
        <f t="shared" si="19"/>
        <v>HDPH_STAB|medium</v>
      </c>
      <c r="L860" s="181"/>
    </row>
    <row r="861" spans="1:12" hidden="1" x14ac:dyDescent="0.35">
      <c r="A861" s="88" t="s">
        <v>3005</v>
      </c>
      <c r="B861" s="88" t="s">
        <v>7262</v>
      </c>
      <c r="C861" s="88" t="s">
        <v>7262</v>
      </c>
      <c r="D861" s="89" t="s">
        <v>473</v>
      </c>
      <c r="E861" s="181"/>
      <c r="F861" s="181"/>
      <c r="G861" s="183"/>
      <c r="H861" s="181"/>
      <c r="I861" s="181"/>
      <c r="J861" s="181"/>
      <c r="K861" s="181" t="str">
        <f t="shared" si="19"/>
        <v>HDPH_STAB|medium to high</v>
      </c>
      <c r="L861" s="181"/>
    </row>
    <row r="862" spans="1:12" hidden="1" x14ac:dyDescent="0.35">
      <c r="A862" s="88" t="s">
        <v>3005</v>
      </c>
      <c r="B862" s="88" t="s">
        <v>7180</v>
      </c>
      <c r="C862" s="89" t="s">
        <v>7180</v>
      </c>
      <c r="D862" s="89" t="s">
        <v>473</v>
      </c>
      <c r="E862" s="181"/>
      <c r="F862" s="181"/>
      <c r="G862" s="183"/>
      <c r="H862" s="181"/>
      <c r="I862" s="181"/>
      <c r="J862" s="181"/>
      <c r="K862" s="181" t="str">
        <f t="shared" si="19"/>
        <v>HDPH_STAB|meta</v>
      </c>
      <c r="L862" s="181"/>
    </row>
    <row r="863" spans="1:12" hidden="1" x14ac:dyDescent="0.35">
      <c r="A863" s="88" t="s">
        <v>3005</v>
      </c>
      <c r="B863" s="88" t="s">
        <v>7155</v>
      </c>
      <c r="C863" s="89" t="s">
        <v>7155</v>
      </c>
      <c r="D863" s="89" t="s">
        <v>473</v>
      </c>
      <c r="E863" s="181"/>
      <c r="F863" s="181"/>
      <c r="G863" s="183"/>
      <c r="H863" s="181"/>
      <c r="I863" s="181"/>
      <c r="J863" s="181"/>
      <c r="K863" s="181" t="str">
        <f t="shared" si="19"/>
        <v>HDPH_STAB|microdiorite</v>
      </c>
      <c r="L863" s="181"/>
    </row>
    <row r="864" spans="1:12" hidden="1" x14ac:dyDescent="0.35">
      <c r="A864" s="88" t="s">
        <v>3005</v>
      </c>
      <c r="B864" s="88" t="s">
        <v>7156</v>
      </c>
      <c r="C864" s="89" t="s">
        <v>7156</v>
      </c>
      <c r="D864" s="89" t="s">
        <v>473</v>
      </c>
      <c r="E864" s="181"/>
      <c r="F864" s="181"/>
      <c r="G864" s="183"/>
      <c r="H864" s="181"/>
      <c r="I864" s="181"/>
      <c r="J864" s="181"/>
      <c r="K864" s="181" t="str">
        <f t="shared" si="19"/>
        <v>HDPH_STAB|microgranite</v>
      </c>
      <c r="L864" s="181"/>
    </row>
    <row r="865" spans="1:12" hidden="1" x14ac:dyDescent="0.35">
      <c r="A865" s="88" t="s">
        <v>3005</v>
      </c>
      <c r="B865" s="88" t="s">
        <v>7157</v>
      </c>
      <c r="C865" s="89" t="s">
        <v>7157</v>
      </c>
      <c r="D865" s="89" t="s">
        <v>473</v>
      </c>
      <c r="E865" s="181"/>
      <c r="F865" s="181"/>
      <c r="G865" s="183"/>
      <c r="H865" s="181"/>
      <c r="I865" s="181"/>
      <c r="J865" s="181"/>
      <c r="K865" s="181" t="str">
        <f t="shared" si="19"/>
        <v>HDPH_STAB|migmatite</v>
      </c>
      <c r="L865" s="181"/>
    </row>
    <row r="866" spans="1:12" hidden="1" x14ac:dyDescent="0.35">
      <c r="A866" s="88" t="s">
        <v>3005</v>
      </c>
      <c r="B866" s="88" t="s">
        <v>7394</v>
      </c>
      <c r="C866" s="89" t="s">
        <v>7395</v>
      </c>
      <c r="D866" s="89" t="s">
        <v>473</v>
      </c>
      <c r="E866" s="181"/>
      <c r="F866" s="181"/>
      <c r="G866" s="183"/>
      <c r="H866" s="181"/>
      <c r="I866" s="181"/>
      <c r="J866" s="181"/>
      <c r="K866" s="181" t="str">
        <f t="shared" si="19"/>
        <v>HDPH_STAB|Minor spalling</v>
      </c>
      <c r="L866" s="181"/>
    </row>
    <row r="867" spans="1:12" hidden="1" x14ac:dyDescent="0.35">
      <c r="A867" s="88" t="s">
        <v>3005</v>
      </c>
      <c r="B867" s="88" t="s">
        <v>7288</v>
      </c>
      <c r="C867" s="89" t="s">
        <v>7288</v>
      </c>
      <c r="D867" s="89" t="s">
        <v>473</v>
      </c>
      <c r="E867" s="181"/>
      <c r="F867" s="181"/>
      <c r="G867" s="183"/>
      <c r="H867" s="181"/>
      <c r="I867" s="181"/>
      <c r="J867" s="181"/>
      <c r="K867" s="181" t="str">
        <f t="shared" si="19"/>
        <v>HDPH_STAB|moderately bound</v>
      </c>
      <c r="L867" s="181"/>
    </row>
    <row r="868" spans="1:12" hidden="1" x14ac:dyDescent="0.35">
      <c r="A868" s="88" t="s">
        <v>3005</v>
      </c>
      <c r="B868" s="88" t="s">
        <v>685</v>
      </c>
      <c r="C868" s="89" t="s">
        <v>685</v>
      </c>
      <c r="D868" s="89" t="s">
        <v>473</v>
      </c>
      <c r="E868" s="181"/>
      <c r="F868" s="181"/>
      <c r="G868" s="183"/>
      <c r="H868" s="181"/>
      <c r="I868" s="181"/>
      <c r="J868" s="181"/>
      <c r="K868" s="181" t="str">
        <f t="shared" si="19"/>
        <v>HDPH_STAB|modified</v>
      </c>
      <c r="L868" s="181"/>
    </row>
    <row r="869" spans="1:12" hidden="1" x14ac:dyDescent="0.35">
      <c r="A869" s="88" t="s">
        <v>3005</v>
      </c>
      <c r="B869" s="88" t="s">
        <v>7117</v>
      </c>
      <c r="C869" s="88" t="s">
        <v>7117</v>
      </c>
      <c r="D869" s="89" t="s">
        <v>473</v>
      </c>
      <c r="E869" s="181"/>
      <c r="F869" s="181"/>
      <c r="G869" s="183"/>
      <c r="H869" s="181"/>
      <c r="I869" s="181"/>
      <c r="J869" s="181"/>
      <c r="K869" s="181" t="str">
        <f t="shared" si="19"/>
        <v>HDPH_STAB|moist</v>
      </c>
      <c r="L869" s="181"/>
    </row>
    <row r="870" spans="1:12" hidden="1" x14ac:dyDescent="0.35">
      <c r="A870" s="88" t="s">
        <v>3005</v>
      </c>
      <c r="B870" s="88" t="s">
        <v>6783</v>
      </c>
      <c r="C870" s="89" t="s">
        <v>6783</v>
      </c>
      <c r="D870" s="89" t="s">
        <v>473</v>
      </c>
      <c r="E870" s="181"/>
      <c r="F870" s="181"/>
      <c r="G870" s="183"/>
      <c r="H870" s="181"/>
      <c r="I870" s="181"/>
      <c r="J870" s="181"/>
      <c r="K870" s="181" t="str">
        <f t="shared" si="19"/>
        <v>HDPH_STAB|mottled</v>
      </c>
      <c r="L870" s="181"/>
    </row>
    <row r="871" spans="1:12" hidden="1" x14ac:dyDescent="0.35">
      <c r="A871" s="88" t="s">
        <v>3005</v>
      </c>
      <c r="B871" s="88" t="s">
        <v>7158</v>
      </c>
      <c r="C871" s="89" t="s">
        <v>7158</v>
      </c>
      <c r="D871" s="89" t="s">
        <v>473</v>
      </c>
      <c r="E871" s="181"/>
      <c r="F871" s="181"/>
      <c r="G871" s="183"/>
      <c r="H871" s="181"/>
      <c r="I871" s="181"/>
      <c r="J871" s="181"/>
      <c r="K871" s="181" t="str">
        <f t="shared" si="19"/>
        <v>HDPH_STAB|mudstone</v>
      </c>
      <c r="L871" s="181"/>
    </row>
    <row r="872" spans="1:12" hidden="1" x14ac:dyDescent="0.35">
      <c r="A872" s="88" t="s">
        <v>3005</v>
      </c>
      <c r="B872" s="88" t="s">
        <v>7335</v>
      </c>
      <c r="C872" s="89" t="s">
        <v>7336</v>
      </c>
      <c r="D872" s="89" t="s">
        <v>473</v>
      </c>
      <c r="E872" s="181"/>
      <c r="F872" s="181"/>
      <c r="G872" s="183"/>
      <c r="H872" s="181"/>
      <c r="I872" s="181"/>
      <c r="J872" s="181"/>
      <c r="K872" s="181" t="str">
        <f t="shared" si="19"/>
        <v>HDPH_STAB|MZ</v>
      </c>
      <c r="L872" s="181"/>
    </row>
    <row r="873" spans="1:12" hidden="1" x14ac:dyDescent="0.35">
      <c r="A873" s="88" t="s">
        <v>3005</v>
      </c>
      <c r="B873" s="88" t="s">
        <v>676</v>
      </c>
      <c r="C873" s="89" t="s">
        <v>7337</v>
      </c>
      <c r="D873" s="89" t="s">
        <v>473</v>
      </c>
      <c r="E873" s="181"/>
      <c r="F873" s="181"/>
      <c r="G873" s="183"/>
      <c r="H873" s="181"/>
      <c r="I873" s="181"/>
      <c r="J873" s="181"/>
      <c r="K873" s="181" t="str">
        <f t="shared" si="19"/>
        <v>HDPH_STAB|N</v>
      </c>
      <c r="L873" s="181"/>
    </row>
    <row r="874" spans="1:12" hidden="1" x14ac:dyDescent="0.35">
      <c r="A874" s="88" t="s">
        <v>3005</v>
      </c>
      <c r="B874" s="88" t="s">
        <v>7338</v>
      </c>
      <c r="C874" s="89" t="s">
        <v>7339</v>
      </c>
      <c r="D874" s="89" t="s">
        <v>473</v>
      </c>
      <c r="E874" s="181"/>
      <c r="F874" s="181"/>
      <c r="G874" s="183"/>
      <c r="H874" s="181"/>
      <c r="I874" s="181"/>
      <c r="J874" s="181"/>
      <c r="K874" s="181" t="str">
        <f t="shared" si="19"/>
        <v>HDPH_STAB|NMLC</v>
      </c>
      <c r="L874" s="181"/>
    </row>
    <row r="875" spans="1:12" hidden="1" x14ac:dyDescent="0.35">
      <c r="A875" s="88" t="s">
        <v>3005</v>
      </c>
      <c r="B875" s="88" t="s">
        <v>7263</v>
      </c>
      <c r="C875" s="89" t="s">
        <v>7263</v>
      </c>
      <c r="D875" s="89" t="s">
        <v>473</v>
      </c>
      <c r="E875" s="181"/>
      <c r="F875" s="181"/>
      <c r="G875" s="183"/>
      <c r="H875" s="181"/>
      <c r="I875" s="181"/>
      <c r="J875" s="181"/>
      <c r="K875" s="181" t="str">
        <f t="shared" si="19"/>
        <v>HDPH_STAB|non</v>
      </c>
      <c r="L875" s="181"/>
    </row>
    <row r="876" spans="1:12" hidden="1" x14ac:dyDescent="0.35">
      <c r="A876" s="88" t="s">
        <v>3005</v>
      </c>
      <c r="B876" s="88" t="s">
        <v>7340</v>
      </c>
      <c r="C876" s="89" t="s">
        <v>7341</v>
      </c>
      <c r="D876" s="89" t="s">
        <v>473</v>
      </c>
      <c r="E876" s="181"/>
      <c r="F876" s="181"/>
      <c r="G876" s="183"/>
      <c r="H876" s="181"/>
      <c r="I876" s="181"/>
      <c r="J876" s="181"/>
      <c r="K876" s="181" t="str">
        <f t="shared" si="19"/>
        <v>HDPH_STAB|NQ3</v>
      </c>
      <c r="L876" s="181"/>
    </row>
    <row r="877" spans="1:12" hidden="1" x14ac:dyDescent="0.35">
      <c r="A877" s="88" t="s">
        <v>3005</v>
      </c>
      <c r="B877" s="88" t="s">
        <v>6784</v>
      </c>
      <c r="C877" s="89" t="s">
        <v>6784</v>
      </c>
      <c r="D877" s="89" t="s">
        <v>473</v>
      </c>
      <c r="E877" s="181"/>
      <c r="F877" s="181"/>
      <c r="G877" s="183"/>
      <c r="H877" s="181"/>
      <c r="I877" s="181"/>
      <c r="J877" s="181"/>
      <c r="K877" s="181" t="str">
        <f t="shared" si="19"/>
        <v>HDPH_STAB|of</v>
      </c>
      <c r="L877" s="181"/>
    </row>
    <row r="878" spans="1:12" hidden="1" x14ac:dyDescent="0.35">
      <c r="A878" s="88" t="s">
        <v>3005</v>
      </c>
      <c r="B878" s="88" t="s">
        <v>6785</v>
      </c>
      <c r="C878" s="89" t="s">
        <v>6785</v>
      </c>
      <c r="D878" s="89" t="s">
        <v>473</v>
      </c>
      <c r="E878" s="181"/>
      <c r="F878" s="181"/>
      <c r="G878" s="183"/>
      <c r="H878" s="181"/>
      <c r="I878" s="181"/>
      <c r="J878" s="181"/>
      <c r="K878" s="181" t="str">
        <f t="shared" si="19"/>
        <v>HDPH_STAB|off</v>
      </c>
      <c r="L878" s="181"/>
    </row>
    <row r="879" spans="1:12" hidden="1" x14ac:dyDescent="0.35">
      <c r="A879" s="88" t="s">
        <v>3005</v>
      </c>
      <c r="B879" s="88" t="s">
        <v>7276</v>
      </c>
      <c r="C879" s="89" t="s">
        <v>7276</v>
      </c>
      <c r="D879" s="89" t="s">
        <v>473</v>
      </c>
      <c r="E879" s="181"/>
      <c r="F879" s="181"/>
      <c r="G879" s="183"/>
      <c r="H879" s="181"/>
      <c r="I879" s="181"/>
      <c r="J879" s="181"/>
      <c r="K879" s="181" t="str">
        <f t="shared" si="19"/>
        <v>HDPH_STAB|old seal</v>
      </c>
      <c r="L879" s="181"/>
    </row>
    <row r="880" spans="1:12" hidden="1" x14ac:dyDescent="0.35">
      <c r="A880" s="88" t="s">
        <v>3005</v>
      </c>
      <c r="B880" s="88" t="s">
        <v>6786</v>
      </c>
      <c r="C880" s="89" t="s">
        <v>6786</v>
      </c>
      <c r="D880" s="89" t="s">
        <v>473</v>
      </c>
      <c r="E880" s="181"/>
      <c r="F880" s="181"/>
      <c r="G880" s="183"/>
      <c r="H880" s="181"/>
      <c r="I880" s="181"/>
      <c r="J880" s="181"/>
      <c r="K880" s="181" t="str">
        <f t="shared" si="19"/>
        <v>HDPH_STAB|olive</v>
      </c>
      <c r="L880" s="181"/>
    </row>
    <row r="881" spans="1:12" hidden="1" x14ac:dyDescent="0.35">
      <c r="A881" s="88" t="s">
        <v>3005</v>
      </c>
      <c r="B881" s="88" t="s">
        <v>7277</v>
      </c>
      <c r="C881" s="89" t="s">
        <v>7277</v>
      </c>
      <c r="D881" s="89" t="s">
        <v>473</v>
      </c>
      <c r="E881" s="181"/>
      <c r="F881" s="181"/>
      <c r="G881" s="183"/>
      <c r="H881" s="181"/>
      <c r="I881" s="181"/>
      <c r="J881" s="181"/>
      <c r="K881" s="181" t="str">
        <f t="shared" si="19"/>
        <v>HDPH_STAB|open grade asphalt</v>
      </c>
      <c r="L881" s="181"/>
    </row>
    <row r="882" spans="1:12" hidden="1" x14ac:dyDescent="0.35">
      <c r="A882" s="88" t="s">
        <v>3005</v>
      </c>
      <c r="B882" s="88" t="s">
        <v>6513</v>
      </c>
      <c r="C882" s="89" t="s">
        <v>6513</v>
      </c>
      <c r="D882" s="89" t="s">
        <v>473</v>
      </c>
      <c r="E882" s="181"/>
      <c r="F882" s="181"/>
      <c r="G882" s="183"/>
      <c r="H882" s="181"/>
      <c r="I882" s="181"/>
      <c r="J882" s="181"/>
      <c r="K882" s="181" t="str">
        <f t="shared" si="19"/>
        <v>HDPH_STAB|or</v>
      </c>
      <c r="L882" s="181"/>
    </row>
    <row r="883" spans="1:12" hidden="1" x14ac:dyDescent="0.35">
      <c r="A883" s="88" t="s">
        <v>3005</v>
      </c>
      <c r="B883" s="88" t="s">
        <v>6787</v>
      </c>
      <c r="C883" s="89" t="s">
        <v>6787</v>
      </c>
      <c r="D883" s="89" t="s">
        <v>473</v>
      </c>
      <c r="E883" s="181"/>
      <c r="F883" s="181"/>
      <c r="G883" s="183"/>
      <c r="H883" s="181"/>
      <c r="I883" s="181"/>
      <c r="J883" s="181"/>
      <c r="K883" s="181" t="str">
        <f t="shared" si="19"/>
        <v>HDPH_STAB|orange</v>
      </c>
      <c r="L883" s="181"/>
    </row>
    <row r="884" spans="1:12" hidden="1" x14ac:dyDescent="0.35">
      <c r="A884" s="88" t="s">
        <v>3005</v>
      </c>
      <c r="B884" s="88" t="s">
        <v>7296</v>
      </c>
      <c r="C884" s="89" t="s">
        <v>7296</v>
      </c>
      <c r="D884" s="89" t="s">
        <v>473</v>
      </c>
      <c r="E884" s="181"/>
      <c r="F884" s="181"/>
      <c r="G884" s="183"/>
      <c r="H884" s="181"/>
      <c r="I884" s="181"/>
      <c r="J884" s="181"/>
      <c r="K884" s="181" t="str">
        <f t="shared" si="19"/>
        <v>HDPH_STAB|organic</v>
      </c>
      <c r="L884" s="181"/>
    </row>
    <row r="885" spans="1:12" hidden="1" x14ac:dyDescent="0.35">
      <c r="A885" s="88" t="s">
        <v>3005</v>
      </c>
      <c r="B885" s="88" t="s">
        <v>7396</v>
      </c>
      <c r="C885" s="89" t="s">
        <v>7397</v>
      </c>
      <c r="D885" s="89" t="s">
        <v>473</v>
      </c>
      <c r="E885" s="181"/>
      <c r="F885" s="181"/>
      <c r="G885" s="183"/>
      <c r="H885" s="181"/>
      <c r="I885" s="181"/>
      <c r="J885" s="181"/>
      <c r="K885" s="181" t="str">
        <f t="shared" si="19"/>
        <v>HDPH_STAB|OS0.001</v>
      </c>
      <c r="L885" s="181"/>
    </row>
    <row r="886" spans="1:12" hidden="1" x14ac:dyDescent="0.35">
      <c r="A886" s="88" t="s">
        <v>3005</v>
      </c>
      <c r="B886" s="88" t="s">
        <v>7398</v>
      </c>
      <c r="C886" s="89" t="s">
        <v>7399</v>
      </c>
      <c r="D886" s="89" t="s">
        <v>473</v>
      </c>
      <c r="E886" s="181"/>
      <c r="F886" s="181"/>
      <c r="G886" s="183"/>
      <c r="H886" s="181"/>
      <c r="I886" s="181"/>
      <c r="J886" s="181"/>
      <c r="K886" s="181" t="str">
        <f t="shared" si="19"/>
        <v>HDPH_STAB|OS0.01</v>
      </c>
      <c r="L886" s="181"/>
    </row>
    <row r="887" spans="1:12" hidden="1" x14ac:dyDescent="0.35">
      <c r="A887" s="88" t="s">
        <v>3005</v>
      </c>
      <c r="B887" s="88" t="s">
        <v>7400</v>
      </c>
      <c r="C887" s="89" t="s">
        <v>7401</v>
      </c>
      <c r="D887" s="89" t="s">
        <v>473</v>
      </c>
      <c r="E887" s="181"/>
      <c r="F887" s="181"/>
      <c r="G887" s="183"/>
      <c r="H887" s="181"/>
      <c r="I887" s="181"/>
      <c r="J887" s="181"/>
      <c r="K887" s="181" t="str">
        <f t="shared" si="19"/>
        <v>HDPH_STAB|OS0.1</v>
      </c>
      <c r="L887" s="181"/>
    </row>
    <row r="888" spans="1:12" hidden="1" x14ac:dyDescent="0.35">
      <c r="A888" s="88" t="s">
        <v>3005</v>
      </c>
      <c r="B888" s="88" t="s">
        <v>6631</v>
      </c>
      <c r="C888" s="89" t="s">
        <v>6632</v>
      </c>
      <c r="D888" s="89" t="s">
        <v>473</v>
      </c>
      <c r="E888" s="181"/>
      <c r="F888" s="181"/>
      <c r="G888" s="183"/>
      <c r="H888" s="181"/>
      <c r="I888" s="181"/>
      <c r="J888" s="181"/>
      <c r="K888" s="181" t="str">
        <f t="shared" si="19"/>
        <v>HDPH_STAB|P</v>
      </c>
      <c r="L888" s="181"/>
    </row>
    <row r="889" spans="1:12" hidden="1" x14ac:dyDescent="0.35">
      <c r="A889" s="88" t="s">
        <v>3005</v>
      </c>
      <c r="B889" s="88" t="s">
        <v>6788</v>
      </c>
      <c r="C889" s="89" t="s">
        <v>6788</v>
      </c>
      <c r="D889" s="89" t="s">
        <v>473</v>
      </c>
      <c r="E889" s="181"/>
      <c r="F889" s="181"/>
      <c r="G889" s="183"/>
      <c r="H889" s="181"/>
      <c r="I889" s="181"/>
      <c r="J889" s="181"/>
      <c r="K889" s="181" t="str">
        <f t="shared" si="19"/>
        <v>HDPH_STAB|pale</v>
      </c>
      <c r="L889" s="181"/>
    </row>
    <row r="890" spans="1:12" hidden="1" x14ac:dyDescent="0.35">
      <c r="A890" s="88" t="s">
        <v>3005</v>
      </c>
      <c r="B890" s="88" t="s">
        <v>6789</v>
      </c>
      <c r="C890" s="89" t="s">
        <v>6789</v>
      </c>
      <c r="D890" s="89" t="s">
        <v>473</v>
      </c>
      <c r="E890" s="181"/>
      <c r="F890" s="181"/>
      <c r="G890" s="183"/>
      <c r="H890" s="181"/>
      <c r="I890" s="181"/>
      <c r="J890" s="181"/>
      <c r="K890" s="181" t="str">
        <f t="shared" si="19"/>
        <v>HDPH_STAB|patches</v>
      </c>
      <c r="L890" s="181"/>
    </row>
    <row r="891" spans="1:12" hidden="1" x14ac:dyDescent="0.35">
      <c r="A891" s="88" t="s">
        <v>3005</v>
      </c>
      <c r="B891" s="88" t="s">
        <v>7402</v>
      </c>
      <c r="C891" s="89" t="s">
        <v>7403</v>
      </c>
      <c r="D891" s="89" t="s">
        <v>473</v>
      </c>
      <c r="E891" s="181"/>
      <c r="F891" s="181"/>
      <c r="G891" s="183"/>
      <c r="H891" s="181"/>
      <c r="I891" s="181"/>
      <c r="J891" s="181"/>
      <c r="K891" s="181" t="str">
        <f t="shared" si="19"/>
        <v>HDPH_STAB|PC1</v>
      </c>
      <c r="L891" s="181"/>
    </row>
    <row r="892" spans="1:12" hidden="1" x14ac:dyDescent="0.35">
      <c r="A892" s="88" t="s">
        <v>3005</v>
      </c>
      <c r="B892" s="88" t="s">
        <v>7404</v>
      </c>
      <c r="C892" s="89" t="s">
        <v>7405</v>
      </c>
      <c r="D892" s="89" t="s">
        <v>473</v>
      </c>
      <c r="E892" s="181"/>
      <c r="F892" s="181"/>
      <c r="G892" s="183"/>
      <c r="H892" s="181"/>
      <c r="I892" s="181"/>
      <c r="J892" s="181"/>
      <c r="K892" s="181" t="str">
        <f t="shared" si="19"/>
        <v>HDPH_STAB|PC5</v>
      </c>
      <c r="L892" s="181"/>
    </row>
    <row r="893" spans="1:12" hidden="1" x14ac:dyDescent="0.35">
      <c r="A893" s="88" t="s">
        <v>3005</v>
      </c>
      <c r="B893" s="88" t="s">
        <v>7278</v>
      </c>
      <c r="C893" s="89" t="s">
        <v>7278</v>
      </c>
      <c r="D893" s="89" t="s">
        <v>473</v>
      </c>
      <c r="E893" s="181"/>
      <c r="F893" s="181"/>
      <c r="G893" s="183"/>
      <c r="H893" s="181"/>
      <c r="I893" s="181"/>
      <c r="J893" s="181"/>
      <c r="K893" s="181" t="str">
        <f t="shared" si="19"/>
        <v>HDPH_STAB|peat</v>
      </c>
      <c r="L893" s="181"/>
    </row>
    <row r="894" spans="1:12" hidden="1" x14ac:dyDescent="0.35">
      <c r="A894" s="88" t="s">
        <v>3005</v>
      </c>
      <c r="B894" s="88" t="s">
        <v>7159</v>
      </c>
      <c r="C894" s="89" t="s">
        <v>7159</v>
      </c>
      <c r="D894" s="89" t="s">
        <v>473</v>
      </c>
      <c r="E894" s="181"/>
      <c r="F894" s="181"/>
      <c r="G894" s="183"/>
      <c r="H894" s="181"/>
      <c r="I894" s="181"/>
      <c r="J894" s="181"/>
      <c r="K894" s="181" t="str">
        <f t="shared" si="19"/>
        <v>HDPH_STAB|peridotite</v>
      </c>
      <c r="L894" s="181"/>
    </row>
    <row r="895" spans="1:12" hidden="1" x14ac:dyDescent="0.35">
      <c r="A895" s="88" t="s">
        <v>3005</v>
      </c>
      <c r="B895" s="88" t="s">
        <v>7160</v>
      </c>
      <c r="C895" s="89" t="s">
        <v>7160</v>
      </c>
      <c r="D895" s="89" t="s">
        <v>473</v>
      </c>
      <c r="E895" s="181"/>
      <c r="F895" s="181"/>
      <c r="G895" s="183"/>
      <c r="H895" s="181"/>
      <c r="I895" s="181"/>
      <c r="J895" s="181"/>
      <c r="K895" s="181" t="str">
        <f t="shared" si="19"/>
        <v>HDPH_STAB|phyllite</v>
      </c>
      <c r="L895" s="181"/>
    </row>
    <row r="896" spans="1:12" hidden="1" x14ac:dyDescent="0.35">
      <c r="A896" s="88" t="s">
        <v>3005</v>
      </c>
      <c r="B896" s="88" t="s">
        <v>6790</v>
      </c>
      <c r="C896" s="89" t="s">
        <v>6790</v>
      </c>
      <c r="D896" s="89" t="s">
        <v>473</v>
      </c>
      <c r="E896" s="181"/>
      <c r="F896" s="181"/>
      <c r="G896" s="183"/>
      <c r="H896" s="181"/>
      <c r="I896" s="181"/>
      <c r="J896" s="181"/>
      <c r="K896" s="181" t="str">
        <f t="shared" si="19"/>
        <v>HDPH_STAB|pink</v>
      </c>
      <c r="L896" s="181"/>
    </row>
    <row r="897" spans="1:12" hidden="1" x14ac:dyDescent="0.35">
      <c r="A897" s="88" t="s">
        <v>3005</v>
      </c>
      <c r="B897" s="88" t="s">
        <v>6791</v>
      </c>
      <c r="C897" s="89" t="s">
        <v>6791</v>
      </c>
      <c r="D897" s="89" t="s">
        <v>473</v>
      </c>
      <c r="E897" s="181"/>
      <c r="F897" s="181"/>
      <c r="G897" s="183"/>
      <c r="H897" s="181"/>
      <c r="I897" s="181"/>
      <c r="J897" s="181"/>
      <c r="K897" s="181" t="str">
        <f t="shared" si="19"/>
        <v>HDPH_STAB|places</v>
      </c>
      <c r="L897" s="181"/>
    </row>
    <row r="898" spans="1:12" hidden="1" x14ac:dyDescent="0.35">
      <c r="A898" s="88" t="s">
        <v>3005</v>
      </c>
      <c r="B898" s="88" t="s">
        <v>7289</v>
      </c>
      <c r="C898" s="89" t="s">
        <v>7289</v>
      </c>
      <c r="D898" s="89" t="s">
        <v>473</v>
      </c>
      <c r="E898" s="181"/>
      <c r="F898" s="181"/>
      <c r="G898" s="183"/>
      <c r="H898" s="181"/>
      <c r="I898" s="181"/>
      <c r="J898" s="181"/>
      <c r="K898" s="181" t="str">
        <f t="shared" si="19"/>
        <v>HDPH_STAB|plain</v>
      </c>
      <c r="L898" s="181"/>
    </row>
    <row r="899" spans="1:12" hidden="1" x14ac:dyDescent="0.35">
      <c r="A899" s="88" t="s">
        <v>3005</v>
      </c>
      <c r="B899" s="88" t="s">
        <v>7247</v>
      </c>
      <c r="C899" s="89" t="s">
        <v>7247</v>
      </c>
      <c r="D899" s="89" t="s">
        <v>473</v>
      </c>
      <c r="E899" s="181"/>
      <c r="F899" s="181"/>
      <c r="G899" s="183"/>
      <c r="H899" s="181"/>
      <c r="I899" s="181"/>
      <c r="J899" s="181"/>
      <c r="K899" s="181" t="str">
        <f t="shared" si="19"/>
        <v>HDPH_STAB|platy</v>
      </c>
      <c r="L899" s="181"/>
    </row>
    <row r="900" spans="1:12" hidden="1" x14ac:dyDescent="0.35">
      <c r="A900" s="88" t="s">
        <v>3005</v>
      </c>
      <c r="B900" s="88" t="s">
        <v>7248</v>
      </c>
      <c r="C900" s="89" t="s">
        <v>7248</v>
      </c>
      <c r="D900" s="89" t="s">
        <v>473</v>
      </c>
      <c r="E900" s="181"/>
      <c r="F900" s="181"/>
      <c r="G900" s="183"/>
      <c r="H900" s="181"/>
      <c r="I900" s="181"/>
      <c r="J900" s="181"/>
      <c r="K900" s="181" t="str">
        <f t="shared" si="19"/>
        <v>HDPH_STAB|platy and elongated</v>
      </c>
      <c r="L900" s="181"/>
    </row>
    <row r="901" spans="1:12" hidden="1" x14ac:dyDescent="0.35">
      <c r="A901" s="88" t="s">
        <v>3005</v>
      </c>
      <c r="B901" s="88" t="s">
        <v>7297</v>
      </c>
      <c r="C901" s="89" t="s">
        <v>7297</v>
      </c>
      <c r="D901" s="89" t="s">
        <v>473</v>
      </c>
      <c r="E901" s="181"/>
      <c r="F901" s="181"/>
      <c r="G901" s="183"/>
      <c r="H901" s="181"/>
      <c r="I901" s="181"/>
      <c r="J901" s="181"/>
      <c r="K901" s="181" t="str">
        <f t="shared" si="19"/>
        <v>HDPH_STAB|pockets</v>
      </c>
      <c r="L901" s="181"/>
    </row>
    <row r="902" spans="1:12" hidden="1" x14ac:dyDescent="0.35">
      <c r="A902" s="88" t="s">
        <v>3005</v>
      </c>
      <c r="B902" s="88" t="s">
        <v>6714</v>
      </c>
      <c r="C902" s="89" t="s">
        <v>6714</v>
      </c>
      <c r="D902" s="89" t="s">
        <v>473</v>
      </c>
      <c r="E902" s="181"/>
      <c r="F902" s="181"/>
      <c r="G902" s="183"/>
      <c r="H902" s="181"/>
      <c r="I902" s="181"/>
      <c r="J902" s="181"/>
      <c r="K902" s="181" t="str">
        <f t="shared" si="19"/>
        <v>HDPH_STAB|Polymer</v>
      </c>
      <c r="L902" s="181"/>
    </row>
    <row r="903" spans="1:12" hidden="1" x14ac:dyDescent="0.35">
      <c r="A903" s="88" t="s">
        <v>3005</v>
      </c>
      <c r="B903" s="88" t="s">
        <v>7301</v>
      </c>
      <c r="C903" s="89" t="s">
        <v>7302</v>
      </c>
      <c r="D903" s="89" t="s">
        <v>473</v>
      </c>
      <c r="E903" s="181"/>
      <c r="F903" s="181"/>
      <c r="G903" s="183"/>
      <c r="H903" s="181"/>
      <c r="I903" s="181"/>
      <c r="J903" s="181"/>
      <c r="K903" s="181" t="str">
        <f t="shared" si="19"/>
        <v>HDPH_STAB|poorly graded</v>
      </c>
      <c r="L903" s="181"/>
    </row>
    <row r="904" spans="1:12" hidden="1" x14ac:dyDescent="0.35">
      <c r="A904" s="88" t="s">
        <v>3005</v>
      </c>
      <c r="B904" s="88" t="s">
        <v>657</v>
      </c>
      <c r="C904" s="89" t="s">
        <v>657</v>
      </c>
      <c r="D904" s="89" t="s">
        <v>473</v>
      </c>
      <c r="E904" s="181"/>
      <c r="F904" s="181"/>
      <c r="G904" s="183"/>
      <c r="H904" s="181"/>
      <c r="I904" s="181"/>
      <c r="J904" s="181"/>
      <c r="K904" s="181" t="str">
        <f t="shared" si="19"/>
        <v>HDPH_STAB|possibly</v>
      </c>
      <c r="L904" s="181"/>
    </row>
    <row r="905" spans="1:12" hidden="1" x14ac:dyDescent="0.35">
      <c r="A905" s="88" t="s">
        <v>3005</v>
      </c>
      <c r="B905" s="88" t="s">
        <v>657</v>
      </c>
      <c r="C905" s="89" t="s">
        <v>657</v>
      </c>
      <c r="D905" s="89" t="s">
        <v>473</v>
      </c>
      <c r="E905" s="181"/>
      <c r="F905" s="181"/>
      <c r="G905" s="183"/>
      <c r="H905" s="181"/>
      <c r="I905" s="181"/>
      <c r="J905" s="181"/>
      <c r="K905" s="181" t="str">
        <f t="shared" si="19"/>
        <v>HDPH_STAB|possibly</v>
      </c>
      <c r="L905" s="181"/>
    </row>
    <row r="906" spans="1:12" hidden="1" x14ac:dyDescent="0.35">
      <c r="A906" s="88" t="s">
        <v>3005</v>
      </c>
      <c r="B906" s="88" t="s">
        <v>7342</v>
      </c>
      <c r="C906" s="89" t="s">
        <v>7343</v>
      </c>
      <c r="D906" s="89" t="s">
        <v>473</v>
      </c>
      <c r="E906" s="181"/>
      <c r="F906" s="181"/>
      <c r="G906" s="183"/>
      <c r="H906" s="181"/>
      <c r="I906" s="181"/>
      <c r="J906" s="181"/>
      <c r="K906" s="181" t="str">
        <f t="shared" ref="K906:K969" si="20">A906&amp;"|"&amp;B906</f>
        <v>HDPH_STAB|PQ3</v>
      </c>
      <c r="L906" s="181"/>
    </row>
    <row r="907" spans="1:12" hidden="1" x14ac:dyDescent="0.35">
      <c r="A907" s="88" t="s">
        <v>3005</v>
      </c>
      <c r="B907" s="88" t="s">
        <v>7114</v>
      </c>
      <c r="C907" s="88" t="s">
        <v>7114</v>
      </c>
      <c r="D907" s="89" t="s">
        <v>473</v>
      </c>
      <c r="E907" s="181"/>
      <c r="F907" s="181"/>
      <c r="G907" s="183"/>
      <c r="H907" s="181"/>
      <c r="I907" s="181"/>
      <c r="J907" s="181"/>
      <c r="K907" s="181" t="str">
        <f t="shared" si="20"/>
        <v>HDPH_STAB|probably</v>
      </c>
      <c r="L907" s="181"/>
    </row>
    <row r="908" spans="1:12" hidden="1" x14ac:dyDescent="0.35">
      <c r="A908" s="88" t="s">
        <v>3005</v>
      </c>
      <c r="B908" s="88" t="s">
        <v>1999</v>
      </c>
      <c r="C908" s="89" t="s">
        <v>7344</v>
      </c>
      <c r="D908" s="89" t="s">
        <v>473</v>
      </c>
      <c r="E908" s="181"/>
      <c r="F908" s="181"/>
      <c r="G908" s="183"/>
      <c r="H908" s="181"/>
      <c r="I908" s="181"/>
      <c r="J908" s="181"/>
      <c r="K908" s="181" t="str">
        <f t="shared" si="20"/>
        <v>HDPH_STAB|PT</v>
      </c>
      <c r="L908" s="181"/>
    </row>
    <row r="909" spans="1:12" hidden="1" x14ac:dyDescent="0.35">
      <c r="A909" s="88" t="s">
        <v>3005</v>
      </c>
      <c r="B909" s="88" t="s">
        <v>6792</v>
      </c>
      <c r="C909" s="89" t="s">
        <v>6792</v>
      </c>
      <c r="D909" s="89" t="s">
        <v>473</v>
      </c>
      <c r="E909" s="181"/>
      <c r="F909" s="181"/>
      <c r="G909" s="183"/>
      <c r="H909" s="181"/>
      <c r="I909" s="181"/>
      <c r="J909" s="181"/>
      <c r="K909" s="181" t="str">
        <f t="shared" si="20"/>
        <v>HDPH_STAB|purple</v>
      </c>
      <c r="L909" s="181"/>
    </row>
    <row r="910" spans="1:12" hidden="1" x14ac:dyDescent="0.35">
      <c r="A910" s="88" t="s">
        <v>3005</v>
      </c>
      <c r="B910" s="88" t="s">
        <v>7345</v>
      </c>
      <c r="C910" s="89" t="s">
        <v>7346</v>
      </c>
      <c r="D910" s="89" t="s">
        <v>473</v>
      </c>
      <c r="E910" s="181"/>
      <c r="F910" s="181"/>
      <c r="G910" s="183"/>
      <c r="H910" s="181"/>
      <c r="I910" s="181"/>
      <c r="J910" s="181"/>
      <c r="K910" s="181" t="str">
        <f t="shared" si="20"/>
        <v>HDPH_STAB|Pushed SPT</v>
      </c>
      <c r="L910" s="181"/>
    </row>
    <row r="911" spans="1:12" hidden="1" x14ac:dyDescent="0.35">
      <c r="A911" s="88" t="s">
        <v>3005</v>
      </c>
      <c r="B911" s="88" t="s">
        <v>7161</v>
      </c>
      <c r="C911" s="89" t="s">
        <v>7161</v>
      </c>
      <c r="D911" s="89" t="s">
        <v>473</v>
      </c>
      <c r="E911" s="181"/>
      <c r="F911" s="181"/>
      <c r="G911" s="183"/>
      <c r="H911" s="181"/>
      <c r="I911" s="181"/>
      <c r="J911" s="181"/>
      <c r="K911" s="181" t="str">
        <f t="shared" si="20"/>
        <v>HDPH_STAB|quartzite</v>
      </c>
      <c r="L911" s="181"/>
    </row>
    <row r="912" spans="1:12" hidden="1" x14ac:dyDescent="0.35">
      <c r="A912" s="88" t="s">
        <v>3005</v>
      </c>
      <c r="B912" s="88" t="s">
        <v>7181</v>
      </c>
      <c r="C912" s="88" t="s">
        <v>7181</v>
      </c>
      <c r="D912" s="89" t="s">
        <v>473</v>
      </c>
      <c r="E912" s="181"/>
      <c r="F912" s="181"/>
      <c r="G912" s="183"/>
      <c r="H912" s="181"/>
      <c r="I912" s="181"/>
      <c r="J912" s="181"/>
      <c r="K912" s="181" t="str">
        <f t="shared" si="20"/>
        <v>HDPH_STAB|quartzose</v>
      </c>
      <c r="L912" s="181"/>
    </row>
    <row r="913" spans="1:12" hidden="1" x14ac:dyDescent="0.35">
      <c r="A913" s="88" t="s">
        <v>3005</v>
      </c>
      <c r="B913" s="88" t="s">
        <v>966</v>
      </c>
      <c r="C913" s="89" t="s">
        <v>7347</v>
      </c>
      <c r="D913" s="89" t="s">
        <v>473</v>
      </c>
      <c r="E913" s="181"/>
      <c r="F913" s="181"/>
      <c r="G913" s="183"/>
      <c r="H913" s="181"/>
      <c r="I913" s="181"/>
      <c r="J913" s="181"/>
      <c r="K913" s="181" t="str">
        <f t="shared" si="20"/>
        <v>HDPH_STAB|R</v>
      </c>
      <c r="L913" s="181"/>
    </row>
    <row r="914" spans="1:12" hidden="1" x14ac:dyDescent="0.35">
      <c r="A914" s="88" t="s">
        <v>3005</v>
      </c>
      <c r="B914" s="88" t="s">
        <v>6793</v>
      </c>
      <c r="C914" s="89" t="s">
        <v>6793</v>
      </c>
      <c r="D914" s="89" t="s">
        <v>473</v>
      </c>
      <c r="E914" s="181"/>
      <c r="F914" s="181"/>
      <c r="G914" s="183"/>
      <c r="H914" s="181"/>
      <c r="I914" s="181"/>
      <c r="J914" s="181"/>
      <c r="K914" s="181" t="str">
        <f t="shared" si="20"/>
        <v>HDPH_STAB|red</v>
      </c>
      <c r="L914" s="181"/>
    </row>
    <row r="915" spans="1:12" hidden="1" x14ac:dyDescent="0.35">
      <c r="A915" s="88" t="s">
        <v>3005</v>
      </c>
      <c r="B915" s="88" t="s">
        <v>670</v>
      </c>
      <c r="C915" s="89" t="s">
        <v>670</v>
      </c>
      <c r="D915" s="89" t="s">
        <v>473</v>
      </c>
      <c r="E915" s="181"/>
      <c r="F915" s="181"/>
      <c r="G915" s="183"/>
      <c r="H915" s="181"/>
      <c r="I915" s="181"/>
      <c r="J915" s="181"/>
      <c r="K915" s="181" t="str">
        <f t="shared" si="20"/>
        <v>HDPH_STAB|residual soil</v>
      </c>
      <c r="L915" s="181"/>
    </row>
    <row r="916" spans="1:12" hidden="1" x14ac:dyDescent="0.35">
      <c r="A916" s="88" t="s">
        <v>3005</v>
      </c>
      <c r="B916" s="88" t="s">
        <v>7162</v>
      </c>
      <c r="C916" s="89" t="s">
        <v>7162</v>
      </c>
      <c r="D916" s="89" t="s">
        <v>473</v>
      </c>
      <c r="E916" s="181"/>
      <c r="F916" s="181"/>
      <c r="G916" s="183"/>
      <c r="H916" s="181"/>
      <c r="I916" s="181"/>
      <c r="J916" s="181"/>
      <c r="K916" s="181" t="str">
        <f t="shared" si="20"/>
        <v>HDPH_STAB|rhyolite</v>
      </c>
      <c r="L916" s="181"/>
    </row>
    <row r="917" spans="1:12" hidden="1" x14ac:dyDescent="0.35">
      <c r="A917" s="88" t="s">
        <v>3005</v>
      </c>
      <c r="B917" s="88" t="s">
        <v>7111</v>
      </c>
      <c r="C917" s="89" t="s">
        <v>7111</v>
      </c>
      <c r="D917" s="89" t="s">
        <v>473</v>
      </c>
      <c r="E917" s="181"/>
      <c r="F917" s="181"/>
      <c r="G917" s="183"/>
      <c r="H917" s="181"/>
      <c r="I917" s="181"/>
      <c r="J917" s="181"/>
      <c r="K917" s="181" t="str">
        <f t="shared" si="20"/>
        <v>HDPH_STAB|road surface</v>
      </c>
      <c r="L917" s="181"/>
    </row>
    <row r="918" spans="1:12" hidden="1" x14ac:dyDescent="0.35">
      <c r="A918" s="88" t="s">
        <v>3005</v>
      </c>
      <c r="B918" s="88" t="s">
        <v>7249</v>
      </c>
      <c r="C918" s="89" t="s">
        <v>7249</v>
      </c>
      <c r="D918" s="89" t="s">
        <v>473</v>
      </c>
      <c r="E918" s="181"/>
      <c r="F918" s="181"/>
      <c r="G918" s="183"/>
      <c r="H918" s="181"/>
      <c r="I918" s="181"/>
      <c r="J918" s="181"/>
      <c r="K918" s="181" t="str">
        <f t="shared" si="20"/>
        <v>HDPH_STAB|rounded</v>
      </c>
      <c r="L918" s="181"/>
    </row>
    <row r="919" spans="1:12" hidden="1" x14ac:dyDescent="0.35">
      <c r="A919" s="88" t="s">
        <v>3005</v>
      </c>
      <c r="B919" s="88" t="s">
        <v>7250</v>
      </c>
      <c r="C919" s="89" t="s">
        <v>7250</v>
      </c>
      <c r="D919" s="89" t="s">
        <v>473</v>
      </c>
      <c r="E919" s="181"/>
      <c r="F919" s="181"/>
      <c r="G919" s="183"/>
      <c r="H919" s="181"/>
      <c r="I919" s="181"/>
      <c r="J919" s="181"/>
      <c r="K919" s="181" t="str">
        <f t="shared" si="20"/>
        <v>HDPH_STAB|rounded to angular</v>
      </c>
      <c r="L919" s="181"/>
    </row>
    <row r="920" spans="1:12" hidden="1" x14ac:dyDescent="0.35">
      <c r="A920" s="88" t="s">
        <v>3005</v>
      </c>
      <c r="B920" s="88" t="s">
        <v>7251</v>
      </c>
      <c r="C920" s="89" t="s">
        <v>7251</v>
      </c>
      <c r="D920" s="89" t="s">
        <v>473</v>
      </c>
      <c r="E920" s="181"/>
      <c r="F920" s="181"/>
      <c r="G920" s="183"/>
      <c r="H920" s="181"/>
      <c r="I920" s="181"/>
      <c r="J920" s="181"/>
      <c r="K920" s="181" t="str">
        <f t="shared" si="20"/>
        <v>HDPH_STAB|rounded to sub-angular</v>
      </c>
      <c r="L920" s="181"/>
    </row>
    <row r="921" spans="1:12" hidden="1" x14ac:dyDescent="0.35">
      <c r="A921" s="88" t="s">
        <v>3005</v>
      </c>
      <c r="B921" s="88" t="s">
        <v>7252</v>
      </c>
      <c r="C921" s="89" t="s">
        <v>7252</v>
      </c>
      <c r="D921" s="89" t="s">
        <v>473</v>
      </c>
      <c r="E921" s="181"/>
      <c r="F921" s="181"/>
      <c r="G921" s="183"/>
      <c r="H921" s="181"/>
      <c r="I921" s="181"/>
      <c r="J921" s="181"/>
      <c r="K921" s="181" t="str">
        <f t="shared" si="20"/>
        <v>HDPH_STAB|rounded to sub-rounded</v>
      </c>
      <c r="L921" s="181"/>
    </row>
    <row r="922" spans="1:12" hidden="1" x14ac:dyDescent="0.35">
      <c r="A922" s="88" t="s">
        <v>3005</v>
      </c>
      <c r="B922" s="88" t="s">
        <v>7348</v>
      </c>
      <c r="C922" s="89" t="s">
        <v>7349</v>
      </c>
      <c r="D922" s="89" t="s">
        <v>473</v>
      </c>
      <c r="E922" s="181"/>
      <c r="F922" s="181"/>
      <c r="G922" s="183"/>
      <c r="H922" s="181"/>
      <c r="I922" s="181"/>
      <c r="J922" s="181"/>
      <c r="K922" s="181" t="str">
        <f t="shared" si="20"/>
        <v>HDPH_STAB|RR</v>
      </c>
      <c r="L922" s="181"/>
    </row>
    <row r="923" spans="1:12" hidden="1" x14ac:dyDescent="0.35">
      <c r="A923" s="88" t="s">
        <v>3005</v>
      </c>
      <c r="B923" s="88" t="s">
        <v>6028</v>
      </c>
      <c r="C923" s="90" t="s">
        <v>6633</v>
      </c>
      <c r="D923" s="89" t="s">
        <v>473</v>
      </c>
      <c r="E923" s="181"/>
      <c r="F923" s="181"/>
      <c r="G923" s="183"/>
      <c r="H923" s="181"/>
      <c r="I923" s="181"/>
      <c r="J923" s="181"/>
      <c r="K923" s="181" t="str">
        <f t="shared" si="20"/>
        <v>HDPH_STAB|S</v>
      </c>
      <c r="L923" s="181"/>
    </row>
    <row r="924" spans="1:12" hidden="1" x14ac:dyDescent="0.35">
      <c r="A924" s="88" t="s">
        <v>3005</v>
      </c>
      <c r="B924" s="88" t="s">
        <v>693</v>
      </c>
      <c r="C924" s="89" t="s">
        <v>7279</v>
      </c>
      <c r="D924" s="89" t="s">
        <v>473</v>
      </c>
      <c r="E924" s="181"/>
      <c r="F924" s="181"/>
      <c r="G924" s="183"/>
      <c r="H924" s="181"/>
      <c r="I924" s="181"/>
      <c r="J924" s="181"/>
      <c r="K924" s="181" t="str">
        <f t="shared" si="20"/>
        <v>HDPH_STAB|sand</v>
      </c>
      <c r="L924" s="181"/>
    </row>
    <row r="925" spans="1:12" hidden="1" x14ac:dyDescent="0.35">
      <c r="A925" s="88" t="s">
        <v>3005</v>
      </c>
      <c r="B925" s="88" t="s">
        <v>701</v>
      </c>
      <c r="C925" s="89" t="s">
        <v>701</v>
      </c>
      <c r="D925" s="89" t="s">
        <v>473</v>
      </c>
      <c r="E925" s="181"/>
      <c r="F925" s="181"/>
      <c r="G925" s="183"/>
      <c r="H925" s="181"/>
      <c r="I925" s="181"/>
      <c r="J925" s="181"/>
      <c r="K925" s="181" t="str">
        <f t="shared" si="20"/>
        <v>HDPH_STAB|sandstone</v>
      </c>
      <c r="L925" s="181"/>
    </row>
    <row r="926" spans="1:12" hidden="1" x14ac:dyDescent="0.35">
      <c r="A926" s="88" t="s">
        <v>3005</v>
      </c>
      <c r="B926" s="88" t="s">
        <v>7182</v>
      </c>
      <c r="C926" s="89" t="s">
        <v>7182</v>
      </c>
      <c r="D926" s="89" t="s">
        <v>473</v>
      </c>
      <c r="E926" s="181"/>
      <c r="F926" s="181"/>
      <c r="G926" s="183"/>
      <c r="H926" s="181"/>
      <c r="I926" s="181"/>
      <c r="J926" s="181"/>
      <c r="K926" s="181" t="str">
        <f t="shared" si="20"/>
        <v>HDPH_STAB|sandy</v>
      </c>
      <c r="L926" s="181"/>
    </row>
    <row r="927" spans="1:12" hidden="1" x14ac:dyDescent="0.35">
      <c r="A927" s="88" t="s">
        <v>3005</v>
      </c>
      <c r="B927" s="88" t="s">
        <v>7163</v>
      </c>
      <c r="C927" s="89" t="s">
        <v>7163</v>
      </c>
      <c r="D927" s="89" t="s">
        <v>473</v>
      </c>
      <c r="E927" s="181"/>
      <c r="F927" s="181"/>
      <c r="G927" s="183"/>
      <c r="H927" s="181"/>
      <c r="I927" s="181"/>
      <c r="J927" s="181"/>
      <c r="K927" s="181" t="str">
        <f t="shared" si="20"/>
        <v>HDPH_STAB|schist</v>
      </c>
      <c r="L927" s="181"/>
    </row>
    <row r="928" spans="1:12" hidden="1" x14ac:dyDescent="0.35">
      <c r="A928" s="88" t="s">
        <v>3005</v>
      </c>
      <c r="B928" s="88" t="s">
        <v>7164</v>
      </c>
      <c r="C928" s="89" t="s">
        <v>7164</v>
      </c>
      <c r="D928" s="89" t="s">
        <v>473</v>
      </c>
      <c r="E928" s="181"/>
      <c r="F928" s="181"/>
      <c r="G928" s="183"/>
      <c r="H928" s="181"/>
      <c r="I928" s="181"/>
      <c r="J928" s="181"/>
      <c r="K928" s="181" t="str">
        <f t="shared" si="20"/>
        <v>HDPH_STAB|serpentine</v>
      </c>
      <c r="L928" s="181"/>
    </row>
    <row r="929" spans="1:12" hidden="1" x14ac:dyDescent="0.35">
      <c r="A929" s="88" t="s">
        <v>3005</v>
      </c>
      <c r="B929" s="88" t="s">
        <v>7165</v>
      </c>
      <c r="C929" s="89" t="s">
        <v>7165</v>
      </c>
      <c r="D929" s="89" t="s">
        <v>473</v>
      </c>
      <c r="E929" s="181"/>
      <c r="F929" s="181"/>
      <c r="G929" s="183"/>
      <c r="H929" s="181"/>
      <c r="I929" s="181"/>
      <c r="J929" s="181"/>
      <c r="K929" s="181" t="str">
        <f t="shared" si="20"/>
        <v>HDPH_STAB|shale</v>
      </c>
      <c r="L929" s="181"/>
    </row>
    <row r="930" spans="1:12" hidden="1" x14ac:dyDescent="0.35">
      <c r="A930" s="88" t="s">
        <v>3005</v>
      </c>
      <c r="B930" s="88" t="s">
        <v>7166</v>
      </c>
      <c r="C930" s="88" t="s">
        <v>7166</v>
      </c>
      <c r="D930" s="89" t="s">
        <v>473</v>
      </c>
      <c r="E930" s="181"/>
      <c r="F930" s="181"/>
      <c r="G930" s="183"/>
      <c r="H930" s="181"/>
      <c r="I930" s="181"/>
      <c r="J930" s="181"/>
      <c r="K930" s="181" t="str">
        <f t="shared" si="20"/>
        <v>HDPH_STAB|silcrete</v>
      </c>
      <c r="L930" s="181"/>
    </row>
    <row r="931" spans="1:12" hidden="1" x14ac:dyDescent="0.35">
      <c r="A931" s="88" t="s">
        <v>3005</v>
      </c>
      <c r="B931" s="88" t="s">
        <v>7183</v>
      </c>
      <c r="C931" s="89" t="s">
        <v>7183</v>
      </c>
      <c r="D931" s="89" t="s">
        <v>473</v>
      </c>
      <c r="E931" s="181"/>
      <c r="F931" s="181"/>
      <c r="G931" s="183"/>
      <c r="H931" s="181"/>
      <c r="I931" s="181"/>
      <c r="J931" s="181"/>
      <c r="K931" s="181" t="str">
        <f t="shared" si="20"/>
        <v>HDPH_STAB|siliceous</v>
      </c>
      <c r="L931" s="181"/>
    </row>
    <row r="932" spans="1:12" hidden="1" x14ac:dyDescent="0.35">
      <c r="A932" s="88" t="s">
        <v>3005</v>
      </c>
      <c r="B932" s="88" t="s">
        <v>7183</v>
      </c>
      <c r="C932" s="89" t="s">
        <v>7183</v>
      </c>
      <c r="D932" s="89" t="s">
        <v>473</v>
      </c>
      <c r="E932" s="181"/>
      <c r="F932" s="181"/>
      <c r="G932" s="183"/>
      <c r="H932" s="181"/>
      <c r="I932" s="181"/>
      <c r="J932" s="181"/>
      <c r="K932" s="181" t="str">
        <f t="shared" si="20"/>
        <v>HDPH_STAB|siliceous</v>
      </c>
      <c r="L932" s="181"/>
    </row>
    <row r="933" spans="1:12" hidden="1" x14ac:dyDescent="0.35">
      <c r="A933" s="88" t="s">
        <v>3005</v>
      </c>
      <c r="B933" s="88" t="s">
        <v>7298</v>
      </c>
      <c r="C933" s="89" t="s">
        <v>7298</v>
      </c>
      <c r="D933" s="89" t="s">
        <v>473</v>
      </c>
      <c r="E933" s="181"/>
      <c r="F933" s="181"/>
      <c r="G933" s="183"/>
      <c r="H933" s="181"/>
      <c r="I933" s="181"/>
      <c r="J933" s="181"/>
      <c r="K933" s="181" t="str">
        <f t="shared" si="20"/>
        <v>HDPH_STAB|siliceous carbonate</v>
      </c>
      <c r="L933" s="181"/>
    </row>
    <row r="934" spans="1:12" hidden="1" x14ac:dyDescent="0.35">
      <c r="A934" s="88" t="s">
        <v>3005</v>
      </c>
      <c r="B934" s="88" t="s">
        <v>7184</v>
      </c>
      <c r="C934" s="89" t="s">
        <v>7184</v>
      </c>
      <c r="D934" s="89" t="s">
        <v>473</v>
      </c>
      <c r="E934" s="181"/>
      <c r="F934" s="181"/>
      <c r="G934" s="183"/>
      <c r="H934" s="181"/>
      <c r="I934" s="181"/>
      <c r="J934" s="181"/>
      <c r="K934" s="181" t="str">
        <f t="shared" si="20"/>
        <v>HDPH_STAB|siliceous detrital</v>
      </c>
      <c r="L934" s="181"/>
    </row>
    <row r="935" spans="1:12" hidden="1" x14ac:dyDescent="0.35">
      <c r="A935" s="88" t="s">
        <v>3005</v>
      </c>
      <c r="B935" s="88" t="s">
        <v>7280</v>
      </c>
      <c r="C935" s="89" t="s">
        <v>7281</v>
      </c>
      <c r="D935" s="89" t="s">
        <v>473</v>
      </c>
      <c r="E935" s="181"/>
      <c r="F935" s="181"/>
      <c r="G935" s="183"/>
      <c r="H935" s="181"/>
      <c r="I935" s="181"/>
      <c r="J935" s="181"/>
      <c r="K935" s="181" t="str">
        <f t="shared" si="20"/>
        <v>HDPH_STAB|silt</v>
      </c>
      <c r="L935" s="181"/>
    </row>
    <row r="936" spans="1:12" hidden="1" x14ac:dyDescent="0.35">
      <c r="A936" s="88" t="s">
        <v>3005</v>
      </c>
      <c r="B936" s="88" t="s">
        <v>792</v>
      </c>
      <c r="C936" s="89" t="s">
        <v>792</v>
      </c>
      <c r="D936" s="89" t="s">
        <v>473</v>
      </c>
      <c r="E936" s="181"/>
      <c r="F936" s="181"/>
      <c r="G936" s="183"/>
      <c r="H936" s="181"/>
      <c r="I936" s="181"/>
      <c r="J936" s="181"/>
      <c r="K936" s="181" t="str">
        <f t="shared" si="20"/>
        <v>HDPH_STAB|siltstone</v>
      </c>
      <c r="L936" s="181"/>
    </row>
    <row r="937" spans="1:12" hidden="1" x14ac:dyDescent="0.35">
      <c r="A937" s="88" t="s">
        <v>3005</v>
      </c>
      <c r="B937" s="88" t="s">
        <v>7185</v>
      </c>
      <c r="C937" s="89" t="s">
        <v>7185</v>
      </c>
      <c r="D937" s="89" t="s">
        <v>473</v>
      </c>
      <c r="E937" s="181"/>
      <c r="F937" s="181"/>
      <c r="G937" s="183"/>
      <c r="H937" s="181"/>
      <c r="I937" s="181"/>
      <c r="J937" s="181"/>
      <c r="K937" s="181" t="str">
        <f t="shared" si="20"/>
        <v>HDPH_STAB|silty</v>
      </c>
      <c r="L937" s="181"/>
    </row>
    <row r="938" spans="1:12" hidden="1" x14ac:dyDescent="0.35">
      <c r="A938" s="88" t="s">
        <v>3005</v>
      </c>
      <c r="B938" s="88" t="s">
        <v>7282</v>
      </c>
      <c r="C938" s="89" t="s">
        <v>7282</v>
      </c>
      <c r="D938" s="89" t="s">
        <v>473</v>
      </c>
      <c r="E938" s="181"/>
      <c r="F938" s="181"/>
      <c r="G938" s="183"/>
      <c r="H938" s="181"/>
      <c r="I938" s="181"/>
      <c r="J938" s="181"/>
      <c r="K938" s="181" t="str">
        <f t="shared" si="20"/>
        <v>HDPH_STAB|slag</v>
      </c>
      <c r="L938" s="181"/>
    </row>
    <row r="939" spans="1:12" hidden="1" x14ac:dyDescent="0.35">
      <c r="A939" s="88" t="s">
        <v>3005</v>
      </c>
      <c r="B939" s="88" t="s">
        <v>7167</v>
      </c>
      <c r="C939" s="89" t="s">
        <v>7167</v>
      </c>
      <c r="D939" s="89" t="s">
        <v>473</v>
      </c>
      <c r="E939" s="181"/>
      <c r="F939" s="181"/>
      <c r="G939" s="183"/>
      <c r="H939" s="181"/>
      <c r="I939" s="181"/>
      <c r="J939" s="181"/>
      <c r="K939" s="181" t="str">
        <f t="shared" si="20"/>
        <v>HDPH_STAB|slate</v>
      </c>
      <c r="L939" s="181"/>
    </row>
    <row r="940" spans="1:12" hidden="1" x14ac:dyDescent="0.35">
      <c r="A940" s="88" t="s">
        <v>3005</v>
      </c>
      <c r="B940" s="88" t="s">
        <v>7406</v>
      </c>
      <c r="C940" s="89" t="s">
        <v>7406</v>
      </c>
      <c r="D940" s="89" t="s">
        <v>473</v>
      </c>
      <c r="E940" s="181"/>
      <c r="F940" s="181"/>
      <c r="G940" s="183"/>
      <c r="H940" s="181"/>
      <c r="I940" s="181"/>
      <c r="J940" s="181"/>
      <c r="K940" s="181" t="str">
        <f t="shared" si="20"/>
        <v>HDPH_STAB|Slope</v>
      </c>
      <c r="L940" s="181"/>
    </row>
    <row r="941" spans="1:12" hidden="1" x14ac:dyDescent="0.35">
      <c r="A941" s="88" t="s">
        <v>3005</v>
      </c>
      <c r="B941" s="88" t="s">
        <v>6794</v>
      </c>
      <c r="C941" s="89" t="s">
        <v>6794</v>
      </c>
      <c r="D941" s="89" t="s">
        <v>473</v>
      </c>
      <c r="E941" s="181"/>
      <c r="F941" s="181"/>
      <c r="G941" s="183"/>
      <c r="H941" s="181"/>
      <c r="I941" s="181"/>
      <c r="J941" s="181"/>
      <c r="K941" s="181" t="str">
        <f t="shared" si="20"/>
        <v>HDPH_STAB|some</v>
      </c>
      <c r="L941" s="181"/>
    </row>
    <row r="942" spans="1:12" hidden="1" x14ac:dyDescent="0.35">
      <c r="A942" s="88" t="s">
        <v>3005</v>
      </c>
      <c r="B942" s="88" t="s">
        <v>7283</v>
      </c>
      <c r="C942" s="89" t="s">
        <v>7283</v>
      </c>
      <c r="D942" s="89" t="s">
        <v>473</v>
      </c>
      <c r="E942" s="181"/>
      <c r="F942" s="181"/>
      <c r="G942" s="183"/>
      <c r="H942" s="181"/>
      <c r="I942" s="181"/>
      <c r="J942" s="181"/>
      <c r="K942" s="181" t="str">
        <f t="shared" si="20"/>
        <v>HDPH_STAB|sprayed seal</v>
      </c>
      <c r="L942" s="181"/>
    </row>
    <row r="943" spans="1:12" hidden="1" x14ac:dyDescent="0.35">
      <c r="A943" s="88" t="s">
        <v>3005</v>
      </c>
      <c r="B943" s="88" t="s">
        <v>7350</v>
      </c>
      <c r="C943" s="89" t="s">
        <v>7351</v>
      </c>
      <c r="D943" s="89" t="s">
        <v>473</v>
      </c>
      <c r="E943" s="181"/>
      <c r="F943" s="181"/>
      <c r="G943" s="183"/>
      <c r="H943" s="181"/>
      <c r="I943" s="181"/>
      <c r="J943" s="181"/>
      <c r="K943" s="181" t="str">
        <f t="shared" si="20"/>
        <v>HDPH_STAB|SPT</v>
      </c>
      <c r="L943" s="181"/>
    </row>
    <row r="944" spans="1:12" hidden="1" x14ac:dyDescent="0.35">
      <c r="A944" s="88" t="s">
        <v>3005</v>
      </c>
      <c r="B944" s="88" t="s">
        <v>6634</v>
      </c>
      <c r="C944" s="89" t="s">
        <v>6635</v>
      </c>
      <c r="D944" s="89" t="s">
        <v>473</v>
      </c>
      <c r="E944" s="181"/>
      <c r="F944" s="181"/>
      <c r="G944" s="183"/>
      <c r="H944" s="181"/>
      <c r="I944" s="181"/>
      <c r="J944" s="181"/>
      <c r="K944" s="181" t="str">
        <f t="shared" si="20"/>
        <v>HDPH_STAB|SS</v>
      </c>
      <c r="L944" s="181"/>
    </row>
    <row r="945" spans="1:12" hidden="1" x14ac:dyDescent="0.35">
      <c r="A945" s="88" t="s">
        <v>3005</v>
      </c>
      <c r="B945" s="88" t="s">
        <v>7407</v>
      </c>
      <c r="C945" s="89" t="s">
        <v>7407</v>
      </c>
      <c r="D945" s="89" t="s">
        <v>473</v>
      </c>
      <c r="E945" s="181"/>
      <c r="F945" s="181"/>
      <c r="G945" s="183"/>
      <c r="H945" s="181"/>
      <c r="I945" s="181"/>
      <c r="J945" s="181"/>
      <c r="K945" s="181" t="str">
        <f t="shared" si="20"/>
        <v>HDPH_STAB|Stable</v>
      </c>
      <c r="L945" s="181"/>
    </row>
    <row r="946" spans="1:12" hidden="1" x14ac:dyDescent="0.35">
      <c r="A946" s="88" t="s">
        <v>3005</v>
      </c>
      <c r="B946" s="88" t="s">
        <v>7253</v>
      </c>
      <c r="C946" s="89" t="s">
        <v>7253</v>
      </c>
      <c r="D946" s="89" t="s">
        <v>473</v>
      </c>
      <c r="E946" s="181"/>
      <c r="F946" s="181"/>
      <c r="G946" s="183"/>
      <c r="H946" s="181"/>
      <c r="I946" s="181"/>
      <c r="J946" s="181"/>
      <c r="K946" s="181" t="str">
        <f t="shared" si="20"/>
        <v>HDPH_STAB|sub-angular</v>
      </c>
      <c r="L946" s="181"/>
    </row>
    <row r="947" spans="1:12" hidden="1" x14ac:dyDescent="0.35">
      <c r="A947" s="88" t="s">
        <v>3005</v>
      </c>
      <c r="B947" s="88" t="s">
        <v>7254</v>
      </c>
      <c r="C947" s="89" t="s">
        <v>7254</v>
      </c>
      <c r="D947" s="89" t="s">
        <v>473</v>
      </c>
      <c r="E947" s="181"/>
      <c r="F947" s="181"/>
      <c r="G947" s="183"/>
      <c r="H947" s="181"/>
      <c r="I947" s="181"/>
      <c r="J947" s="181"/>
      <c r="K947" s="181" t="str">
        <f t="shared" si="20"/>
        <v>HDPH_STAB|sub-angular to angular</v>
      </c>
      <c r="L947" s="181"/>
    </row>
    <row r="948" spans="1:12" hidden="1" x14ac:dyDescent="0.35">
      <c r="A948" s="88" t="s">
        <v>3005</v>
      </c>
      <c r="B948" s="88" t="s">
        <v>7112</v>
      </c>
      <c r="C948" s="89" t="s">
        <v>7112</v>
      </c>
      <c r="D948" s="89" t="s">
        <v>473</v>
      </c>
      <c r="E948" s="181"/>
      <c r="F948" s="181"/>
      <c r="G948" s="183"/>
      <c r="H948" s="181"/>
      <c r="I948" s="181"/>
      <c r="J948" s="181"/>
      <c r="K948" s="181" t="str">
        <f t="shared" si="20"/>
        <v>HDPH_STAB|sub-basecourse</v>
      </c>
      <c r="L948" s="181"/>
    </row>
    <row r="949" spans="1:12" hidden="1" x14ac:dyDescent="0.35">
      <c r="A949" s="88" t="s">
        <v>3005</v>
      </c>
      <c r="B949" s="88" t="s">
        <v>7255</v>
      </c>
      <c r="C949" s="89" t="s">
        <v>7255</v>
      </c>
      <c r="D949" s="89" t="s">
        <v>473</v>
      </c>
      <c r="E949" s="181"/>
      <c r="F949" s="181"/>
      <c r="G949" s="183"/>
      <c r="H949" s="181"/>
      <c r="I949" s="181"/>
      <c r="J949" s="181"/>
      <c r="K949" s="181" t="str">
        <f t="shared" si="20"/>
        <v>HDPH_STAB|sub-rounded</v>
      </c>
      <c r="L949" s="181"/>
    </row>
    <row r="950" spans="1:12" hidden="1" x14ac:dyDescent="0.35">
      <c r="A950" s="88" t="s">
        <v>3005</v>
      </c>
      <c r="B950" s="88" t="s">
        <v>7256</v>
      </c>
      <c r="C950" s="89" t="s">
        <v>7256</v>
      </c>
      <c r="D950" s="89" t="s">
        <v>473</v>
      </c>
      <c r="E950" s="181"/>
      <c r="F950" s="181"/>
      <c r="G950" s="183"/>
      <c r="H950" s="181"/>
      <c r="I950" s="181"/>
      <c r="J950" s="181"/>
      <c r="K950" s="181" t="str">
        <f t="shared" si="20"/>
        <v>HDPH_STAB|sub-rounded to sub-angular</v>
      </c>
      <c r="L950" s="181"/>
    </row>
    <row r="951" spans="1:12" hidden="1" x14ac:dyDescent="0.35">
      <c r="A951" s="88" t="s">
        <v>3005</v>
      </c>
      <c r="B951" s="88" t="s">
        <v>7168</v>
      </c>
      <c r="C951" s="89" t="s">
        <v>7168</v>
      </c>
      <c r="D951" s="89" t="s">
        <v>473</v>
      </c>
      <c r="E951" s="181"/>
      <c r="F951" s="181"/>
      <c r="G951" s="183"/>
      <c r="H951" s="181"/>
      <c r="I951" s="181"/>
      <c r="J951" s="181"/>
      <c r="K951" s="181" t="str">
        <f t="shared" si="20"/>
        <v>HDPH_STAB|syenite</v>
      </c>
      <c r="L951" s="181"/>
    </row>
    <row r="952" spans="1:12" hidden="1" x14ac:dyDescent="0.35">
      <c r="A952" s="88" t="s">
        <v>3005</v>
      </c>
      <c r="B952" s="88" t="s">
        <v>6636</v>
      </c>
      <c r="C952" s="89" t="s">
        <v>6637</v>
      </c>
      <c r="D952" s="89" t="s">
        <v>473</v>
      </c>
      <c r="E952" s="181"/>
      <c r="F952" s="181"/>
      <c r="G952" s="183"/>
      <c r="H952" s="181"/>
      <c r="I952" s="181"/>
      <c r="J952" s="181"/>
      <c r="K952" s="181" t="str">
        <f t="shared" si="20"/>
        <v>HDPH_STAB|SZ</v>
      </c>
      <c r="L952" s="181"/>
    </row>
    <row r="953" spans="1:12" hidden="1" x14ac:dyDescent="0.35">
      <c r="A953" s="88" t="s">
        <v>3005</v>
      </c>
      <c r="B953" s="88" t="s">
        <v>1417</v>
      </c>
      <c r="C953" s="89" t="s">
        <v>7355</v>
      </c>
      <c r="D953" s="89" t="s">
        <v>473</v>
      </c>
      <c r="E953" s="181"/>
      <c r="F953" s="181"/>
      <c r="G953" s="183"/>
      <c r="H953" s="181"/>
      <c r="I953" s="181"/>
      <c r="J953" s="181"/>
      <c r="K953" s="181" t="str">
        <f t="shared" si="20"/>
        <v>HDPH_STAB|T</v>
      </c>
      <c r="L953" s="181"/>
    </row>
    <row r="954" spans="1:12" hidden="1" x14ac:dyDescent="0.35">
      <c r="A954" s="88" t="s">
        <v>3005</v>
      </c>
      <c r="B954" s="88" t="s">
        <v>718</v>
      </c>
      <c r="C954" s="89" t="s">
        <v>718</v>
      </c>
      <c r="D954" s="89" t="s">
        <v>473</v>
      </c>
      <c r="E954" s="181"/>
      <c r="F954" s="181"/>
      <c r="G954" s="183"/>
      <c r="H954" s="181"/>
      <c r="I954" s="181"/>
      <c r="J954" s="181"/>
      <c r="K954" s="181" t="str">
        <f t="shared" si="20"/>
        <v>HDPH_STAB|to</v>
      </c>
      <c r="L954" s="181"/>
    </row>
    <row r="955" spans="1:12" hidden="1" x14ac:dyDescent="0.35">
      <c r="A955" s="88" t="s">
        <v>3005</v>
      </c>
      <c r="B955" s="88" t="s">
        <v>7113</v>
      </c>
      <c r="C955" s="89" t="s">
        <v>7113</v>
      </c>
      <c r="D955" s="89" t="s">
        <v>473</v>
      </c>
      <c r="E955" s="181"/>
      <c r="F955" s="181"/>
      <c r="G955" s="183"/>
      <c r="H955" s="181"/>
      <c r="I955" s="181"/>
      <c r="J955" s="181"/>
      <c r="K955" s="181" t="str">
        <f t="shared" si="20"/>
        <v>HDPH_STAB|topsoil</v>
      </c>
      <c r="L955" s="181"/>
    </row>
    <row r="956" spans="1:12" hidden="1" x14ac:dyDescent="0.35">
      <c r="A956" s="88" t="s">
        <v>3005</v>
      </c>
      <c r="B956" s="88" t="s">
        <v>7169</v>
      </c>
      <c r="C956" s="89" t="s">
        <v>7169</v>
      </c>
      <c r="D956" s="89" t="s">
        <v>473</v>
      </c>
      <c r="E956" s="181"/>
      <c r="F956" s="181"/>
      <c r="G956" s="183"/>
      <c r="H956" s="181"/>
      <c r="I956" s="181"/>
      <c r="J956" s="181"/>
      <c r="K956" s="181" t="str">
        <f t="shared" si="20"/>
        <v>HDPH_STAB|tuff</v>
      </c>
      <c r="L956" s="181"/>
    </row>
    <row r="957" spans="1:12" hidden="1" x14ac:dyDescent="0.35">
      <c r="A957" s="88" t="s">
        <v>3005</v>
      </c>
      <c r="B957" s="88" t="s">
        <v>7186</v>
      </c>
      <c r="C957" s="89" t="s">
        <v>7186</v>
      </c>
      <c r="D957" s="89" t="s">
        <v>473</v>
      </c>
      <c r="E957" s="181"/>
      <c r="F957" s="181"/>
      <c r="G957" s="183"/>
      <c r="H957" s="181"/>
      <c r="I957" s="181"/>
      <c r="J957" s="181"/>
      <c r="K957" s="181" t="str">
        <f t="shared" si="20"/>
        <v>HDPH_STAB|tuffaceous</v>
      </c>
      <c r="L957" s="181"/>
    </row>
    <row r="958" spans="1:12" hidden="1" x14ac:dyDescent="0.35">
      <c r="A958" s="88" t="s">
        <v>3005</v>
      </c>
      <c r="B958" s="88" t="s">
        <v>7408</v>
      </c>
      <c r="C958" s="89" t="s">
        <v>7408</v>
      </c>
      <c r="D958" s="89" t="s">
        <v>473</v>
      </c>
      <c r="E958" s="181"/>
      <c r="F958" s="181"/>
      <c r="G958" s="183"/>
      <c r="H958" s="181"/>
      <c r="I958" s="181"/>
      <c r="J958" s="181"/>
      <c r="K958" s="181" t="str">
        <f t="shared" si="20"/>
        <v>HDPH_STAB|Tunnel</v>
      </c>
      <c r="L958" s="181"/>
    </row>
    <row r="959" spans="1:12" hidden="1" x14ac:dyDescent="0.35">
      <c r="A959" s="88" t="s">
        <v>3005</v>
      </c>
      <c r="B959" s="88" t="s">
        <v>7303</v>
      </c>
      <c r="C959" s="89" t="s">
        <v>7304</v>
      </c>
      <c r="D959" s="89" t="s">
        <v>473</v>
      </c>
      <c r="E959" s="181"/>
      <c r="F959" s="181"/>
      <c r="G959" s="183"/>
      <c r="H959" s="181"/>
      <c r="I959" s="181"/>
      <c r="J959" s="181"/>
      <c r="K959" s="181" t="str">
        <f t="shared" si="20"/>
        <v>HDPH_STAB|uniform</v>
      </c>
      <c r="L959" s="181"/>
    </row>
    <row r="960" spans="1:12" hidden="1" x14ac:dyDescent="0.35">
      <c r="A960" s="88" t="s">
        <v>3005</v>
      </c>
      <c r="B960" s="88" t="s">
        <v>7409</v>
      </c>
      <c r="C960" s="89" t="s">
        <v>7410</v>
      </c>
      <c r="D960" s="89" t="s">
        <v>473</v>
      </c>
      <c r="E960" s="181"/>
      <c r="F960" s="181"/>
      <c r="G960" s="183"/>
      <c r="H960" s="181"/>
      <c r="I960" s="181"/>
      <c r="J960" s="181"/>
      <c r="K960" s="181" t="str">
        <f t="shared" si="20"/>
        <v>HDPH_STAB|Unstable</v>
      </c>
      <c r="L960" s="181"/>
    </row>
    <row r="961" spans="1:12" hidden="1" x14ac:dyDescent="0.35">
      <c r="A961" s="88" t="s">
        <v>3005</v>
      </c>
      <c r="B961" s="88" t="s">
        <v>6795</v>
      </c>
      <c r="C961" s="89" t="s">
        <v>6795</v>
      </c>
      <c r="D961" s="89" t="s">
        <v>473</v>
      </c>
      <c r="E961" s="181"/>
      <c r="F961" s="181"/>
      <c r="G961" s="183"/>
      <c r="H961" s="181"/>
      <c r="I961" s="181"/>
      <c r="J961" s="181"/>
      <c r="K961" s="181" t="str">
        <f t="shared" si="20"/>
        <v>HDPH_STAB|very</v>
      </c>
      <c r="L961" s="181"/>
    </row>
    <row r="962" spans="1:12" hidden="1" x14ac:dyDescent="0.35">
      <c r="A962" s="88" t="s">
        <v>3005</v>
      </c>
      <c r="B962" s="88" t="s">
        <v>7170</v>
      </c>
      <c r="C962" s="89" t="s">
        <v>7170</v>
      </c>
      <c r="D962" s="89" t="s">
        <v>473</v>
      </c>
      <c r="E962" s="181"/>
      <c r="F962" s="181"/>
      <c r="G962" s="183"/>
      <c r="H962" s="181"/>
      <c r="I962" s="181"/>
      <c r="J962" s="181"/>
      <c r="K962" s="181" t="str">
        <f t="shared" si="20"/>
        <v>HDPH_STAB|volcanic breccia</v>
      </c>
      <c r="L962" s="181"/>
    </row>
    <row r="963" spans="1:12" hidden="1" x14ac:dyDescent="0.35">
      <c r="A963" s="88" t="s">
        <v>3005</v>
      </c>
      <c r="B963" s="88" t="s">
        <v>7171</v>
      </c>
      <c r="C963" s="89" t="s">
        <v>7171</v>
      </c>
      <c r="D963" s="89" t="s">
        <v>473</v>
      </c>
      <c r="E963" s="181"/>
      <c r="F963" s="181"/>
      <c r="G963" s="183"/>
      <c r="H963" s="181"/>
      <c r="I963" s="181"/>
      <c r="J963" s="181"/>
      <c r="K963" s="181" t="str">
        <f t="shared" si="20"/>
        <v>HDPH_STAB|volcanic glass</v>
      </c>
      <c r="L963" s="181"/>
    </row>
    <row r="964" spans="1:12" hidden="1" x14ac:dyDescent="0.35">
      <c r="A964" s="88" t="s">
        <v>3005</v>
      </c>
      <c r="B964" s="88" t="s">
        <v>2781</v>
      </c>
      <c r="C964" s="89" t="s">
        <v>2781</v>
      </c>
      <c r="D964" s="89" t="s">
        <v>473</v>
      </c>
      <c r="E964" s="181"/>
      <c r="F964" s="181"/>
      <c r="G964" s="183"/>
      <c r="H964" s="181"/>
      <c r="I964" s="181"/>
      <c r="J964" s="181"/>
      <c r="K964" s="181" t="str">
        <f t="shared" si="20"/>
        <v>HDPH_STAB|Water</v>
      </c>
      <c r="L964" s="181"/>
    </row>
    <row r="965" spans="1:12" hidden="1" x14ac:dyDescent="0.35">
      <c r="A965" s="88" t="s">
        <v>3005</v>
      </c>
      <c r="B965" s="88" t="s">
        <v>7352</v>
      </c>
      <c r="C965" s="89" t="s">
        <v>7353</v>
      </c>
      <c r="D965" s="89" t="s">
        <v>473</v>
      </c>
      <c r="E965" s="181"/>
      <c r="F965" s="181"/>
      <c r="G965" s="183"/>
      <c r="H965" s="181"/>
      <c r="I965" s="181"/>
      <c r="J965" s="181"/>
      <c r="K965" s="181" t="str">
        <f t="shared" si="20"/>
        <v>HDPH_STAB|WB</v>
      </c>
      <c r="L965" s="181"/>
    </row>
    <row r="966" spans="1:12" hidden="1" x14ac:dyDescent="0.35">
      <c r="A966" s="88" t="s">
        <v>3005</v>
      </c>
      <c r="B966" s="88" t="s">
        <v>7172</v>
      </c>
      <c r="C966" s="89" t="s">
        <v>7172</v>
      </c>
      <c r="D966" s="89" t="s">
        <v>473</v>
      </c>
      <c r="E966" s="181"/>
      <c r="F966" s="181"/>
      <c r="G966" s="183"/>
      <c r="H966" s="181"/>
      <c r="I966" s="181"/>
      <c r="J966" s="181"/>
      <c r="K966" s="181" t="str">
        <f t="shared" si="20"/>
        <v>HDPH_STAB|welded tuff</v>
      </c>
      <c r="L966" s="181"/>
    </row>
    <row r="967" spans="1:12" hidden="1" x14ac:dyDescent="0.35">
      <c r="A967" s="88" t="s">
        <v>3005</v>
      </c>
      <c r="B967" s="88" t="s">
        <v>7305</v>
      </c>
      <c r="C967" s="89" t="s">
        <v>7306</v>
      </c>
      <c r="D967" s="89" t="s">
        <v>473</v>
      </c>
      <c r="E967" s="181"/>
      <c r="F967" s="181"/>
      <c r="G967" s="183"/>
      <c r="H967" s="181"/>
      <c r="I967" s="181"/>
      <c r="J967" s="181"/>
      <c r="K967" s="181" t="str">
        <f t="shared" si="20"/>
        <v>HDPH_STAB|well graded</v>
      </c>
      <c r="L967" s="181"/>
    </row>
    <row r="968" spans="1:12" hidden="1" x14ac:dyDescent="0.35">
      <c r="A968" s="88" t="s">
        <v>3005</v>
      </c>
      <c r="B968" s="88" t="s">
        <v>7118</v>
      </c>
      <c r="C968" s="88" t="s">
        <v>7118</v>
      </c>
      <c r="D968" s="89" t="s">
        <v>473</v>
      </c>
      <c r="E968" s="181"/>
      <c r="F968" s="181"/>
      <c r="G968" s="183"/>
      <c r="H968" s="181"/>
      <c r="I968" s="181"/>
      <c r="J968" s="181"/>
      <c r="K968" s="181" t="str">
        <f t="shared" si="20"/>
        <v>HDPH_STAB|wet</v>
      </c>
      <c r="L968" s="181"/>
    </row>
    <row r="969" spans="1:12" hidden="1" x14ac:dyDescent="0.35">
      <c r="A969" s="88" t="s">
        <v>3005</v>
      </c>
      <c r="B969" s="88" t="s">
        <v>6796</v>
      </c>
      <c r="C969" s="89" t="s">
        <v>6796</v>
      </c>
      <c r="D969" s="89" t="s">
        <v>473</v>
      </c>
      <c r="E969" s="181"/>
      <c r="F969" s="181"/>
      <c r="G969" s="183"/>
      <c r="H969" s="181"/>
      <c r="I969" s="181"/>
      <c r="J969" s="181"/>
      <c r="K969" s="181" t="str">
        <f t="shared" si="20"/>
        <v>HDPH_STAB|white</v>
      </c>
      <c r="L969" s="181"/>
    </row>
    <row r="970" spans="1:12" hidden="1" x14ac:dyDescent="0.35">
      <c r="A970" s="88" t="s">
        <v>3005</v>
      </c>
      <c r="B970" s="88" t="s">
        <v>777</v>
      </c>
      <c r="C970" s="89" t="s">
        <v>777</v>
      </c>
      <c r="D970" s="89" t="s">
        <v>473</v>
      </c>
      <c r="E970" s="181"/>
      <c r="F970" s="181"/>
      <c r="G970" s="183"/>
      <c r="H970" s="181"/>
      <c r="I970" s="181"/>
      <c r="J970" s="181"/>
      <c r="K970" s="181" t="str">
        <f t="shared" ref="K970:K1033" si="21">A970&amp;"|"&amp;B970</f>
        <v>HDPH_STAB|with</v>
      </c>
      <c r="L970" s="181"/>
    </row>
    <row r="971" spans="1:12" hidden="1" x14ac:dyDescent="0.35">
      <c r="A971" s="88" t="s">
        <v>3005</v>
      </c>
      <c r="B971" s="88" t="s">
        <v>608</v>
      </c>
      <c r="C971" s="89" t="s">
        <v>7354</v>
      </c>
      <c r="D971" s="89" t="s">
        <v>473</v>
      </c>
      <c r="E971" s="181"/>
      <c r="F971" s="181"/>
      <c r="G971" s="183"/>
      <c r="H971" s="181"/>
      <c r="I971" s="181"/>
      <c r="J971" s="181"/>
      <c r="K971" s="181" t="str">
        <f t="shared" si="21"/>
        <v>HDPH_STAB|X</v>
      </c>
      <c r="L971" s="181"/>
    </row>
    <row r="972" spans="1:12" hidden="1" x14ac:dyDescent="0.35">
      <c r="A972" s="88" t="s">
        <v>3005</v>
      </c>
      <c r="B972" s="88" t="s">
        <v>6797</v>
      </c>
      <c r="C972" s="89" t="s">
        <v>6797</v>
      </c>
      <c r="D972" s="89" t="s">
        <v>473</v>
      </c>
      <c r="E972" s="181"/>
      <c r="F972" s="181"/>
      <c r="G972" s="183"/>
      <c r="H972" s="181"/>
      <c r="I972" s="181"/>
      <c r="J972" s="181"/>
      <c r="K972" s="181" t="str">
        <f t="shared" si="21"/>
        <v>HDPH_STAB|yellow</v>
      </c>
      <c r="L972" s="181"/>
    </row>
    <row r="973" spans="1:12" hidden="1" x14ac:dyDescent="0.35">
      <c r="A973" s="88" t="s">
        <v>3005</v>
      </c>
      <c r="B973" s="88" t="s">
        <v>6798</v>
      </c>
      <c r="C973" s="89" t="s">
        <v>6798</v>
      </c>
      <c r="D973" s="89" t="s">
        <v>473</v>
      </c>
      <c r="E973" s="181"/>
      <c r="F973" s="181"/>
      <c r="G973" s="183"/>
      <c r="H973" s="181"/>
      <c r="I973" s="181"/>
      <c r="J973" s="181"/>
      <c r="K973" s="181" t="str">
        <f t="shared" si="21"/>
        <v>HDPH_STAB|zones</v>
      </c>
      <c r="L973" s="181"/>
    </row>
    <row r="974" spans="1:12" hidden="1" x14ac:dyDescent="0.35">
      <c r="A974" s="88" t="s">
        <v>3005</v>
      </c>
      <c r="B974" s="88" t="s">
        <v>6798</v>
      </c>
      <c r="C974" s="89" t="s">
        <v>6798</v>
      </c>
      <c r="D974" s="89" t="s">
        <v>473</v>
      </c>
      <c r="E974" s="181"/>
      <c r="F974" s="181"/>
      <c r="G974" s="183"/>
      <c r="H974" s="181"/>
      <c r="I974" s="181"/>
      <c r="J974" s="181"/>
      <c r="K974" s="181" t="str">
        <f t="shared" si="21"/>
        <v>HDPH_STAB|zones</v>
      </c>
      <c r="L974" s="181"/>
    </row>
    <row r="975" spans="1:12" hidden="1" x14ac:dyDescent="0.35">
      <c r="A975" s="181" t="s">
        <v>2989</v>
      </c>
      <c r="B975" s="182" t="s">
        <v>7411</v>
      </c>
      <c r="C975" s="181" t="s">
        <v>7412</v>
      </c>
      <c r="D975" s="178">
        <v>4.0999999999999996</v>
      </c>
      <c r="E975" s="181" t="s">
        <v>6450</v>
      </c>
      <c r="F975" s="184">
        <v>40323</v>
      </c>
      <c r="G975" s="181"/>
      <c r="H975" s="181" t="s">
        <v>6451</v>
      </c>
      <c r="I975" s="181" t="str">
        <f>VLOOKUP(LEFT(A975,4),Groups!$A$1:$C$188,3,FALSE)</f>
        <v>Depth Related Exploratory Hole Information</v>
      </c>
      <c r="J975" s="181" t="str">
        <f>VLOOKUP(A975,Headings!$C$1:$H$3948,4,FALSE)</f>
        <v>Type of depth related information</v>
      </c>
      <c r="K975" s="181" t="str">
        <f t="shared" si="21"/>
        <v>HDPH_TYPE|ABS</v>
      </c>
      <c r="L975" s="181"/>
    </row>
    <row r="976" spans="1:12" hidden="1" x14ac:dyDescent="0.35">
      <c r="A976" s="181" t="s">
        <v>2989</v>
      </c>
      <c r="B976" s="182" t="s">
        <v>7413</v>
      </c>
      <c r="C976" s="181" t="s">
        <v>7414</v>
      </c>
      <c r="D976" s="178">
        <v>4.0999999999999996</v>
      </c>
      <c r="E976" s="181" t="s">
        <v>6450</v>
      </c>
      <c r="F976" s="184">
        <v>41632</v>
      </c>
      <c r="G976" s="181"/>
      <c r="H976" s="181" t="s">
        <v>6451</v>
      </c>
      <c r="I976" s="181" t="str">
        <f>VLOOKUP(LEFT(A976,4),Groups!$A$1:$C$188,3,FALSE)</f>
        <v>Depth Related Exploratory Hole Information</v>
      </c>
      <c r="J976" s="181" t="str">
        <f>VLOOKUP(A976,Headings!$C$1:$H$3948,4,FALSE)</f>
        <v>Type of depth related information</v>
      </c>
      <c r="K976" s="181" t="str">
        <f t="shared" si="21"/>
        <v>HDPH_TYPE|CC</v>
      </c>
      <c r="L976" s="181"/>
    </row>
    <row r="977" spans="1:12" hidden="1" x14ac:dyDescent="0.35">
      <c r="A977" s="181" t="s">
        <v>2989</v>
      </c>
      <c r="B977" s="182" t="s">
        <v>7187</v>
      </c>
      <c r="C977" s="181" t="s">
        <v>7415</v>
      </c>
      <c r="D977" s="178">
        <v>4.0999999999999996</v>
      </c>
      <c r="E977" s="181" t="s">
        <v>6450</v>
      </c>
      <c r="F977" s="184">
        <v>40323</v>
      </c>
      <c r="G977" s="181"/>
      <c r="H977" s="181" t="s">
        <v>6451</v>
      </c>
      <c r="I977" s="181" t="str">
        <f>VLOOKUP(LEFT(A977,4),Groups!$A$1:$C$188,3,FALSE)</f>
        <v>Depth Related Exploratory Hole Information</v>
      </c>
      <c r="J977" s="181" t="str">
        <f>VLOOKUP(A977,Headings!$C$1:$H$3948,4,FALSE)</f>
        <v>Type of depth related information</v>
      </c>
      <c r="K977" s="181" t="str">
        <f t="shared" si="21"/>
        <v>HDPH_TYPE|CH</v>
      </c>
      <c r="L977" s="181"/>
    </row>
    <row r="978" spans="1:12" hidden="1" x14ac:dyDescent="0.35">
      <c r="A978" s="181" t="s">
        <v>2989</v>
      </c>
      <c r="B978" s="182" t="s">
        <v>6333</v>
      </c>
      <c r="C978" s="181" t="s">
        <v>7416</v>
      </c>
      <c r="D978" s="178">
        <v>4.0999999999999996</v>
      </c>
      <c r="E978" s="181" t="s">
        <v>6450</v>
      </c>
      <c r="F978" s="184">
        <v>40323</v>
      </c>
      <c r="G978" s="181"/>
      <c r="H978" s="181" t="s">
        <v>6451</v>
      </c>
      <c r="I978" s="181" t="str">
        <f>VLOOKUP(LEFT(A978,4),Groups!$A$1:$C$188,3,FALSE)</f>
        <v>Depth Related Exploratory Hole Information</v>
      </c>
      <c r="J978" s="181" t="str">
        <f>VLOOKUP(A978,Headings!$C$1:$H$3948,4,FALSE)</f>
        <v>Type of depth related information</v>
      </c>
      <c r="K978" s="181" t="str">
        <f t="shared" si="21"/>
        <v>HDPH_TYPE|CP</v>
      </c>
      <c r="L978" s="181"/>
    </row>
    <row r="979" spans="1:12" hidden="1" x14ac:dyDescent="0.35">
      <c r="A979" s="181" t="s">
        <v>2989</v>
      </c>
      <c r="B979" s="182" t="s">
        <v>7417</v>
      </c>
      <c r="C979" s="181" t="s">
        <v>7418</v>
      </c>
      <c r="D979" s="178">
        <v>4.0999999999999996</v>
      </c>
      <c r="E979" s="181" t="s">
        <v>6450</v>
      </c>
      <c r="F979" s="184">
        <v>40323</v>
      </c>
      <c r="G979" s="181"/>
      <c r="H979" s="181" t="s">
        <v>6451</v>
      </c>
      <c r="I979" s="181" t="str">
        <f>VLOOKUP(LEFT(A979,4),Groups!$A$1:$C$188,3,FALSE)</f>
        <v>Depth Related Exploratory Hole Information</v>
      </c>
      <c r="J979" s="181" t="str">
        <f>VLOOKUP(A979,Headings!$C$1:$H$3948,4,FALSE)</f>
        <v>Type of depth related information</v>
      </c>
      <c r="K979" s="181" t="str">
        <f t="shared" si="21"/>
        <v>HDPH_TYPE|DCP</v>
      </c>
      <c r="L979" s="181"/>
    </row>
    <row r="980" spans="1:12" hidden="1" x14ac:dyDescent="0.35">
      <c r="A980" s="181" t="s">
        <v>2989</v>
      </c>
      <c r="B980" s="182" t="s">
        <v>7419</v>
      </c>
      <c r="C980" s="181" t="s">
        <v>7420</v>
      </c>
      <c r="D980" s="178">
        <v>4.0999999999999996</v>
      </c>
      <c r="E980" s="181" t="s">
        <v>6450</v>
      </c>
      <c r="F980" s="184">
        <v>40323</v>
      </c>
      <c r="G980" s="181"/>
      <c r="H980" s="181" t="s">
        <v>6451</v>
      </c>
      <c r="I980" s="181" t="str">
        <f>VLOOKUP(LEFT(A980,4),Groups!$A$1:$C$188,3,FALSE)</f>
        <v>Depth Related Exploratory Hole Information</v>
      </c>
      <c r="J980" s="181" t="str">
        <f>VLOOKUP(A980,Headings!$C$1:$H$3948,4,FALSE)</f>
        <v>Type of depth related information</v>
      </c>
      <c r="K980" s="181" t="str">
        <f t="shared" si="21"/>
        <v>HDPH_TYPE|DP</v>
      </c>
      <c r="L980" s="181"/>
    </row>
    <row r="981" spans="1:12" hidden="1" x14ac:dyDescent="0.35">
      <c r="A981" s="181" t="s">
        <v>2989</v>
      </c>
      <c r="B981" s="182" t="s">
        <v>7307</v>
      </c>
      <c r="C981" s="181" t="s">
        <v>7421</v>
      </c>
      <c r="D981" s="178">
        <v>4.0999999999999996</v>
      </c>
      <c r="E981" s="181" t="s">
        <v>6450</v>
      </c>
      <c r="F981" s="184">
        <v>43067</v>
      </c>
      <c r="G981" s="181"/>
      <c r="H981" s="181" t="s">
        <v>6451</v>
      </c>
      <c r="I981" s="181" t="str">
        <f>VLOOKUP(LEFT(A981,4),Groups!$A$1:$C$188,3,FALSE)</f>
        <v>Depth Related Exploratory Hole Information</v>
      </c>
      <c r="J981" s="181" t="str">
        <f>VLOOKUP(A981,Headings!$C$1:$H$3948,4,FALSE)</f>
        <v>Type of depth related information</v>
      </c>
      <c r="K981" s="181" t="str">
        <f t="shared" si="21"/>
        <v>HDPH_TYPE|DS</v>
      </c>
      <c r="L981" s="181"/>
    </row>
    <row r="982" spans="1:12" hidden="1" x14ac:dyDescent="0.35">
      <c r="A982" s="181" t="s">
        <v>2989</v>
      </c>
      <c r="B982" s="182" t="s">
        <v>7422</v>
      </c>
      <c r="C982" s="181" t="s">
        <v>7423</v>
      </c>
      <c r="D982" s="178">
        <v>4.0999999999999996</v>
      </c>
      <c r="E982" s="181" t="s">
        <v>6450</v>
      </c>
      <c r="F982" s="184">
        <v>40323</v>
      </c>
      <c r="G982" s="181"/>
      <c r="H982" s="181" t="s">
        <v>6451</v>
      </c>
      <c r="I982" s="181" t="str">
        <f>VLOOKUP(LEFT(A982,4),Groups!$A$1:$C$188,3,FALSE)</f>
        <v>Depth Related Exploratory Hole Information</v>
      </c>
      <c r="J982" s="181" t="str">
        <f>VLOOKUP(A982,Headings!$C$1:$H$3948,4,FALSE)</f>
        <v>Type of depth related information</v>
      </c>
      <c r="K982" s="181" t="str">
        <f t="shared" si="21"/>
        <v>HDPH_TYPE|EXP</v>
      </c>
      <c r="L982" s="181"/>
    </row>
    <row r="983" spans="1:12" hidden="1" x14ac:dyDescent="0.35">
      <c r="A983" s="181" t="s">
        <v>2989</v>
      </c>
      <c r="B983" s="182" t="s">
        <v>7424</v>
      </c>
      <c r="C983" s="181" t="s">
        <v>7425</v>
      </c>
      <c r="D983" s="178">
        <v>4.0999999999999996</v>
      </c>
      <c r="E983" s="181" t="s">
        <v>6450</v>
      </c>
      <c r="F983" s="184">
        <v>40323</v>
      </c>
      <c r="G983" s="181"/>
      <c r="H983" s="181" t="s">
        <v>6451</v>
      </c>
      <c r="I983" s="181" t="str">
        <f>VLOOKUP(LEFT(A983,4),Groups!$A$1:$C$188,3,FALSE)</f>
        <v>Depth Related Exploratory Hole Information</v>
      </c>
      <c r="J983" s="181" t="str">
        <f>VLOOKUP(A983,Headings!$C$1:$H$3948,4,FALSE)</f>
        <v>Type of depth related information</v>
      </c>
      <c r="K983" s="181" t="str">
        <f t="shared" si="21"/>
        <v>HDPH_TYPE|GCOP</v>
      </c>
      <c r="L983" s="181"/>
    </row>
    <row r="984" spans="1:12" hidden="1" x14ac:dyDescent="0.35">
      <c r="A984" s="181" t="s">
        <v>2989</v>
      </c>
      <c r="B984" s="182" t="s">
        <v>4980</v>
      </c>
      <c r="C984" s="181" t="s">
        <v>7426</v>
      </c>
      <c r="D984" s="178">
        <v>4.0999999999999996</v>
      </c>
      <c r="E984" s="181" t="s">
        <v>6450</v>
      </c>
      <c r="F984" s="184">
        <v>40323</v>
      </c>
      <c r="G984" s="181"/>
      <c r="H984" s="181" t="s">
        <v>6451</v>
      </c>
      <c r="I984" s="181" t="str">
        <f>VLOOKUP(LEFT(A984,4),Groups!$A$1:$C$188,3,FALSE)</f>
        <v>Depth Related Exploratory Hole Information</v>
      </c>
      <c r="J984" s="181" t="str">
        <f>VLOOKUP(A984,Headings!$C$1:$H$3948,4,FALSE)</f>
        <v>Type of depth related information</v>
      </c>
      <c r="K984" s="181" t="str">
        <f t="shared" si="21"/>
        <v>HDPH_TYPE|HA</v>
      </c>
      <c r="L984" s="181"/>
    </row>
    <row r="985" spans="1:12" hidden="1" x14ac:dyDescent="0.35">
      <c r="A985" s="181" t="s">
        <v>2989</v>
      </c>
      <c r="B985" s="182" t="s">
        <v>220</v>
      </c>
      <c r="C985" s="181" t="s">
        <v>7427</v>
      </c>
      <c r="D985" s="178">
        <v>4.0999999999999996</v>
      </c>
      <c r="E985" s="181" t="s">
        <v>6450</v>
      </c>
      <c r="F985" s="184">
        <v>40323</v>
      </c>
      <c r="G985" s="181"/>
      <c r="H985" s="181" t="s">
        <v>6451</v>
      </c>
      <c r="I985" s="181" t="str">
        <f>VLOOKUP(LEFT(A985,4),Groups!$A$1:$C$188,3,FALSE)</f>
        <v>Depth Related Exploratory Hole Information</v>
      </c>
      <c r="J985" s="181" t="str">
        <f>VLOOKUP(A985,Headings!$C$1:$H$3948,4,FALSE)</f>
        <v>Type of depth related information</v>
      </c>
      <c r="K985" s="181" t="str">
        <f t="shared" si="21"/>
        <v>HDPH_TYPE|ICBR</v>
      </c>
      <c r="L985" s="181"/>
    </row>
    <row r="986" spans="1:12" hidden="1" x14ac:dyDescent="0.35">
      <c r="A986" s="181" t="s">
        <v>2989</v>
      </c>
      <c r="B986" s="182" t="s">
        <v>223</v>
      </c>
      <c r="C986" s="181" t="s">
        <v>7428</v>
      </c>
      <c r="D986" s="178">
        <v>4.0999999999999996</v>
      </c>
      <c r="E986" s="181" t="s">
        <v>6450</v>
      </c>
      <c r="F986" s="184">
        <v>40323</v>
      </c>
      <c r="G986" s="181"/>
      <c r="H986" s="181" t="s">
        <v>6451</v>
      </c>
      <c r="I986" s="181" t="str">
        <f>VLOOKUP(LEFT(A986,4),Groups!$A$1:$C$188,3,FALSE)</f>
        <v>Depth Related Exploratory Hole Information</v>
      </c>
      <c r="J986" s="181" t="str">
        <f>VLOOKUP(A986,Headings!$C$1:$H$3948,4,FALSE)</f>
        <v>Type of depth related information</v>
      </c>
      <c r="K986" s="181" t="str">
        <f t="shared" si="21"/>
        <v>HDPH_TYPE|IDEN</v>
      </c>
      <c r="L986" s="181"/>
    </row>
    <row r="987" spans="1:12" hidden="1" x14ac:dyDescent="0.35">
      <c r="A987" s="181" t="s">
        <v>2989</v>
      </c>
      <c r="B987" s="182" t="s">
        <v>7429</v>
      </c>
      <c r="C987" s="181" t="s">
        <v>7430</v>
      </c>
      <c r="D987" s="178">
        <v>4.0999999999999996</v>
      </c>
      <c r="E987" s="181" t="s">
        <v>6450</v>
      </c>
      <c r="F987" s="184">
        <v>40323</v>
      </c>
      <c r="G987" s="181"/>
      <c r="H987" s="181" t="s">
        <v>6451</v>
      </c>
      <c r="I987" s="181" t="str">
        <f>VLOOKUP(LEFT(A987,4),Groups!$A$1:$C$188,3,FALSE)</f>
        <v>Depth Related Exploratory Hole Information</v>
      </c>
      <c r="J987" s="181" t="str">
        <f>VLOOKUP(A987,Headings!$C$1:$H$3948,4,FALSE)</f>
        <v>Type of depth related information</v>
      </c>
      <c r="K987" s="181" t="str">
        <f t="shared" si="21"/>
        <v>HDPH_TYPE|INST</v>
      </c>
      <c r="L987" s="181"/>
    </row>
    <row r="988" spans="1:12" hidden="1" x14ac:dyDescent="0.35">
      <c r="A988" s="181" t="s">
        <v>2989</v>
      </c>
      <c r="B988" s="182" t="s">
        <v>7431</v>
      </c>
      <c r="C988" s="181" t="s">
        <v>7432</v>
      </c>
      <c r="D988" s="178">
        <v>4.0999999999999996</v>
      </c>
      <c r="E988" s="181" t="s">
        <v>6450</v>
      </c>
      <c r="F988" s="184">
        <v>40323</v>
      </c>
      <c r="G988" s="181"/>
      <c r="H988" s="181" t="s">
        <v>6451</v>
      </c>
      <c r="I988" s="181" t="str">
        <f>VLOOKUP(LEFT(A988,4),Groups!$A$1:$C$188,3,FALSE)</f>
        <v>Depth Related Exploratory Hole Information</v>
      </c>
      <c r="J988" s="181" t="str">
        <f>VLOOKUP(A988,Headings!$C$1:$H$3948,4,FALSE)</f>
        <v>Type of depth related information</v>
      </c>
      <c r="K988" s="181" t="str">
        <f t="shared" si="21"/>
        <v>HDPH_TYPE|IP</v>
      </c>
      <c r="L988" s="181"/>
    </row>
    <row r="989" spans="1:12" hidden="1" x14ac:dyDescent="0.35">
      <c r="A989" s="181" t="s">
        <v>2989</v>
      </c>
      <c r="B989" s="182" t="s">
        <v>239</v>
      </c>
      <c r="C989" s="181" t="s">
        <v>7433</v>
      </c>
      <c r="D989" s="178">
        <v>4.0999999999999996</v>
      </c>
      <c r="E989" s="181" t="s">
        <v>6450</v>
      </c>
      <c r="F989" s="184">
        <v>40323</v>
      </c>
      <c r="G989" s="181"/>
      <c r="H989" s="181" t="s">
        <v>6451</v>
      </c>
      <c r="I989" s="181" t="str">
        <f>VLOOKUP(LEFT(A989,4),Groups!$A$1:$C$188,3,FALSE)</f>
        <v>Depth Related Exploratory Hole Information</v>
      </c>
      <c r="J989" s="181" t="str">
        <f>VLOOKUP(A989,Headings!$C$1:$H$3948,4,FALSE)</f>
        <v>Type of depth related information</v>
      </c>
      <c r="K989" s="181" t="str">
        <f t="shared" si="21"/>
        <v>HDPH_TYPE|IRDX</v>
      </c>
      <c r="L989" s="181"/>
    </row>
    <row r="990" spans="1:12" hidden="1" x14ac:dyDescent="0.35">
      <c r="A990" s="181" t="s">
        <v>2989</v>
      </c>
      <c r="B990" s="182" t="s">
        <v>241</v>
      </c>
      <c r="C990" s="181" t="s">
        <v>7434</v>
      </c>
      <c r="D990" s="178">
        <v>4.0999999999999996</v>
      </c>
      <c r="E990" s="181" t="s">
        <v>6450</v>
      </c>
      <c r="F990" s="184">
        <v>40323</v>
      </c>
      <c r="G990" s="181"/>
      <c r="H990" s="181" t="s">
        <v>6451</v>
      </c>
      <c r="I990" s="181" t="str">
        <f>VLOOKUP(LEFT(A990,4),Groups!$A$1:$C$188,3,FALSE)</f>
        <v>Depth Related Exploratory Hole Information</v>
      </c>
      <c r="J990" s="181" t="str">
        <f>VLOOKUP(A990,Headings!$C$1:$H$3948,4,FALSE)</f>
        <v>Type of depth related information</v>
      </c>
      <c r="K990" s="181" t="str">
        <f t="shared" si="21"/>
        <v>HDPH_TYPE|IRES</v>
      </c>
      <c r="L990" s="181"/>
    </row>
    <row r="991" spans="1:12" hidden="1" x14ac:dyDescent="0.35">
      <c r="A991" s="181" t="s">
        <v>2989</v>
      </c>
      <c r="B991" s="182" t="s">
        <v>247</v>
      </c>
      <c r="C991" s="181" t="s">
        <v>7435</v>
      </c>
      <c r="D991" s="178">
        <v>4.0999999999999996</v>
      </c>
      <c r="E991" s="181" t="s">
        <v>6450</v>
      </c>
      <c r="F991" s="184">
        <v>40323</v>
      </c>
      <c r="G991" s="181"/>
      <c r="H991" s="181" t="s">
        <v>6451</v>
      </c>
      <c r="I991" s="181" t="str">
        <f>VLOOKUP(LEFT(A991,4),Groups!$A$1:$C$188,3,FALSE)</f>
        <v>Depth Related Exploratory Hole Information</v>
      </c>
      <c r="J991" s="181" t="str">
        <f>VLOOKUP(A991,Headings!$C$1:$H$3948,4,FALSE)</f>
        <v>Type of depth related information</v>
      </c>
      <c r="K991" s="181" t="str">
        <f t="shared" si="21"/>
        <v>HDPH_TYPE|ISPT</v>
      </c>
      <c r="L991" s="181"/>
    </row>
    <row r="992" spans="1:12" hidden="1" x14ac:dyDescent="0.35">
      <c r="A992" s="181" t="s">
        <v>2989</v>
      </c>
      <c r="B992" s="182" t="s">
        <v>252</v>
      </c>
      <c r="C992" s="181" t="s">
        <v>7436</v>
      </c>
      <c r="D992" s="178">
        <v>4.0999999999999996</v>
      </c>
      <c r="E992" s="181" t="s">
        <v>6450</v>
      </c>
      <c r="F992" s="184">
        <v>40323</v>
      </c>
      <c r="G992" s="181"/>
      <c r="H992" s="181" t="s">
        <v>6451</v>
      </c>
      <c r="I992" s="181" t="str">
        <f>VLOOKUP(LEFT(A992,4),Groups!$A$1:$C$188,3,FALSE)</f>
        <v>Depth Related Exploratory Hole Information</v>
      </c>
      <c r="J992" s="181" t="str">
        <f>VLOOKUP(A992,Headings!$C$1:$H$3948,4,FALSE)</f>
        <v>Type of depth related information</v>
      </c>
      <c r="K992" s="181" t="str">
        <f t="shared" si="21"/>
        <v>HDPH_TYPE|IVAN</v>
      </c>
      <c r="L992" s="181"/>
    </row>
    <row r="993" spans="1:12" hidden="1" x14ac:dyDescent="0.35">
      <c r="A993" s="181" t="s">
        <v>2989</v>
      </c>
      <c r="B993" s="182" t="s">
        <v>6586</v>
      </c>
      <c r="C993" s="181" t="s">
        <v>7437</v>
      </c>
      <c r="D993" s="178">
        <v>4.0999999999999996</v>
      </c>
      <c r="E993" s="181" t="s">
        <v>6450</v>
      </c>
      <c r="F993" s="184">
        <v>40323</v>
      </c>
      <c r="G993" s="181"/>
      <c r="H993" s="181" t="s">
        <v>6451</v>
      </c>
      <c r="I993" s="181" t="str">
        <f>VLOOKUP(LEFT(A993,4),Groups!$A$1:$C$188,3,FALSE)</f>
        <v>Depth Related Exploratory Hole Information</v>
      </c>
      <c r="J993" s="181" t="str">
        <f>VLOOKUP(A993,Headings!$C$1:$H$3948,4,FALSE)</f>
        <v>Type of depth related information</v>
      </c>
      <c r="K993" s="181" t="str">
        <f t="shared" si="21"/>
        <v>HDPH_TYPE|OP</v>
      </c>
      <c r="L993" s="181"/>
    </row>
    <row r="994" spans="1:12" hidden="1" x14ac:dyDescent="0.35">
      <c r="A994" s="181" t="s">
        <v>2989</v>
      </c>
      <c r="B994" s="182" t="s">
        <v>5692</v>
      </c>
      <c r="C994" s="181" t="s">
        <v>7438</v>
      </c>
      <c r="D994" s="178">
        <v>4.0999999999999996</v>
      </c>
      <c r="E994" s="181" t="s">
        <v>6450</v>
      </c>
      <c r="F994" s="184">
        <v>43042</v>
      </c>
      <c r="G994" s="181"/>
      <c r="H994" s="181" t="s">
        <v>6451</v>
      </c>
      <c r="I994" s="181" t="str">
        <f>VLOOKUP(LEFT(A994,4),Groups!$A$1:$C$188,3,FALSE)</f>
        <v>Depth Related Exploratory Hole Information</v>
      </c>
      <c r="J994" s="181" t="str">
        <f>VLOOKUP(A994,Headings!$C$1:$H$3948,4,FALSE)</f>
        <v>Type of depth related information</v>
      </c>
      <c r="K994" s="181" t="str">
        <f t="shared" si="21"/>
        <v>HDPH_TYPE|PC</v>
      </c>
      <c r="L994" s="181"/>
    </row>
    <row r="995" spans="1:12" hidden="1" x14ac:dyDescent="0.35">
      <c r="A995" s="181" t="s">
        <v>2989</v>
      </c>
      <c r="B995" s="182" t="s">
        <v>7439</v>
      </c>
      <c r="C995" s="181" t="s">
        <v>7440</v>
      </c>
      <c r="D995" s="178">
        <v>4.0999999999999996</v>
      </c>
      <c r="E995" s="181" t="s">
        <v>6450</v>
      </c>
      <c r="F995" s="184">
        <v>40323</v>
      </c>
      <c r="G995" s="181"/>
      <c r="H995" s="181" t="s">
        <v>6451</v>
      </c>
      <c r="I995" s="181" t="str">
        <f>VLOOKUP(LEFT(A995,4),Groups!$A$1:$C$188,3,FALSE)</f>
        <v>Depth Related Exploratory Hole Information</v>
      </c>
      <c r="J995" s="181" t="str">
        <f>VLOOKUP(A995,Headings!$C$1:$H$3948,4,FALSE)</f>
        <v>Type of depth related information</v>
      </c>
      <c r="K995" s="181" t="str">
        <f t="shared" si="21"/>
        <v>HDPH_TYPE|PM</v>
      </c>
      <c r="L995" s="181"/>
    </row>
    <row r="996" spans="1:12" hidden="1" x14ac:dyDescent="0.35">
      <c r="A996" s="181" t="s">
        <v>2989</v>
      </c>
      <c r="B996" s="182" t="s">
        <v>7441</v>
      </c>
      <c r="C996" s="181" t="s">
        <v>7442</v>
      </c>
      <c r="D996" s="178">
        <v>4.0999999999999996</v>
      </c>
      <c r="E996" s="181" t="s">
        <v>6450</v>
      </c>
      <c r="F996" s="184">
        <v>40323</v>
      </c>
      <c r="G996" s="181"/>
      <c r="H996" s="181" t="s">
        <v>6451</v>
      </c>
      <c r="I996" s="181" t="str">
        <f>VLOOKUP(LEFT(A996,4),Groups!$A$1:$C$188,3,FALSE)</f>
        <v>Depth Related Exploratory Hole Information</v>
      </c>
      <c r="J996" s="181" t="str">
        <f>VLOOKUP(A996,Headings!$C$1:$H$3948,4,FALSE)</f>
        <v>Type of depth related information</v>
      </c>
      <c r="K996" s="181" t="str">
        <f t="shared" si="21"/>
        <v>HDPH_TYPE|RC</v>
      </c>
      <c r="L996" s="181"/>
    </row>
    <row r="997" spans="1:12" hidden="1" x14ac:dyDescent="0.35">
      <c r="A997" s="181" t="s">
        <v>2989</v>
      </c>
      <c r="B997" s="182" t="s">
        <v>7443</v>
      </c>
      <c r="C997" s="181" t="s">
        <v>7444</v>
      </c>
      <c r="D997" s="178">
        <v>4.0999999999999996</v>
      </c>
      <c r="E997" s="181" t="s">
        <v>6450</v>
      </c>
      <c r="F997" s="184">
        <v>40323</v>
      </c>
      <c r="G997" s="181"/>
      <c r="H997" s="181" t="s">
        <v>6451</v>
      </c>
      <c r="I997" s="181" t="str">
        <f>VLOOKUP(LEFT(A997,4),Groups!$A$1:$C$188,3,FALSE)</f>
        <v>Depth Related Exploratory Hole Information</v>
      </c>
      <c r="J997" s="181" t="str">
        <f>VLOOKUP(A997,Headings!$C$1:$H$3948,4,FALSE)</f>
        <v>Type of depth related information</v>
      </c>
      <c r="K997" s="181" t="str">
        <f t="shared" si="21"/>
        <v>HDPH_TYPE|RCG</v>
      </c>
      <c r="L997" s="181"/>
    </row>
    <row r="998" spans="1:12" hidden="1" x14ac:dyDescent="0.35">
      <c r="A998" s="181" t="s">
        <v>2989</v>
      </c>
      <c r="B998" s="182" t="s">
        <v>7445</v>
      </c>
      <c r="C998" s="181" t="s">
        <v>7446</v>
      </c>
      <c r="D998" s="178">
        <v>4.0999999999999996</v>
      </c>
      <c r="E998" s="181" t="s">
        <v>6450</v>
      </c>
      <c r="F998" s="184">
        <v>40323</v>
      </c>
      <c r="G998" s="181"/>
      <c r="H998" s="181" t="s">
        <v>6451</v>
      </c>
      <c r="I998" s="181" t="str">
        <f>VLOOKUP(LEFT(A998,4),Groups!$A$1:$C$188,3,FALSE)</f>
        <v>Depth Related Exploratory Hole Information</v>
      </c>
      <c r="J998" s="181" t="str">
        <f>VLOOKUP(A998,Headings!$C$1:$H$3948,4,FALSE)</f>
        <v>Type of depth related information</v>
      </c>
      <c r="K998" s="181" t="str">
        <f t="shared" si="21"/>
        <v>HDPH_TYPE|RO</v>
      </c>
      <c r="L998" s="181"/>
    </row>
    <row r="999" spans="1:12" hidden="1" x14ac:dyDescent="0.35">
      <c r="A999" s="181" t="s">
        <v>2989</v>
      </c>
      <c r="B999" s="182" t="s">
        <v>7447</v>
      </c>
      <c r="C999" s="181" t="s">
        <v>7448</v>
      </c>
      <c r="D999" s="178">
        <v>4.0999999999999996</v>
      </c>
      <c r="E999" s="181" t="s">
        <v>6450</v>
      </c>
      <c r="F999" s="184">
        <v>43082</v>
      </c>
      <c r="G999" s="181"/>
      <c r="H999" s="181" t="s">
        <v>6451</v>
      </c>
      <c r="I999" s="181" t="str">
        <f>VLOOKUP(LEFT(A999,4),Groups!$A$1:$C$188,3,FALSE)</f>
        <v>Depth Related Exploratory Hole Information</v>
      </c>
      <c r="J999" s="181" t="str">
        <f>VLOOKUP(A999,Headings!$C$1:$H$3948,4,FALSE)</f>
        <v>Type of depth related information</v>
      </c>
      <c r="K999" s="181" t="str">
        <f t="shared" si="21"/>
        <v>HDPH_TYPE|RPC</v>
      </c>
      <c r="L999" s="181"/>
    </row>
    <row r="1000" spans="1:12" hidden="1" x14ac:dyDescent="0.35">
      <c r="A1000" s="181" t="s">
        <v>2989</v>
      </c>
      <c r="B1000" s="182" t="s">
        <v>7449</v>
      </c>
      <c r="C1000" s="181" t="s">
        <v>7450</v>
      </c>
      <c r="D1000" s="178">
        <v>4.0999999999999996</v>
      </c>
      <c r="E1000" s="181" t="s">
        <v>6450</v>
      </c>
      <c r="F1000" s="184">
        <v>40323</v>
      </c>
      <c r="G1000" s="181"/>
      <c r="H1000" s="181" t="s">
        <v>6451</v>
      </c>
      <c r="I1000" s="181" t="str">
        <f>VLOOKUP(LEFT(A1000,4),Groups!$A$1:$C$188,3,FALSE)</f>
        <v>Depth Related Exploratory Hole Information</v>
      </c>
      <c r="J1000" s="181" t="str">
        <f>VLOOKUP(A1000,Headings!$C$1:$H$3948,4,FALSE)</f>
        <v>Type of depth related information</v>
      </c>
      <c r="K1000" s="181" t="str">
        <f t="shared" si="21"/>
        <v>HDPH_TYPE|SCP</v>
      </c>
      <c r="L1000" s="181"/>
    </row>
    <row r="1001" spans="1:12" hidden="1" x14ac:dyDescent="0.35">
      <c r="A1001" s="181" t="s">
        <v>2989</v>
      </c>
      <c r="B1001" s="182" t="s">
        <v>7451</v>
      </c>
      <c r="C1001" s="181" t="s">
        <v>7452</v>
      </c>
      <c r="D1001" s="178">
        <v>4.0999999999999996</v>
      </c>
      <c r="E1001" s="181" t="s">
        <v>6450</v>
      </c>
      <c r="F1001" s="184">
        <v>40323</v>
      </c>
      <c r="G1001" s="181"/>
      <c r="H1001" s="181" t="s">
        <v>6451</v>
      </c>
      <c r="I1001" s="181" t="str">
        <f>VLOOKUP(LEFT(A1001,4),Groups!$A$1:$C$188,3,FALSE)</f>
        <v>Depth Related Exploratory Hole Information</v>
      </c>
      <c r="J1001" s="181" t="str">
        <f>VLOOKUP(A1001,Headings!$C$1:$H$3948,4,FALSE)</f>
        <v>Type of depth related information</v>
      </c>
      <c r="K1001" s="181" t="str">
        <f t="shared" si="21"/>
        <v>HDPH_TYPE|SH</v>
      </c>
      <c r="L1001" s="181"/>
    </row>
    <row r="1002" spans="1:12" hidden="1" x14ac:dyDescent="0.35">
      <c r="A1002" s="181" t="s">
        <v>2989</v>
      </c>
      <c r="B1002" s="182" t="s">
        <v>7453</v>
      </c>
      <c r="C1002" s="181" t="s">
        <v>7454</v>
      </c>
      <c r="D1002" s="178">
        <v>4.0999999999999996</v>
      </c>
      <c r="E1002" s="181" t="s">
        <v>6450</v>
      </c>
      <c r="F1002" s="184">
        <v>40323</v>
      </c>
      <c r="G1002" s="181"/>
      <c r="H1002" s="181" t="s">
        <v>6451</v>
      </c>
      <c r="I1002" s="181" t="str">
        <f>VLOOKUP(LEFT(A1002,4),Groups!$A$1:$C$188,3,FALSE)</f>
        <v>Depth Related Exploratory Hole Information</v>
      </c>
      <c r="J1002" s="181" t="str">
        <f>VLOOKUP(A1002,Headings!$C$1:$H$3948,4,FALSE)</f>
        <v>Type of depth related information</v>
      </c>
      <c r="K1002" s="181" t="str">
        <f t="shared" si="21"/>
        <v>HDPH_TYPE|SNC</v>
      </c>
      <c r="L1002" s="181"/>
    </row>
    <row r="1003" spans="1:12" hidden="1" x14ac:dyDescent="0.35">
      <c r="A1003" s="181" t="s">
        <v>2989</v>
      </c>
      <c r="B1003" s="182" t="s">
        <v>965</v>
      </c>
      <c r="C1003" s="181" t="s">
        <v>7455</v>
      </c>
      <c r="D1003" s="178">
        <v>4.0999999999999996</v>
      </c>
      <c r="E1003" s="181" t="s">
        <v>6450</v>
      </c>
      <c r="F1003" s="184">
        <v>40323</v>
      </c>
      <c r="G1003" s="181"/>
      <c r="H1003" s="181" t="s">
        <v>6451</v>
      </c>
      <c r="I1003" s="181" t="str">
        <f>VLOOKUP(LEFT(A1003,4),Groups!$A$1:$C$188,3,FALSE)</f>
        <v>Depth Related Exploratory Hole Information</v>
      </c>
      <c r="J1003" s="181" t="str">
        <f>VLOOKUP(A1003,Headings!$C$1:$H$3948,4,FALSE)</f>
        <v>Type of depth related information</v>
      </c>
      <c r="K1003" s="181" t="str">
        <f t="shared" si="21"/>
        <v>HDPH_TYPE|TP</v>
      </c>
      <c r="L1003" s="181"/>
    </row>
    <row r="1004" spans="1:12" hidden="1" x14ac:dyDescent="0.35">
      <c r="A1004" s="181" t="s">
        <v>2989</v>
      </c>
      <c r="B1004" s="182" t="s">
        <v>7456</v>
      </c>
      <c r="C1004" s="181" t="s">
        <v>7457</v>
      </c>
      <c r="D1004" s="178">
        <v>4.0999999999999996</v>
      </c>
      <c r="E1004" s="181" t="s">
        <v>6450</v>
      </c>
      <c r="F1004" s="184">
        <v>40323</v>
      </c>
      <c r="G1004" s="181"/>
      <c r="H1004" s="181" t="s">
        <v>6451</v>
      </c>
      <c r="I1004" s="181" t="str">
        <f>VLOOKUP(LEFT(A1004,4),Groups!$A$1:$C$188,3,FALSE)</f>
        <v>Depth Related Exploratory Hole Information</v>
      </c>
      <c r="J1004" s="181" t="str">
        <f>VLOOKUP(A1004,Headings!$C$1:$H$3948,4,FALSE)</f>
        <v>Type of depth related information</v>
      </c>
      <c r="K1004" s="181" t="str">
        <f t="shared" si="21"/>
        <v>HDPH_TYPE|TRAV</v>
      </c>
      <c r="L1004" s="181"/>
    </row>
    <row r="1005" spans="1:12" hidden="1" x14ac:dyDescent="0.35">
      <c r="A1005" s="181" t="s">
        <v>2989</v>
      </c>
      <c r="B1005" s="182" t="s">
        <v>7458</v>
      </c>
      <c r="C1005" s="181" t="s">
        <v>7459</v>
      </c>
      <c r="D1005" s="178">
        <v>4.0999999999999996</v>
      </c>
      <c r="E1005" s="181" t="s">
        <v>6450</v>
      </c>
      <c r="F1005" s="184">
        <v>40323</v>
      </c>
      <c r="G1005" s="181"/>
      <c r="H1005" s="181" t="s">
        <v>6451</v>
      </c>
      <c r="I1005" s="181" t="str">
        <f>VLOOKUP(LEFT(A1005,4),Groups!$A$1:$C$188,3,FALSE)</f>
        <v>Depth Related Exploratory Hole Information</v>
      </c>
      <c r="J1005" s="181" t="str">
        <f>VLOOKUP(A1005,Headings!$C$1:$H$3948,4,FALSE)</f>
        <v>Type of depth related information</v>
      </c>
      <c r="K1005" s="181" t="str">
        <f t="shared" si="21"/>
        <v>HDPH_TYPE|VC</v>
      </c>
      <c r="L1005" s="181"/>
    </row>
    <row r="1006" spans="1:12" hidden="1" x14ac:dyDescent="0.35">
      <c r="A1006" s="181" t="s">
        <v>2989</v>
      </c>
      <c r="B1006" s="182" t="s">
        <v>4534</v>
      </c>
      <c r="C1006" s="181" t="s">
        <v>7460</v>
      </c>
      <c r="D1006" s="178">
        <v>4.0999999999999996</v>
      </c>
      <c r="E1006" s="181" t="s">
        <v>6450</v>
      </c>
      <c r="F1006" s="184">
        <v>41579</v>
      </c>
      <c r="G1006" s="181"/>
      <c r="H1006" s="181" t="s">
        <v>6451</v>
      </c>
      <c r="I1006" s="181" t="str">
        <f>VLOOKUP(LEFT(A1006,4),Groups!$A$1:$C$188,3,FALSE)</f>
        <v>Depth Related Exploratory Hole Information</v>
      </c>
      <c r="J1006" s="181" t="str">
        <f>VLOOKUP(A1006,Headings!$C$1:$H$3948,4,FALSE)</f>
        <v>Type of depth related information</v>
      </c>
      <c r="K1006" s="181" t="str">
        <f t="shared" si="21"/>
        <v>HDPH_TYPE|VE</v>
      </c>
      <c r="L1006" s="181"/>
    </row>
    <row r="1007" spans="1:12" hidden="1" x14ac:dyDescent="0.35">
      <c r="A1007" s="181" t="s">
        <v>2989</v>
      </c>
      <c r="B1007" s="182" t="s">
        <v>7461</v>
      </c>
      <c r="C1007" s="181" t="s">
        <v>7462</v>
      </c>
      <c r="D1007" s="178">
        <v>4.0999999999999996</v>
      </c>
      <c r="E1007" s="181" t="s">
        <v>6450</v>
      </c>
      <c r="F1007" s="184">
        <v>40323</v>
      </c>
      <c r="G1007" s="181"/>
      <c r="H1007" s="181" t="s">
        <v>6451</v>
      </c>
      <c r="I1007" s="181" t="str">
        <f>VLOOKUP(LEFT(A1007,4),Groups!$A$1:$C$188,3,FALSE)</f>
        <v>Depth Related Exploratory Hole Information</v>
      </c>
      <c r="J1007" s="181" t="str">
        <f>VLOOKUP(A1007,Headings!$C$1:$H$3948,4,FALSE)</f>
        <v>Type of depth related information</v>
      </c>
      <c r="K1007" s="181" t="str">
        <f t="shared" si="21"/>
        <v>HDPH_TYPE|W</v>
      </c>
      <c r="L1007" s="181"/>
    </row>
    <row r="1008" spans="1:12" hidden="1" x14ac:dyDescent="0.35">
      <c r="A1008" s="181" t="s">
        <v>2989</v>
      </c>
      <c r="B1008" s="182" t="s">
        <v>7463</v>
      </c>
      <c r="C1008" s="181" t="s">
        <v>7464</v>
      </c>
      <c r="D1008" s="178">
        <v>4.0999999999999996</v>
      </c>
      <c r="E1008" s="181" t="s">
        <v>6450</v>
      </c>
      <c r="F1008" s="184">
        <v>40323</v>
      </c>
      <c r="G1008" s="181"/>
      <c r="H1008" s="181" t="s">
        <v>6451</v>
      </c>
      <c r="I1008" s="181" t="str">
        <f>VLOOKUP(LEFT(A1008,4),Groups!$A$1:$C$188,3,FALSE)</f>
        <v>Depth Related Exploratory Hole Information</v>
      </c>
      <c r="J1008" s="181" t="str">
        <f>VLOOKUP(A1008,Headings!$C$1:$H$3948,4,FALSE)</f>
        <v>Type of depth related information</v>
      </c>
      <c r="K1008" s="181" t="str">
        <f t="shared" si="21"/>
        <v>HDPH_TYPE|WLS</v>
      </c>
      <c r="L1008" s="181"/>
    </row>
    <row r="1009" spans="1:12" hidden="1" x14ac:dyDescent="0.35">
      <c r="A1009" s="181" t="s">
        <v>2989</v>
      </c>
      <c r="B1009" s="182" t="s">
        <v>6764</v>
      </c>
      <c r="C1009" s="181" t="s">
        <v>7465</v>
      </c>
      <c r="D1009" s="178">
        <v>4.0999999999999996</v>
      </c>
      <c r="E1009" s="181" t="s">
        <v>6450</v>
      </c>
      <c r="F1009" s="184">
        <v>40323</v>
      </c>
      <c r="G1009" s="181"/>
      <c r="H1009" s="181" t="s">
        <v>6451</v>
      </c>
      <c r="I1009" s="181" t="str">
        <f>VLOOKUP(LEFT(A1009,4),Groups!$A$1:$C$188,3,FALSE)</f>
        <v>Depth Related Exploratory Hole Information</v>
      </c>
      <c r="J1009" s="181" t="str">
        <f>VLOOKUP(A1009,Headings!$C$1:$H$3948,4,FALSE)</f>
        <v>Type of depth related information</v>
      </c>
      <c r="K1009" s="181" t="str">
        <f t="shared" si="21"/>
        <v>HDPH_TYPE|WS</v>
      </c>
      <c r="L1009" s="181"/>
    </row>
    <row r="1010" spans="1:12" hidden="1" x14ac:dyDescent="0.35">
      <c r="A1010" s="181" t="s">
        <v>3085</v>
      </c>
      <c r="B1010" s="182" t="s">
        <v>7417</v>
      </c>
      <c r="C1010" s="181" t="s">
        <v>7418</v>
      </c>
      <c r="D1010" s="178">
        <v>4.0999999999999996</v>
      </c>
      <c r="E1010" s="181" t="s">
        <v>6450</v>
      </c>
      <c r="F1010" s="184">
        <v>40323</v>
      </c>
      <c r="G1010" s="181"/>
      <c r="H1010" s="181" t="s">
        <v>6451</v>
      </c>
      <c r="I1010" s="181" t="str">
        <f>VLOOKUP(LEFT(A1010,4),Groups!$A$1:$C$188,3,FALSE)</f>
        <v>In Situ California Bearing Ratio Tests</v>
      </c>
      <c r="J1010" s="181" t="str">
        <f>VLOOKUP(A1010,Headings!$C$1:$H$3948,4,FALSE)</f>
        <v>Type of CBR</v>
      </c>
      <c r="K1010" s="181" t="str">
        <f t="shared" si="21"/>
        <v>ICBR_TYPE|DCP</v>
      </c>
      <c r="L1010" s="181"/>
    </row>
    <row r="1011" spans="1:12" hidden="1" x14ac:dyDescent="0.35">
      <c r="A1011" s="181" t="s">
        <v>3085</v>
      </c>
      <c r="B1011" s="182" t="s">
        <v>7466</v>
      </c>
      <c r="C1011" s="181" t="s">
        <v>7467</v>
      </c>
      <c r="D1011" s="178">
        <v>4.0999999999999996</v>
      </c>
      <c r="E1011" s="181" t="s">
        <v>6450</v>
      </c>
      <c r="F1011" s="184">
        <v>40323</v>
      </c>
      <c r="G1011" s="181"/>
      <c r="H1011" s="181" t="s">
        <v>6451</v>
      </c>
      <c r="I1011" s="181" t="str">
        <f>VLOOKUP(LEFT(A1011,4),Groups!$A$1:$C$188,3,FALSE)</f>
        <v>In Situ California Bearing Ratio Tests</v>
      </c>
      <c r="J1011" s="181" t="str">
        <f>VLOOKUP(A1011,Headings!$C$1:$H$3948,4,FALSE)</f>
        <v>Type of CBR</v>
      </c>
      <c r="K1011" s="181" t="str">
        <f t="shared" si="21"/>
        <v>ICBR_TYPE|IN SITU CBR</v>
      </c>
      <c r="L1011" s="181"/>
    </row>
    <row r="1012" spans="1:12" hidden="1" x14ac:dyDescent="0.35">
      <c r="A1012" s="181" t="s">
        <v>3085</v>
      </c>
      <c r="B1012" s="182" t="s">
        <v>3087</v>
      </c>
      <c r="C1012" s="181" t="s">
        <v>7468</v>
      </c>
      <c r="D1012" s="178">
        <v>4.0999999999999996</v>
      </c>
      <c r="E1012" s="181" t="s">
        <v>6450</v>
      </c>
      <c r="F1012" s="184">
        <v>40323</v>
      </c>
      <c r="G1012" s="181"/>
      <c r="H1012" s="181" t="s">
        <v>6451</v>
      </c>
      <c r="I1012" s="181" t="str">
        <f>VLOOKUP(LEFT(A1012,4),Groups!$A$1:$C$188,3,FALSE)</f>
        <v>In Situ California Bearing Ratio Tests</v>
      </c>
      <c r="J1012" s="181" t="str">
        <f>VLOOKUP(A1012,Headings!$C$1:$H$3948,4,FALSE)</f>
        <v>Type of CBR</v>
      </c>
      <c r="K1012" s="181" t="str">
        <f t="shared" si="21"/>
        <v>ICBR_TYPE|MEXECONE</v>
      </c>
      <c r="L1012" s="181"/>
    </row>
    <row r="1013" spans="1:12" hidden="1" x14ac:dyDescent="0.35">
      <c r="A1013" s="181" t="s">
        <v>3138</v>
      </c>
      <c r="B1013" s="182" t="s">
        <v>3140</v>
      </c>
      <c r="C1013" s="181" t="s">
        <v>3140</v>
      </c>
      <c r="D1013" s="178">
        <v>4.0999999999999996</v>
      </c>
      <c r="E1013" s="181" t="s">
        <v>6450</v>
      </c>
      <c r="F1013" s="184">
        <v>44173</v>
      </c>
      <c r="G1013" s="181"/>
      <c r="H1013" s="181" t="s">
        <v>6451</v>
      </c>
      <c r="I1013" s="181" t="str">
        <f>VLOOKUP(LEFT(A1013,4),Groups!$A$1:$C$188,3,FALSE)</f>
        <v>In Situ Density Tests</v>
      </c>
      <c r="J1013" s="181" t="str">
        <f>VLOOKUP(A1013,Headings!$C$1:$H$3948,4,FALSE)</f>
        <v>Type of density test performed</v>
      </c>
      <c r="K1013" s="181" t="str">
        <f t="shared" si="21"/>
        <v>IDEN_TYPE|Core</v>
      </c>
      <c r="L1013" s="181"/>
    </row>
    <row r="1014" spans="1:12" hidden="1" x14ac:dyDescent="0.35">
      <c r="A1014" s="88" t="s">
        <v>3201</v>
      </c>
      <c r="B1014" s="88" t="s">
        <v>7469</v>
      </c>
      <c r="C1014" s="89" t="s">
        <v>7470</v>
      </c>
      <c r="D1014" s="89" t="s">
        <v>473</v>
      </c>
      <c r="E1014" s="181"/>
      <c r="F1014" s="181"/>
      <c r="G1014" s="183"/>
      <c r="H1014" s="181"/>
      <c r="I1014" s="181"/>
      <c r="J1014" s="181"/>
      <c r="K1014" s="181" t="str">
        <f t="shared" si="21"/>
        <v>IMAG_TYPE|CPB</v>
      </c>
      <c r="L1014" s="181"/>
    </row>
    <row r="1015" spans="1:12" hidden="1" x14ac:dyDescent="0.35">
      <c r="A1015" s="88" t="s">
        <v>3201</v>
      </c>
      <c r="B1015" s="88" t="s">
        <v>7471</v>
      </c>
      <c r="C1015" s="89" t="s">
        <v>7472</v>
      </c>
      <c r="D1015" s="89" t="s">
        <v>473</v>
      </c>
      <c r="E1015" s="181"/>
      <c r="F1015" s="181"/>
      <c r="G1015" s="183"/>
      <c r="H1015" s="181"/>
      <c r="I1015" s="181"/>
      <c r="J1015" s="181"/>
      <c r="K1015" s="181" t="str">
        <f t="shared" si="21"/>
        <v>IMAG_TYPE|CPC</v>
      </c>
      <c r="L1015" s="181"/>
    </row>
    <row r="1016" spans="1:12" hidden="1" x14ac:dyDescent="0.35">
      <c r="A1016" s="88" t="s">
        <v>3201</v>
      </c>
      <c r="B1016" s="88" t="s">
        <v>7473</v>
      </c>
      <c r="C1016" s="89" t="s">
        <v>7474</v>
      </c>
      <c r="D1016" s="89" t="s">
        <v>473</v>
      </c>
      <c r="E1016" s="181"/>
      <c r="F1016" s="181"/>
      <c r="G1016" s="183"/>
      <c r="H1016" s="181"/>
      <c r="I1016" s="181"/>
      <c r="J1016" s="181"/>
      <c r="K1016" s="181" t="str">
        <f t="shared" si="21"/>
        <v>IMAG_TYPE|DIC</v>
      </c>
      <c r="L1016" s="181"/>
    </row>
    <row r="1017" spans="1:12" hidden="1" x14ac:dyDescent="0.35">
      <c r="A1017" s="88" t="s">
        <v>3201</v>
      </c>
      <c r="B1017" s="88" t="s">
        <v>7475</v>
      </c>
      <c r="C1017" s="89" t="s">
        <v>7476</v>
      </c>
      <c r="D1017" s="89" t="s">
        <v>473</v>
      </c>
      <c r="E1017" s="181"/>
      <c r="F1017" s="181"/>
      <c r="G1017" s="183"/>
      <c r="H1017" s="181"/>
      <c r="I1017" s="181"/>
      <c r="J1017" s="181"/>
      <c r="K1017" s="181" t="str">
        <f t="shared" si="21"/>
        <v>IMAG_TYPE|FS</v>
      </c>
      <c r="L1017" s="181"/>
    </row>
    <row r="1018" spans="1:12" hidden="1" x14ac:dyDescent="0.35">
      <c r="A1018" s="88" t="s">
        <v>3201</v>
      </c>
      <c r="B1018" s="88" t="s">
        <v>682</v>
      </c>
      <c r="C1018" s="89" t="s">
        <v>7477</v>
      </c>
      <c r="D1018" s="89" t="s">
        <v>473</v>
      </c>
      <c r="E1018" s="181"/>
      <c r="F1018" s="181"/>
      <c r="G1018" s="183"/>
      <c r="H1018" s="181"/>
      <c r="I1018" s="181"/>
      <c r="J1018" s="181"/>
      <c r="K1018" s="181" t="str">
        <f t="shared" si="21"/>
        <v>IMAG_TYPE|SP</v>
      </c>
      <c r="L1018" s="181"/>
    </row>
    <row r="1019" spans="1:12" hidden="1" x14ac:dyDescent="0.35">
      <c r="A1019" s="88" t="s">
        <v>3201</v>
      </c>
      <c r="B1019" s="88" t="s">
        <v>6634</v>
      </c>
      <c r="C1019" s="89" t="s">
        <v>7478</v>
      </c>
      <c r="D1019" s="89" t="s">
        <v>473</v>
      </c>
      <c r="E1019" s="181"/>
      <c r="F1019" s="181"/>
      <c r="G1019" s="183"/>
      <c r="H1019" s="181"/>
      <c r="I1019" s="181"/>
      <c r="J1019" s="181"/>
      <c r="K1019" s="181" t="str">
        <f t="shared" si="21"/>
        <v>IMAG_TYPE|SS</v>
      </c>
      <c r="L1019" s="181"/>
    </row>
    <row r="1020" spans="1:12" hidden="1" x14ac:dyDescent="0.35">
      <c r="A1020" s="88" t="s">
        <v>3201</v>
      </c>
      <c r="B1020" s="88" t="s">
        <v>7479</v>
      </c>
      <c r="C1020" s="89" t="s">
        <v>7480</v>
      </c>
      <c r="D1020" s="89" t="s">
        <v>473</v>
      </c>
      <c r="E1020" s="181"/>
      <c r="F1020" s="181"/>
      <c r="G1020" s="183"/>
      <c r="H1020" s="181"/>
      <c r="I1020" s="181"/>
      <c r="J1020" s="181"/>
      <c r="K1020" s="181" t="str">
        <f t="shared" si="21"/>
        <v>IMAG_TYPE|TRP</v>
      </c>
      <c r="L1020" s="181"/>
    </row>
    <row r="1021" spans="1:12" hidden="1" x14ac:dyDescent="0.35">
      <c r="A1021" s="88" t="s">
        <v>3201</v>
      </c>
      <c r="B1021" s="88" t="s">
        <v>3203</v>
      </c>
      <c r="C1021" s="89" t="s">
        <v>7481</v>
      </c>
      <c r="D1021" s="89" t="s">
        <v>473</v>
      </c>
      <c r="E1021" s="181"/>
      <c r="F1021" s="181"/>
      <c r="G1021" s="183"/>
      <c r="H1021" s="181"/>
      <c r="I1021" s="181"/>
      <c r="J1021" s="181"/>
      <c r="K1021" s="181" t="str">
        <f t="shared" si="21"/>
        <v>IMAG_TYPE|VSC</v>
      </c>
      <c r="L1021" s="181"/>
    </row>
    <row r="1022" spans="1:12" hidden="1" x14ac:dyDescent="0.35">
      <c r="A1022" s="181" t="s">
        <v>3314</v>
      </c>
      <c r="B1022" s="182" t="s">
        <v>7482</v>
      </c>
      <c r="C1022" s="181" t="s">
        <v>7483</v>
      </c>
      <c r="D1022" s="178">
        <v>4.0999999999999996</v>
      </c>
      <c r="E1022" s="181" t="s">
        <v>6450</v>
      </c>
      <c r="F1022" s="184">
        <v>44173</v>
      </c>
      <c r="G1022" s="181"/>
      <c r="H1022" s="181" t="s">
        <v>6451</v>
      </c>
      <c r="I1022" s="181" t="str">
        <f>VLOOKUP(LEFT(A1022,4),Groups!$A$1:$C$188,3,FALSE)</f>
        <v>In Situ Resistivity Tests</v>
      </c>
      <c r="J1022" s="181" t="str">
        <f>VLOOKUP(A1022,Headings!$C$1:$H$3948,4,FALSE)</f>
        <v>Type of resistivity test</v>
      </c>
      <c r="K1022" s="181" t="str">
        <f t="shared" si="21"/>
        <v>IRES_TYPE|DPDP</v>
      </c>
      <c r="L1022" s="181"/>
    </row>
    <row r="1023" spans="1:12" hidden="1" x14ac:dyDescent="0.35">
      <c r="A1023" s="181" t="s">
        <v>3314</v>
      </c>
      <c r="B1023" s="182" t="s">
        <v>7484</v>
      </c>
      <c r="C1023" s="181" t="s">
        <v>7485</v>
      </c>
      <c r="D1023" s="178">
        <v>4.0999999999999996</v>
      </c>
      <c r="E1023" s="181" t="s">
        <v>6450</v>
      </c>
      <c r="F1023" s="184">
        <v>44173</v>
      </c>
      <c r="G1023" s="181"/>
      <c r="H1023" s="181" t="s">
        <v>6451</v>
      </c>
      <c r="I1023" s="181" t="str">
        <f>VLOOKUP(LEFT(A1023,4),Groups!$A$1:$C$188,3,FALSE)</f>
        <v>In Situ Resistivity Tests</v>
      </c>
      <c r="J1023" s="181" t="str">
        <f>VLOOKUP(A1023,Headings!$C$1:$H$3948,4,FALSE)</f>
        <v>Type of resistivity test</v>
      </c>
      <c r="K1023" s="181" t="str">
        <f t="shared" si="21"/>
        <v>IRES_TYPE|OWEN</v>
      </c>
      <c r="L1023" s="181"/>
    </row>
    <row r="1024" spans="1:12" hidden="1" x14ac:dyDescent="0.35">
      <c r="A1024" s="181" t="s">
        <v>3314</v>
      </c>
      <c r="B1024" s="182" t="s">
        <v>3316</v>
      </c>
      <c r="C1024" s="181" t="s">
        <v>7486</v>
      </c>
      <c r="D1024" s="178">
        <v>4.0999999999999996</v>
      </c>
      <c r="E1024" s="181" t="s">
        <v>6450</v>
      </c>
      <c r="F1024" s="184">
        <v>44173</v>
      </c>
      <c r="G1024" s="181"/>
      <c r="H1024" s="181" t="s">
        <v>6451</v>
      </c>
      <c r="I1024" s="181" t="str">
        <f>VLOOKUP(LEFT(A1024,4),Groups!$A$1:$C$188,3,FALSE)</f>
        <v>In Situ Resistivity Tests</v>
      </c>
      <c r="J1024" s="181" t="str">
        <f>VLOOKUP(A1024,Headings!$C$1:$H$3948,4,FALSE)</f>
        <v>Type of resistivity test</v>
      </c>
      <c r="K1024" s="181" t="str">
        <f t="shared" si="21"/>
        <v>IRES_TYPE|SCHL</v>
      </c>
      <c r="L1024" s="181"/>
    </row>
    <row r="1025" spans="1:12" hidden="1" x14ac:dyDescent="0.35">
      <c r="A1025" s="181" t="s">
        <v>3314</v>
      </c>
      <c r="B1025" s="182" t="s">
        <v>7487</v>
      </c>
      <c r="C1025" s="181" t="s">
        <v>7488</v>
      </c>
      <c r="D1025" s="178">
        <v>4.0999999999999996</v>
      </c>
      <c r="E1025" s="181" t="s">
        <v>6450</v>
      </c>
      <c r="F1025" s="184">
        <v>44173</v>
      </c>
      <c r="G1025" s="181"/>
      <c r="H1025" s="181" t="s">
        <v>6451</v>
      </c>
      <c r="I1025" s="181" t="str">
        <f>VLOOKUP(LEFT(A1025,4),Groups!$A$1:$C$188,3,FALSE)</f>
        <v>In Situ Resistivity Tests</v>
      </c>
      <c r="J1025" s="181" t="str">
        <f>VLOOKUP(A1025,Headings!$C$1:$H$3948,4,FALSE)</f>
        <v>Type of resistivity test</v>
      </c>
      <c r="K1025" s="181" t="str">
        <f t="shared" si="21"/>
        <v>IRES_TYPE|SQA</v>
      </c>
      <c r="L1025" s="181"/>
    </row>
    <row r="1026" spans="1:12" hidden="1" x14ac:dyDescent="0.35">
      <c r="A1026" s="181" t="s">
        <v>3314</v>
      </c>
      <c r="B1026" s="182" t="s">
        <v>7489</v>
      </c>
      <c r="C1026" s="181" t="s">
        <v>7490</v>
      </c>
      <c r="D1026" s="178">
        <v>4.0999999999999996</v>
      </c>
      <c r="E1026" s="181" t="s">
        <v>6450</v>
      </c>
      <c r="F1026" s="184">
        <v>44173</v>
      </c>
      <c r="G1026" s="181"/>
      <c r="H1026" s="181" t="s">
        <v>6451</v>
      </c>
      <c r="I1026" s="181" t="str">
        <f>VLOOKUP(LEFT(A1026,4),Groups!$A$1:$C$188,3,FALSE)</f>
        <v>In Situ Resistivity Tests</v>
      </c>
      <c r="J1026" s="181" t="str">
        <f>VLOOKUP(A1026,Headings!$C$1:$H$3948,4,FALSE)</f>
        <v>Type of resistivity test</v>
      </c>
      <c r="K1026" s="181" t="str">
        <f t="shared" si="21"/>
        <v>IRES_TYPE|WEN</v>
      </c>
      <c r="L1026" s="181"/>
    </row>
    <row r="1027" spans="1:12" hidden="1" x14ac:dyDescent="0.35">
      <c r="A1027" s="88" t="s">
        <v>3470</v>
      </c>
      <c r="B1027" s="89" t="s">
        <v>3472</v>
      </c>
      <c r="C1027" s="88" t="s">
        <v>3472</v>
      </c>
      <c r="D1027" s="89" t="s">
        <v>473</v>
      </c>
      <c r="E1027" s="181"/>
      <c r="F1027" s="181"/>
      <c r="G1027" s="183"/>
      <c r="H1027" s="181"/>
      <c r="I1027" s="181"/>
      <c r="J1027" s="181"/>
      <c r="K1027" s="181" t="str">
        <f t="shared" si="21"/>
        <v>ISPT_HTYP|Donut hammer</v>
      </c>
      <c r="L1027" s="181"/>
    </row>
    <row r="1028" spans="1:12" hidden="1" x14ac:dyDescent="0.35">
      <c r="A1028" s="88" t="s">
        <v>3470</v>
      </c>
      <c r="B1028" s="89" t="s">
        <v>7491</v>
      </c>
      <c r="C1028" s="88" t="s">
        <v>7491</v>
      </c>
      <c r="D1028" s="89" t="s">
        <v>473</v>
      </c>
      <c r="E1028" s="181"/>
      <c r="F1028" s="181"/>
      <c r="G1028" s="183"/>
      <c r="H1028" s="181"/>
      <c r="I1028" s="181"/>
      <c r="J1028" s="181"/>
      <c r="K1028" s="181" t="str">
        <f t="shared" si="21"/>
        <v>ISPT_HTYP|Saftey hammer</v>
      </c>
      <c r="L1028" s="181"/>
    </row>
    <row r="1029" spans="1:12" hidden="1" x14ac:dyDescent="0.35">
      <c r="A1029" s="181" t="s">
        <v>3410</v>
      </c>
      <c r="B1029" s="182" t="s">
        <v>4898</v>
      </c>
      <c r="C1029" s="181" t="s">
        <v>7492</v>
      </c>
      <c r="D1029" s="178">
        <v>4.0999999999999996</v>
      </c>
      <c r="E1029" s="181" t="s">
        <v>6450</v>
      </c>
      <c r="F1029" s="184">
        <v>40323</v>
      </c>
      <c r="G1029" s="181"/>
      <c r="H1029" s="181" t="s">
        <v>6451</v>
      </c>
      <c r="I1029" s="181" t="str">
        <f>VLOOKUP(LEFT(A1029,4),Groups!$A$1:$C$188,3,FALSE)</f>
        <v>Standard Penetration Test Results</v>
      </c>
      <c r="J1029" s="181" t="str">
        <f>VLOOKUP(A1029,Headings!$C$1:$H$3948,4,FALSE)</f>
        <v>Type of SPT test</v>
      </c>
      <c r="K1029" s="181" t="str">
        <f t="shared" si="21"/>
        <v>ISPT_TYPE|C</v>
      </c>
      <c r="L1029" s="181"/>
    </row>
    <row r="1030" spans="1:12" hidden="1" x14ac:dyDescent="0.35">
      <c r="A1030" s="181" t="s">
        <v>3410</v>
      </c>
      <c r="B1030" s="182" t="s">
        <v>6028</v>
      </c>
      <c r="C1030" s="181" t="s">
        <v>7493</v>
      </c>
      <c r="D1030" s="178">
        <v>4.0999999999999996</v>
      </c>
      <c r="E1030" s="181" t="s">
        <v>6450</v>
      </c>
      <c r="F1030" s="184">
        <v>40323</v>
      </c>
      <c r="G1030" s="181"/>
      <c r="H1030" s="181" t="s">
        <v>6451</v>
      </c>
      <c r="I1030" s="181" t="str">
        <f>VLOOKUP(LEFT(A1030,4),Groups!$A$1:$C$188,3,FALSE)</f>
        <v>Standard Penetration Test Results</v>
      </c>
      <c r="J1030" s="181" t="str">
        <f>VLOOKUP(A1030,Headings!$C$1:$H$3948,4,FALSE)</f>
        <v>Type of SPT test</v>
      </c>
      <c r="K1030" s="181" t="str">
        <f t="shared" si="21"/>
        <v>ISPT_TYPE|S</v>
      </c>
      <c r="L1030" s="181"/>
    </row>
    <row r="1031" spans="1:12" hidden="1" x14ac:dyDescent="0.35">
      <c r="A1031" s="181" t="s">
        <v>3497</v>
      </c>
      <c r="B1031" s="182" t="s">
        <v>3499</v>
      </c>
      <c r="C1031" s="181" t="s">
        <v>7494</v>
      </c>
      <c r="D1031" s="178">
        <v>4.0999999999999996</v>
      </c>
      <c r="E1031" s="181" t="s">
        <v>6450</v>
      </c>
      <c r="F1031" s="184">
        <v>40323</v>
      </c>
      <c r="G1031" s="181"/>
      <c r="H1031" s="181" t="s">
        <v>6451</v>
      </c>
      <c r="I1031" s="181" t="str">
        <f>VLOOKUP(LEFT(A1031,4),Groups!$A$1:$C$188,3,FALSE)</f>
        <v>In Situ Vane Tests</v>
      </c>
      <c r="J1031" s="181" t="str">
        <f>VLOOKUP(A1031,Headings!$C$1:$H$3948,4,FALSE)</f>
        <v>Vane type</v>
      </c>
      <c r="K1031" s="181" t="str">
        <f t="shared" si="21"/>
        <v>IVAN_TYPE|BOREHOLE</v>
      </c>
      <c r="L1031" s="181"/>
    </row>
    <row r="1032" spans="1:12" hidden="1" x14ac:dyDescent="0.35">
      <c r="A1032" s="181" t="s">
        <v>3497</v>
      </c>
      <c r="B1032" s="182" t="s">
        <v>7495</v>
      </c>
      <c r="C1032" s="181" t="s">
        <v>7496</v>
      </c>
      <c r="D1032" s="178">
        <v>4.0999999999999996</v>
      </c>
      <c r="E1032" s="181" t="s">
        <v>6450</v>
      </c>
      <c r="F1032" s="184">
        <v>43524</v>
      </c>
      <c r="G1032" s="181"/>
      <c r="H1032" s="181" t="s">
        <v>6451</v>
      </c>
      <c r="I1032" s="181" t="str">
        <f>VLOOKUP(LEFT(A1032,4),Groups!$A$1:$C$188,3,FALSE)</f>
        <v>In Situ Vane Tests</v>
      </c>
      <c r="J1032" s="181" t="str">
        <f>VLOOKUP(A1032,Headings!$C$1:$H$3948,4,FALSE)</f>
        <v>Vane type</v>
      </c>
      <c r="K1032" s="181" t="str">
        <f t="shared" si="21"/>
        <v>IVAN_TYPE|CPT</v>
      </c>
      <c r="L1032" s="181"/>
    </row>
    <row r="1033" spans="1:12" hidden="1" x14ac:dyDescent="0.35">
      <c r="A1033" s="181" t="s">
        <v>3497</v>
      </c>
      <c r="B1033" s="182" t="s">
        <v>6652</v>
      </c>
      <c r="C1033" s="181" t="s">
        <v>7497</v>
      </c>
      <c r="D1033" s="178">
        <v>4.0999999999999996</v>
      </c>
      <c r="E1033" s="181" t="s">
        <v>6450</v>
      </c>
      <c r="F1033" s="184">
        <v>40323</v>
      </c>
      <c r="G1033" s="181"/>
      <c r="H1033" s="181" t="s">
        <v>6451</v>
      </c>
      <c r="I1033" s="181" t="str">
        <f>VLOOKUP(LEFT(A1033,4),Groups!$A$1:$C$188,3,FALSE)</f>
        <v>In Situ Vane Tests</v>
      </c>
      <c r="J1033" s="181" t="str">
        <f>VLOOKUP(A1033,Headings!$C$1:$H$3948,4,FALSE)</f>
        <v>Vane type</v>
      </c>
      <c r="K1033" s="181" t="str">
        <f t="shared" si="21"/>
        <v>IVAN_TYPE|FIELD</v>
      </c>
      <c r="L1033" s="181"/>
    </row>
    <row r="1034" spans="1:12" hidden="1" x14ac:dyDescent="0.35">
      <c r="A1034" s="181" t="s">
        <v>3497</v>
      </c>
      <c r="B1034" s="182" t="s">
        <v>7498</v>
      </c>
      <c r="C1034" s="181" t="s">
        <v>7499</v>
      </c>
      <c r="D1034" s="178">
        <v>4.0999999999999996</v>
      </c>
      <c r="E1034" s="181" t="s">
        <v>6450</v>
      </c>
      <c r="F1034" s="184">
        <v>44173</v>
      </c>
      <c r="G1034" s="181"/>
      <c r="H1034" s="181" t="s">
        <v>6451</v>
      </c>
      <c r="I1034" s="181" t="str">
        <f>VLOOKUP(LEFT(A1034,4),Groups!$A$1:$C$188,3,FALSE)</f>
        <v>In Situ Vane Tests</v>
      </c>
      <c r="J1034" s="181" t="str">
        <f>VLOOKUP(A1034,Headings!$C$1:$H$3948,4,FALSE)</f>
        <v>Vane type</v>
      </c>
      <c r="K1034" s="181" t="str">
        <f t="shared" ref="K1034:K1097" si="22">A1034&amp;"|"&amp;B1034</f>
        <v>IVAN_TYPE|TORVANE</v>
      </c>
      <c r="L1034" s="181"/>
    </row>
    <row r="1035" spans="1:12" hidden="1" x14ac:dyDescent="0.35">
      <c r="A1035" s="181" t="s">
        <v>3563</v>
      </c>
      <c r="B1035" s="182" t="s">
        <v>7500</v>
      </c>
      <c r="C1035" s="181" t="s">
        <v>7501</v>
      </c>
      <c r="D1035" s="178">
        <v>4.0999999999999996</v>
      </c>
      <c r="E1035" s="181" t="s">
        <v>6450</v>
      </c>
      <c r="F1035" s="184">
        <v>40323</v>
      </c>
      <c r="G1035" s="181"/>
      <c r="H1035" s="181" t="s">
        <v>6451</v>
      </c>
      <c r="I1035" s="181" t="str">
        <f>VLOOKUP(LEFT(A1035,4),Groups!$A$1:$C$188,3,FALSE)</f>
        <v>Testing Schedule Details</v>
      </c>
      <c r="J1035" s="181" t="str">
        <f>VLOOKUP(A1035,Headings!$C$1:$H$3948,4,FALSE)</f>
        <v>Status of laboratory test</v>
      </c>
      <c r="K1035" s="181" t="str">
        <f t="shared" si="22"/>
        <v>LBST_STAT|AWAITING START</v>
      </c>
      <c r="L1035" s="181"/>
    </row>
    <row r="1036" spans="1:12" hidden="1" x14ac:dyDescent="0.35">
      <c r="A1036" s="181" t="s">
        <v>3563</v>
      </c>
      <c r="B1036" s="182" t="s">
        <v>7502</v>
      </c>
      <c r="C1036" s="181" t="s">
        <v>7503</v>
      </c>
      <c r="D1036" s="178">
        <v>4.0999999999999996</v>
      </c>
      <c r="E1036" s="181" t="s">
        <v>6450</v>
      </c>
      <c r="F1036" s="184">
        <v>40323</v>
      </c>
      <c r="G1036" s="181"/>
      <c r="H1036" s="181" t="s">
        <v>6451</v>
      </c>
      <c r="I1036" s="181" t="str">
        <f>VLOOKUP(LEFT(A1036,4),Groups!$A$1:$C$188,3,FALSE)</f>
        <v>Testing Schedule Details</v>
      </c>
      <c r="J1036" s="181" t="str">
        <f>VLOOKUP(A1036,Headings!$C$1:$H$3948,4,FALSE)</f>
        <v>Status of laboratory test</v>
      </c>
      <c r="K1036" s="181" t="str">
        <f t="shared" si="22"/>
        <v>LBST_STAT|COMPLETED</v>
      </c>
      <c r="L1036" s="181"/>
    </row>
    <row r="1037" spans="1:12" hidden="1" x14ac:dyDescent="0.35">
      <c r="A1037" s="181" t="s">
        <v>3563</v>
      </c>
      <c r="B1037" s="182" t="s">
        <v>3565</v>
      </c>
      <c r="C1037" s="181" t="s">
        <v>7504</v>
      </c>
      <c r="D1037" s="178">
        <v>4.0999999999999996</v>
      </c>
      <c r="E1037" s="181" t="s">
        <v>6450</v>
      </c>
      <c r="F1037" s="184">
        <v>40323</v>
      </c>
      <c r="G1037" s="181"/>
      <c r="H1037" s="181" t="s">
        <v>6451</v>
      </c>
      <c r="I1037" s="181" t="str">
        <f>VLOOKUP(LEFT(A1037,4),Groups!$A$1:$C$188,3,FALSE)</f>
        <v>Testing Schedule Details</v>
      </c>
      <c r="J1037" s="181" t="str">
        <f>VLOOKUP(A1037,Headings!$C$1:$H$3948,4,FALSE)</f>
        <v>Status of laboratory test</v>
      </c>
      <c r="K1037" s="181" t="str">
        <f t="shared" si="22"/>
        <v>LBST_STAT|IN PROGRESS</v>
      </c>
      <c r="L1037" s="181"/>
    </row>
    <row r="1038" spans="1:12" hidden="1" x14ac:dyDescent="0.35">
      <c r="A1038" s="181" t="s">
        <v>3563</v>
      </c>
      <c r="B1038" s="182" t="s">
        <v>7505</v>
      </c>
      <c r="C1038" s="181" t="s">
        <v>7506</v>
      </c>
      <c r="D1038" s="178">
        <v>4.0999999999999996</v>
      </c>
      <c r="E1038" s="181" t="s">
        <v>6450</v>
      </c>
      <c r="F1038" s="184">
        <v>42767</v>
      </c>
      <c r="G1038" s="181"/>
      <c r="H1038" s="181" t="s">
        <v>6451</v>
      </c>
      <c r="I1038" s="181" t="str">
        <f>VLOOKUP(LEFT(A1038,4),Groups!$A$1:$C$188,3,FALSE)</f>
        <v>Testing Schedule Details</v>
      </c>
      <c r="J1038" s="181" t="str">
        <f>VLOOKUP(A1038,Headings!$C$1:$H$3948,4,FALSE)</f>
        <v>Status of laboratory test</v>
      </c>
      <c r="K1038" s="181" t="str">
        <f t="shared" si="22"/>
        <v>LBST_STAT|NOT RECEIVED</v>
      </c>
      <c r="L1038" s="181"/>
    </row>
    <row r="1039" spans="1:12" hidden="1" x14ac:dyDescent="0.35">
      <c r="A1039" s="181" t="s">
        <v>3563</v>
      </c>
      <c r="B1039" s="182" t="s">
        <v>7507</v>
      </c>
      <c r="C1039" s="181" t="s">
        <v>7508</v>
      </c>
      <c r="D1039" s="178">
        <v>4.0999999999999996</v>
      </c>
      <c r="E1039" s="181" t="s">
        <v>6450</v>
      </c>
      <c r="F1039" s="184">
        <v>40323</v>
      </c>
      <c r="G1039" s="181"/>
      <c r="H1039" s="181" t="s">
        <v>6451</v>
      </c>
      <c r="I1039" s="181" t="str">
        <f>VLOOKUP(LEFT(A1039,4),Groups!$A$1:$C$188,3,FALSE)</f>
        <v>Testing Schedule Details</v>
      </c>
      <c r="J1039" s="181" t="str">
        <f>VLOOKUP(A1039,Headings!$C$1:$H$3948,4,FALSE)</f>
        <v>Status of laboratory test</v>
      </c>
      <c r="K1039" s="181" t="str">
        <f t="shared" si="22"/>
        <v>LBST_STAT|RESTRICTED</v>
      </c>
      <c r="L1039" s="181"/>
    </row>
    <row r="1040" spans="1:12" hidden="1" x14ac:dyDescent="0.35">
      <c r="A1040" s="181" t="s">
        <v>3663</v>
      </c>
      <c r="B1040" s="182" t="s">
        <v>7509</v>
      </c>
      <c r="C1040" s="181" t="s">
        <v>6716</v>
      </c>
      <c r="D1040" s="178">
        <v>4.0999999999999996</v>
      </c>
      <c r="E1040" s="181" t="s">
        <v>6450</v>
      </c>
      <c r="F1040" s="184">
        <v>40323</v>
      </c>
      <c r="G1040" s="181"/>
      <c r="H1040" s="181" t="s">
        <v>6451</v>
      </c>
      <c r="I1040" s="181" t="str">
        <f>VLOOKUP(LEFT(A1040,4),Groups!$A$1:$C$188,3,FALSE)</f>
        <v>Density Tests</v>
      </c>
      <c r="J1040" s="181" t="str">
        <f>VLOOKUP(A1040,Headings!$C$1:$H$3948,4,FALSE)</f>
        <v>Sample condition</v>
      </c>
      <c r="K1040" s="181" t="str">
        <f t="shared" si="22"/>
        <v>LDEN_COND|RECOMPACTED</v>
      </c>
      <c r="L1040" s="181"/>
    </row>
    <row r="1041" spans="1:12" hidden="1" x14ac:dyDescent="0.35">
      <c r="A1041" s="181" t="s">
        <v>3663</v>
      </c>
      <c r="B1041" s="182" t="s">
        <v>1273</v>
      </c>
      <c r="C1041" s="181" t="s">
        <v>6467</v>
      </c>
      <c r="D1041" s="178">
        <v>4.0999999999999996</v>
      </c>
      <c r="E1041" s="181" t="s">
        <v>6450</v>
      </c>
      <c r="F1041" s="184">
        <v>40323</v>
      </c>
      <c r="G1041" s="181"/>
      <c r="H1041" s="181" t="s">
        <v>6451</v>
      </c>
      <c r="I1041" s="181" t="str">
        <f>VLOOKUP(LEFT(A1041,4),Groups!$A$1:$C$188,3,FALSE)</f>
        <v>Density Tests</v>
      </c>
      <c r="J1041" s="181" t="str">
        <f>VLOOKUP(A1041,Headings!$C$1:$H$3948,4,FALSE)</f>
        <v>Sample condition</v>
      </c>
      <c r="K1041" s="181" t="str">
        <f t="shared" si="22"/>
        <v>LDEN_COND|UNDISTURBED</v>
      </c>
      <c r="L1041" s="181"/>
    </row>
    <row r="1042" spans="1:12" hidden="1" x14ac:dyDescent="0.35">
      <c r="A1042" s="181" t="s">
        <v>3664</v>
      </c>
      <c r="B1042" s="182" t="s">
        <v>3666</v>
      </c>
      <c r="C1042" s="181" t="s">
        <v>7510</v>
      </c>
      <c r="D1042" s="178">
        <v>4.0999999999999996</v>
      </c>
      <c r="E1042" s="181" t="s">
        <v>6450</v>
      </c>
      <c r="F1042" s="184">
        <v>40323</v>
      </c>
      <c r="G1042" s="181"/>
      <c r="H1042" s="181" t="s">
        <v>6451</v>
      </c>
      <c r="I1042" s="181" t="str">
        <f>VLOOKUP(LEFT(A1042,4),Groups!$A$1:$C$188,3,FALSE)</f>
        <v>Density Tests</v>
      </c>
      <c r="J1042" s="181" t="str">
        <f>VLOOKUP(A1042,Headings!$C$1:$H$3948,4,FALSE)</f>
        <v>Type of sample</v>
      </c>
      <c r="K1042" s="181" t="str">
        <f t="shared" si="22"/>
        <v>LDEN_SMTY|BLOCK SAMPLE</v>
      </c>
      <c r="L1042" s="181"/>
    </row>
    <row r="1043" spans="1:12" hidden="1" x14ac:dyDescent="0.35">
      <c r="A1043" s="181" t="s">
        <v>3664</v>
      </c>
      <c r="B1043" s="182" t="s">
        <v>7511</v>
      </c>
      <c r="C1043" s="181" t="s">
        <v>4135</v>
      </c>
      <c r="D1043" s="178">
        <v>4.0999999999999996</v>
      </c>
      <c r="E1043" s="181" t="s">
        <v>6450</v>
      </c>
      <c r="F1043" s="184">
        <v>40323</v>
      </c>
      <c r="G1043" s="181"/>
      <c r="H1043" s="181" t="s">
        <v>6451</v>
      </c>
      <c r="I1043" s="181" t="str">
        <f>VLOOKUP(LEFT(A1043,4),Groups!$A$1:$C$188,3,FALSE)</f>
        <v>Density Tests</v>
      </c>
      <c r="J1043" s="181" t="str">
        <f>VLOOKUP(A1043,Headings!$C$1:$H$3948,4,FALSE)</f>
        <v>Type of sample</v>
      </c>
      <c r="K1043" s="181" t="str">
        <f t="shared" si="22"/>
        <v>LDEN_SMTY|CYLINDER</v>
      </c>
      <c r="L1043" s="181"/>
    </row>
    <row r="1044" spans="1:12" hidden="1" x14ac:dyDescent="0.35">
      <c r="A1044" s="181" t="s">
        <v>3660</v>
      </c>
      <c r="B1044" s="182" t="s">
        <v>7512</v>
      </c>
      <c r="C1044" s="181" t="s">
        <v>7513</v>
      </c>
      <c r="D1044" s="178">
        <v>4.0999999999999996</v>
      </c>
      <c r="E1044" s="181" t="s">
        <v>6450</v>
      </c>
      <c r="F1044" s="184">
        <v>40323</v>
      </c>
      <c r="G1044" s="181"/>
      <c r="H1044" s="181" t="s">
        <v>6451</v>
      </c>
      <c r="I1044" s="181" t="str">
        <f>VLOOKUP(LEFT(A1044,4),Groups!$A$1:$C$188,3,FALSE)</f>
        <v>Density Tests</v>
      </c>
      <c r="J1044" s="181" t="str">
        <f>VLOOKUP(A1044,Headings!$C$1:$H$3948,4,FALSE)</f>
        <v>Type of test performed</v>
      </c>
      <c r="K1044" s="181" t="str">
        <f t="shared" si="22"/>
        <v>LDEN_TYPE|IMMERSION</v>
      </c>
      <c r="L1044" s="181"/>
    </row>
    <row r="1045" spans="1:12" hidden="1" x14ac:dyDescent="0.35">
      <c r="A1045" s="181" t="s">
        <v>3660</v>
      </c>
      <c r="B1045" s="182" t="s">
        <v>3662</v>
      </c>
      <c r="C1045" s="181" t="s">
        <v>7514</v>
      </c>
      <c r="D1045" s="178">
        <v>4.0999999999999996</v>
      </c>
      <c r="E1045" s="181" t="s">
        <v>6450</v>
      </c>
      <c r="F1045" s="184">
        <v>40323</v>
      </c>
      <c r="G1045" s="181"/>
      <c r="H1045" s="181" t="s">
        <v>6451</v>
      </c>
      <c r="I1045" s="181" t="str">
        <f>VLOOKUP(LEFT(A1045,4),Groups!$A$1:$C$188,3,FALSE)</f>
        <v>Density Tests</v>
      </c>
      <c r="J1045" s="181" t="str">
        <f>VLOOKUP(A1045,Headings!$C$1:$H$3948,4,FALSE)</f>
        <v>Type of test performed</v>
      </c>
      <c r="K1045" s="181" t="str">
        <f t="shared" si="22"/>
        <v>LDEN_TYPE|LINEAR</v>
      </c>
      <c r="L1045" s="181"/>
    </row>
    <row r="1046" spans="1:12" hidden="1" x14ac:dyDescent="0.35">
      <c r="A1046" s="88" t="s">
        <v>3732</v>
      </c>
      <c r="B1046" s="88" t="s">
        <v>3734</v>
      </c>
      <c r="C1046" s="89" t="s">
        <v>3734</v>
      </c>
      <c r="D1046" s="89" t="s">
        <v>473</v>
      </c>
      <c r="E1046" s="181"/>
      <c r="F1046" s="181"/>
      <c r="G1046" s="183"/>
      <c r="H1046" s="181"/>
      <c r="I1046" s="181"/>
      <c r="J1046" s="181"/>
      <c r="K1046" s="181" t="str">
        <f t="shared" si="22"/>
        <v>LEMC_LEMC|Class 1</v>
      </c>
      <c r="L1046" s="181"/>
    </row>
    <row r="1047" spans="1:12" hidden="1" x14ac:dyDescent="0.35">
      <c r="A1047" s="88" t="s">
        <v>3732</v>
      </c>
      <c r="B1047" s="88" t="s">
        <v>7515</v>
      </c>
      <c r="C1047" s="89" t="s">
        <v>7515</v>
      </c>
      <c r="D1047" s="89" t="s">
        <v>473</v>
      </c>
      <c r="E1047" s="181"/>
      <c r="F1047" s="181"/>
      <c r="G1047" s="183"/>
      <c r="H1047" s="181"/>
      <c r="I1047" s="181"/>
      <c r="J1047" s="181"/>
      <c r="K1047" s="181" t="str">
        <f t="shared" si="22"/>
        <v>LEMC_LEMC|Class 2</v>
      </c>
      <c r="L1047" s="181"/>
    </row>
    <row r="1048" spans="1:12" hidden="1" x14ac:dyDescent="0.35">
      <c r="A1048" s="88" t="s">
        <v>3732</v>
      </c>
      <c r="B1048" s="88" t="s">
        <v>7516</v>
      </c>
      <c r="C1048" s="89" t="s">
        <v>7516</v>
      </c>
      <c r="D1048" s="89" t="s">
        <v>473</v>
      </c>
      <c r="E1048" s="181"/>
      <c r="F1048" s="181"/>
      <c r="G1048" s="183"/>
      <c r="H1048" s="181"/>
      <c r="I1048" s="181"/>
      <c r="J1048" s="181"/>
      <c r="K1048" s="181" t="str">
        <f t="shared" si="22"/>
        <v>LEMC_LEMC|Class 3</v>
      </c>
      <c r="L1048" s="181"/>
    </row>
    <row r="1049" spans="1:12" hidden="1" x14ac:dyDescent="0.35">
      <c r="A1049" s="88" t="s">
        <v>3732</v>
      </c>
      <c r="B1049" s="88" t="s">
        <v>7517</v>
      </c>
      <c r="C1049" s="89" t="s">
        <v>7517</v>
      </c>
      <c r="D1049" s="89" t="s">
        <v>473</v>
      </c>
      <c r="E1049" s="181"/>
      <c r="F1049" s="181"/>
      <c r="G1049" s="183"/>
      <c r="H1049" s="181"/>
      <c r="I1049" s="181"/>
      <c r="J1049" s="181"/>
      <c r="K1049" s="181" t="str">
        <f t="shared" si="22"/>
        <v>LEMC_LEMC|Class 4</v>
      </c>
      <c r="L1049" s="181"/>
    </row>
    <row r="1050" spans="1:12" hidden="1" x14ac:dyDescent="0.35">
      <c r="A1050" s="88" t="s">
        <v>3732</v>
      </c>
      <c r="B1050" s="88" t="s">
        <v>7518</v>
      </c>
      <c r="C1050" s="89" t="s">
        <v>7518</v>
      </c>
      <c r="D1050" s="89" t="s">
        <v>473</v>
      </c>
      <c r="E1050" s="181"/>
      <c r="F1050" s="181"/>
      <c r="G1050" s="183"/>
      <c r="H1050" s="181"/>
      <c r="I1050" s="181"/>
      <c r="J1050" s="181"/>
      <c r="K1050" s="181" t="str">
        <f t="shared" si="22"/>
        <v>LEMC_LEMC|Class 5</v>
      </c>
      <c r="L1050" s="181"/>
    </row>
    <row r="1051" spans="1:12" hidden="1" x14ac:dyDescent="0.35">
      <c r="A1051" s="88" t="s">
        <v>3732</v>
      </c>
      <c r="B1051" s="88" t="s">
        <v>7519</v>
      </c>
      <c r="C1051" s="89" t="s">
        <v>7519</v>
      </c>
      <c r="D1051" s="89" t="s">
        <v>473</v>
      </c>
      <c r="E1051" s="181"/>
      <c r="F1051" s="181"/>
      <c r="G1051" s="183"/>
      <c r="H1051" s="181"/>
      <c r="I1051" s="181"/>
      <c r="J1051" s="181"/>
      <c r="K1051" s="181" t="str">
        <f t="shared" si="22"/>
        <v>LEMC_LEMC|Class 6</v>
      </c>
      <c r="L1051" s="181"/>
    </row>
    <row r="1052" spans="1:12" hidden="1" x14ac:dyDescent="0.35">
      <c r="A1052" s="88" t="s">
        <v>3732</v>
      </c>
      <c r="B1052" s="88" t="s">
        <v>7520</v>
      </c>
      <c r="C1052" s="89" t="s">
        <v>7520</v>
      </c>
      <c r="D1052" s="89" t="s">
        <v>473</v>
      </c>
      <c r="E1052" s="181"/>
      <c r="F1052" s="181"/>
      <c r="G1052" s="183"/>
      <c r="H1052" s="181"/>
      <c r="I1052" s="181"/>
      <c r="J1052" s="181"/>
      <c r="K1052" s="181" t="str">
        <f t="shared" si="22"/>
        <v>LEMC_LEMC|Class 7</v>
      </c>
      <c r="L1052" s="181"/>
    </row>
    <row r="1053" spans="1:12" hidden="1" x14ac:dyDescent="0.35">
      <c r="A1053" s="88" t="s">
        <v>3732</v>
      </c>
      <c r="B1053" s="88" t="s">
        <v>7521</v>
      </c>
      <c r="C1053" s="89" t="s">
        <v>7521</v>
      </c>
      <c r="D1053" s="89" t="s">
        <v>473</v>
      </c>
      <c r="E1053" s="181"/>
      <c r="F1053" s="181"/>
      <c r="G1053" s="183"/>
      <c r="H1053" s="181"/>
      <c r="I1053" s="181"/>
      <c r="J1053" s="181"/>
      <c r="K1053" s="181" t="str">
        <f t="shared" si="22"/>
        <v>LEMC_LEMC|Class 8</v>
      </c>
      <c r="L1053" s="181"/>
    </row>
    <row r="1054" spans="1:12" hidden="1" x14ac:dyDescent="0.35">
      <c r="A1054" s="181" t="s">
        <v>3860</v>
      </c>
      <c r="B1054" s="182" t="s">
        <v>3862</v>
      </c>
      <c r="C1054" s="181" t="s">
        <v>3862</v>
      </c>
      <c r="D1054" s="178">
        <v>4.0999999999999996</v>
      </c>
      <c r="E1054" s="181" t="s">
        <v>6450</v>
      </c>
      <c r="F1054" s="184">
        <v>44173</v>
      </c>
      <c r="G1054" s="181"/>
      <c r="H1054" s="181">
        <v>4.0999999999999996</v>
      </c>
      <c r="I1054" s="181" t="str">
        <f>VLOOKUP(LEFT(A1054,4),Groups!$A$1:$C$188,3,FALSE)</f>
        <v>Liquid and Plastic Limit Tests</v>
      </c>
      <c r="J1054" s="181" t="str">
        <f>VLOOKUP(A1054,Headings!$C$1:$H$3948,4,FALSE)</f>
        <v>For fall cone method, type of cone</v>
      </c>
      <c r="K1054" s="181" t="str">
        <f t="shared" si="22"/>
        <v>LLPL_CONE|60g/60deg</v>
      </c>
      <c r="L1054" s="181"/>
    </row>
    <row r="1055" spans="1:12" hidden="1" x14ac:dyDescent="0.35">
      <c r="A1055" s="181" t="s">
        <v>3857</v>
      </c>
      <c r="B1055" s="182" t="s">
        <v>3859</v>
      </c>
      <c r="C1055" s="181" t="s">
        <v>7522</v>
      </c>
      <c r="D1055" s="178">
        <v>4.0999999999999996</v>
      </c>
      <c r="E1055" s="181" t="s">
        <v>6450</v>
      </c>
      <c r="F1055" s="184">
        <v>44173</v>
      </c>
      <c r="G1055" s="181"/>
      <c r="H1055" s="181">
        <v>4.0999999999999996</v>
      </c>
      <c r="I1055" s="181" t="str">
        <f>VLOOKUP(LEFT(A1055,4),Groups!$A$1:$C$188,3,FALSE)</f>
        <v>Liquid and Plastic Limit Tests</v>
      </c>
      <c r="J1055" s="181" t="str">
        <f>VLOOKUP(A1055,Headings!$C$1:$H$3948,4,FALSE)</f>
        <v>Number of points</v>
      </c>
      <c r="K1055" s="181" t="str">
        <f t="shared" si="22"/>
        <v>LLPL_POIN|FOUR</v>
      </c>
      <c r="L1055" s="181"/>
    </row>
    <row r="1056" spans="1:12" hidden="1" x14ac:dyDescent="0.35">
      <c r="A1056" s="181" t="s">
        <v>3857</v>
      </c>
      <c r="B1056" s="182" t="s">
        <v>7523</v>
      </c>
      <c r="C1056" s="181" t="s">
        <v>7524</v>
      </c>
      <c r="D1056" s="178">
        <v>4.0999999999999996</v>
      </c>
      <c r="E1056" s="181" t="s">
        <v>6450</v>
      </c>
      <c r="F1056" s="184">
        <v>44173</v>
      </c>
      <c r="G1056" s="181"/>
      <c r="H1056" s="181">
        <v>4.0999999999999996</v>
      </c>
      <c r="I1056" s="181" t="str">
        <f>VLOOKUP(LEFT(A1056,4),Groups!$A$1:$C$188,3,FALSE)</f>
        <v>Liquid and Plastic Limit Tests</v>
      </c>
      <c r="J1056" s="181" t="str">
        <f>VLOOKUP(A1056,Headings!$C$1:$H$3948,4,FALSE)</f>
        <v>Number of points</v>
      </c>
      <c r="K1056" s="181" t="str">
        <f t="shared" si="22"/>
        <v>LLPL_POIN|ONE</v>
      </c>
      <c r="L1056" s="181"/>
    </row>
    <row r="1057" spans="1:12" hidden="1" x14ac:dyDescent="0.35">
      <c r="A1057" s="181" t="s">
        <v>3855</v>
      </c>
      <c r="B1057" s="182" t="s">
        <v>3856</v>
      </c>
      <c r="C1057" s="181" t="s">
        <v>7525</v>
      </c>
      <c r="D1057" s="178">
        <v>4.0999999999999996</v>
      </c>
      <c r="E1057" s="181" t="s">
        <v>6450</v>
      </c>
      <c r="F1057" s="184">
        <v>44173</v>
      </c>
      <c r="G1057" s="181"/>
      <c r="H1057" s="181">
        <v>4.0999999999999996</v>
      </c>
      <c r="I1057" s="181" t="str">
        <f>VLOOKUP(LEFT(A1057,4),Groups!$A$1:$C$188,3,FALSE)</f>
        <v>Liquid and Plastic Limit Tests</v>
      </c>
      <c r="J1057" s="181" t="str">
        <f>VLOOKUP(A1057,Headings!$C$1:$H$3948,4,FALSE)</f>
        <v>Type of test</v>
      </c>
      <c r="K1057" s="181" t="str">
        <f t="shared" si="22"/>
        <v>LLPL_TYPE|FALL CONE</v>
      </c>
      <c r="L1057" s="181"/>
    </row>
    <row r="1058" spans="1:12" hidden="1" x14ac:dyDescent="0.35">
      <c r="A1058" s="88" t="s">
        <v>3910</v>
      </c>
      <c r="B1058" s="88" t="s">
        <v>7526</v>
      </c>
      <c r="C1058" s="89" t="s">
        <v>7527</v>
      </c>
      <c r="D1058" s="89" t="s">
        <v>473</v>
      </c>
      <c r="E1058" s="181"/>
      <c r="F1058" s="181"/>
      <c r="G1058" s="183"/>
      <c r="H1058" s="181"/>
      <c r="I1058" s="181"/>
      <c r="J1058" s="181"/>
      <c r="K1058" s="181" t="str">
        <f t="shared" si="22"/>
        <v>LOCA_GREF|AMG66-47</v>
      </c>
      <c r="L1058" s="181"/>
    </row>
    <row r="1059" spans="1:12" hidden="1" x14ac:dyDescent="0.35">
      <c r="A1059" s="88" t="s">
        <v>3910</v>
      </c>
      <c r="B1059" s="88" t="s">
        <v>7528</v>
      </c>
      <c r="C1059" s="89" t="s">
        <v>7529</v>
      </c>
      <c r="D1059" s="89" t="s">
        <v>473</v>
      </c>
      <c r="E1059" s="181"/>
      <c r="F1059" s="181"/>
      <c r="G1059" s="183"/>
      <c r="H1059" s="181"/>
      <c r="I1059" s="181"/>
      <c r="J1059" s="181"/>
      <c r="K1059" s="181" t="str">
        <f t="shared" si="22"/>
        <v>LOCA_GREF|AMG66-48</v>
      </c>
      <c r="L1059" s="181"/>
    </row>
    <row r="1060" spans="1:12" hidden="1" x14ac:dyDescent="0.35">
      <c r="A1060" s="88" t="s">
        <v>3910</v>
      </c>
      <c r="B1060" s="88" t="s">
        <v>7530</v>
      </c>
      <c r="C1060" s="89" t="s">
        <v>7531</v>
      </c>
      <c r="D1060" s="89" t="s">
        <v>473</v>
      </c>
      <c r="E1060" s="181"/>
      <c r="F1060" s="181"/>
      <c r="G1060" s="183"/>
      <c r="H1060" s="181"/>
      <c r="I1060" s="181"/>
      <c r="J1060" s="181"/>
      <c r="K1060" s="181" t="str">
        <f t="shared" si="22"/>
        <v>LOCA_GREF|AMG66-49</v>
      </c>
      <c r="L1060" s="181"/>
    </row>
    <row r="1061" spans="1:12" hidden="1" x14ac:dyDescent="0.35">
      <c r="A1061" s="88" t="s">
        <v>3910</v>
      </c>
      <c r="B1061" s="88" t="s">
        <v>7532</v>
      </c>
      <c r="C1061" s="89" t="s">
        <v>7533</v>
      </c>
      <c r="D1061" s="89" t="s">
        <v>473</v>
      </c>
      <c r="E1061" s="181"/>
      <c r="F1061" s="181"/>
      <c r="G1061" s="183"/>
      <c r="H1061" s="181"/>
      <c r="I1061" s="181"/>
      <c r="J1061" s="181"/>
      <c r="K1061" s="181" t="str">
        <f t="shared" si="22"/>
        <v>LOCA_GREF|AMG66-50</v>
      </c>
      <c r="L1061" s="181"/>
    </row>
    <row r="1062" spans="1:12" hidden="1" x14ac:dyDescent="0.35">
      <c r="A1062" s="88" t="s">
        <v>3910</v>
      </c>
      <c r="B1062" s="88" t="s">
        <v>7534</v>
      </c>
      <c r="C1062" s="89" t="s">
        <v>7535</v>
      </c>
      <c r="D1062" s="89" t="s">
        <v>473</v>
      </c>
      <c r="E1062" s="181"/>
      <c r="F1062" s="181"/>
      <c r="G1062" s="183"/>
      <c r="H1062" s="181"/>
      <c r="I1062" s="181"/>
      <c r="J1062" s="181"/>
      <c r="K1062" s="181" t="str">
        <f t="shared" si="22"/>
        <v>LOCA_GREF|AMG66-51</v>
      </c>
      <c r="L1062" s="181"/>
    </row>
    <row r="1063" spans="1:12" hidden="1" x14ac:dyDescent="0.35">
      <c r="A1063" s="88" t="s">
        <v>3910</v>
      </c>
      <c r="B1063" s="88" t="s">
        <v>7536</v>
      </c>
      <c r="C1063" s="89" t="s">
        <v>7537</v>
      </c>
      <c r="D1063" s="89" t="s">
        <v>473</v>
      </c>
      <c r="E1063" s="181"/>
      <c r="F1063" s="181"/>
      <c r="G1063" s="183"/>
      <c r="H1063" s="181"/>
      <c r="I1063" s="181"/>
      <c r="J1063" s="181"/>
      <c r="K1063" s="181" t="str">
        <f t="shared" si="22"/>
        <v>LOCA_GREF|AMG66-52</v>
      </c>
      <c r="L1063" s="181"/>
    </row>
    <row r="1064" spans="1:12" hidden="1" x14ac:dyDescent="0.35">
      <c r="A1064" s="88" t="s">
        <v>3910</v>
      </c>
      <c r="B1064" s="88" t="s">
        <v>7538</v>
      </c>
      <c r="C1064" s="89" t="s">
        <v>7539</v>
      </c>
      <c r="D1064" s="89" t="s">
        <v>473</v>
      </c>
      <c r="E1064" s="181"/>
      <c r="F1064" s="181"/>
      <c r="G1064" s="183"/>
      <c r="H1064" s="181"/>
      <c r="I1064" s="181"/>
      <c r="J1064" s="181"/>
      <c r="K1064" s="181" t="str">
        <f t="shared" si="22"/>
        <v>LOCA_GREF|AMG66-53</v>
      </c>
      <c r="L1064" s="181"/>
    </row>
    <row r="1065" spans="1:12" hidden="1" x14ac:dyDescent="0.35">
      <c r="A1065" s="88" t="s">
        <v>3910</v>
      </c>
      <c r="B1065" s="88" t="s">
        <v>7540</v>
      </c>
      <c r="C1065" s="89" t="s">
        <v>7541</v>
      </c>
      <c r="D1065" s="89" t="s">
        <v>473</v>
      </c>
      <c r="E1065" s="181"/>
      <c r="F1065" s="181"/>
      <c r="G1065" s="183"/>
      <c r="H1065" s="181"/>
      <c r="I1065" s="181"/>
      <c r="J1065" s="181"/>
      <c r="K1065" s="181" t="str">
        <f t="shared" si="22"/>
        <v>LOCA_GREF|AMG66-54</v>
      </c>
      <c r="L1065" s="181"/>
    </row>
    <row r="1066" spans="1:12" hidden="1" x14ac:dyDescent="0.35">
      <c r="A1066" s="88" t="s">
        <v>3910</v>
      </c>
      <c r="B1066" s="88" t="s">
        <v>7542</v>
      </c>
      <c r="C1066" s="89" t="s">
        <v>7543</v>
      </c>
      <c r="D1066" s="89" t="s">
        <v>473</v>
      </c>
      <c r="E1066" s="181"/>
      <c r="F1066" s="181"/>
      <c r="G1066" s="183"/>
      <c r="H1066" s="181"/>
      <c r="I1066" s="181"/>
      <c r="J1066" s="181"/>
      <c r="K1066" s="181" t="str">
        <f t="shared" si="22"/>
        <v>LOCA_GREF|AMG66-55</v>
      </c>
      <c r="L1066" s="181"/>
    </row>
    <row r="1067" spans="1:12" hidden="1" x14ac:dyDescent="0.35">
      <c r="A1067" s="88" t="s">
        <v>3910</v>
      </c>
      <c r="B1067" s="88" t="s">
        <v>7544</v>
      </c>
      <c r="C1067" s="89" t="s">
        <v>7545</v>
      </c>
      <c r="D1067" s="89" t="s">
        <v>473</v>
      </c>
      <c r="E1067" s="181"/>
      <c r="F1067" s="181"/>
      <c r="G1067" s="183"/>
      <c r="H1067" s="181"/>
      <c r="I1067" s="181"/>
      <c r="J1067" s="181"/>
      <c r="K1067" s="181" t="str">
        <f t="shared" si="22"/>
        <v>LOCA_GREF|AMG66-56</v>
      </c>
      <c r="L1067" s="181"/>
    </row>
    <row r="1068" spans="1:12" hidden="1" x14ac:dyDescent="0.35">
      <c r="A1068" s="88" t="s">
        <v>3910</v>
      </c>
      <c r="B1068" s="88" t="s">
        <v>7546</v>
      </c>
      <c r="C1068" s="89" t="s">
        <v>7547</v>
      </c>
      <c r="D1068" s="89" t="s">
        <v>473</v>
      </c>
      <c r="E1068" s="181"/>
      <c r="F1068" s="181"/>
      <c r="G1068" s="183"/>
      <c r="H1068" s="181"/>
      <c r="I1068" s="181"/>
      <c r="J1068" s="181"/>
      <c r="K1068" s="181" t="str">
        <f t="shared" si="22"/>
        <v>LOCA_GREF|AMG66-57</v>
      </c>
      <c r="L1068" s="181"/>
    </row>
    <row r="1069" spans="1:12" hidden="1" x14ac:dyDescent="0.35">
      <c r="A1069" s="88" t="s">
        <v>3910</v>
      </c>
      <c r="B1069" s="88" t="s">
        <v>7548</v>
      </c>
      <c r="C1069" s="89" t="s">
        <v>7549</v>
      </c>
      <c r="D1069" s="89" t="s">
        <v>473</v>
      </c>
      <c r="E1069" s="181"/>
      <c r="F1069" s="181"/>
      <c r="G1069" s="183"/>
      <c r="H1069" s="181"/>
      <c r="I1069" s="181"/>
      <c r="J1069" s="181"/>
      <c r="K1069" s="181" t="str">
        <f t="shared" si="22"/>
        <v>LOCA_GREF|AMG66-58</v>
      </c>
      <c r="L1069" s="181"/>
    </row>
    <row r="1070" spans="1:12" hidden="1" x14ac:dyDescent="0.35">
      <c r="A1070" s="88" t="s">
        <v>3910</v>
      </c>
      <c r="B1070" s="88" t="s">
        <v>7550</v>
      </c>
      <c r="C1070" s="89" t="s">
        <v>7551</v>
      </c>
      <c r="D1070" s="89" t="s">
        <v>473</v>
      </c>
      <c r="E1070" s="181"/>
      <c r="F1070" s="181"/>
      <c r="G1070" s="183"/>
      <c r="H1070" s="181"/>
      <c r="I1070" s="181"/>
      <c r="J1070" s="181"/>
      <c r="K1070" s="181" t="str">
        <f t="shared" si="22"/>
        <v>LOCA_GREF|AMG84-47</v>
      </c>
      <c r="L1070" s="181"/>
    </row>
    <row r="1071" spans="1:12" hidden="1" x14ac:dyDescent="0.35">
      <c r="A1071" s="88" t="s">
        <v>3910</v>
      </c>
      <c r="B1071" s="88" t="s">
        <v>7552</v>
      </c>
      <c r="C1071" s="89" t="s">
        <v>7553</v>
      </c>
      <c r="D1071" s="89" t="s">
        <v>473</v>
      </c>
      <c r="E1071" s="181"/>
      <c r="F1071" s="181"/>
      <c r="G1071" s="183"/>
      <c r="H1071" s="181"/>
      <c r="I1071" s="181"/>
      <c r="J1071" s="181"/>
      <c r="K1071" s="181" t="str">
        <f t="shared" si="22"/>
        <v>LOCA_GREF|AMG84-48</v>
      </c>
      <c r="L1071" s="181"/>
    </row>
    <row r="1072" spans="1:12" hidden="1" x14ac:dyDescent="0.35">
      <c r="A1072" s="88" t="s">
        <v>3910</v>
      </c>
      <c r="B1072" s="88" t="s">
        <v>7554</v>
      </c>
      <c r="C1072" s="89" t="s">
        <v>7555</v>
      </c>
      <c r="D1072" s="89" t="s">
        <v>473</v>
      </c>
      <c r="E1072" s="181"/>
      <c r="F1072" s="181"/>
      <c r="G1072" s="183"/>
      <c r="H1072" s="181"/>
      <c r="I1072" s="181"/>
      <c r="J1072" s="181"/>
      <c r="K1072" s="181" t="str">
        <f t="shared" si="22"/>
        <v>LOCA_GREF|AMG84-49</v>
      </c>
      <c r="L1072" s="181"/>
    </row>
    <row r="1073" spans="1:12" hidden="1" x14ac:dyDescent="0.35">
      <c r="A1073" s="88" t="s">
        <v>3910</v>
      </c>
      <c r="B1073" s="88" t="s">
        <v>7556</v>
      </c>
      <c r="C1073" s="89" t="s">
        <v>7557</v>
      </c>
      <c r="D1073" s="89" t="s">
        <v>473</v>
      </c>
      <c r="E1073" s="181"/>
      <c r="F1073" s="181"/>
      <c r="G1073" s="183"/>
      <c r="H1073" s="181"/>
      <c r="I1073" s="181"/>
      <c r="J1073" s="181"/>
      <c r="K1073" s="181" t="str">
        <f t="shared" si="22"/>
        <v>LOCA_GREF|AMG84-50</v>
      </c>
      <c r="L1073" s="181"/>
    </row>
    <row r="1074" spans="1:12" hidden="1" x14ac:dyDescent="0.35">
      <c r="A1074" s="88" t="s">
        <v>3910</v>
      </c>
      <c r="B1074" s="88" t="s">
        <v>7558</v>
      </c>
      <c r="C1074" s="89" t="s">
        <v>7559</v>
      </c>
      <c r="D1074" s="89" t="s">
        <v>473</v>
      </c>
      <c r="E1074" s="181"/>
      <c r="F1074" s="181"/>
      <c r="G1074" s="183"/>
      <c r="H1074" s="181"/>
      <c r="I1074" s="181"/>
      <c r="J1074" s="181"/>
      <c r="K1074" s="181" t="str">
        <f t="shared" si="22"/>
        <v>LOCA_GREF|AMG84-51</v>
      </c>
      <c r="L1074" s="181"/>
    </row>
    <row r="1075" spans="1:12" hidden="1" x14ac:dyDescent="0.35">
      <c r="A1075" s="88" t="s">
        <v>3910</v>
      </c>
      <c r="B1075" s="88" t="s">
        <v>7560</v>
      </c>
      <c r="C1075" s="89" t="s">
        <v>7561</v>
      </c>
      <c r="D1075" s="89" t="s">
        <v>473</v>
      </c>
      <c r="E1075" s="181"/>
      <c r="F1075" s="181"/>
      <c r="G1075" s="183"/>
      <c r="H1075" s="181"/>
      <c r="I1075" s="181"/>
      <c r="J1075" s="181"/>
      <c r="K1075" s="181" t="str">
        <f t="shared" si="22"/>
        <v>LOCA_GREF|AMG84-52</v>
      </c>
      <c r="L1075" s="181"/>
    </row>
    <row r="1076" spans="1:12" hidden="1" x14ac:dyDescent="0.35">
      <c r="A1076" s="88" t="s">
        <v>3910</v>
      </c>
      <c r="B1076" s="88" t="s">
        <v>7562</v>
      </c>
      <c r="C1076" s="89" t="s">
        <v>7563</v>
      </c>
      <c r="D1076" s="89" t="s">
        <v>473</v>
      </c>
      <c r="E1076" s="181"/>
      <c r="F1076" s="181"/>
      <c r="G1076" s="183"/>
      <c r="H1076" s="181"/>
      <c r="I1076" s="181"/>
      <c r="J1076" s="181"/>
      <c r="K1076" s="181" t="str">
        <f t="shared" si="22"/>
        <v>LOCA_GREF|AMG84-53</v>
      </c>
      <c r="L1076" s="181"/>
    </row>
    <row r="1077" spans="1:12" hidden="1" x14ac:dyDescent="0.35">
      <c r="A1077" s="88" t="s">
        <v>3910</v>
      </c>
      <c r="B1077" s="88" t="s">
        <v>7564</v>
      </c>
      <c r="C1077" s="89" t="s">
        <v>7565</v>
      </c>
      <c r="D1077" s="89" t="s">
        <v>473</v>
      </c>
      <c r="E1077" s="181"/>
      <c r="F1077" s="181"/>
      <c r="G1077" s="183"/>
      <c r="H1077" s="181"/>
      <c r="I1077" s="181"/>
      <c r="J1077" s="181"/>
      <c r="K1077" s="181" t="str">
        <f t="shared" si="22"/>
        <v>LOCA_GREF|AMG84-54</v>
      </c>
      <c r="L1077" s="181"/>
    </row>
    <row r="1078" spans="1:12" hidden="1" x14ac:dyDescent="0.35">
      <c r="A1078" s="88" t="s">
        <v>3910</v>
      </c>
      <c r="B1078" s="88" t="s">
        <v>7566</v>
      </c>
      <c r="C1078" s="89" t="s">
        <v>7567</v>
      </c>
      <c r="D1078" s="89" t="s">
        <v>473</v>
      </c>
      <c r="E1078" s="181"/>
      <c r="F1078" s="181"/>
      <c r="G1078" s="183"/>
      <c r="H1078" s="181"/>
      <c r="I1078" s="181"/>
      <c r="J1078" s="181"/>
      <c r="K1078" s="181" t="str">
        <f t="shared" si="22"/>
        <v>LOCA_GREF|AMG84-55</v>
      </c>
      <c r="L1078" s="181"/>
    </row>
    <row r="1079" spans="1:12" hidden="1" x14ac:dyDescent="0.35">
      <c r="A1079" s="88" t="s">
        <v>3910</v>
      </c>
      <c r="B1079" s="88" t="s">
        <v>7568</v>
      </c>
      <c r="C1079" s="89" t="s">
        <v>7569</v>
      </c>
      <c r="D1079" s="89" t="s">
        <v>473</v>
      </c>
      <c r="E1079" s="181"/>
      <c r="F1079" s="181"/>
      <c r="G1079" s="183"/>
      <c r="H1079" s="181"/>
      <c r="I1079" s="181"/>
      <c r="J1079" s="181"/>
      <c r="K1079" s="181" t="str">
        <f t="shared" si="22"/>
        <v>LOCA_GREF|AMG84-56</v>
      </c>
      <c r="L1079" s="181"/>
    </row>
    <row r="1080" spans="1:12" hidden="1" x14ac:dyDescent="0.35">
      <c r="A1080" s="88" t="s">
        <v>3910</v>
      </c>
      <c r="B1080" s="88" t="s">
        <v>7570</v>
      </c>
      <c r="C1080" s="89" t="s">
        <v>7571</v>
      </c>
      <c r="D1080" s="89" t="s">
        <v>473</v>
      </c>
      <c r="E1080" s="181"/>
      <c r="F1080" s="181"/>
      <c r="G1080" s="183"/>
      <c r="H1080" s="181"/>
      <c r="I1080" s="181"/>
      <c r="J1080" s="181"/>
      <c r="K1080" s="181" t="str">
        <f t="shared" si="22"/>
        <v>LOCA_GREF|AMG84-57</v>
      </c>
      <c r="L1080" s="181"/>
    </row>
    <row r="1081" spans="1:12" hidden="1" x14ac:dyDescent="0.35">
      <c r="A1081" s="88" t="s">
        <v>3910</v>
      </c>
      <c r="B1081" s="88" t="s">
        <v>7572</v>
      </c>
      <c r="C1081" s="89" t="s">
        <v>7573</v>
      </c>
      <c r="D1081" s="89" t="s">
        <v>473</v>
      </c>
      <c r="E1081" s="181"/>
      <c r="F1081" s="181"/>
      <c r="G1081" s="183"/>
      <c r="H1081" s="181"/>
      <c r="I1081" s="181"/>
      <c r="J1081" s="181"/>
      <c r="K1081" s="181" t="str">
        <f t="shared" si="22"/>
        <v>LOCA_GREF|AMG84-58</v>
      </c>
      <c r="L1081" s="181"/>
    </row>
    <row r="1082" spans="1:12" hidden="1" x14ac:dyDescent="0.35">
      <c r="A1082" s="88" t="s">
        <v>3910</v>
      </c>
      <c r="B1082" s="88" t="s">
        <v>7574</v>
      </c>
      <c r="C1082" s="89" t="s">
        <v>7575</v>
      </c>
      <c r="D1082" s="89" t="s">
        <v>473</v>
      </c>
      <c r="E1082" s="181"/>
      <c r="F1082" s="181"/>
      <c r="G1082" s="183"/>
      <c r="H1082" s="181"/>
      <c r="I1082" s="181"/>
      <c r="J1082" s="181"/>
      <c r="K1082" s="181" t="str">
        <f t="shared" si="22"/>
        <v>LOCA_GREF|ISG66-54/2</v>
      </c>
      <c r="L1082" s="181"/>
    </row>
    <row r="1083" spans="1:12" hidden="1" x14ac:dyDescent="0.35">
      <c r="A1083" s="88" t="s">
        <v>3910</v>
      </c>
      <c r="B1083" s="88" t="s">
        <v>7576</v>
      </c>
      <c r="C1083" s="89" t="s">
        <v>7577</v>
      </c>
      <c r="D1083" s="89" t="s">
        <v>473</v>
      </c>
      <c r="E1083" s="181"/>
      <c r="F1083" s="181"/>
      <c r="G1083" s="183"/>
      <c r="H1083" s="181"/>
      <c r="I1083" s="181"/>
      <c r="J1083" s="181"/>
      <c r="K1083" s="181" t="str">
        <f t="shared" si="22"/>
        <v>LOCA_GREF|ISG66-54/3</v>
      </c>
      <c r="L1083" s="181"/>
    </row>
    <row r="1084" spans="1:12" hidden="1" x14ac:dyDescent="0.35">
      <c r="A1084" s="88" t="s">
        <v>3910</v>
      </c>
      <c r="B1084" s="88" t="s">
        <v>7578</v>
      </c>
      <c r="C1084" s="89" t="s">
        <v>7579</v>
      </c>
      <c r="D1084" s="89" t="s">
        <v>473</v>
      </c>
      <c r="E1084" s="181"/>
      <c r="F1084" s="181"/>
      <c r="G1084" s="183"/>
      <c r="H1084" s="181"/>
      <c r="I1084" s="181"/>
      <c r="J1084" s="181"/>
      <c r="K1084" s="181" t="str">
        <f t="shared" si="22"/>
        <v>LOCA_GREF|ISG66-55/1</v>
      </c>
      <c r="L1084" s="181"/>
    </row>
    <row r="1085" spans="1:12" hidden="1" x14ac:dyDescent="0.35">
      <c r="A1085" s="88" t="s">
        <v>3910</v>
      </c>
      <c r="B1085" s="88" t="s">
        <v>7580</v>
      </c>
      <c r="C1085" s="89" t="s">
        <v>7581</v>
      </c>
      <c r="D1085" s="89" t="s">
        <v>473</v>
      </c>
      <c r="E1085" s="181"/>
      <c r="F1085" s="181"/>
      <c r="G1085" s="183"/>
      <c r="H1085" s="181"/>
      <c r="I1085" s="181"/>
      <c r="J1085" s="181"/>
      <c r="K1085" s="181" t="str">
        <f t="shared" si="22"/>
        <v>LOCA_GREF|ISG66-55/2</v>
      </c>
      <c r="L1085" s="181"/>
    </row>
    <row r="1086" spans="1:12" hidden="1" x14ac:dyDescent="0.35">
      <c r="A1086" s="88" t="s">
        <v>3910</v>
      </c>
      <c r="B1086" s="88" t="s">
        <v>7582</v>
      </c>
      <c r="C1086" s="89" t="s">
        <v>7583</v>
      </c>
      <c r="D1086" s="89" t="s">
        <v>473</v>
      </c>
      <c r="E1086" s="181"/>
      <c r="F1086" s="181"/>
      <c r="G1086" s="183"/>
      <c r="H1086" s="181"/>
      <c r="I1086" s="181"/>
      <c r="J1086" s="181"/>
      <c r="K1086" s="181" t="str">
        <f t="shared" si="22"/>
        <v>LOCA_GREF|ISG66-55/3</v>
      </c>
      <c r="L1086" s="181"/>
    </row>
    <row r="1087" spans="1:12" hidden="1" x14ac:dyDescent="0.35">
      <c r="A1087" s="88" t="s">
        <v>3910</v>
      </c>
      <c r="B1087" s="88" t="s">
        <v>7584</v>
      </c>
      <c r="C1087" s="89" t="s">
        <v>7585</v>
      </c>
      <c r="D1087" s="89" t="s">
        <v>473</v>
      </c>
      <c r="E1087" s="181"/>
      <c r="F1087" s="181"/>
      <c r="G1087" s="183"/>
      <c r="H1087" s="181"/>
      <c r="I1087" s="181"/>
      <c r="J1087" s="181"/>
      <c r="K1087" s="181" t="str">
        <f t="shared" si="22"/>
        <v>LOCA_GREF|ISG66-56/1</v>
      </c>
      <c r="L1087" s="181"/>
    </row>
    <row r="1088" spans="1:12" hidden="1" x14ac:dyDescent="0.35">
      <c r="A1088" s="88" t="s">
        <v>3910</v>
      </c>
      <c r="B1088" s="88" t="s">
        <v>7586</v>
      </c>
      <c r="C1088" s="89" t="s">
        <v>7587</v>
      </c>
      <c r="D1088" s="89" t="s">
        <v>473</v>
      </c>
      <c r="E1088" s="181"/>
      <c r="F1088" s="181"/>
      <c r="G1088" s="183"/>
      <c r="H1088" s="181"/>
      <c r="I1088" s="181"/>
      <c r="J1088" s="181"/>
      <c r="K1088" s="181" t="str">
        <f t="shared" si="22"/>
        <v>LOCA_GREF|ISG66-56/2</v>
      </c>
      <c r="L1088" s="181"/>
    </row>
    <row r="1089" spans="1:12" hidden="1" x14ac:dyDescent="0.35">
      <c r="A1089" s="181" t="s">
        <v>3910</v>
      </c>
      <c r="B1089" s="182" t="s">
        <v>7588</v>
      </c>
      <c r="C1089" s="181" t="s">
        <v>7589</v>
      </c>
      <c r="D1089" s="178">
        <v>4.0999999999999996</v>
      </c>
      <c r="E1089" s="181" t="s">
        <v>6450</v>
      </c>
      <c r="F1089" s="184">
        <v>40323</v>
      </c>
      <c r="G1089" s="181"/>
      <c r="H1089" s="181" t="s">
        <v>6451</v>
      </c>
      <c r="I1089" s="181" t="str">
        <f>VLOOKUP(LEFT(A1089,4),Groups!$A$1:$C$188,3,FALSE)</f>
        <v>Location Details</v>
      </c>
      <c r="J1089" s="181" t="str">
        <f>VLOOKUP(A1089,Headings!$C$1:$H$3948,4,FALSE)</f>
        <v>National grid referencing system used</v>
      </c>
      <c r="K1089" s="181" t="str">
        <f t="shared" si="22"/>
        <v>LOCA_GREF|ITM</v>
      </c>
      <c r="L1089" s="181"/>
    </row>
    <row r="1090" spans="1:12" hidden="1" x14ac:dyDescent="0.35">
      <c r="A1090" s="181" t="s">
        <v>3910</v>
      </c>
      <c r="B1090" s="182" t="s">
        <v>7590</v>
      </c>
      <c r="C1090" s="181" t="s">
        <v>7591</v>
      </c>
      <c r="D1090" s="178">
        <v>4.0999999999999996</v>
      </c>
      <c r="E1090" s="181" t="s">
        <v>6450</v>
      </c>
      <c r="F1090" s="184">
        <v>40323</v>
      </c>
      <c r="G1090" s="181"/>
      <c r="H1090" s="181" t="s">
        <v>6451</v>
      </c>
      <c r="I1090" s="181" t="str">
        <f>VLOOKUP(LEFT(A1090,4),Groups!$A$1:$C$188,3,FALSE)</f>
        <v>Location Details</v>
      </c>
      <c r="J1090" s="181" t="str">
        <f>VLOOKUP(A1090,Headings!$C$1:$H$3948,4,FALSE)</f>
        <v>National grid referencing system used</v>
      </c>
      <c r="K1090" s="181" t="str">
        <f t="shared" si="22"/>
        <v>LOCA_GREF|LOCAL</v>
      </c>
      <c r="L1090" s="181"/>
    </row>
    <row r="1091" spans="1:12" hidden="1" x14ac:dyDescent="0.35">
      <c r="A1091" s="88" t="s">
        <v>3910</v>
      </c>
      <c r="B1091" s="88" t="s">
        <v>7592</v>
      </c>
      <c r="C1091" s="89" t="s">
        <v>7593</v>
      </c>
      <c r="D1091" s="89" t="s">
        <v>473</v>
      </c>
      <c r="E1091" s="181"/>
      <c r="F1091" s="181"/>
      <c r="G1091" s="183"/>
      <c r="H1091" s="181"/>
      <c r="I1091" s="181"/>
      <c r="J1091" s="181"/>
      <c r="K1091" s="181" t="str">
        <f t="shared" si="22"/>
        <v>LOCA_GREF|MGA2020-47</v>
      </c>
      <c r="L1091" s="181"/>
    </row>
    <row r="1092" spans="1:12" hidden="1" x14ac:dyDescent="0.35">
      <c r="A1092" s="88" t="s">
        <v>3910</v>
      </c>
      <c r="B1092" s="88" t="s">
        <v>7594</v>
      </c>
      <c r="C1092" s="89" t="s">
        <v>7595</v>
      </c>
      <c r="D1092" s="89" t="s">
        <v>473</v>
      </c>
      <c r="E1092" s="181"/>
      <c r="F1092" s="181"/>
      <c r="G1092" s="183"/>
      <c r="H1092" s="181"/>
      <c r="I1092" s="181"/>
      <c r="J1092" s="181"/>
      <c r="K1092" s="181" t="str">
        <f t="shared" si="22"/>
        <v>LOCA_GREF|MGA2020-48</v>
      </c>
      <c r="L1092" s="181"/>
    </row>
    <row r="1093" spans="1:12" hidden="1" x14ac:dyDescent="0.35">
      <c r="A1093" s="88" t="s">
        <v>3910</v>
      </c>
      <c r="B1093" s="88" t="s">
        <v>7596</v>
      </c>
      <c r="C1093" s="89" t="s">
        <v>7597</v>
      </c>
      <c r="D1093" s="89" t="s">
        <v>473</v>
      </c>
      <c r="E1093" s="181"/>
      <c r="F1093" s="181"/>
      <c r="G1093" s="183"/>
      <c r="H1093" s="181"/>
      <c r="I1093" s="181"/>
      <c r="J1093" s="181"/>
      <c r="K1093" s="181" t="str">
        <f t="shared" si="22"/>
        <v>LOCA_GREF|MGA2020-49</v>
      </c>
      <c r="L1093" s="181"/>
    </row>
    <row r="1094" spans="1:12" hidden="1" x14ac:dyDescent="0.35">
      <c r="A1094" s="88" t="s">
        <v>3910</v>
      </c>
      <c r="B1094" s="88" t="s">
        <v>7598</v>
      </c>
      <c r="C1094" s="89" t="s">
        <v>7599</v>
      </c>
      <c r="D1094" s="89" t="s">
        <v>473</v>
      </c>
      <c r="E1094" s="181"/>
      <c r="F1094" s="181"/>
      <c r="G1094" s="183"/>
      <c r="H1094" s="181"/>
      <c r="I1094" s="181"/>
      <c r="J1094" s="181"/>
      <c r="K1094" s="181" t="str">
        <f t="shared" si="22"/>
        <v>LOCA_GREF|MGA2020-50</v>
      </c>
      <c r="L1094" s="181"/>
    </row>
    <row r="1095" spans="1:12" hidden="1" x14ac:dyDescent="0.35">
      <c r="A1095" s="88" t="s">
        <v>3910</v>
      </c>
      <c r="B1095" s="88" t="s">
        <v>7600</v>
      </c>
      <c r="C1095" s="89" t="s">
        <v>7601</v>
      </c>
      <c r="D1095" s="89" t="s">
        <v>473</v>
      </c>
      <c r="E1095" s="181"/>
      <c r="F1095" s="181"/>
      <c r="G1095" s="183"/>
      <c r="H1095" s="181"/>
      <c r="I1095" s="181"/>
      <c r="J1095" s="181"/>
      <c r="K1095" s="181" t="str">
        <f t="shared" si="22"/>
        <v>LOCA_GREF|MGA2020-51</v>
      </c>
      <c r="L1095" s="181"/>
    </row>
    <row r="1096" spans="1:12" hidden="1" x14ac:dyDescent="0.35">
      <c r="A1096" s="88" t="s">
        <v>3910</v>
      </c>
      <c r="B1096" s="88" t="s">
        <v>7602</v>
      </c>
      <c r="C1096" s="89" t="s">
        <v>7603</v>
      </c>
      <c r="D1096" s="89" t="s">
        <v>473</v>
      </c>
      <c r="E1096" s="181"/>
      <c r="F1096" s="181"/>
      <c r="G1096" s="183"/>
      <c r="H1096" s="181"/>
      <c r="I1096" s="181"/>
      <c r="J1096" s="181"/>
      <c r="K1096" s="181" t="str">
        <f t="shared" si="22"/>
        <v>LOCA_GREF|MGA2020-52</v>
      </c>
      <c r="L1096" s="181"/>
    </row>
    <row r="1097" spans="1:12" hidden="1" x14ac:dyDescent="0.35">
      <c r="A1097" s="88" t="s">
        <v>3910</v>
      </c>
      <c r="B1097" s="88" t="s">
        <v>7604</v>
      </c>
      <c r="C1097" s="89" t="s">
        <v>7605</v>
      </c>
      <c r="D1097" s="89" t="s">
        <v>473</v>
      </c>
      <c r="E1097" s="181"/>
      <c r="F1097" s="181"/>
      <c r="G1097" s="183"/>
      <c r="H1097" s="181"/>
      <c r="I1097" s="181"/>
      <c r="J1097" s="181"/>
      <c r="K1097" s="181" t="str">
        <f t="shared" si="22"/>
        <v>LOCA_GREF|MGA2020-53</v>
      </c>
      <c r="L1097" s="181"/>
    </row>
    <row r="1098" spans="1:12" hidden="1" x14ac:dyDescent="0.35">
      <c r="A1098" s="88" t="s">
        <v>3910</v>
      </c>
      <c r="B1098" s="88" t="s">
        <v>7606</v>
      </c>
      <c r="C1098" s="89" t="s">
        <v>7607</v>
      </c>
      <c r="D1098" s="89" t="s">
        <v>473</v>
      </c>
      <c r="E1098" s="181"/>
      <c r="F1098" s="181"/>
      <c r="G1098" s="183"/>
      <c r="H1098" s="181"/>
      <c r="I1098" s="181"/>
      <c r="J1098" s="181"/>
      <c r="K1098" s="181" t="str">
        <f t="shared" ref="K1098:K1116" si="23">A1098&amp;"|"&amp;B1098</f>
        <v>LOCA_GREF|MGA2020-54</v>
      </c>
      <c r="L1098" s="181"/>
    </row>
    <row r="1099" spans="1:12" hidden="1" x14ac:dyDescent="0.35">
      <c r="A1099" s="88" t="s">
        <v>3910</v>
      </c>
      <c r="B1099" s="88" t="s">
        <v>7608</v>
      </c>
      <c r="C1099" s="89" t="s">
        <v>7609</v>
      </c>
      <c r="D1099" s="89" t="s">
        <v>473</v>
      </c>
      <c r="E1099" s="181"/>
      <c r="F1099" s="181"/>
      <c r="G1099" s="183"/>
      <c r="H1099" s="181"/>
      <c r="I1099" s="181"/>
      <c r="J1099" s="181"/>
      <c r="K1099" s="181" t="str">
        <f t="shared" si="23"/>
        <v>LOCA_GREF|MGA2020-55</v>
      </c>
      <c r="L1099" s="181"/>
    </row>
    <row r="1100" spans="1:12" hidden="1" x14ac:dyDescent="0.35">
      <c r="A1100" s="88" t="s">
        <v>3910</v>
      </c>
      <c r="B1100" s="88" t="s">
        <v>7610</v>
      </c>
      <c r="C1100" s="89" t="s">
        <v>7611</v>
      </c>
      <c r="D1100" s="89" t="s">
        <v>473</v>
      </c>
      <c r="E1100" s="181"/>
      <c r="F1100" s="181"/>
      <c r="G1100" s="183"/>
      <c r="H1100" s="181"/>
      <c r="I1100" s="181"/>
      <c r="J1100" s="181"/>
      <c r="K1100" s="181" t="str">
        <f t="shared" si="23"/>
        <v>LOCA_GREF|MGA2020-56</v>
      </c>
      <c r="L1100" s="181"/>
    </row>
    <row r="1101" spans="1:12" hidden="1" x14ac:dyDescent="0.35">
      <c r="A1101" s="88" t="s">
        <v>3910</v>
      </c>
      <c r="B1101" s="88" t="s">
        <v>7612</v>
      </c>
      <c r="C1101" s="89" t="s">
        <v>7613</v>
      </c>
      <c r="D1101" s="89" t="s">
        <v>473</v>
      </c>
      <c r="E1101" s="181"/>
      <c r="F1101" s="181"/>
      <c r="G1101" s="183"/>
      <c r="H1101" s="181"/>
      <c r="I1101" s="181"/>
      <c r="J1101" s="181"/>
      <c r="K1101" s="181" t="str">
        <f t="shared" si="23"/>
        <v>LOCA_GREF|MGA2020-57</v>
      </c>
      <c r="L1101" s="181"/>
    </row>
    <row r="1102" spans="1:12" hidden="1" x14ac:dyDescent="0.35">
      <c r="A1102" s="88" t="s">
        <v>3910</v>
      </c>
      <c r="B1102" s="88" t="s">
        <v>7614</v>
      </c>
      <c r="C1102" s="89" t="s">
        <v>7615</v>
      </c>
      <c r="D1102" s="89" t="s">
        <v>473</v>
      </c>
      <c r="E1102" s="181"/>
      <c r="F1102" s="181"/>
      <c r="G1102" s="183"/>
      <c r="H1102" s="181"/>
      <c r="I1102" s="181"/>
      <c r="J1102" s="181"/>
      <c r="K1102" s="181" t="str">
        <f t="shared" si="23"/>
        <v>LOCA_GREF|MGA2020-58</v>
      </c>
      <c r="L1102" s="181"/>
    </row>
    <row r="1103" spans="1:12" hidden="1" x14ac:dyDescent="0.35">
      <c r="A1103" s="88" t="s">
        <v>3910</v>
      </c>
      <c r="B1103" s="88" t="s">
        <v>7616</v>
      </c>
      <c r="C1103" s="89" t="s">
        <v>7617</v>
      </c>
      <c r="D1103" s="89" t="s">
        <v>473</v>
      </c>
      <c r="E1103" s="181"/>
      <c r="F1103" s="181"/>
      <c r="G1103" s="183"/>
      <c r="H1103" s="181"/>
      <c r="I1103" s="181"/>
      <c r="J1103" s="181"/>
      <c r="K1103" s="181" t="str">
        <f t="shared" si="23"/>
        <v>LOCA_GREF|MGA94-47</v>
      </c>
      <c r="L1103" s="181"/>
    </row>
    <row r="1104" spans="1:12" hidden="1" x14ac:dyDescent="0.35">
      <c r="A1104" s="88" t="s">
        <v>3910</v>
      </c>
      <c r="B1104" s="88" t="s">
        <v>7618</v>
      </c>
      <c r="C1104" s="89" t="s">
        <v>7619</v>
      </c>
      <c r="D1104" s="89" t="s">
        <v>473</v>
      </c>
      <c r="E1104" s="181"/>
      <c r="F1104" s="181"/>
      <c r="G1104" s="183"/>
      <c r="H1104" s="181"/>
      <c r="I1104" s="181"/>
      <c r="J1104" s="181"/>
      <c r="K1104" s="181" t="str">
        <f t="shared" si="23"/>
        <v>LOCA_GREF|MGA94-48</v>
      </c>
      <c r="L1104" s="181"/>
    </row>
    <row r="1105" spans="1:12" hidden="1" x14ac:dyDescent="0.35">
      <c r="A1105" s="88" t="s">
        <v>3910</v>
      </c>
      <c r="B1105" s="88" t="s">
        <v>7620</v>
      </c>
      <c r="C1105" s="89" t="s">
        <v>7621</v>
      </c>
      <c r="D1105" s="89" t="s">
        <v>473</v>
      </c>
      <c r="E1105" s="181"/>
      <c r="F1105" s="181"/>
      <c r="G1105" s="183"/>
      <c r="H1105" s="181"/>
      <c r="I1105" s="181"/>
      <c r="J1105" s="181"/>
      <c r="K1105" s="181" t="str">
        <f t="shared" si="23"/>
        <v>LOCA_GREF|MGA94-49</v>
      </c>
      <c r="L1105" s="181"/>
    </row>
    <row r="1106" spans="1:12" hidden="1" x14ac:dyDescent="0.35">
      <c r="A1106" s="88" t="s">
        <v>3910</v>
      </c>
      <c r="B1106" s="88" t="s">
        <v>7622</v>
      </c>
      <c r="C1106" s="89" t="s">
        <v>7623</v>
      </c>
      <c r="D1106" s="89" t="s">
        <v>473</v>
      </c>
      <c r="E1106" s="181"/>
      <c r="F1106" s="181"/>
      <c r="G1106" s="183"/>
      <c r="H1106" s="181"/>
      <c r="I1106" s="181"/>
      <c r="J1106" s="181"/>
      <c r="K1106" s="181" t="str">
        <f t="shared" si="23"/>
        <v>LOCA_GREF|MGA94-50</v>
      </c>
      <c r="L1106" s="181"/>
    </row>
    <row r="1107" spans="1:12" hidden="1" x14ac:dyDescent="0.35">
      <c r="A1107" s="88" t="s">
        <v>3910</v>
      </c>
      <c r="B1107" s="88" t="s">
        <v>7624</v>
      </c>
      <c r="C1107" s="89" t="s">
        <v>7625</v>
      </c>
      <c r="D1107" s="89" t="s">
        <v>473</v>
      </c>
      <c r="E1107" s="181"/>
      <c r="F1107" s="181"/>
      <c r="G1107" s="183"/>
      <c r="H1107" s="181"/>
      <c r="I1107" s="181"/>
      <c r="J1107" s="181"/>
      <c r="K1107" s="181" t="str">
        <f t="shared" si="23"/>
        <v>LOCA_GREF|MGA94-51</v>
      </c>
      <c r="L1107" s="181"/>
    </row>
    <row r="1108" spans="1:12" hidden="1" x14ac:dyDescent="0.35">
      <c r="A1108" s="88" t="s">
        <v>3910</v>
      </c>
      <c r="B1108" s="88" t="s">
        <v>7626</v>
      </c>
      <c r="C1108" s="89" t="s">
        <v>7627</v>
      </c>
      <c r="D1108" s="89" t="s">
        <v>473</v>
      </c>
      <c r="E1108" s="181"/>
      <c r="F1108" s="181"/>
      <c r="G1108" s="183"/>
      <c r="H1108" s="181"/>
      <c r="I1108" s="181"/>
      <c r="J1108" s="181"/>
      <c r="K1108" s="181" t="str">
        <f t="shared" si="23"/>
        <v>LOCA_GREF|MGA94-52</v>
      </c>
      <c r="L1108" s="181"/>
    </row>
    <row r="1109" spans="1:12" hidden="1" x14ac:dyDescent="0.35">
      <c r="A1109" s="88" t="s">
        <v>3910</v>
      </c>
      <c r="B1109" s="88" t="s">
        <v>7628</v>
      </c>
      <c r="C1109" s="89" t="s">
        <v>7629</v>
      </c>
      <c r="D1109" s="89" t="s">
        <v>473</v>
      </c>
      <c r="E1109" s="181"/>
      <c r="F1109" s="181"/>
      <c r="G1109" s="183"/>
      <c r="H1109" s="181"/>
      <c r="I1109" s="181"/>
      <c r="J1109" s="181"/>
      <c r="K1109" s="181" t="str">
        <f t="shared" si="23"/>
        <v>LOCA_GREF|MGA94-53</v>
      </c>
      <c r="L1109" s="181"/>
    </row>
    <row r="1110" spans="1:12" hidden="1" x14ac:dyDescent="0.35">
      <c r="A1110" s="88" t="s">
        <v>3910</v>
      </c>
      <c r="B1110" s="88" t="s">
        <v>7630</v>
      </c>
      <c r="C1110" s="89" t="s">
        <v>7631</v>
      </c>
      <c r="D1110" s="89" t="s">
        <v>473</v>
      </c>
      <c r="E1110" s="181"/>
      <c r="F1110" s="181"/>
      <c r="G1110" s="183"/>
      <c r="H1110" s="181"/>
      <c r="I1110" s="181"/>
      <c r="J1110" s="181"/>
      <c r="K1110" s="181" t="str">
        <f t="shared" si="23"/>
        <v>LOCA_GREF|MGA94-54</v>
      </c>
      <c r="L1110" s="181"/>
    </row>
    <row r="1111" spans="1:12" hidden="1" x14ac:dyDescent="0.35">
      <c r="A1111" s="88" t="s">
        <v>3910</v>
      </c>
      <c r="B1111" s="88" t="s">
        <v>7632</v>
      </c>
      <c r="C1111" s="89" t="s">
        <v>7633</v>
      </c>
      <c r="D1111" s="89" t="s">
        <v>473</v>
      </c>
      <c r="E1111" s="181"/>
      <c r="F1111" s="181"/>
      <c r="G1111" s="183"/>
      <c r="H1111" s="181"/>
      <c r="I1111" s="181"/>
      <c r="J1111" s="181"/>
      <c r="K1111" s="181" t="str">
        <f t="shared" si="23"/>
        <v>LOCA_GREF|MGA94-55</v>
      </c>
      <c r="L1111" s="181"/>
    </row>
    <row r="1112" spans="1:12" hidden="1" x14ac:dyDescent="0.35">
      <c r="A1112" s="88" t="s">
        <v>3910</v>
      </c>
      <c r="B1112" s="88" t="s">
        <v>7634</v>
      </c>
      <c r="C1112" s="89" t="s">
        <v>7635</v>
      </c>
      <c r="D1112" s="89" t="s">
        <v>473</v>
      </c>
      <c r="E1112" s="181"/>
      <c r="F1112" s="181"/>
      <c r="G1112" s="183"/>
      <c r="H1112" s="181"/>
      <c r="I1112" s="181"/>
      <c r="J1112" s="181"/>
      <c r="K1112" s="181" t="str">
        <f t="shared" si="23"/>
        <v>LOCA_GREF|MGA94-56</v>
      </c>
      <c r="L1112" s="181"/>
    </row>
    <row r="1113" spans="1:12" hidden="1" x14ac:dyDescent="0.35">
      <c r="A1113" s="88" t="s">
        <v>3910</v>
      </c>
      <c r="B1113" s="88" t="s">
        <v>7636</v>
      </c>
      <c r="C1113" s="89" t="s">
        <v>7637</v>
      </c>
      <c r="D1113" s="89" t="s">
        <v>473</v>
      </c>
      <c r="E1113" s="181"/>
      <c r="F1113" s="181"/>
      <c r="G1113" s="183"/>
      <c r="H1113" s="181"/>
      <c r="I1113" s="181"/>
      <c r="J1113" s="181"/>
      <c r="K1113" s="181" t="str">
        <f t="shared" si="23"/>
        <v>LOCA_GREF|MGA94-57</v>
      </c>
      <c r="L1113" s="181"/>
    </row>
    <row r="1114" spans="1:12" hidden="1" x14ac:dyDescent="0.35">
      <c r="A1114" s="88" t="s">
        <v>3910</v>
      </c>
      <c r="B1114" s="88" t="s">
        <v>7638</v>
      </c>
      <c r="C1114" s="89" t="s">
        <v>7639</v>
      </c>
      <c r="D1114" s="89" t="s">
        <v>473</v>
      </c>
      <c r="E1114" s="181"/>
      <c r="F1114" s="181"/>
      <c r="G1114" s="183"/>
      <c r="H1114" s="181"/>
      <c r="I1114" s="181"/>
      <c r="J1114" s="181"/>
      <c r="K1114" s="181" t="str">
        <f t="shared" si="23"/>
        <v>LOCA_GREF|MGA94-58</v>
      </c>
      <c r="L1114" s="181"/>
    </row>
    <row r="1115" spans="1:12" hidden="1" x14ac:dyDescent="0.35">
      <c r="A1115" s="181" t="s">
        <v>3910</v>
      </c>
      <c r="B1115" s="182" t="s">
        <v>7640</v>
      </c>
      <c r="C1115" s="181" t="s">
        <v>7641</v>
      </c>
      <c r="D1115" s="178">
        <v>4.0999999999999996</v>
      </c>
      <c r="E1115" s="181" t="s">
        <v>6450</v>
      </c>
      <c r="F1115" s="184">
        <v>40323</v>
      </c>
      <c r="G1115" s="181"/>
      <c r="H1115" s="181" t="s">
        <v>6451</v>
      </c>
      <c r="I1115" s="181" t="str">
        <f>VLOOKUP(LEFT(A1115,4),Groups!$A$1:$C$188,3,FALSE)</f>
        <v>Location Details</v>
      </c>
      <c r="J1115" s="181" t="str">
        <f>VLOOKUP(A1115,Headings!$C$1:$H$3948,4,FALSE)</f>
        <v>National grid referencing system used</v>
      </c>
      <c r="K1115" s="181" t="str">
        <f t="shared" si="23"/>
        <v>LOCA_GREF|OSGB</v>
      </c>
      <c r="L1115" s="181"/>
    </row>
    <row r="1116" spans="1:12" hidden="1" x14ac:dyDescent="0.35">
      <c r="A1116" s="181" t="s">
        <v>3910</v>
      </c>
      <c r="B1116" s="182" t="s">
        <v>7642</v>
      </c>
      <c r="C1116" s="181" t="s">
        <v>7643</v>
      </c>
      <c r="D1116" s="178">
        <v>4.0999999999999996</v>
      </c>
      <c r="E1116" s="181" t="s">
        <v>6450</v>
      </c>
      <c r="F1116" s="184">
        <v>40323</v>
      </c>
      <c r="G1116" s="181"/>
      <c r="H1116" s="181" t="s">
        <v>6451</v>
      </c>
      <c r="I1116" s="181" t="str">
        <f>VLOOKUP(LEFT(A1116,4),Groups!$A$1:$C$188,3,FALSE)</f>
        <v>Location Details</v>
      </c>
      <c r="J1116" s="181" t="str">
        <f>VLOOKUP(A1116,Headings!$C$1:$H$3948,4,FALSE)</f>
        <v>National grid referencing system used</v>
      </c>
      <c r="K1116" s="181" t="str">
        <f t="shared" si="23"/>
        <v>LOCA_GREF|OSI</v>
      </c>
      <c r="L1116" s="181"/>
    </row>
    <row r="1117" spans="1:12" hidden="1" x14ac:dyDescent="0.35">
      <c r="A1117" s="88" t="s">
        <v>3980</v>
      </c>
      <c r="B1117" s="88" t="s">
        <v>7365</v>
      </c>
      <c r="C1117" s="89" t="s">
        <v>7366</v>
      </c>
      <c r="D1117" s="89" t="s">
        <v>473</v>
      </c>
      <c r="E1117" s="181"/>
      <c r="F1117" s="181"/>
      <c r="G1117" s="183"/>
      <c r="H1117" s="181"/>
      <c r="I1117" s="181"/>
      <c r="J1117" s="181"/>
      <c r="K1117" s="181" t="s">
        <v>7644</v>
      </c>
      <c r="L1117" s="181" t="e">
        <v>#N/A</v>
      </c>
    </row>
    <row r="1118" spans="1:12" hidden="1" x14ac:dyDescent="0.35">
      <c r="A1118" s="88" t="s">
        <v>3980</v>
      </c>
      <c r="B1118" s="88" t="s">
        <v>7367</v>
      </c>
      <c r="C1118" s="89" t="s">
        <v>7368</v>
      </c>
      <c r="D1118" s="89" t="s">
        <v>473</v>
      </c>
      <c r="E1118" s="181"/>
      <c r="F1118" s="181"/>
      <c r="G1118" s="183"/>
      <c r="H1118" s="181"/>
      <c r="I1118" s="181"/>
      <c r="J1118" s="181"/>
      <c r="K1118" s="181" t="s">
        <v>7645</v>
      </c>
      <c r="L1118" s="181" t="e">
        <v>#N/A</v>
      </c>
    </row>
    <row r="1119" spans="1:12" hidden="1" x14ac:dyDescent="0.35">
      <c r="A1119" s="88" t="s">
        <v>3980</v>
      </c>
      <c r="B1119" s="88" t="s">
        <v>7369</v>
      </c>
      <c r="C1119" s="89" t="s">
        <v>7370</v>
      </c>
      <c r="D1119" s="89" t="s">
        <v>473</v>
      </c>
      <c r="E1119" s="181"/>
      <c r="F1119" s="181"/>
      <c r="G1119" s="183"/>
      <c r="H1119" s="181"/>
      <c r="I1119" s="181"/>
      <c r="J1119" s="181"/>
      <c r="K1119" s="181" t="s">
        <v>7646</v>
      </c>
      <c r="L1119" s="181" t="e">
        <v>#N/A</v>
      </c>
    </row>
    <row r="1120" spans="1:12" hidden="1" x14ac:dyDescent="0.35">
      <c r="A1120" s="88" t="s">
        <v>3980</v>
      </c>
      <c r="B1120" s="88" t="s">
        <v>7371</v>
      </c>
      <c r="C1120" s="89" t="s">
        <v>7372</v>
      </c>
      <c r="D1120" s="89" t="s">
        <v>473</v>
      </c>
      <c r="E1120" s="181"/>
      <c r="F1120" s="181"/>
      <c r="G1120" s="183"/>
      <c r="H1120" s="181"/>
      <c r="I1120" s="181"/>
      <c r="J1120" s="181"/>
      <c r="K1120" s="181" t="s">
        <v>7647</v>
      </c>
      <c r="L1120" s="181" t="e">
        <v>#N/A</v>
      </c>
    </row>
    <row r="1121" spans="1:12" hidden="1" x14ac:dyDescent="0.35">
      <c r="A1121" s="88" t="s">
        <v>3980</v>
      </c>
      <c r="B1121" s="88" t="s">
        <v>7373</v>
      </c>
      <c r="C1121" s="89" t="s">
        <v>7374</v>
      </c>
      <c r="D1121" s="89" t="s">
        <v>473</v>
      </c>
      <c r="E1121" s="181"/>
      <c r="F1121" s="181"/>
      <c r="G1121" s="183"/>
      <c r="H1121" s="181"/>
      <c r="I1121" s="181"/>
      <c r="J1121" s="181"/>
      <c r="K1121" s="181" t="s">
        <v>7648</v>
      </c>
      <c r="L1121" s="181" t="e">
        <v>#N/A</v>
      </c>
    </row>
    <row r="1122" spans="1:12" hidden="1" x14ac:dyDescent="0.35">
      <c r="A1122" s="88" t="s">
        <v>3980</v>
      </c>
      <c r="B1122" s="88" t="s">
        <v>7378</v>
      </c>
      <c r="C1122" s="89" t="s">
        <v>7379</v>
      </c>
      <c r="D1122" s="89" t="s">
        <v>473</v>
      </c>
      <c r="E1122" s="181"/>
      <c r="F1122" s="181"/>
      <c r="G1122" s="183"/>
      <c r="H1122" s="181"/>
      <c r="I1122" s="181"/>
      <c r="J1122" s="181"/>
      <c r="K1122" s="181" t="s">
        <v>7649</v>
      </c>
      <c r="L1122" s="181" t="e">
        <v>#N/A</v>
      </c>
    </row>
    <row r="1123" spans="1:12" hidden="1" x14ac:dyDescent="0.35">
      <c r="A1123" s="88" t="s">
        <v>3980</v>
      </c>
      <c r="B1123" s="88" t="s">
        <v>7380</v>
      </c>
      <c r="C1123" s="89" t="s">
        <v>7381</v>
      </c>
      <c r="D1123" s="89" t="s">
        <v>473</v>
      </c>
      <c r="E1123" s="181"/>
      <c r="F1123" s="181"/>
      <c r="G1123" s="183"/>
      <c r="H1123" s="181"/>
      <c r="I1123" s="181"/>
      <c r="J1123" s="181"/>
      <c r="K1123" s="181" t="s">
        <v>7650</v>
      </c>
      <c r="L1123" s="181" t="e">
        <v>#N/A</v>
      </c>
    </row>
    <row r="1124" spans="1:12" hidden="1" x14ac:dyDescent="0.35">
      <c r="A1124" s="88" t="s">
        <v>3980</v>
      </c>
      <c r="B1124" s="88" t="s">
        <v>7382</v>
      </c>
      <c r="C1124" s="89" t="s">
        <v>7383</v>
      </c>
      <c r="D1124" s="89" t="s">
        <v>473</v>
      </c>
      <c r="E1124" s="181"/>
      <c r="F1124" s="181"/>
      <c r="G1124" s="183"/>
      <c r="H1124" s="181"/>
      <c r="I1124" s="181"/>
      <c r="J1124" s="181"/>
      <c r="K1124" s="181" t="s">
        <v>7651</v>
      </c>
      <c r="L1124" s="181" t="e">
        <v>#N/A</v>
      </c>
    </row>
    <row r="1125" spans="1:12" hidden="1" x14ac:dyDescent="0.35">
      <c r="A1125" s="88" t="s">
        <v>3980</v>
      </c>
      <c r="B1125" s="88" t="s">
        <v>7386</v>
      </c>
      <c r="C1125" s="89" t="s">
        <v>7387</v>
      </c>
      <c r="D1125" s="89" t="s">
        <v>473</v>
      </c>
      <c r="E1125" s="181"/>
      <c r="F1125" s="181"/>
      <c r="G1125" s="183"/>
      <c r="H1125" s="181"/>
      <c r="I1125" s="181"/>
      <c r="J1125" s="181"/>
      <c r="K1125" s="181" t="s">
        <v>7652</v>
      </c>
      <c r="L1125" s="181" t="e">
        <v>#N/A</v>
      </c>
    </row>
    <row r="1126" spans="1:12" hidden="1" x14ac:dyDescent="0.35">
      <c r="A1126" s="88" t="s">
        <v>3980</v>
      </c>
      <c r="B1126" s="88" t="s">
        <v>7388</v>
      </c>
      <c r="C1126" s="89" t="s">
        <v>7389</v>
      </c>
      <c r="D1126" s="89" t="s">
        <v>473</v>
      </c>
      <c r="E1126" s="181"/>
      <c r="F1126" s="181"/>
      <c r="G1126" s="183"/>
      <c r="H1126" s="181"/>
      <c r="I1126" s="181"/>
      <c r="J1126" s="181"/>
      <c r="K1126" s="181" t="s">
        <v>7653</v>
      </c>
      <c r="L1126" s="181" t="e">
        <v>#N/A</v>
      </c>
    </row>
    <row r="1127" spans="1:12" hidden="1" x14ac:dyDescent="0.35">
      <c r="A1127" s="88" t="s">
        <v>3980</v>
      </c>
      <c r="B1127" s="88" t="s">
        <v>7390</v>
      </c>
      <c r="C1127" s="89" t="s">
        <v>7391</v>
      </c>
      <c r="D1127" s="89" t="s">
        <v>473</v>
      </c>
      <c r="E1127" s="181"/>
      <c r="F1127" s="181"/>
      <c r="G1127" s="183"/>
      <c r="H1127" s="181"/>
      <c r="I1127" s="181"/>
      <c r="J1127" s="181"/>
      <c r="K1127" s="181" t="s">
        <v>7654</v>
      </c>
      <c r="L1127" s="181" t="e">
        <v>#N/A</v>
      </c>
    </row>
    <row r="1128" spans="1:12" hidden="1" x14ac:dyDescent="0.35">
      <c r="A1128" s="88" t="s">
        <v>3980</v>
      </c>
      <c r="B1128" s="88" t="s">
        <v>7392</v>
      </c>
      <c r="C1128" s="89" t="s">
        <v>7393</v>
      </c>
      <c r="D1128" s="89" t="s">
        <v>473</v>
      </c>
      <c r="E1128" s="181"/>
      <c r="F1128" s="181"/>
      <c r="G1128" s="183"/>
      <c r="H1128" s="181"/>
      <c r="I1128" s="181"/>
      <c r="J1128" s="181"/>
      <c r="K1128" s="181" t="s">
        <v>7655</v>
      </c>
      <c r="L1128" s="181" t="e">
        <v>#N/A</v>
      </c>
    </row>
    <row r="1129" spans="1:12" hidden="1" x14ac:dyDescent="0.35">
      <c r="A1129" s="88" t="s">
        <v>3980</v>
      </c>
      <c r="B1129" s="88" t="s">
        <v>7396</v>
      </c>
      <c r="C1129" s="89" t="s">
        <v>7397</v>
      </c>
      <c r="D1129" s="89" t="s">
        <v>473</v>
      </c>
      <c r="E1129" s="181"/>
      <c r="F1129" s="181"/>
      <c r="G1129" s="183"/>
      <c r="H1129" s="181"/>
      <c r="I1129" s="181"/>
      <c r="J1129" s="181"/>
      <c r="K1129" s="181" t="s">
        <v>7656</v>
      </c>
      <c r="L1129" s="181" t="e">
        <v>#N/A</v>
      </c>
    </row>
    <row r="1130" spans="1:12" hidden="1" x14ac:dyDescent="0.35">
      <c r="A1130" s="88" t="s">
        <v>3980</v>
      </c>
      <c r="B1130" s="88" t="s">
        <v>7398</v>
      </c>
      <c r="C1130" s="89" t="s">
        <v>7399</v>
      </c>
      <c r="D1130" s="89" t="s">
        <v>473</v>
      </c>
      <c r="E1130" s="181"/>
      <c r="F1130" s="181"/>
      <c r="G1130" s="183"/>
      <c r="H1130" s="181"/>
      <c r="I1130" s="181"/>
      <c r="J1130" s="181"/>
      <c r="K1130" s="181" t="s">
        <v>7657</v>
      </c>
      <c r="L1130" s="181" t="e">
        <v>#N/A</v>
      </c>
    </row>
    <row r="1131" spans="1:12" hidden="1" x14ac:dyDescent="0.35">
      <c r="A1131" s="88" t="s">
        <v>3980</v>
      </c>
      <c r="B1131" s="88" t="s">
        <v>7400</v>
      </c>
      <c r="C1131" s="89" t="s">
        <v>7401</v>
      </c>
      <c r="D1131" s="89" t="s">
        <v>473</v>
      </c>
      <c r="E1131" s="181"/>
      <c r="F1131" s="181"/>
      <c r="G1131" s="183"/>
      <c r="H1131" s="181"/>
      <c r="I1131" s="181"/>
      <c r="J1131" s="181"/>
      <c r="K1131" s="181" t="s">
        <v>7658</v>
      </c>
      <c r="L1131" s="181" t="e">
        <v>#N/A</v>
      </c>
    </row>
    <row r="1132" spans="1:12" hidden="1" x14ac:dyDescent="0.35">
      <c r="A1132" s="88" t="s">
        <v>3980</v>
      </c>
      <c r="B1132" s="88" t="s">
        <v>7402</v>
      </c>
      <c r="C1132" s="89" t="s">
        <v>7403</v>
      </c>
      <c r="D1132" s="89" t="s">
        <v>473</v>
      </c>
      <c r="E1132" s="181"/>
      <c r="F1132" s="181"/>
      <c r="G1132" s="183"/>
      <c r="H1132" s="181"/>
      <c r="I1132" s="181"/>
      <c r="J1132" s="181"/>
      <c r="K1132" s="181" t="s">
        <v>7659</v>
      </c>
      <c r="L1132" s="181" t="e">
        <v>#N/A</v>
      </c>
    </row>
    <row r="1133" spans="1:12" hidden="1" x14ac:dyDescent="0.35">
      <c r="A1133" s="88" t="s">
        <v>3980</v>
      </c>
      <c r="B1133" s="88" t="s">
        <v>7404</v>
      </c>
      <c r="C1133" s="89" t="s">
        <v>7405</v>
      </c>
      <c r="D1133" s="89" t="s">
        <v>473</v>
      </c>
      <c r="E1133" s="181"/>
      <c r="F1133" s="181"/>
      <c r="G1133" s="183"/>
      <c r="H1133" s="181"/>
      <c r="I1133" s="181"/>
      <c r="J1133" s="181"/>
      <c r="K1133" s="181" t="s">
        <v>7660</v>
      </c>
      <c r="L1133" s="181" t="e">
        <v>#N/A</v>
      </c>
    </row>
    <row r="1134" spans="1:12" hidden="1" x14ac:dyDescent="0.35">
      <c r="A1134" s="88" t="s">
        <v>3923</v>
      </c>
      <c r="B1134" s="88" t="s">
        <v>7661</v>
      </c>
      <c r="C1134" s="88" t="s">
        <v>7661</v>
      </c>
      <c r="D1134" s="89" t="s">
        <v>473</v>
      </c>
      <c r="E1134" s="181"/>
      <c r="F1134" s="181"/>
      <c r="G1134" s="183"/>
      <c r="H1134" s="181"/>
      <c r="I1134" s="181"/>
      <c r="J1134" s="181"/>
      <c r="K1134" s="181" t="str">
        <f t="shared" ref="K1134" si="24">A1134&amp;"|"&amp;B1134</f>
        <v>LOCA_PURP|Contamination</v>
      </c>
      <c r="L1134" s="181"/>
    </row>
    <row r="1135" spans="1:12" hidden="1" x14ac:dyDescent="0.35">
      <c r="A1135" s="88" t="s">
        <v>3923</v>
      </c>
      <c r="B1135" s="88" t="s">
        <v>7377</v>
      </c>
      <c r="C1135" s="89" t="s">
        <v>7377</v>
      </c>
      <c r="D1135" s="89" t="s">
        <v>473</v>
      </c>
      <c r="E1135" s="181"/>
      <c r="F1135" s="181"/>
      <c r="G1135" s="183"/>
      <c r="H1135" s="181"/>
      <c r="I1135" s="181"/>
      <c r="J1135" s="181"/>
      <c r="K1135" s="181" t="str">
        <f t="shared" ref="K1135:K1197" si="25">A1135&amp;"|"&amp;B1135</f>
        <v>LOCA_PURP|Foundation</v>
      </c>
      <c r="L1135" s="181"/>
    </row>
    <row r="1136" spans="1:12" hidden="1" x14ac:dyDescent="0.35">
      <c r="A1136" s="88" t="s">
        <v>3923</v>
      </c>
      <c r="B1136" s="88" t="s">
        <v>7406</v>
      </c>
      <c r="C1136" s="89" t="s">
        <v>7406</v>
      </c>
      <c r="D1136" s="89" t="s">
        <v>473</v>
      </c>
      <c r="E1136" s="181"/>
      <c r="F1136" s="181"/>
      <c r="G1136" s="183"/>
      <c r="H1136" s="181"/>
      <c r="I1136" s="181"/>
      <c r="J1136" s="181"/>
      <c r="K1136" s="181" t="str">
        <f t="shared" si="25"/>
        <v>LOCA_PURP|Slope</v>
      </c>
      <c r="L1136" s="181"/>
    </row>
    <row r="1137" spans="1:12" hidden="1" x14ac:dyDescent="0.35">
      <c r="A1137" s="88" t="s">
        <v>3923</v>
      </c>
      <c r="B1137" s="88" t="s">
        <v>7408</v>
      </c>
      <c r="C1137" s="89" t="s">
        <v>7408</v>
      </c>
      <c r="D1137" s="89" t="s">
        <v>473</v>
      </c>
      <c r="E1137" s="181"/>
      <c r="F1137" s="181"/>
      <c r="G1137" s="183"/>
      <c r="H1137" s="181"/>
      <c r="I1137" s="181"/>
      <c r="J1137" s="181"/>
      <c r="K1137" s="181" t="str">
        <f t="shared" si="25"/>
        <v>LOCA_PURP|Tunnel</v>
      </c>
      <c r="L1137" s="181"/>
    </row>
    <row r="1138" spans="1:12" hidden="1" x14ac:dyDescent="0.35">
      <c r="A1138" s="181" t="s">
        <v>3901</v>
      </c>
      <c r="B1138" s="182" t="s">
        <v>7662</v>
      </c>
      <c r="C1138" s="181" t="s">
        <v>7663</v>
      </c>
      <c r="D1138" s="178">
        <v>4.0999999999999996</v>
      </c>
      <c r="E1138" s="181" t="s">
        <v>6450</v>
      </c>
      <c r="F1138" s="184">
        <v>40323</v>
      </c>
      <c r="G1138" s="181"/>
      <c r="H1138" s="181" t="s">
        <v>6451</v>
      </c>
      <c r="I1138" s="181" t="str">
        <f>VLOOKUP(LEFT(A1138,4),Groups!$A$1:$C$188,3,FALSE)</f>
        <v>Location Details</v>
      </c>
      <c r="J1138" s="181" t="str">
        <f>VLOOKUP(A1138,Headings!$C$1:$H$3948,4,FALSE)</f>
        <v>Status of information relating to this position</v>
      </c>
      <c r="K1138" s="181" t="str">
        <f t="shared" si="25"/>
        <v>LOCA_STAT|DRAFT</v>
      </c>
      <c r="L1138" s="181"/>
    </row>
    <row r="1139" spans="1:12" hidden="1" x14ac:dyDescent="0.35">
      <c r="A1139" s="181" t="s">
        <v>3901</v>
      </c>
      <c r="B1139" s="182" t="s">
        <v>7664</v>
      </c>
      <c r="C1139" s="181" t="s">
        <v>7665</v>
      </c>
      <c r="D1139" s="178">
        <v>4.0999999999999996</v>
      </c>
      <c r="E1139" s="181" t="s">
        <v>6450</v>
      </c>
      <c r="F1139" s="184">
        <v>40323</v>
      </c>
      <c r="G1139" s="181"/>
      <c r="H1139" s="181" t="s">
        <v>6451</v>
      </c>
      <c r="I1139" s="181" t="str">
        <f>VLOOKUP(LEFT(A1139,4),Groups!$A$1:$C$188,3,FALSE)</f>
        <v>Location Details</v>
      </c>
      <c r="J1139" s="181" t="str">
        <f>VLOOKUP(A1139,Headings!$C$1:$H$3948,4,FALSE)</f>
        <v>Status of information relating to this position</v>
      </c>
      <c r="K1139" s="181" t="str">
        <f t="shared" si="25"/>
        <v>LOCA_STAT|FINAL</v>
      </c>
      <c r="L1139" s="181"/>
    </row>
    <row r="1140" spans="1:12" hidden="1" x14ac:dyDescent="0.35">
      <c r="A1140" s="181" t="s">
        <v>3901</v>
      </c>
      <c r="B1140" s="182" t="s">
        <v>7666</v>
      </c>
      <c r="C1140" s="181" t="s">
        <v>7667</v>
      </c>
      <c r="D1140" s="178">
        <v>4.0999999999999996</v>
      </c>
      <c r="E1140" s="181" t="s">
        <v>6450</v>
      </c>
      <c r="F1140" s="184">
        <v>40323</v>
      </c>
      <c r="G1140" s="181"/>
      <c r="H1140" s="181" t="s">
        <v>6451</v>
      </c>
      <c r="I1140" s="181" t="str">
        <f>VLOOKUP(LEFT(A1140,4),Groups!$A$1:$C$188,3,FALSE)</f>
        <v>Location Details</v>
      </c>
      <c r="J1140" s="181" t="str">
        <f>VLOOKUP(A1140,Headings!$C$1:$H$3948,4,FALSE)</f>
        <v>Status of information relating to this position</v>
      </c>
      <c r="K1140" s="181" t="str">
        <f t="shared" si="25"/>
        <v>LOCA_STAT|HISTORIC</v>
      </c>
      <c r="L1140" s="181"/>
    </row>
    <row r="1141" spans="1:12" hidden="1" x14ac:dyDescent="0.35">
      <c r="A1141" s="181" t="s">
        <v>3901</v>
      </c>
      <c r="B1141" s="182" t="s">
        <v>3903</v>
      </c>
      <c r="C1141" s="181" t="s">
        <v>7668</v>
      </c>
      <c r="D1141" s="178">
        <v>4.0999999999999996</v>
      </c>
      <c r="E1141" s="181" t="s">
        <v>6450</v>
      </c>
      <c r="F1141" s="184">
        <v>40323</v>
      </c>
      <c r="G1141" s="181"/>
      <c r="H1141" s="181" t="s">
        <v>6451</v>
      </c>
      <c r="I1141" s="181" t="str">
        <f>VLOOKUP(LEFT(A1141,4),Groups!$A$1:$C$188,3,FALSE)</f>
        <v>Location Details</v>
      </c>
      <c r="J1141" s="181" t="str">
        <f>VLOOKUP(A1141,Headings!$C$1:$H$3948,4,FALSE)</f>
        <v>Status of information relating to this position</v>
      </c>
      <c r="K1141" s="181" t="str">
        <f t="shared" si="25"/>
        <v>LOCA_STAT|PRELIM</v>
      </c>
      <c r="L1141" s="181"/>
    </row>
    <row r="1142" spans="1:12" hidden="1" x14ac:dyDescent="0.35">
      <c r="A1142" s="181" t="s">
        <v>3901</v>
      </c>
      <c r="B1142" s="182" t="s">
        <v>7669</v>
      </c>
      <c r="C1142" s="181" t="s">
        <v>7670</v>
      </c>
      <c r="D1142" s="178">
        <v>4.0999999999999996</v>
      </c>
      <c r="E1142" s="181" t="s">
        <v>6450</v>
      </c>
      <c r="F1142" s="184">
        <v>44173</v>
      </c>
      <c r="G1142" s="181"/>
      <c r="H1142" s="181" t="s">
        <v>6451</v>
      </c>
      <c r="I1142" s="181" t="str">
        <f>VLOOKUP(LEFT(A1142,4),Groups!$A$1:$C$188,3,FALSE)</f>
        <v>Location Details</v>
      </c>
      <c r="J1142" s="181" t="str">
        <f>VLOOKUP(A1142,Headings!$C$1:$H$3948,4,FALSE)</f>
        <v>Status of information relating to this position</v>
      </c>
      <c r="K1142" s="181" t="str">
        <f t="shared" si="25"/>
        <v>LOCA_STAT|PROPOSED</v>
      </c>
      <c r="L1142" s="181"/>
    </row>
    <row r="1143" spans="1:12" hidden="1" x14ac:dyDescent="0.35">
      <c r="A1143" s="88" t="s">
        <v>3926</v>
      </c>
      <c r="B1143" s="88" t="s">
        <v>7671</v>
      </c>
      <c r="C1143" s="89" t="s">
        <v>7672</v>
      </c>
      <c r="D1143" s="89" t="s">
        <v>473</v>
      </c>
      <c r="E1143" s="181"/>
      <c r="F1143" s="181"/>
      <c r="G1143" s="183"/>
      <c r="H1143" s="181"/>
      <c r="I1143" s="181"/>
      <c r="J1143" s="181"/>
      <c r="K1143" s="181" t="str">
        <f t="shared" si="25"/>
        <v>LOCA_TERM|Collapse</v>
      </c>
      <c r="L1143" s="181"/>
    </row>
    <row r="1144" spans="1:12" hidden="1" x14ac:dyDescent="0.35">
      <c r="A1144" s="88" t="s">
        <v>3926</v>
      </c>
      <c r="B1144" s="88" t="s">
        <v>7673</v>
      </c>
      <c r="C1144" s="89" t="s">
        <v>7674</v>
      </c>
      <c r="D1144" s="89" t="s">
        <v>473</v>
      </c>
      <c r="E1144" s="181"/>
      <c r="F1144" s="181"/>
      <c r="G1144" s="183"/>
      <c r="H1144" s="181"/>
      <c r="I1144" s="181"/>
      <c r="J1144" s="181"/>
      <c r="K1144" s="181" t="str">
        <f t="shared" si="25"/>
        <v>LOCA_TERM|Equipment failure</v>
      </c>
      <c r="L1144" s="181"/>
    </row>
    <row r="1145" spans="1:12" hidden="1" x14ac:dyDescent="0.35">
      <c r="A1145" s="88" t="s">
        <v>3926</v>
      </c>
      <c r="B1145" s="88" t="s">
        <v>7375</v>
      </c>
      <c r="C1145" s="89" t="s">
        <v>7375</v>
      </c>
      <c r="D1145" s="89" t="s">
        <v>473</v>
      </c>
      <c r="E1145" s="181"/>
      <c r="F1145" s="181"/>
      <c r="G1145" s="183"/>
      <c r="H1145" s="181"/>
      <c r="I1145" s="181"/>
      <c r="J1145" s="181"/>
      <c r="K1145" s="181" t="str">
        <f t="shared" si="25"/>
        <v>LOCA_TERM|Flooding</v>
      </c>
      <c r="L1145" s="181"/>
    </row>
    <row r="1146" spans="1:12" hidden="1" x14ac:dyDescent="0.35">
      <c r="A1146" s="88" t="s">
        <v>3926</v>
      </c>
      <c r="B1146" s="88" t="s">
        <v>7675</v>
      </c>
      <c r="C1146" s="89" t="s">
        <v>7675</v>
      </c>
      <c r="D1146" s="89" t="s">
        <v>473</v>
      </c>
      <c r="E1146" s="181"/>
      <c r="F1146" s="181"/>
      <c r="G1146" s="183"/>
      <c r="H1146" s="181"/>
      <c r="I1146" s="181"/>
      <c r="J1146" s="181"/>
      <c r="K1146" s="181" t="str">
        <f t="shared" si="25"/>
        <v>LOCA_TERM|Machine Limit</v>
      </c>
      <c r="L1146" s="181"/>
    </row>
    <row r="1147" spans="1:12" hidden="1" x14ac:dyDescent="0.35">
      <c r="A1147" s="88" t="s">
        <v>3926</v>
      </c>
      <c r="B1147" s="88" t="s">
        <v>7676</v>
      </c>
      <c r="C1147" s="89" t="s">
        <v>7676</v>
      </c>
      <c r="D1147" s="89" t="s">
        <v>473</v>
      </c>
      <c r="E1147" s="181"/>
      <c r="F1147" s="181"/>
      <c r="G1147" s="183"/>
      <c r="H1147" s="181"/>
      <c r="I1147" s="181"/>
      <c r="J1147" s="181"/>
      <c r="K1147" s="181" t="str">
        <f t="shared" si="25"/>
        <v>LOCA_TERM|Obstruction in the hole</v>
      </c>
      <c r="L1147" s="181"/>
    </row>
    <row r="1148" spans="1:12" hidden="1" x14ac:dyDescent="0.35">
      <c r="A1148" s="88" t="s">
        <v>3926</v>
      </c>
      <c r="B1148" s="88" t="s">
        <v>7677</v>
      </c>
      <c r="C1148" s="89" t="s">
        <v>7678</v>
      </c>
      <c r="D1148" s="89" t="s">
        <v>473</v>
      </c>
      <c r="E1148" s="181"/>
      <c r="F1148" s="181"/>
      <c r="G1148" s="183"/>
      <c r="H1148" s="181"/>
      <c r="I1148" s="181"/>
      <c r="J1148" s="181"/>
      <c r="K1148" s="181" t="str">
        <f t="shared" si="25"/>
        <v>LOCA_TERM|Possible services</v>
      </c>
      <c r="L1148" s="181"/>
    </row>
    <row r="1149" spans="1:12" hidden="1" x14ac:dyDescent="0.35">
      <c r="A1149" s="88" t="s">
        <v>3926</v>
      </c>
      <c r="B1149" s="88" t="s">
        <v>7679</v>
      </c>
      <c r="C1149" s="89" t="s">
        <v>7679</v>
      </c>
      <c r="D1149" s="89" t="s">
        <v>473</v>
      </c>
      <c r="E1149" s="181"/>
      <c r="F1149" s="181"/>
      <c r="G1149" s="183"/>
      <c r="H1149" s="181"/>
      <c r="I1149" s="181"/>
      <c r="J1149" s="181"/>
      <c r="K1149" s="181" t="str">
        <f t="shared" si="25"/>
        <v>LOCA_TERM|Refusal</v>
      </c>
      <c r="L1149" s="181"/>
    </row>
    <row r="1150" spans="1:12" hidden="1" x14ac:dyDescent="0.35">
      <c r="A1150" s="88" t="s">
        <v>3926</v>
      </c>
      <c r="B1150" s="88" t="s">
        <v>7680</v>
      </c>
      <c r="C1150" s="89" t="s">
        <v>7681</v>
      </c>
      <c r="D1150" s="89" t="s">
        <v>473</v>
      </c>
      <c r="E1150" s="181"/>
      <c r="F1150" s="181"/>
      <c r="G1150" s="183"/>
      <c r="H1150" s="181"/>
      <c r="I1150" s="181"/>
      <c r="J1150" s="181"/>
      <c r="K1150" s="181" t="str">
        <f t="shared" si="25"/>
        <v>LOCA_TERM|Services present</v>
      </c>
      <c r="L1150" s="181"/>
    </row>
    <row r="1151" spans="1:12" hidden="1" x14ac:dyDescent="0.35">
      <c r="A1151" s="88" t="s">
        <v>3926</v>
      </c>
      <c r="B1151" s="88" t="s">
        <v>7682</v>
      </c>
      <c r="C1151" s="89" t="s">
        <v>7683</v>
      </c>
      <c r="D1151" s="89" t="s">
        <v>473</v>
      </c>
      <c r="E1151" s="181"/>
      <c r="F1151" s="181"/>
      <c r="G1151" s="183"/>
      <c r="H1151" s="181"/>
      <c r="I1151" s="181"/>
      <c r="J1151" s="181"/>
      <c r="K1151" s="181" t="str">
        <f t="shared" si="25"/>
        <v>LOCA_TERM|Squeezing</v>
      </c>
      <c r="L1151" s="181"/>
    </row>
    <row r="1152" spans="1:12" hidden="1" x14ac:dyDescent="0.35">
      <c r="A1152" s="88" t="s">
        <v>3926</v>
      </c>
      <c r="B1152" s="88" t="s">
        <v>7684</v>
      </c>
      <c r="C1152" s="89" t="s">
        <v>7685</v>
      </c>
      <c r="D1152" s="89" t="s">
        <v>473</v>
      </c>
      <c r="E1152" s="181"/>
      <c r="F1152" s="181"/>
      <c r="G1152" s="183"/>
      <c r="H1152" s="181"/>
      <c r="I1152" s="181"/>
      <c r="J1152" s="181"/>
      <c r="K1152" s="181" t="str">
        <f t="shared" si="25"/>
        <v>LOCA_TERM|Target depth</v>
      </c>
      <c r="L1152" s="181"/>
    </row>
    <row r="1153" spans="1:12" hidden="1" x14ac:dyDescent="0.35">
      <c r="A1153" s="181" t="s">
        <v>962</v>
      </c>
      <c r="B1153" s="182" t="s">
        <v>7411</v>
      </c>
      <c r="C1153" s="181" t="s">
        <v>7412</v>
      </c>
      <c r="D1153" s="178">
        <v>4.0999999999999996</v>
      </c>
      <c r="E1153" s="181" t="s">
        <v>6450</v>
      </c>
      <c r="F1153" s="184">
        <v>40323</v>
      </c>
      <c r="G1153" s="181"/>
      <c r="H1153" s="181" t="s">
        <v>6451</v>
      </c>
      <c r="I1153" s="181" t="str">
        <f>VLOOKUP(LEFT(A1153,4),Groups!$A$1:$C$188,3,FALSE)</f>
        <v>Location Details</v>
      </c>
      <c r="J1153" s="181" t="str">
        <f>VLOOKUP(A1153,Headings!$C$1:$H$3948,4,FALSE)</f>
        <v>Type of activity</v>
      </c>
      <c r="K1153" s="181" t="str">
        <f t="shared" si="25"/>
        <v>LOCA_TYPE|ABS</v>
      </c>
      <c r="L1153" s="181"/>
    </row>
    <row r="1154" spans="1:12" hidden="1" x14ac:dyDescent="0.35">
      <c r="A1154" s="181" t="s">
        <v>962</v>
      </c>
      <c r="B1154" s="182" t="s">
        <v>7686</v>
      </c>
      <c r="C1154" s="181" t="s">
        <v>7687</v>
      </c>
      <c r="D1154" s="178">
        <v>4.0999999999999996</v>
      </c>
      <c r="E1154" s="181" t="s">
        <v>6450</v>
      </c>
      <c r="F1154" s="184">
        <v>43077</v>
      </c>
      <c r="G1154" s="181"/>
      <c r="H1154" s="181" t="s">
        <v>6451</v>
      </c>
      <c r="I1154" s="181" t="str">
        <f>VLOOKUP(LEFT(A1154,4),Groups!$A$1:$C$188,3,FALSE)</f>
        <v>Location Details</v>
      </c>
      <c r="J1154" s="181" t="str">
        <f>VLOOKUP(A1154,Headings!$C$1:$H$3948,4,FALSE)</f>
        <v>Type of activity</v>
      </c>
      <c r="K1154" s="181" t="str">
        <f t="shared" si="25"/>
        <v>LOCA_TYPE|AUGH</v>
      </c>
      <c r="L1154" s="181"/>
    </row>
    <row r="1155" spans="1:12" hidden="1" x14ac:dyDescent="0.35">
      <c r="A1155" s="181" t="s">
        <v>962</v>
      </c>
      <c r="B1155" s="182" t="s">
        <v>7688</v>
      </c>
      <c r="C1155" s="181" t="s">
        <v>7689</v>
      </c>
      <c r="D1155" s="178">
        <v>4.0999999999999996</v>
      </c>
      <c r="E1155" s="181" t="s">
        <v>6450</v>
      </c>
      <c r="F1155" s="184">
        <v>43077</v>
      </c>
      <c r="G1155" s="181"/>
      <c r="H1155" s="181" t="s">
        <v>6451</v>
      </c>
      <c r="I1155" s="181" t="str">
        <f>VLOOKUP(LEFT(A1155,4),Groups!$A$1:$C$188,3,FALSE)</f>
        <v>Location Details</v>
      </c>
      <c r="J1155" s="181" t="str">
        <f>VLOOKUP(A1155,Headings!$C$1:$H$3948,4,FALSE)</f>
        <v>Type of activity</v>
      </c>
      <c r="K1155" s="181" t="str">
        <f t="shared" si="25"/>
        <v>LOCA_TYPE|AUGS</v>
      </c>
      <c r="L1155" s="181"/>
    </row>
    <row r="1156" spans="1:12" hidden="1" x14ac:dyDescent="0.35">
      <c r="A1156" s="181" t="s">
        <v>962</v>
      </c>
      <c r="B1156" s="182" t="s">
        <v>7413</v>
      </c>
      <c r="C1156" s="181" t="s">
        <v>7414</v>
      </c>
      <c r="D1156" s="178">
        <v>4.0999999999999996</v>
      </c>
      <c r="E1156" s="181" t="s">
        <v>6450</v>
      </c>
      <c r="F1156" s="184">
        <v>41632</v>
      </c>
      <c r="G1156" s="181"/>
      <c r="H1156" s="181" t="s">
        <v>6451</v>
      </c>
      <c r="I1156" s="181" t="str">
        <f>VLOOKUP(LEFT(A1156,4),Groups!$A$1:$C$188,3,FALSE)</f>
        <v>Location Details</v>
      </c>
      <c r="J1156" s="181" t="str">
        <f>VLOOKUP(A1156,Headings!$C$1:$H$3948,4,FALSE)</f>
        <v>Type of activity</v>
      </c>
      <c r="K1156" s="181" t="str">
        <f t="shared" si="25"/>
        <v>LOCA_TYPE|CC</v>
      </c>
      <c r="L1156" s="181"/>
    </row>
    <row r="1157" spans="1:12" hidden="1" x14ac:dyDescent="0.35">
      <c r="A1157" s="181" t="s">
        <v>962</v>
      </c>
      <c r="B1157" s="182" t="s">
        <v>7413</v>
      </c>
      <c r="C1157" s="181" t="s">
        <v>7414</v>
      </c>
      <c r="D1157" s="178">
        <v>4.0999999999999996</v>
      </c>
      <c r="E1157" s="181" t="s">
        <v>6450</v>
      </c>
      <c r="F1157" s="184">
        <v>41632</v>
      </c>
      <c r="G1157" s="181"/>
      <c r="H1157" s="181" t="s">
        <v>6451</v>
      </c>
      <c r="I1157" s="181" t="str">
        <f>VLOOKUP(LEFT(A1157,4),Groups!$A$1:$C$188,3,FALSE)</f>
        <v>Location Details</v>
      </c>
      <c r="J1157" s="181" t="str">
        <f>VLOOKUP(A1157,Headings!$C$1:$H$3948,4,FALSE)</f>
        <v>Type of activity</v>
      </c>
      <c r="K1157" s="181" t="str">
        <f t="shared" si="25"/>
        <v>LOCA_TYPE|CC</v>
      </c>
      <c r="L1157" s="181"/>
    </row>
    <row r="1158" spans="1:12" hidden="1" x14ac:dyDescent="0.35">
      <c r="A1158" s="181" t="s">
        <v>962</v>
      </c>
      <c r="B1158" s="182" t="s">
        <v>7187</v>
      </c>
      <c r="C1158" s="181" t="s">
        <v>7415</v>
      </c>
      <c r="D1158" s="178">
        <v>4.0999999999999996</v>
      </c>
      <c r="E1158" s="181" t="s">
        <v>6450</v>
      </c>
      <c r="F1158" s="184">
        <v>40323</v>
      </c>
      <c r="G1158" s="181"/>
      <c r="H1158" s="181" t="s">
        <v>6451</v>
      </c>
      <c r="I1158" s="181" t="str">
        <f>VLOOKUP(LEFT(A1158,4),Groups!$A$1:$C$188,3,FALSE)</f>
        <v>Location Details</v>
      </c>
      <c r="J1158" s="181" t="str">
        <f>VLOOKUP(A1158,Headings!$C$1:$H$3948,4,FALSE)</f>
        <v>Type of activity</v>
      </c>
      <c r="K1158" s="181" t="str">
        <f t="shared" si="25"/>
        <v>LOCA_TYPE|CH</v>
      </c>
      <c r="L1158" s="181"/>
    </row>
    <row r="1159" spans="1:12" hidden="1" x14ac:dyDescent="0.35">
      <c r="A1159" s="181" t="s">
        <v>962</v>
      </c>
      <c r="B1159" s="182" t="s">
        <v>6333</v>
      </c>
      <c r="C1159" s="181" t="s">
        <v>7416</v>
      </c>
      <c r="D1159" s="178">
        <v>4.0999999999999996</v>
      </c>
      <c r="E1159" s="181" t="s">
        <v>6450</v>
      </c>
      <c r="F1159" s="184">
        <v>40323</v>
      </c>
      <c r="G1159" s="181"/>
      <c r="H1159" s="181" t="s">
        <v>6451</v>
      </c>
      <c r="I1159" s="181" t="str">
        <f>VLOOKUP(LEFT(A1159,4),Groups!$A$1:$C$188,3,FALSE)</f>
        <v>Location Details</v>
      </c>
      <c r="J1159" s="181" t="str">
        <f>VLOOKUP(A1159,Headings!$C$1:$H$3948,4,FALSE)</f>
        <v>Type of activity</v>
      </c>
      <c r="K1159" s="181" t="str">
        <f t="shared" si="25"/>
        <v>LOCA_TYPE|CP</v>
      </c>
      <c r="L1159" s="181"/>
    </row>
    <row r="1160" spans="1:12" hidden="1" x14ac:dyDescent="0.35">
      <c r="A1160" s="181" t="s">
        <v>962</v>
      </c>
      <c r="B1160" s="182" t="s">
        <v>7417</v>
      </c>
      <c r="C1160" s="181" t="s">
        <v>7418</v>
      </c>
      <c r="D1160" s="178">
        <v>4.0999999999999996</v>
      </c>
      <c r="E1160" s="181" t="s">
        <v>6450</v>
      </c>
      <c r="F1160" s="184">
        <v>40323</v>
      </c>
      <c r="G1160" s="181"/>
      <c r="H1160" s="181" t="s">
        <v>6451</v>
      </c>
      <c r="I1160" s="181" t="str">
        <f>VLOOKUP(LEFT(A1160,4),Groups!$A$1:$C$188,3,FALSE)</f>
        <v>Location Details</v>
      </c>
      <c r="J1160" s="181" t="str">
        <f>VLOOKUP(A1160,Headings!$C$1:$H$3948,4,FALSE)</f>
        <v>Type of activity</v>
      </c>
      <c r="K1160" s="181" t="str">
        <f t="shared" si="25"/>
        <v>LOCA_TYPE|DCP</v>
      </c>
      <c r="L1160" s="181"/>
    </row>
    <row r="1161" spans="1:12" hidden="1" x14ac:dyDescent="0.35">
      <c r="A1161" s="181" t="s">
        <v>962</v>
      </c>
      <c r="B1161" s="182" t="s">
        <v>7419</v>
      </c>
      <c r="C1161" s="181" t="s">
        <v>7420</v>
      </c>
      <c r="D1161" s="178">
        <v>4.0999999999999996</v>
      </c>
      <c r="E1161" s="181" t="s">
        <v>6450</v>
      </c>
      <c r="F1161" s="184">
        <v>40323</v>
      </c>
      <c r="G1161" s="181"/>
      <c r="H1161" s="181" t="s">
        <v>6451</v>
      </c>
      <c r="I1161" s="181" t="str">
        <f>VLOOKUP(LEFT(A1161,4),Groups!$A$1:$C$188,3,FALSE)</f>
        <v>Location Details</v>
      </c>
      <c r="J1161" s="181" t="str">
        <f>VLOOKUP(A1161,Headings!$C$1:$H$3948,4,FALSE)</f>
        <v>Type of activity</v>
      </c>
      <c r="K1161" s="181" t="str">
        <f t="shared" si="25"/>
        <v>LOCA_TYPE|DP</v>
      </c>
      <c r="L1161" s="181"/>
    </row>
    <row r="1162" spans="1:12" hidden="1" x14ac:dyDescent="0.35">
      <c r="A1162" s="181" t="s">
        <v>962</v>
      </c>
      <c r="B1162" s="182" t="s">
        <v>7307</v>
      </c>
      <c r="C1162" s="181" t="s">
        <v>7690</v>
      </c>
      <c r="D1162" s="178">
        <v>4.0999999999999996</v>
      </c>
      <c r="E1162" s="181" t="s">
        <v>6450</v>
      </c>
      <c r="F1162" s="184">
        <v>42604</v>
      </c>
      <c r="G1162" s="181"/>
      <c r="H1162" s="181" t="s">
        <v>6451</v>
      </c>
      <c r="I1162" s="181" t="str">
        <f>VLOOKUP(LEFT(A1162,4),Groups!$A$1:$C$188,3,FALSE)</f>
        <v>Location Details</v>
      </c>
      <c r="J1162" s="181" t="str">
        <f>VLOOKUP(A1162,Headings!$C$1:$H$3948,4,FALSE)</f>
        <v>Type of activity</v>
      </c>
      <c r="K1162" s="181" t="str">
        <f t="shared" si="25"/>
        <v>LOCA_TYPE|DS</v>
      </c>
      <c r="L1162" s="181"/>
    </row>
    <row r="1163" spans="1:12" hidden="1" x14ac:dyDescent="0.35">
      <c r="A1163" s="181" t="s">
        <v>962</v>
      </c>
      <c r="B1163" s="182" t="s">
        <v>7329</v>
      </c>
      <c r="C1163" s="181" t="s">
        <v>7691</v>
      </c>
      <c r="D1163" s="178">
        <v>4.0999999999999996</v>
      </c>
      <c r="E1163" s="181" t="s">
        <v>6450</v>
      </c>
      <c r="F1163" s="184">
        <v>41178</v>
      </c>
      <c r="G1163" s="181"/>
      <c r="H1163" s="181" t="s">
        <v>6451</v>
      </c>
      <c r="I1163" s="181" t="str">
        <f>VLOOKUP(LEFT(A1163,4),Groups!$A$1:$C$188,3,FALSE)</f>
        <v>Location Details</v>
      </c>
      <c r="J1163" s="181" t="str">
        <f>VLOOKUP(A1163,Headings!$C$1:$H$3948,4,FALSE)</f>
        <v>Type of activity</v>
      </c>
      <c r="K1163" s="181" t="str">
        <f t="shared" si="25"/>
        <v>LOCA_TYPE|EH</v>
      </c>
      <c r="L1163" s="181"/>
    </row>
    <row r="1164" spans="1:12" hidden="1" x14ac:dyDescent="0.35">
      <c r="A1164" s="181" t="s">
        <v>962</v>
      </c>
      <c r="B1164" s="182" t="s">
        <v>7422</v>
      </c>
      <c r="C1164" s="181" t="s">
        <v>7423</v>
      </c>
      <c r="D1164" s="178">
        <v>4.0999999999999996</v>
      </c>
      <c r="E1164" s="181" t="s">
        <v>6450</v>
      </c>
      <c r="F1164" s="184">
        <v>40323</v>
      </c>
      <c r="G1164" s="181"/>
      <c r="H1164" s="181" t="s">
        <v>6451</v>
      </c>
      <c r="I1164" s="181" t="str">
        <f>VLOOKUP(LEFT(A1164,4),Groups!$A$1:$C$188,3,FALSE)</f>
        <v>Location Details</v>
      </c>
      <c r="J1164" s="181" t="str">
        <f>VLOOKUP(A1164,Headings!$C$1:$H$3948,4,FALSE)</f>
        <v>Type of activity</v>
      </c>
      <c r="K1164" s="181" t="str">
        <f t="shared" si="25"/>
        <v>LOCA_TYPE|EXP</v>
      </c>
      <c r="L1164" s="181"/>
    </row>
    <row r="1165" spans="1:12" hidden="1" x14ac:dyDescent="0.35">
      <c r="A1165" s="181" t="s">
        <v>962</v>
      </c>
      <c r="B1165" s="182" t="s">
        <v>7424</v>
      </c>
      <c r="C1165" s="181" t="s">
        <v>7425</v>
      </c>
      <c r="D1165" s="178">
        <v>4.0999999999999996</v>
      </c>
      <c r="E1165" s="181" t="s">
        <v>6450</v>
      </c>
      <c r="F1165" s="184">
        <v>40323</v>
      </c>
      <c r="G1165" s="181"/>
      <c r="H1165" s="181" t="s">
        <v>6451</v>
      </c>
      <c r="I1165" s="181" t="str">
        <f>VLOOKUP(LEFT(A1165,4),Groups!$A$1:$C$188,3,FALSE)</f>
        <v>Location Details</v>
      </c>
      <c r="J1165" s="181" t="str">
        <f>VLOOKUP(A1165,Headings!$C$1:$H$3948,4,FALSE)</f>
        <v>Type of activity</v>
      </c>
      <c r="K1165" s="181" t="str">
        <f t="shared" si="25"/>
        <v>LOCA_TYPE|GCOP</v>
      </c>
      <c r="L1165" s="181"/>
    </row>
    <row r="1166" spans="1:12" hidden="1" x14ac:dyDescent="0.35">
      <c r="A1166" s="181" t="s">
        <v>962</v>
      </c>
      <c r="B1166" s="182" t="s">
        <v>4980</v>
      </c>
      <c r="C1166" s="181" t="s">
        <v>7426</v>
      </c>
      <c r="D1166" s="178">
        <v>4.0999999999999996</v>
      </c>
      <c r="E1166" s="181" t="s">
        <v>6450</v>
      </c>
      <c r="F1166" s="184">
        <v>40323</v>
      </c>
      <c r="G1166" s="181"/>
      <c r="H1166" s="181" t="s">
        <v>6451</v>
      </c>
      <c r="I1166" s="181" t="str">
        <f>VLOOKUP(LEFT(A1166,4),Groups!$A$1:$C$188,3,FALSE)</f>
        <v>Location Details</v>
      </c>
      <c r="J1166" s="181" t="str">
        <f>VLOOKUP(A1166,Headings!$C$1:$H$3948,4,FALSE)</f>
        <v>Type of activity</v>
      </c>
      <c r="K1166" s="181" t="str">
        <f t="shared" si="25"/>
        <v>LOCA_TYPE|HA</v>
      </c>
      <c r="L1166" s="181"/>
    </row>
    <row r="1167" spans="1:12" hidden="1" x14ac:dyDescent="0.35">
      <c r="A1167" s="181" t="s">
        <v>962</v>
      </c>
      <c r="B1167" s="182" t="s">
        <v>220</v>
      </c>
      <c r="C1167" s="181" t="s">
        <v>7427</v>
      </c>
      <c r="D1167" s="178">
        <v>4.0999999999999996</v>
      </c>
      <c r="E1167" s="181" t="s">
        <v>6450</v>
      </c>
      <c r="F1167" s="184">
        <v>40323</v>
      </c>
      <c r="G1167" s="181"/>
      <c r="H1167" s="181" t="s">
        <v>6451</v>
      </c>
      <c r="I1167" s="181" t="str">
        <f>VLOOKUP(LEFT(A1167,4),Groups!$A$1:$C$188,3,FALSE)</f>
        <v>Location Details</v>
      </c>
      <c r="J1167" s="181" t="str">
        <f>VLOOKUP(A1167,Headings!$C$1:$H$3948,4,FALSE)</f>
        <v>Type of activity</v>
      </c>
      <c r="K1167" s="181" t="str">
        <f t="shared" si="25"/>
        <v>LOCA_TYPE|ICBR</v>
      </c>
      <c r="L1167" s="181"/>
    </row>
    <row r="1168" spans="1:12" hidden="1" x14ac:dyDescent="0.35">
      <c r="A1168" s="181" t="s">
        <v>962</v>
      </c>
      <c r="B1168" s="182" t="s">
        <v>223</v>
      </c>
      <c r="C1168" s="181" t="s">
        <v>7428</v>
      </c>
      <c r="D1168" s="178">
        <v>4.0999999999999996</v>
      </c>
      <c r="E1168" s="181" t="s">
        <v>6450</v>
      </c>
      <c r="F1168" s="184">
        <v>40323</v>
      </c>
      <c r="G1168" s="181"/>
      <c r="H1168" s="181" t="s">
        <v>6451</v>
      </c>
      <c r="I1168" s="181" t="str">
        <f>VLOOKUP(LEFT(A1168,4),Groups!$A$1:$C$188,3,FALSE)</f>
        <v>Location Details</v>
      </c>
      <c r="J1168" s="181" t="str">
        <f>VLOOKUP(A1168,Headings!$C$1:$H$3948,4,FALSE)</f>
        <v>Type of activity</v>
      </c>
      <c r="K1168" s="181" t="str">
        <f t="shared" si="25"/>
        <v>LOCA_TYPE|IDEN</v>
      </c>
      <c r="L1168" s="181"/>
    </row>
    <row r="1169" spans="1:12" hidden="1" x14ac:dyDescent="0.35">
      <c r="A1169" s="181" t="s">
        <v>962</v>
      </c>
      <c r="B1169" s="182" t="s">
        <v>7429</v>
      </c>
      <c r="C1169" s="181" t="s">
        <v>7692</v>
      </c>
      <c r="D1169" s="178">
        <v>4.0999999999999996</v>
      </c>
      <c r="E1169" s="181" t="s">
        <v>6450</v>
      </c>
      <c r="F1169" s="184">
        <v>40323</v>
      </c>
      <c r="G1169" s="181"/>
      <c r="H1169" s="181" t="s">
        <v>6451</v>
      </c>
      <c r="I1169" s="181" t="str">
        <f>VLOOKUP(LEFT(A1169,4),Groups!$A$1:$C$188,3,FALSE)</f>
        <v>Location Details</v>
      </c>
      <c r="J1169" s="181" t="str">
        <f>VLOOKUP(A1169,Headings!$C$1:$H$3948,4,FALSE)</f>
        <v>Type of activity</v>
      </c>
      <c r="K1169" s="181" t="str">
        <f t="shared" si="25"/>
        <v>LOCA_TYPE|INST</v>
      </c>
      <c r="L1169" s="181"/>
    </row>
    <row r="1170" spans="1:12" hidden="1" x14ac:dyDescent="0.35">
      <c r="A1170" s="181" t="s">
        <v>962</v>
      </c>
      <c r="B1170" s="182" t="s">
        <v>7431</v>
      </c>
      <c r="C1170" s="181" t="s">
        <v>7432</v>
      </c>
      <c r="D1170" s="178">
        <v>4.0999999999999996</v>
      </c>
      <c r="E1170" s="181" t="s">
        <v>6450</v>
      </c>
      <c r="F1170" s="184">
        <v>40323</v>
      </c>
      <c r="G1170" s="181"/>
      <c r="H1170" s="181" t="s">
        <v>6451</v>
      </c>
      <c r="I1170" s="181" t="str">
        <f>VLOOKUP(LEFT(A1170,4),Groups!$A$1:$C$188,3,FALSE)</f>
        <v>Location Details</v>
      </c>
      <c r="J1170" s="181" t="str">
        <f>VLOOKUP(A1170,Headings!$C$1:$H$3948,4,FALSE)</f>
        <v>Type of activity</v>
      </c>
      <c r="K1170" s="181" t="str">
        <f t="shared" si="25"/>
        <v>LOCA_TYPE|IP</v>
      </c>
      <c r="L1170" s="181"/>
    </row>
    <row r="1171" spans="1:12" hidden="1" x14ac:dyDescent="0.35">
      <c r="A1171" s="181" t="s">
        <v>962</v>
      </c>
      <c r="B1171" s="182" t="s">
        <v>577</v>
      </c>
      <c r="C1171" s="181" t="s">
        <v>7693</v>
      </c>
      <c r="D1171" s="178">
        <v>4.0999999999999996</v>
      </c>
      <c r="E1171" s="181" t="s">
        <v>6450</v>
      </c>
      <c r="F1171" s="184">
        <v>41652</v>
      </c>
      <c r="G1171" s="181"/>
      <c r="H1171" s="181" t="s">
        <v>6451</v>
      </c>
      <c r="I1171" s="181" t="str">
        <f>VLOOKUP(LEFT(A1171,4),Groups!$A$1:$C$188,3,FALSE)</f>
        <v>Location Details</v>
      </c>
      <c r="J1171" s="181" t="str">
        <f>VLOOKUP(A1171,Headings!$C$1:$H$3948,4,FALSE)</f>
        <v>Type of activity</v>
      </c>
      <c r="K1171" s="181" t="str">
        <f t="shared" si="25"/>
        <v>LOCA_TYPE|IPLT</v>
      </c>
      <c r="L1171" s="181"/>
    </row>
    <row r="1172" spans="1:12" hidden="1" x14ac:dyDescent="0.35">
      <c r="A1172" s="181" t="s">
        <v>962</v>
      </c>
      <c r="B1172" s="182" t="s">
        <v>239</v>
      </c>
      <c r="C1172" s="181" t="s">
        <v>7433</v>
      </c>
      <c r="D1172" s="178">
        <v>4.0999999999999996</v>
      </c>
      <c r="E1172" s="181" t="s">
        <v>6450</v>
      </c>
      <c r="F1172" s="184">
        <v>40323</v>
      </c>
      <c r="G1172" s="181"/>
      <c r="H1172" s="181" t="s">
        <v>6451</v>
      </c>
      <c r="I1172" s="181" t="str">
        <f>VLOOKUP(LEFT(A1172,4),Groups!$A$1:$C$188,3,FALSE)</f>
        <v>Location Details</v>
      </c>
      <c r="J1172" s="181" t="str">
        <f>VLOOKUP(A1172,Headings!$C$1:$H$3948,4,FALSE)</f>
        <v>Type of activity</v>
      </c>
      <c r="K1172" s="181" t="str">
        <f t="shared" si="25"/>
        <v>LOCA_TYPE|IRDX</v>
      </c>
      <c r="L1172" s="181"/>
    </row>
    <row r="1173" spans="1:12" hidden="1" x14ac:dyDescent="0.35">
      <c r="A1173" s="181" t="s">
        <v>962</v>
      </c>
      <c r="B1173" s="182" t="s">
        <v>241</v>
      </c>
      <c r="C1173" s="181" t="s">
        <v>7434</v>
      </c>
      <c r="D1173" s="178">
        <v>4.0999999999999996</v>
      </c>
      <c r="E1173" s="181" t="s">
        <v>6450</v>
      </c>
      <c r="F1173" s="184">
        <v>40323</v>
      </c>
      <c r="G1173" s="181"/>
      <c r="H1173" s="181" t="s">
        <v>6451</v>
      </c>
      <c r="I1173" s="181" t="str">
        <f>VLOOKUP(LEFT(A1173,4),Groups!$A$1:$C$188,3,FALSE)</f>
        <v>Location Details</v>
      </c>
      <c r="J1173" s="181" t="str">
        <f>VLOOKUP(A1173,Headings!$C$1:$H$3948,4,FALSE)</f>
        <v>Type of activity</v>
      </c>
      <c r="K1173" s="181" t="str">
        <f t="shared" si="25"/>
        <v>LOCA_TYPE|IRES</v>
      </c>
      <c r="L1173" s="181"/>
    </row>
    <row r="1174" spans="1:12" hidden="1" x14ac:dyDescent="0.35">
      <c r="A1174" s="181" t="s">
        <v>962</v>
      </c>
      <c r="B1174" s="182" t="s">
        <v>252</v>
      </c>
      <c r="C1174" s="181" t="s">
        <v>7436</v>
      </c>
      <c r="D1174" s="178">
        <v>4.0999999999999996</v>
      </c>
      <c r="E1174" s="181" t="s">
        <v>6450</v>
      </c>
      <c r="F1174" s="184">
        <v>40323</v>
      </c>
      <c r="G1174" s="181"/>
      <c r="H1174" s="181" t="s">
        <v>6451</v>
      </c>
      <c r="I1174" s="181" t="str">
        <f>VLOOKUP(LEFT(A1174,4),Groups!$A$1:$C$188,3,FALSE)</f>
        <v>Location Details</v>
      </c>
      <c r="J1174" s="181" t="str">
        <f>VLOOKUP(A1174,Headings!$C$1:$H$3948,4,FALSE)</f>
        <v>Type of activity</v>
      </c>
      <c r="K1174" s="181" t="str">
        <f t="shared" si="25"/>
        <v>LOCA_TYPE|IVAN</v>
      </c>
      <c r="L1174" s="181"/>
    </row>
    <row r="1175" spans="1:12" hidden="1" x14ac:dyDescent="0.35">
      <c r="A1175" s="181" t="s">
        <v>962</v>
      </c>
      <c r="B1175" s="182" t="s">
        <v>7694</v>
      </c>
      <c r="C1175" s="181" t="s">
        <v>7695</v>
      </c>
      <c r="D1175" s="178">
        <v>4.0999999999999996</v>
      </c>
      <c r="E1175" s="181" t="s">
        <v>6450</v>
      </c>
      <c r="F1175" s="184">
        <v>43132</v>
      </c>
      <c r="G1175" s="181"/>
      <c r="H1175" s="181" t="s">
        <v>6451</v>
      </c>
      <c r="I1175" s="181" t="str">
        <f>VLOOKUP(LEFT(A1175,4),Groups!$A$1:$C$188,3,FALSE)</f>
        <v>Location Details</v>
      </c>
      <c r="J1175" s="181" t="str">
        <f>VLOOKUP(A1175,Headings!$C$1:$H$3948,4,FALSE)</f>
        <v>Type of activity</v>
      </c>
      <c r="K1175" s="181" t="str">
        <f t="shared" si="25"/>
        <v>LOCA_TYPE|MSTP</v>
      </c>
      <c r="L1175" s="181"/>
    </row>
    <row r="1176" spans="1:12" hidden="1" x14ac:dyDescent="0.35">
      <c r="A1176" s="181" t="s">
        <v>962</v>
      </c>
      <c r="B1176" s="182" t="s">
        <v>6586</v>
      </c>
      <c r="C1176" s="181" t="s">
        <v>7437</v>
      </c>
      <c r="D1176" s="178">
        <v>4.0999999999999996</v>
      </c>
      <c r="E1176" s="181" t="s">
        <v>6450</v>
      </c>
      <c r="F1176" s="184">
        <v>40323</v>
      </c>
      <c r="G1176" s="181"/>
      <c r="H1176" s="181" t="s">
        <v>6451</v>
      </c>
      <c r="I1176" s="181" t="str">
        <f>VLOOKUP(LEFT(A1176,4),Groups!$A$1:$C$188,3,FALSE)</f>
        <v>Location Details</v>
      </c>
      <c r="J1176" s="181" t="str">
        <f>VLOOKUP(A1176,Headings!$C$1:$H$3948,4,FALSE)</f>
        <v>Type of activity</v>
      </c>
      <c r="K1176" s="181" t="str">
        <f t="shared" si="25"/>
        <v>LOCA_TYPE|OP</v>
      </c>
      <c r="L1176" s="181"/>
    </row>
    <row r="1177" spans="1:12" hidden="1" x14ac:dyDescent="0.35">
      <c r="A1177" s="181" t="s">
        <v>962</v>
      </c>
      <c r="B1177" s="182" t="s">
        <v>5692</v>
      </c>
      <c r="C1177" s="181" t="s">
        <v>7438</v>
      </c>
      <c r="D1177" s="178">
        <v>4.0999999999999996</v>
      </c>
      <c r="E1177" s="181" t="s">
        <v>6450</v>
      </c>
      <c r="F1177" s="184">
        <v>43042</v>
      </c>
      <c r="G1177" s="181"/>
      <c r="H1177" s="181" t="s">
        <v>6451</v>
      </c>
      <c r="I1177" s="181" t="str">
        <f>VLOOKUP(LEFT(A1177,4),Groups!$A$1:$C$188,3,FALSE)</f>
        <v>Location Details</v>
      </c>
      <c r="J1177" s="181" t="str">
        <f>VLOOKUP(A1177,Headings!$C$1:$H$3948,4,FALSE)</f>
        <v>Type of activity</v>
      </c>
      <c r="K1177" s="181" t="str">
        <f t="shared" si="25"/>
        <v>LOCA_TYPE|PC</v>
      </c>
      <c r="L1177" s="181"/>
    </row>
    <row r="1178" spans="1:12" hidden="1" x14ac:dyDescent="0.35">
      <c r="A1178" s="181" t="s">
        <v>962</v>
      </c>
      <c r="B1178" s="182" t="s">
        <v>7439</v>
      </c>
      <c r="C1178" s="181" t="s">
        <v>7440</v>
      </c>
      <c r="D1178" s="178">
        <v>4.0999999999999996</v>
      </c>
      <c r="E1178" s="181" t="s">
        <v>6450</v>
      </c>
      <c r="F1178" s="184">
        <v>40323</v>
      </c>
      <c r="G1178" s="181"/>
      <c r="H1178" s="181" t="s">
        <v>6451</v>
      </c>
      <c r="I1178" s="181" t="str">
        <f>VLOOKUP(LEFT(A1178,4),Groups!$A$1:$C$188,3,FALSE)</f>
        <v>Location Details</v>
      </c>
      <c r="J1178" s="181" t="str">
        <f>VLOOKUP(A1178,Headings!$C$1:$H$3948,4,FALSE)</f>
        <v>Type of activity</v>
      </c>
      <c r="K1178" s="181" t="str">
        <f t="shared" si="25"/>
        <v>LOCA_TYPE|PM</v>
      </c>
      <c r="L1178" s="181"/>
    </row>
    <row r="1179" spans="1:12" hidden="1" x14ac:dyDescent="0.35">
      <c r="A1179" s="181" t="s">
        <v>962</v>
      </c>
      <c r="B1179" s="182" t="s">
        <v>7696</v>
      </c>
      <c r="C1179" s="181" t="s">
        <v>7697</v>
      </c>
      <c r="D1179" s="178">
        <v>4.0999999999999996</v>
      </c>
      <c r="E1179" s="181" t="s">
        <v>6450</v>
      </c>
      <c r="F1179" s="184">
        <v>42671</v>
      </c>
      <c r="G1179" s="181"/>
      <c r="H1179" s="181" t="s">
        <v>6451</v>
      </c>
      <c r="I1179" s="181" t="str">
        <f>VLOOKUP(LEFT(A1179,4),Groups!$A$1:$C$188,3,FALSE)</f>
        <v>Location Details</v>
      </c>
      <c r="J1179" s="181" t="str">
        <f>VLOOKUP(A1179,Headings!$C$1:$H$3948,4,FALSE)</f>
        <v>Type of activity</v>
      </c>
      <c r="K1179" s="181" t="str">
        <f t="shared" si="25"/>
        <v>LOCA_TYPE|PPR</v>
      </c>
      <c r="L1179" s="181"/>
    </row>
    <row r="1180" spans="1:12" hidden="1" x14ac:dyDescent="0.35">
      <c r="A1180" s="181" t="s">
        <v>962</v>
      </c>
      <c r="B1180" s="182" t="s">
        <v>7441</v>
      </c>
      <c r="C1180" s="181" t="s">
        <v>7442</v>
      </c>
      <c r="D1180" s="178">
        <v>4.0999999999999996</v>
      </c>
      <c r="E1180" s="181" t="s">
        <v>6450</v>
      </c>
      <c r="F1180" s="184">
        <v>40323</v>
      </c>
      <c r="G1180" s="181"/>
      <c r="H1180" s="181" t="s">
        <v>6451</v>
      </c>
      <c r="I1180" s="181" t="str">
        <f>VLOOKUP(LEFT(A1180,4),Groups!$A$1:$C$188,3,FALSE)</f>
        <v>Location Details</v>
      </c>
      <c r="J1180" s="181" t="str">
        <f>VLOOKUP(A1180,Headings!$C$1:$H$3948,4,FALSE)</f>
        <v>Type of activity</v>
      </c>
      <c r="K1180" s="181" t="str">
        <f t="shared" si="25"/>
        <v>LOCA_TYPE|RC</v>
      </c>
      <c r="L1180" s="181"/>
    </row>
    <row r="1181" spans="1:12" hidden="1" x14ac:dyDescent="0.35">
      <c r="A1181" s="181" t="s">
        <v>962</v>
      </c>
      <c r="B1181" s="182" t="s">
        <v>7443</v>
      </c>
      <c r="C1181" s="181" t="s">
        <v>7444</v>
      </c>
      <c r="D1181" s="178">
        <v>4.0999999999999996</v>
      </c>
      <c r="E1181" s="181" t="s">
        <v>6450</v>
      </c>
      <c r="F1181" s="184">
        <v>40323</v>
      </c>
      <c r="G1181" s="181"/>
      <c r="H1181" s="181" t="s">
        <v>6451</v>
      </c>
      <c r="I1181" s="181" t="str">
        <f>VLOOKUP(LEFT(A1181,4),Groups!$A$1:$C$188,3,FALSE)</f>
        <v>Location Details</v>
      </c>
      <c r="J1181" s="181" t="str">
        <f>VLOOKUP(A1181,Headings!$C$1:$H$3948,4,FALSE)</f>
        <v>Type of activity</v>
      </c>
      <c r="K1181" s="181" t="str">
        <f t="shared" si="25"/>
        <v>LOCA_TYPE|RCG</v>
      </c>
      <c r="L1181" s="181"/>
    </row>
    <row r="1182" spans="1:12" hidden="1" x14ac:dyDescent="0.35">
      <c r="A1182" s="181" t="s">
        <v>962</v>
      </c>
      <c r="B1182" s="182" t="s">
        <v>7445</v>
      </c>
      <c r="C1182" s="181" t="s">
        <v>7446</v>
      </c>
      <c r="D1182" s="178">
        <v>4.0999999999999996</v>
      </c>
      <c r="E1182" s="181" t="s">
        <v>6450</v>
      </c>
      <c r="F1182" s="184">
        <v>40323</v>
      </c>
      <c r="G1182" s="181"/>
      <c r="H1182" s="181" t="s">
        <v>6451</v>
      </c>
      <c r="I1182" s="181" t="str">
        <f>VLOOKUP(LEFT(A1182,4),Groups!$A$1:$C$188,3,FALSE)</f>
        <v>Location Details</v>
      </c>
      <c r="J1182" s="181" t="str">
        <f>VLOOKUP(A1182,Headings!$C$1:$H$3948,4,FALSE)</f>
        <v>Type of activity</v>
      </c>
      <c r="K1182" s="181" t="str">
        <f t="shared" si="25"/>
        <v>LOCA_TYPE|RO</v>
      </c>
      <c r="L1182" s="181"/>
    </row>
    <row r="1183" spans="1:12" hidden="1" x14ac:dyDescent="0.35">
      <c r="A1183" s="181" t="s">
        <v>962</v>
      </c>
      <c r="B1183" s="182" t="s">
        <v>7447</v>
      </c>
      <c r="C1183" s="181" t="s">
        <v>7448</v>
      </c>
      <c r="D1183" s="178">
        <v>4.0999999999999996</v>
      </c>
      <c r="E1183" s="181" t="s">
        <v>6450</v>
      </c>
      <c r="F1183" s="184">
        <v>43082</v>
      </c>
      <c r="G1183" s="181"/>
      <c r="H1183" s="181" t="s">
        <v>6451</v>
      </c>
      <c r="I1183" s="181" t="str">
        <f>VLOOKUP(LEFT(A1183,4),Groups!$A$1:$C$188,3,FALSE)</f>
        <v>Location Details</v>
      </c>
      <c r="J1183" s="181" t="str">
        <f>VLOOKUP(A1183,Headings!$C$1:$H$3948,4,FALSE)</f>
        <v>Type of activity</v>
      </c>
      <c r="K1183" s="181" t="str">
        <f t="shared" si="25"/>
        <v>LOCA_TYPE|RPC</v>
      </c>
      <c r="L1183" s="181"/>
    </row>
    <row r="1184" spans="1:12" hidden="1" x14ac:dyDescent="0.35">
      <c r="A1184" s="181" t="s">
        <v>962</v>
      </c>
      <c r="B1184" s="182" t="s">
        <v>7449</v>
      </c>
      <c r="C1184" s="181" t="s">
        <v>7450</v>
      </c>
      <c r="D1184" s="178">
        <v>4.0999999999999996</v>
      </c>
      <c r="E1184" s="181" t="s">
        <v>6450</v>
      </c>
      <c r="F1184" s="184">
        <v>40323</v>
      </c>
      <c r="G1184" s="181"/>
      <c r="H1184" s="181" t="s">
        <v>6451</v>
      </c>
      <c r="I1184" s="181" t="str">
        <f>VLOOKUP(LEFT(A1184,4),Groups!$A$1:$C$188,3,FALSE)</f>
        <v>Location Details</v>
      </c>
      <c r="J1184" s="181" t="str">
        <f>VLOOKUP(A1184,Headings!$C$1:$H$3948,4,FALSE)</f>
        <v>Type of activity</v>
      </c>
      <c r="K1184" s="181" t="str">
        <f t="shared" si="25"/>
        <v>LOCA_TYPE|SCP</v>
      </c>
      <c r="L1184" s="181"/>
    </row>
    <row r="1185" spans="1:12" hidden="1" x14ac:dyDescent="0.35">
      <c r="A1185" s="181" t="s">
        <v>962</v>
      </c>
      <c r="B1185" s="182" t="s">
        <v>7451</v>
      </c>
      <c r="C1185" s="181" t="s">
        <v>7452</v>
      </c>
      <c r="D1185" s="178">
        <v>4.0999999999999996</v>
      </c>
      <c r="E1185" s="181" t="s">
        <v>6450</v>
      </c>
      <c r="F1185" s="184">
        <v>40323</v>
      </c>
      <c r="G1185" s="181"/>
      <c r="H1185" s="181" t="s">
        <v>6451</v>
      </c>
      <c r="I1185" s="181" t="str">
        <f>VLOOKUP(LEFT(A1185,4),Groups!$A$1:$C$188,3,FALSE)</f>
        <v>Location Details</v>
      </c>
      <c r="J1185" s="181" t="str">
        <f>VLOOKUP(A1185,Headings!$C$1:$H$3948,4,FALSE)</f>
        <v>Type of activity</v>
      </c>
      <c r="K1185" s="181" t="str">
        <f t="shared" si="25"/>
        <v>LOCA_TYPE|SH</v>
      </c>
      <c r="L1185" s="181"/>
    </row>
    <row r="1186" spans="1:12" hidden="1" x14ac:dyDescent="0.35">
      <c r="A1186" s="181" t="s">
        <v>962</v>
      </c>
      <c r="B1186" s="182" t="s">
        <v>6607</v>
      </c>
      <c r="C1186" s="181" t="s">
        <v>7698</v>
      </c>
      <c r="D1186" s="178">
        <v>4.0999999999999996</v>
      </c>
      <c r="E1186" s="181" t="s">
        <v>6450</v>
      </c>
      <c r="F1186" s="184">
        <v>40428</v>
      </c>
      <c r="G1186" s="181"/>
      <c r="H1186" s="181" t="s">
        <v>6451</v>
      </c>
      <c r="I1186" s="181" t="str">
        <f>VLOOKUP(LEFT(A1186,4),Groups!$A$1:$C$188,3,FALSE)</f>
        <v>Location Details</v>
      </c>
      <c r="J1186" s="181" t="str">
        <f>VLOOKUP(A1186,Headings!$C$1:$H$3948,4,FALSE)</f>
        <v>Type of activity</v>
      </c>
      <c r="K1186" s="181" t="str">
        <f t="shared" si="25"/>
        <v>LOCA_TYPE|SL</v>
      </c>
      <c r="L1186" s="181"/>
    </row>
    <row r="1187" spans="1:12" hidden="1" x14ac:dyDescent="0.35">
      <c r="A1187" s="181" t="s">
        <v>962</v>
      </c>
      <c r="B1187" s="182" t="s">
        <v>7453</v>
      </c>
      <c r="C1187" s="181" t="s">
        <v>7454</v>
      </c>
      <c r="D1187" s="178">
        <v>4.0999999999999996</v>
      </c>
      <c r="E1187" s="181" t="s">
        <v>6450</v>
      </c>
      <c r="F1187" s="184">
        <v>40323</v>
      </c>
      <c r="G1187" s="181"/>
      <c r="H1187" s="181" t="s">
        <v>6451</v>
      </c>
      <c r="I1187" s="181" t="str">
        <f>VLOOKUP(LEFT(A1187,4),Groups!$A$1:$C$188,3,FALSE)</f>
        <v>Location Details</v>
      </c>
      <c r="J1187" s="181" t="str">
        <f>VLOOKUP(A1187,Headings!$C$1:$H$3948,4,FALSE)</f>
        <v>Type of activity</v>
      </c>
      <c r="K1187" s="181" t="str">
        <f t="shared" si="25"/>
        <v>LOCA_TYPE|SNC</v>
      </c>
      <c r="L1187" s="181"/>
    </row>
    <row r="1188" spans="1:12" hidden="1" x14ac:dyDescent="0.35">
      <c r="A1188" s="88" t="s">
        <v>962</v>
      </c>
      <c r="B1188" s="88" t="s">
        <v>7699</v>
      </c>
      <c r="C1188" s="89" t="s">
        <v>7700</v>
      </c>
      <c r="D1188" s="89" t="s">
        <v>473</v>
      </c>
      <c r="E1188" s="181"/>
      <c r="F1188" s="181"/>
      <c r="G1188" s="183"/>
      <c r="H1188" s="181"/>
      <c r="I1188" s="181"/>
      <c r="J1188" s="181"/>
      <c r="K1188" s="181" t="str">
        <f t="shared" si="25"/>
        <v>LOCA_TYPE|SRAL</v>
      </c>
      <c r="L1188" s="181"/>
    </row>
    <row r="1189" spans="1:12" hidden="1" x14ac:dyDescent="0.35">
      <c r="A1189" s="181" t="s">
        <v>962</v>
      </c>
      <c r="B1189" s="182" t="s">
        <v>7701</v>
      </c>
      <c r="C1189" s="181" t="s">
        <v>7702</v>
      </c>
      <c r="D1189" s="178">
        <v>4.0999999999999996</v>
      </c>
      <c r="E1189" s="181" t="s">
        <v>6450</v>
      </c>
      <c r="F1189" s="184">
        <v>42909</v>
      </c>
      <c r="G1189" s="181"/>
      <c r="H1189" s="181" t="s">
        <v>6451</v>
      </c>
      <c r="I1189" s="181" t="str">
        <f>VLOOKUP(LEFT(A1189,4),Groups!$A$1:$C$188,3,FALSE)</f>
        <v>Location Details</v>
      </c>
      <c r="J1189" s="181" t="str">
        <f>VLOOKUP(A1189,Headings!$C$1:$H$3948,4,FALSE)</f>
        <v>Type of activity</v>
      </c>
      <c r="K1189" s="181" t="str">
        <f t="shared" si="25"/>
        <v>LOCA_TYPE|STC</v>
      </c>
      <c r="L1189" s="181"/>
    </row>
    <row r="1190" spans="1:12" hidden="1" x14ac:dyDescent="0.35">
      <c r="A1190" s="181" t="s">
        <v>962</v>
      </c>
      <c r="B1190" s="182" t="s">
        <v>7703</v>
      </c>
      <c r="C1190" s="181" t="s">
        <v>7704</v>
      </c>
      <c r="D1190" s="178">
        <v>4.0999999999999996</v>
      </c>
      <c r="E1190" s="181" t="s">
        <v>6450</v>
      </c>
      <c r="F1190" s="184">
        <v>41982</v>
      </c>
      <c r="G1190" s="181"/>
      <c r="H1190" s="181" t="s">
        <v>6451</v>
      </c>
      <c r="I1190" s="181" t="str">
        <f>VLOOKUP(LEFT(A1190,4),Groups!$A$1:$C$188,3,FALSE)</f>
        <v>Location Details</v>
      </c>
      <c r="J1190" s="181" t="str">
        <f>VLOOKUP(A1190,Headings!$C$1:$H$3948,4,FALSE)</f>
        <v>Type of activity</v>
      </c>
      <c r="K1190" s="181" t="str">
        <f t="shared" si="25"/>
        <v>LOCA_TYPE|TMP</v>
      </c>
      <c r="L1190" s="181"/>
    </row>
    <row r="1191" spans="1:12" hidden="1" x14ac:dyDescent="0.35">
      <c r="A1191" s="181" t="s">
        <v>962</v>
      </c>
      <c r="B1191" s="182" t="s">
        <v>965</v>
      </c>
      <c r="C1191" s="181" t="s">
        <v>7455</v>
      </c>
      <c r="D1191" s="178">
        <v>4.0999999999999996</v>
      </c>
      <c r="E1191" s="181" t="s">
        <v>6450</v>
      </c>
      <c r="F1191" s="184">
        <v>40323</v>
      </c>
      <c r="G1191" s="181"/>
      <c r="H1191" s="181" t="s">
        <v>6451</v>
      </c>
      <c r="I1191" s="181" t="str">
        <f>VLOOKUP(LEFT(A1191,4),Groups!$A$1:$C$188,3,FALSE)</f>
        <v>Location Details</v>
      </c>
      <c r="J1191" s="181" t="str">
        <f>VLOOKUP(A1191,Headings!$C$1:$H$3948,4,FALSE)</f>
        <v>Type of activity</v>
      </c>
      <c r="K1191" s="181" t="str">
        <f t="shared" si="25"/>
        <v>LOCA_TYPE|TP</v>
      </c>
      <c r="L1191" s="181"/>
    </row>
    <row r="1192" spans="1:12" hidden="1" x14ac:dyDescent="0.35">
      <c r="A1192" s="181" t="s">
        <v>962</v>
      </c>
      <c r="B1192" s="182" t="s">
        <v>7456</v>
      </c>
      <c r="C1192" s="181" t="s">
        <v>7457</v>
      </c>
      <c r="D1192" s="178">
        <v>4.0999999999999996</v>
      </c>
      <c r="E1192" s="181" t="s">
        <v>6450</v>
      </c>
      <c r="F1192" s="184">
        <v>40323</v>
      </c>
      <c r="G1192" s="181"/>
      <c r="H1192" s="181" t="s">
        <v>6451</v>
      </c>
      <c r="I1192" s="181" t="str">
        <f>VLOOKUP(LEFT(A1192,4),Groups!$A$1:$C$188,3,FALSE)</f>
        <v>Location Details</v>
      </c>
      <c r="J1192" s="181" t="str">
        <f>VLOOKUP(A1192,Headings!$C$1:$H$3948,4,FALSE)</f>
        <v>Type of activity</v>
      </c>
      <c r="K1192" s="181" t="str">
        <f t="shared" si="25"/>
        <v>LOCA_TYPE|TRAV</v>
      </c>
      <c r="L1192" s="181"/>
    </row>
    <row r="1193" spans="1:12" hidden="1" x14ac:dyDescent="0.35">
      <c r="A1193" s="181" t="s">
        <v>962</v>
      </c>
      <c r="B1193" s="182" t="s">
        <v>7705</v>
      </c>
      <c r="C1193" s="181" t="s">
        <v>7706</v>
      </c>
      <c r="D1193" s="178">
        <v>4.0999999999999996</v>
      </c>
      <c r="E1193" s="181" t="s">
        <v>6450</v>
      </c>
      <c r="F1193" s="184">
        <v>43740</v>
      </c>
      <c r="G1193" s="181"/>
      <c r="H1193" s="181" t="s">
        <v>6451</v>
      </c>
      <c r="I1193" s="181" t="str">
        <f>VLOOKUP(LEFT(A1193,4),Groups!$A$1:$C$188,3,FALSE)</f>
        <v>Location Details</v>
      </c>
      <c r="J1193" s="181" t="str">
        <f>VLOOKUP(A1193,Headings!$C$1:$H$3948,4,FALSE)</f>
        <v>Type of activity</v>
      </c>
      <c r="K1193" s="181" t="str">
        <f t="shared" si="25"/>
        <v>LOCA_TYPE|TT</v>
      </c>
      <c r="L1193" s="181"/>
    </row>
    <row r="1194" spans="1:12" hidden="1" x14ac:dyDescent="0.35">
      <c r="A1194" s="181" t="s">
        <v>962</v>
      </c>
      <c r="B1194" s="182" t="s">
        <v>7458</v>
      </c>
      <c r="C1194" s="181" t="s">
        <v>7459</v>
      </c>
      <c r="D1194" s="178">
        <v>4.0999999999999996</v>
      </c>
      <c r="E1194" s="181" t="s">
        <v>6450</v>
      </c>
      <c r="F1194" s="184">
        <v>40323</v>
      </c>
      <c r="G1194" s="181"/>
      <c r="H1194" s="181" t="s">
        <v>6451</v>
      </c>
      <c r="I1194" s="181" t="str">
        <f>VLOOKUP(LEFT(A1194,4),Groups!$A$1:$C$188,3,FALSE)</f>
        <v>Location Details</v>
      </c>
      <c r="J1194" s="181" t="str">
        <f>VLOOKUP(A1194,Headings!$C$1:$H$3948,4,FALSE)</f>
        <v>Type of activity</v>
      </c>
      <c r="K1194" s="181" t="str">
        <f t="shared" si="25"/>
        <v>LOCA_TYPE|VC</v>
      </c>
      <c r="L1194" s="181"/>
    </row>
    <row r="1195" spans="1:12" hidden="1" x14ac:dyDescent="0.35">
      <c r="A1195" s="181" t="s">
        <v>962</v>
      </c>
      <c r="B1195" s="182" t="s">
        <v>4534</v>
      </c>
      <c r="C1195" s="181" t="s">
        <v>7460</v>
      </c>
      <c r="D1195" s="178">
        <v>4.0999999999999996</v>
      </c>
      <c r="E1195" s="181" t="s">
        <v>6450</v>
      </c>
      <c r="F1195" s="184">
        <v>41579</v>
      </c>
      <c r="G1195" s="181"/>
      <c r="H1195" s="181" t="s">
        <v>6451</v>
      </c>
      <c r="I1195" s="181" t="str">
        <f>VLOOKUP(LEFT(A1195,4),Groups!$A$1:$C$188,3,FALSE)</f>
        <v>Location Details</v>
      </c>
      <c r="J1195" s="181" t="str">
        <f>VLOOKUP(A1195,Headings!$C$1:$H$3948,4,FALSE)</f>
        <v>Type of activity</v>
      </c>
      <c r="K1195" s="181" t="str">
        <f t="shared" si="25"/>
        <v>LOCA_TYPE|VE</v>
      </c>
      <c r="L1195" s="181"/>
    </row>
    <row r="1196" spans="1:12" hidden="1" x14ac:dyDescent="0.35">
      <c r="A1196" s="181" t="s">
        <v>962</v>
      </c>
      <c r="B1196" s="182" t="s">
        <v>7461</v>
      </c>
      <c r="C1196" s="181" t="s">
        <v>7462</v>
      </c>
      <c r="D1196" s="178">
        <v>4.0999999999999996</v>
      </c>
      <c r="E1196" s="181" t="s">
        <v>6450</v>
      </c>
      <c r="F1196" s="184">
        <v>40323</v>
      </c>
      <c r="G1196" s="181"/>
      <c r="H1196" s="181" t="s">
        <v>6451</v>
      </c>
      <c r="I1196" s="181" t="str">
        <f>VLOOKUP(LEFT(A1196,4),Groups!$A$1:$C$188,3,FALSE)</f>
        <v>Location Details</v>
      </c>
      <c r="J1196" s="181" t="str">
        <f>VLOOKUP(A1196,Headings!$C$1:$H$3948,4,FALSE)</f>
        <v>Type of activity</v>
      </c>
      <c r="K1196" s="181" t="str">
        <f t="shared" si="25"/>
        <v>LOCA_TYPE|W</v>
      </c>
      <c r="L1196" s="181"/>
    </row>
    <row r="1197" spans="1:12" hidden="1" x14ac:dyDescent="0.35">
      <c r="A1197" s="181" t="s">
        <v>962</v>
      </c>
      <c r="B1197" s="182" t="s">
        <v>7463</v>
      </c>
      <c r="C1197" s="181" t="s">
        <v>7464</v>
      </c>
      <c r="D1197" s="178">
        <v>4.0999999999999996</v>
      </c>
      <c r="E1197" s="181" t="s">
        <v>6450</v>
      </c>
      <c r="F1197" s="184">
        <v>40323</v>
      </c>
      <c r="G1197" s="181"/>
      <c r="H1197" s="181" t="s">
        <v>6451</v>
      </c>
      <c r="I1197" s="181" t="str">
        <f>VLOOKUP(LEFT(A1197,4),Groups!$A$1:$C$188,3,FALSE)</f>
        <v>Location Details</v>
      </c>
      <c r="J1197" s="181" t="str">
        <f>VLOOKUP(A1197,Headings!$C$1:$H$3948,4,FALSE)</f>
        <v>Type of activity</v>
      </c>
      <c r="K1197" s="181" t="str">
        <f t="shared" si="25"/>
        <v>LOCA_TYPE|WLS</v>
      </c>
      <c r="L1197" s="181"/>
    </row>
    <row r="1198" spans="1:12" hidden="1" x14ac:dyDescent="0.35">
      <c r="A1198" s="181" t="s">
        <v>962</v>
      </c>
      <c r="B1198" s="182" t="s">
        <v>6764</v>
      </c>
      <c r="C1198" s="181" t="s">
        <v>7465</v>
      </c>
      <c r="D1198" s="178">
        <v>4.0999999999999996</v>
      </c>
      <c r="E1198" s="181" t="s">
        <v>6450</v>
      </c>
      <c r="F1198" s="184">
        <v>40323</v>
      </c>
      <c r="G1198" s="181"/>
      <c r="H1198" s="181" t="s">
        <v>6451</v>
      </c>
      <c r="I1198" s="181" t="str">
        <f>VLOOKUP(LEFT(A1198,4),Groups!$A$1:$C$188,3,FALSE)</f>
        <v>Location Details</v>
      </c>
      <c r="J1198" s="181" t="str">
        <f>VLOOKUP(A1198,Headings!$C$1:$H$3948,4,FALSE)</f>
        <v>Type of activity</v>
      </c>
      <c r="K1198" s="181" t="str">
        <f t="shared" ref="K1198:K1261" si="26">A1198&amp;"|"&amp;B1198</f>
        <v>LOCA_TYPE|WS</v>
      </c>
      <c r="L1198" s="181"/>
    </row>
    <row r="1199" spans="1:12" hidden="1" x14ac:dyDescent="0.35">
      <c r="A1199" s="88" t="s">
        <v>4019</v>
      </c>
      <c r="B1199" s="88" t="s">
        <v>7707</v>
      </c>
      <c r="C1199" s="89" t="s">
        <v>7707</v>
      </c>
      <c r="D1199" s="89" t="s">
        <v>473</v>
      </c>
      <c r="E1199" s="181"/>
      <c r="F1199" s="181"/>
      <c r="G1199" s="183"/>
      <c r="H1199" s="181"/>
      <c r="I1199" s="181"/>
      <c r="J1199" s="181"/>
      <c r="K1199" s="181" t="str">
        <f t="shared" si="26"/>
        <v>LOCA_WREM|Drilled Over Water</v>
      </c>
      <c r="L1199" s="181"/>
    </row>
    <row r="1200" spans="1:12" hidden="1" x14ac:dyDescent="0.35">
      <c r="A1200" s="88" t="s">
        <v>4019</v>
      </c>
      <c r="B1200" s="88" t="s">
        <v>6651</v>
      </c>
      <c r="C1200" s="89" t="s">
        <v>6651</v>
      </c>
      <c r="D1200" s="89" t="s">
        <v>473</v>
      </c>
      <c r="E1200" s="181"/>
      <c r="F1200" s="181"/>
      <c r="G1200" s="183"/>
      <c r="H1200" s="181"/>
      <c r="I1200" s="181"/>
      <c r="J1200" s="181"/>
      <c r="K1200" s="181" t="str">
        <f t="shared" si="26"/>
        <v>LOCA_WREM|Dry</v>
      </c>
      <c r="L1200" s="181"/>
    </row>
    <row r="1201" spans="1:12" hidden="1" x14ac:dyDescent="0.35">
      <c r="A1201" s="88" t="s">
        <v>4019</v>
      </c>
      <c r="B1201" s="88" t="s">
        <v>7708</v>
      </c>
      <c r="C1201" s="89" t="s">
        <v>7709</v>
      </c>
      <c r="D1201" s="89" t="s">
        <v>473</v>
      </c>
      <c r="E1201" s="181"/>
      <c r="F1201" s="181"/>
      <c r="G1201" s="183"/>
      <c r="H1201" s="181"/>
      <c r="I1201" s="181"/>
      <c r="J1201" s="181"/>
      <c r="K1201" s="181" t="str">
        <f t="shared" si="26"/>
        <v>LOCA_WREM|Not Assessed</v>
      </c>
      <c r="L1201" s="181"/>
    </row>
    <row r="1202" spans="1:12" hidden="1" x14ac:dyDescent="0.35">
      <c r="A1202" s="88" t="s">
        <v>4019</v>
      </c>
      <c r="B1202" s="88" t="s">
        <v>7710</v>
      </c>
      <c r="C1202" s="89" t="s">
        <v>7710</v>
      </c>
      <c r="D1202" s="89" t="s">
        <v>473</v>
      </c>
      <c r="E1202" s="181"/>
      <c r="F1202" s="181"/>
      <c r="G1202" s="183"/>
      <c r="H1202" s="181"/>
      <c r="I1202" s="181"/>
      <c r="J1202" s="181"/>
      <c r="K1202" s="181" t="str">
        <f t="shared" si="26"/>
        <v>LOCA_WREM|Not Encountered</v>
      </c>
      <c r="L1202" s="181"/>
    </row>
    <row r="1203" spans="1:12" hidden="1" x14ac:dyDescent="0.35">
      <c r="A1203" s="181" t="s">
        <v>4042</v>
      </c>
      <c r="B1203" s="182" t="s">
        <v>4044</v>
      </c>
      <c r="C1203" s="181" t="s">
        <v>4044</v>
      </c>
      <c r="D1203" s="178">
        <v>4.0999999999999996</v>
      </c>
      <c r="E1203" s="181" t="s">
        <v>6450</v>
      </c>
      <c r="F1203" s="184">
        <v>44173</v>
      </c>
      <c r="G1203" s="181"/>
      <c r="H1203" s="181">
        <v>4.0999999999999996</v>
      </c>
      <c r="I1203" s="181" t="str">
        <f>VLOOKUP(LEFT(A1203,4),Groups!$A$1:$C$188,3,FALSE)</f>
        <v>Particle Density Tests</v>
      </c>
      <c r="J1203" s="181" t="str">
        <f>VLOOKUP(A1203,Headings!$C$1:$H$3948,4,FALSE)</f>
        <v>Identity of gas if gas pycnometer used</v>
      </c>
      <c r="K1203" s="181" t="str">
        <f t="shared" si="26"/>
        <v>LPDN_GAS|Helium</v>
      </c>
      <c r="L1203" s="181"/>
    </row>
    <row r="1204" spans="1:12" hidden="1" x14ac:dyDescent="0.35">
      <c r="A1204" s="181" t="s">
        <v>4028</v>
      </c>
      <c r="B1204" s="182" t="s">
        <v>7711</v>
      </c>
      <c r="C1204" s="181" t="s">
        <v>7712</v>
      </c>
      <c r="D1204" s="178">
        <v>4.0999999999999996</v>
      </c>
      <c r="E1204" s="181" t="s">
        <v>6450</v>
      </c>
      <c r="F1204" s="184">
        <v>40323</v>
      </c>
      <c r="G1204" s="181"/>
      <c r="H1204" s="181" t="s">
        <v>6451</v>
      </c>
      <c r="I1204" s="181" t="str">
        <f>VLOOKUP(LEFT(A1204,4),Groups!$A$1:$C$188,3,FALSE)</f>
        <v>Particle Density Tests</v>
      </c>
      <c r="J1204" s="181" t="str">
        <f>VLOOKUP(A1204,Headings!$C$1:$H$3948,4,FALSE)</f>
        <v xml:space="preserve">Type of test </v>
      </c>
      <c r="K1204" s="181" t="str">
        <f t="shared" si="26"/>
        <v>LPDN_TYPE|GAS JAR</v>
      </c>
      <c r="L1204" s="181"/>
    </row>
    <row r="1205" spans="1:12" hidden="1" x14ac:dyDescent="0.35">
      <c r="A1205" s="181" t="s">
        <v>4028</v>
      </c>
      <c r="B1205" s="182" t="s">
        <v>7713</v>
      </c>
      <c r="C1205" s="181" t="s">
        <v>7714</v>
      </c>
      <c r="D1205" s="178">
        <v>4.0999999999999996</v>
      </c>
      <c r="E1205" s="181" t="s">
        <v>6450</v>
      </c>
      <c r="F1205" s="184">
        <v>40323</v>
      </c>
      <c r="G1205" s="181"/>
      <c r="H1205" s="181" t="s">
        <v>6451</v>
      </c>
      <c r="I1205" s="181" t="str">
        <f>VLOOKUP(LEFT(A1205,4),Groups!$A$1:$C$188,3,FALSE)</f>
        <v>Particle Density Tests</v>
      </c>
      <c r="J1205" s="181" t="str">
        <f>VLOOKUP(A1205,Headings!$C$1:$H$3948,4,FALSE)</f>
        <v xml:space="preserve">Type of test </v>
      </c>
      <c r="K1205" s="181" t="str">
        <f t="shared" si="26"/>
        <v>LPDN_TYPE|LARGE PYK</v>
      </c>
      <c r="L1205" s="181"/>
    </row>
    <row r="1206" spans="1:12" hidden="1" x14ac:dyDescent="0.35">
      <c r="A1206" s="181" t="s">
        <v>4028</v>
      </c>
      <c r="B1206" s="182" t="s">
        <v>4030</v>
      </c>
      <c r="C1206" s="181" t="s">
        <v>7715</v>
      </c>
      <c r="D1206" s="178">
        <v>4.0999999999999996</v>
      </c>
      <c r="E1206" s="181" t="s">
        <v>6450</v>
      </c>
      <c r="F1206" s="184">
        <v>40323</v>
      </c>
      <c r="G1206" s="181"/>
      <c r="H1206" s="181" t="s">
        <v>6451</v>
      </c>
      <c r="I1206" s="181" t="str">
        <f>VLOOKUP(LEFT(A1206,4),Groups!$A$1:$C$188,3,FALSE)</f>
        <v>Particle Density Tests</v>
      </c>
      <c r="J1206" s="181" t="str">
        <f>VLOOKUP(A1206,Headings!$C$1:$H$3948,4,FALSE)</f>
        <v xml:space="preserve">Type of test </v>
      </c>
      <c r="K1206" s="181" t="str">
        <f t="shared" si="26"/>
        <v>LPDN_TYPE|SMALL PYK</v>
      </c>
      <c r="L1206" s="181"/>
    </row>
    <row r="1207" spans="1:12" hidden="1" x14ac:dyDescent="0.35">
      <c r="A1207" s="88" t="s">
        <v>4071</v>
      </c>
      <c r="B1207" s="88" t="s">
        <v>4073</v>
      </c>
      <c r="C1207" s="89" t="s">
        <v>7716</v>
      </c>
      <c r="D1207" s="89" t="s">
        <v>473</v>
      </c>
      <c r="E1207" s="181"/>
      <c r="F1207" s="181"/>
      <c r="G1207" s="183"/>
      <c r="H1207" s="181"/>
      <c r="I1207" s="181"/>
      <c r="J1207" s="181"/>
      <c r="K1207" s="181" t="str">
        <f t="shared" si="26"/>
        <v>LPHD_LPHD|D1</v>
      </c>
      <c r="L1207" s="181"/>
    </row>
    <row r="1208" spans="1:12" hidden="1" x14ac:dyDescent="0.35">
      <c r="A1208" s="88" t="s">
        <v>4071</v>
      </c>
      <c r="B1208" s="88" t="s">
        <v>7717</v>
      </c>
      <c r="C1208" s="89" t="s">
        <v>7718</v>
      </c>
      <c r="D1208" s="89" t="s">
        <v>473</v>
      </c>
      <c r="E1208" s="181"/>
      <c r="F1208" s="181"/>
      <c r="G1208" s="183"/>
      <c r="H1208" s="181"/>
      <c r="I1208" s="181"/>
      <c r="J1208" s="181"/>
      <c r="K1208" s="181" t="str">
        <f t="shared" si="26"/>
        <v>LPHD_LPHD|D2</v>
      </c>
      <c r="L1208" s="181"/>
    </row>
    <row r="1209" spans="1:12" hidden="1" x14ac:dyDescent="0.35">
      <c r="A1209" s="88" t="s">
        <v>4071</v>
      </c>
      <c r="B1209" s="88" t="s">
        <v>7719</v>
      </c>
      <c r="C1209" s="89" t="s">
        <v>7720</v>
      </c>
      <c r="D1209" s="89" t="s">
        <v>473</v>
      </c>
      <c r="E1209" s="181"/>
      <c r="F1209" s="181"/>
      <c r="G1209" s="183"/>
      <c r="H1209" s="181"/>
      <c r="I1209" s="181"/>
      <c r="J1209" s="181"/>
      <c r="K1209" s="181" t="str">
        <f t="shared" si="26"/>
        <v>LPHD_LPHD|ND1</v>
      </c>
      <c r="L1209" s="181"/>
    </row>
    <row r="1210" spans="1:12" hidden="1" x14ac:dyDescent="0.35">
      <c r="A1210" s="88" t="s">
        <v>4071</v>
      </c>
      <c r="B1210" s="88" t="s">
        <v>7721</v>
      </c>
      <c r="C1210" s="89" t="s">
        <v>7722</v>
      </c>
      <c r="D1210" s="89" t="s">
        <v>473</v>
      </c>
      <c r="E1210" s="181"/>
      <c r="F1210" s="181"/>
      <c r="G1210" s="183"/>
      <c r="H1210" s="181"/>
      <c r="I1210" s="181"/>
      <c r="J1210" s="181"/>
      <c r="K1210" s="181" t="str">
        <f t="shared" si="26"/>
        <v>LPHD_LPHD|ND2</v>
      </c>
      <c r="L1210" s="181"/>
    </row>
    <row r="1211" spans="1:12" hidden="1" x14ac:dyDescent="0.35">
      <c r="A1211" s="88" t="s">
        <v>4071</v>
      </c>
      <c r="B1211" s="88" t="s">
        <v>7723</v>
      </c>
      <c r="C1211" s="89" t="s">
        <v>7724</v>
      </c>
      <c r="D1211" s="89" t="s">
        <v>473</v>
      </c>
      <c r="E1211" s="181"/>
      <c r="F1211" s="181"/>
      <c r="G1211" s="183"/>
      <c r="H1211" s="181"/>
      <c r="I1211" s="181"/>
      <c r="J1211" s="181"/>
      <c r="K1211" s="181" t="str">
        <f t="shared" si="26"/>
        <v>LPHD_LPHD|PD1</v>
      </c>
      <c r="L1211" s="181"/>
    </row>
    <row r="1212" spans="1:12" hidden="1" x14ac:dyDescent="0.35">
      <c r="A1212" s="88" t="s">
        <v>4071</v>
      </c>
      <c r="B1212" s="88" t="s">
        <v>7725</v>
      </c>
      <c r="C1212" s="89" t="s">
        <v>7724</v>
      </c>
      <c r="D1212" s="89" t="s">
        <v>473</v>
      </c>
      <c r="E1212" s="181"/>
      <c r="F1212" s="181"/>
      <c r="G1212" s="183"/>
      <c r="H1212" s="181"/>
      <c r="I1212" s="181"/>
      <c r="J1212" s="181"/>
      <c r="K1212" s="181" t="str">
        <f t="shared" si="26"/>
        <v>LPHD_LPHD|PD2</v>
      </c>
      <c r="L1212" s="181"/>
    </row>
    <row r="1213" spans="1:12" hidden="1" x14ac:dyDescent="0.35">
      <c r="A1213" s="88" t="s">
        <v>4091</v>
      </c>
      <c r="B1213" s="89" t="s">
        <v>6631</v>
      </c>
      <c r="C1213" s="88" t="s">
        <v>7726</v>
      </c>
      <c r="D1213" s="89" t="s">
        <v>473</v>
      </c>
      <c r="E1213" s="181"/>
      <c r="F1213" s="181"/>
      <c r="G1213" s="183"/>
      <c r="H1213" s="181"/>
      <c r="I1213" s="181"/>
      <c r="J1213" s="181"/>
      <c r="K1213" s="181" t="str">
        <f t="shared" si="26"/>
        <v>LPXD_TYPE|P</v>
      </c>
      <c r="L1213" s="181"/>
    </row>
    <row r="1214" spans="1:12" hidden="1" x14ac:dyDescent="0.35">
      <c r="A1214" s="88" t="s">
        <v>4091</v>
      </c>
      <c r="B1214" s="89" t="s">
        <v>4093</v>
      </c>
      <c r="C1214" s="88" t="s">
        <v>7727</v>
      </c>
      <c r="D1214" s="89" t="s">
        <v>473</v>
      </c>
      <c r="E1214" s="181"/>
      <c r="F1214" s="181"/>
      <c r="G1214" s="183"/>
      <c r="H1214" s="181"/>
      <c r="I1214" s="181"/>
      <c r="J1214" s="181"/>
      <c r="K1214" s="181" t="str">
        <f t="shared" si="26"/>
        <v>LPXD_TYPE|XD</v>
      </c>
      <c r="L1214" s="181"/>
    </row>
    <row r="1215" spans="1:12" hidden="1" x14ac:dyDescent="0.35">
      <c r="A1215" s="181" t="s">
        <v>4373</v>
      </c>
      <c r="B1215" s="182" t="s">
        <v>1892</v>
      </c>
      <c r="C1215" s="181" t="s">
        <v>1892</v>
      </c>
      <c r="D1215" s="178">
        <v>4.0999999999999996</v>
      </c>
      <c r="E1215" s="181" t="s">
        <v>6450</v>
      </c>
      <c r="F1215" s="184">
        <v>44173</v>
      </c>
      <c r="G1215" s="181"/>
      <c r="H1215" s="181">
        <v>4.0999999999999996</v>
      </c>
      <c r="I1215" s="181" t="str">
        <f>VLOOKUP(LEFT(A1215,4),Groups!$A$1:$C$188,3,FALSE)</f>
        <v>Laboratory Unconfined Compression Test</v>
      </c>
      <c r="J1215" s="181" t="str">
        <f>VLOOKUP(A1215,Headings!$C$1:$H$3948,4,FALSE)</f>
        <v>Mode of failure</v>
      </c>
      <c r="K1215" s="181" t="str">
        <f t="shared" si="26"/>
        <v>LUCT_MODE|Brittle</v>
      </c>
      <c r="L1215" s="181"/>
    </row>
    <row r="1216" spans="1:12" hidden="1" x14ac:dyDescent="0.35">
      <c r="A1216" s="181" t="s">
        <v>4353</v>
      </c>
      <c r="B1216" s="182" t="s">
        <v>1273</v>
      </c>
      <c r="C1216" s="181" t="s">
        <v>6467</v>
      </c>
      <c r="D1216" s="178">
        <v>4.0999999999999996</v>
      </c>
      <c r="E1216" s="181" t="s">
        <v>6450</v>
      </c>
      <c r="F1216" s="184">
        <v>44173</v>
      </c>
      <c r="G1216" s="181"/>
      <c r="H1216" s="181">
        <v>4.0999999999999996</v>
      </c>
      <c r="I1216" s="181" t="str">
        <f>VLOOKUP(LEFT(A1216,4),Groups!$A$1:$C$188,3,FALSE)</f>
        <v>Laboratory Unconfined Compression Test</v>
      </c>
      <c r="J1216" s="181" t="str">
        <f>VLOOKUP(A1216,Headings!$C$1:$H$3948,4,FALSE)</f>
        <v>Test type</v>
      </c>
      <c r="K1216" s="181" t="str">
        <f t="shared" si="26"/>
        <v>LUCT_TYPE|UNDISTURBED</v>
      </c>
      <c r="L1216" s="181"/>
    </row>
    <row r="1217" spans="1:12" hidden="1" x14ac:dyDescent="0.35">
      <c r="A1217" s="181" t="s">
        <v>4402</v>
      </c>
      <c r="B1217" s="182" t="s">
        <v>7728</v>
      </c>
      <c r="C1217" s="181" t="s">
        <v>7729</v>
      </c>
      <c r="D1217" s="178">
        <v>4.0999999999999996</v>
      </c>
      <c r="E1217" s="181" t="s">
        <v>6450</v>
      </c>
      <c r="F1217" s="184">
        <v>44173</v>
      </c>
      <c r="G1217" s="181"/>
      <c r="H1217" s="181">
        <v>4.0999999999999996</v>
      </c>
      <c r="I1217" s="181" t="str">
        <f>VLOOKUP(LEFT(A1217,4),Groups!$A$1:$C$188,3,FALSE)</f>
        <v>Laboratory Vane Tests</v>
      </c>
      <c r="J1217" s="181" t="str">
        <f>VLOOKUP(A1217,Headings!$C$1:$H$3948,4,FALSE)</f>
        <v>Vane type</v>
      </c>
      <c r="K1217" s="181" t="str">
        <f t="shared" si="26"/>
        <v>LVAN_TYPE|HV</v>
      </c>
      <c r="L1217" s="181"/>
    </row>
    <row r="1218" spans="1:12" hidden="1" x14ac:dyDescent="0.35">
      <c r="A1218" s="181" t="s">
        <v>4402</v>
      </c>
      <c r="B1218" s="182" t="s">
        <v>4403</v>
      </c>
      <c r="C1218" s="181" t="s">
        <v>7730</v>
      </c>
      <c r="D1218" s="178">
        <v>4.0999999999999996</v>
      </c>
      <c r="E1218" s="181" t="s">
        <v>6450</v>
      </c>
      <c r="F1218" s="184">
        <v>44173</v>
      </c>
      <c r="G1218" s="181"/>
      <c r="H1218" s="181">
        <v>4.0999999999999996</v>
      </c>
      <c r="I1218" s="181" t="str">
        <f>VLOOKUP(LEFT(A1218,4),Groups!$A$1:$C$188,3,FALSE)</f>
        <v>Laboratory Vane Tests</v>
      </c>
      <c r="J1218" s="181" t="str">
        <f>VLOOKUP(A1218,Headings!$C$1:$H$3948,4,FALSE)</f>
        <v>Vane type</v>
      </c>
      <c r="K1218" s="181" t="str">
        <f t="shared" si="26"/>
        <v>LVAN_TYPE|LV</v>
      </c>
      <c r="L1218" s="181"/>
    </row>
    <row r="1219" spans="1:12" hidden="1" x14ac:dyDescent="0.35">
      <c r="A1219" s="181" t="s">
        <v>4402</v>
      </c>
      <c r="B1219" s="182" t="s">
        <v>7731</v>
      </c>
      <c r="C1219" s="181" t="s">
        <v>7499</v>
      </c>
      <c r="D1219" s="178">
        <v>4.0999999999999996</v>
      </c>
      <c r="E1219" s="181" t="s">
        <v>6450</v>
      </c>
      <c r="F1219" s="184">
        <v>44173</v>
      </c>
      <c r="G1219" s="181"/>
      <c r="H1219" s="181">
        <v>4.0999999999999996</v>
      </c>
      <c r="I1219" s="181" t="str">
        <f>VLOOKUP(LEFT(A1219,4),Groups!$A$1:$C$188,3,FALSE)</f>
        <v>Laboratory Vane Tests</v>
      </c>
      <c r="J1219" s="181" t="str">
        <f>VLOOKUP(A1219,Headings!$C$1:$H$3948,4,FALSE)</f>
        <v>Vane type</v>
      </c>
      <c r="K1219" s="181" t="str">
        <f t="shared" si="26"/>
        <v>LVAN_TYPE|TV</v>
      </c>
      <c r="L1219" s="181"/>
    </row>
    <row r="1220" spans="1:12" hidden="1" x14ac:dyDescent="0.35">
      <c r="A1220" s="181" t="s">
        <v>4453</v>
      </c>
      <c r="B1220" s="182" t="s">
        <v>7732</v>
      </c>
      <c r="C1220" s="181" t="s">
        <v>7733</v>
      </c>
      <c r="D1220" s="178">
        <v>4.0999999999999996</v>
      </c>
      <c r="E1220" s="181" t="s">
        <v>6450</v>
      </c>
      <c r="F1220" s="184">
        <v>40323</v>
      </c>
      <c r="G1220" s="181"/>
      <c r="H1220" s="181" t="s">
        <v>6451</v>
      </c>
      <c r="I1220" s="181" t="str">
        <f>VLOOKUP(LEFT(A1220,4),Groups!$A$1:$C$188,3,FALSE)</f>
        <v>Monitoring Readings</v>
      </c>
      <c r="J1220" s="181" t="str">
        <f>VLOOKUP(A1220,Headings!$C$1:$H$3948,4,FALSE)</f>
        <v>Reading type</v>
      </c>
      <c r="K1220" s="181" t="str">
        <f t="shared" si="26"/>
        <v>MOND_TYPE|ANGA</v>
      </c>
      <c r="L1220" s="181"/>
    </row>
    <row r="1221" spans="1:12" hidden="1" x14ac:dyDescent="0.35">
      <c r="A1221" s="181" t="s">
        <v>4453</v>
      </c>
      <c r="B1221" s="182" t="s">
        <v>7734</v>
      </c>
      <c r="C1221" s="181" t="s">
        <v>7735</v>
      </c>
      <c r="D1221" s="178">
        <v>4.0999999999999996</v>
      </c>
      <c r="E1221" s="181" t="s">
        <v>6450</v>
      </c>
      <c r="F1221" s="184">
        <v>40323</v>
      </c>
      <c r="G1221" s="181"/>
      <c r="H1221" s="181" t="s">
        <v>6451</v>
      </c>
      <c r="I1221" s="181" t="str">
        <f>VLOOKUP(LEFT(A1221,4),Groups!$A$1:$C$188,3,FALSE)</f>
        <v>Monitoring Readings</v>
      </c>
      <c r="J1221" s="181" t="str">
        <f>VLOOKUP(A1221,Headings!$C$1:$H$3948,4,FALSE)</f>
        <v>Reading type</v>
      </c>
      <c r="K1221" s="181" t="str">
        <f t="shared" si="26"/>
        <v>MOND_TYPE|ANGB</v>
      </c>
      <c r="L1221" s="181"/>
    </row>
    <row r="1222" spans="1:12" hidden="1" x14ac:dyDescent="0.35">
      <c r="A1222" s="181" t="s">
        <v>4453</v>
      </c>
      <c r="B1222" s="182" t="s">
        <v>7736</v>
      </c>
      <c r="C1222" s="181" t="s">
        <v>7737</v>
      </c>
      <c r="D1222" s="178">
        <v>4.0999999999999996</v>
      </c>
      <c r="E1222" s="181" t="s">
        <v>6450</v>
      </c>
      <c r="F1222" s="184">
        <v>40323</v>
      </c>
      <c r="G1222" s="181"/>
      <c r="H1222" s="181" t="s">
        <v>6451</v>
      </c>
      <c r="I1222" s="181" t="str">
        <f>VLOOKUP(LEFT(A1222,4),Groups!$A$1:$C$188,3,FALSE)</f>
        <v>Monitoring Readings</v>
      </c>
      <c r="J1222" s="181" t="str">
        <f>VLOOKUP(A1222,Headings!$C$1:$H$3948,4,FALSE)</f>
        <v>Reading type</v>
      </c>
      <c r="K1222" s="181" t="str">
        <f t="shared" si="26"/>
        <v>MOND_TYPE|ANGC</v>
      </c>
      <c r="L1222" s="181"/>
    </row>
    <row r="1223" spans="1:12" hidden="1" x14ac:dyDescent="0.35">
      <c r="A1223" s="181" t="s">
        <v>4453</v>
      </c>
      <c r="B1223" s="182" t="s">
        <v>7738</v>
      </c>
      <c r="C1223" s="181" t="s">
        <v>7739</v>
      </c>
      <c r="D1223" s="178">
        <v>4.0999999999999996</v>
      </c>
      <c r="E1223" s="181" t="s">
        <v>6450</v>
      </c>
      <c r="F1223" s="184">
        <v>40323</v>
      </c>
      <c r="G1223" s="181"/>
      <c r="H1223" s="181" t="s">
        <v>6451</v>
      </c>
      <c r="I1223" s="181" t="str">
        <f>VLOOKUP(LEFT(A1223,4),Groups!$A$1:$C$188,3,FALSE)</f>
        <v>Monitoring Readings</v>
      </c>
      <c r="J1223" s="181" t="str">
        <f>VLOOKUP(A1223,Headings!$C$1:$H$3948,4,FALSE)</f>
        <v>Reading type</v>
      </c>
      <c r="K1223" s="181" t="str">
        <f t="shared" si="26"/>
        <v>MOND_TYPE|BAR</v>
      </c>
      <c r="L1223" s="181"/>
    </row>
    <row r="1224" spans="1:12" hidden="1" x14ac:dyDescent="0.35">
      <c r="A1224" s="181" t="s">
        <v>4453</v>
      </c>
      <c r="B1224" s="182" t="s">
        <v>7740</v>
      </c>
      <c r="C1224" s="181" t="s">
        <v>7741</v>
      </c>
      <c r="D1224" s="178">
        <v>4.0999999999999996</v>
      </c>
      <c r="E1224" s="181" t="s">
        <v>6450</v>
      </c>
      <c r="F1224" s="184">
        <v>40323</v>
      </c>
      <c r="G1224" s="181"/>
      <c r="H1224" s="181" t="s">
        <v>6451</v>
      </c>
      <c r="I1224" s="181" t="str">
        <f>VLOOKUP(LEFT(A1224,4),Groups!$A$1:$C$188,3,FALSE)</f>
        <v>Monitoring Readings</v>
      </c>
      <c r="J1224" s="181" t="str">
        <f>VLOOKUP(A1224,Headings!$C$1:$H$3948,4,FALSE)</f>
        <v>Reading type</v>
      </c>
      <c r="K1224" s="181" t="str">
        <f t="shared" si="26"/>
        <v>MOND_TYPE|BRG</v>
      </c>
      <c r="L1224" s="181"/>
    </row>
    <row r="1225" spans="1:12" hidden="1" x14ac:dyDescent="0.35">
      <c r="A1225" s="181" t="s">
        <v>4453</v>
      </c>
      <c r="B1225" s="182" t="s">
        <v>7742</v>
      </c>
      <c r="C1225" s="181" t="s">
        <v>7743</v>
      </c>
      <c r="D1225" s="178">
        <v>4.0999999999999996</v>
      </c>
      <c r="E1225" s="181" t="s">
        <v>6450</v>
      </c>
      <c r="F1225" s="184">
        <v>40323</v>
      </c>
      <c r="G1225" s="181"/>
      <c r="H1225" s="181" t="s">
        <v>6451</v>
      </c>
      <c r="I1225" s="181" t="str">
        <f>VLOOKUP(LEFT(A1225,4),Groups!$A$1:$C$188,3,FALSE)</f>
        <v>Monitoring Readings</v>
      </c>
      <c r="J1225" s="181" t="str">
        <f>VLOOKUP(A1225,Headings!$C$1:$H$3948,4,FALSE)</f>
        <v>Reading type</v>
      </c>
      <c r="K1225" s="181" t="str">
        <f t="shared" si="26"/>
        <v>MOND_TYPE|CURR</v>
      </c>
      <c r="L1225" s="181"/>
    </row>
    <row r="1226" spans="1:12" hidden="1" x14ac:dyDescent="0.35">
      <c r="A1226" s="181" t="s">
        <v>4453</v>
      </c>
      <c r="B1226" s="182" t="s">
        <v>7744</v>
      </c>
      <c r="C1226" s="181" t="s">
        <v>7745</v>
      </c>
      <c r="D1226" s="178">
        <v>4.0999999999999996</v>
      </c>
      <c r="E1226" s="181" t="s">
        <v>6450</v>
      </c>
      <c r="F1226" s="184">
        <v>42668</v>
      </c>
      <c r="G1226" s="181"/>
      <c r="H1226" s="181" t="s">
        <v>6451</v>
      </c>
      <c r="I1226" s="181" t="str">
        <f>VLOOKUP(LEFT(A1226,4),Groups!$A$1:$C$188,3,FALSE)</f>
        <v>Monitoring Readings</v>
      </c>
      <c r="J1226" s="181" t="str">
        <f>VLOOKUP(A1226,Headings!$C$1:$H$3948,4,FALSE)</f>
        <v>Reading type</v>
      </c>
      <c r="K1226" s="181" t="str">
        <f t="shared" si="26"/>
        <v>MOND_TYPE|DBSE</v>
      </c>
      <c r="L1226" s="181"/>
    </row>
    <row r="1227" spans="1:12" hidden="1" x14ac:dyDescent="0.35">
      <c r="A1227" s="181" t="s">
        <v>4453</v>
      </c>
      <c r="B1227" s="182" t="s">
        <v>7746</v>
      </c>
      <c r="C1227" s="181" t="s">
        <v>7747</v>
      </c>
      <c r="D1227" s="178">
        <v>4.0999999999999996</v>
      </c>
      <c r="E1227" s="181" t="s">
        <v>6450</v>
      </c>
      <c r="F1227" s="184">
        <v>41774</v>
      </c>
      <c r="G1227" s="181"/>
      <c r="H1227" s="181" t="s">
        <v>6451</v>
      </c>
      <c r="I1227" s="181" t="str">
        <f>VLOOKUP(LEFT(A1227,4),Groups!$A$1:$C$188,3,FALSE)</f>
        <v>Monitoring Readings</v>
      </c>
      <c r="J1227" s="181" t="str">
        <f>VLOOKUP(A1227,Headings!$C$1:$H$3948,4,FALSE)</f>
        <v>Reading type</v>
      </c>
      <c r="K1227" s="181" t="str">
        <f t="shared" si="26"/>
        <v>MOND_TYPE|DNAPL</v>
      </c>
      <c r="L1227" s="181"/>
    </row>
    <row r="1228" spans="1:12" hidden="1" x14ac:dyDescent="0.35">
      <c r="A1228" s="181" t="s">
        <v>4453</v>
      </c>
      <c r="B1228" s="182" t="s">
        <v>7748</v>
      </c>
      <c r="C1228" s="181" t="s">
        <v>7749</v>
      </c>
      <c r="D1228" s="178">
        <v>4.0999999999999996</v>
      </c>
      <c r="E1228" s="181" t="s">
        <v>6450</v>
      </c>
      <c r="F1228" s="184">
        <v>42538</v>
      </c>
      <c r="G1228" s="181"/>
      <c r="H1228" s="181" t="s">
        <v>6451</v>
      </c>
      <c r="I1228" s="181" t="str">
        <f>VLOOKUP(LEFT(A1228,4),Groups!$A$1:$C$188,3,FALSE)</f>
        <v>Monitoring Readings</v>
      </c>
      <c r="J1228" s="181" t="str">
        <f>VLOOKUP(A1228,Headings!$C$1:$H$3948,4,FALSE)</f>
        <v>Reading type</v>
      </c>
      <c r="K1228" s="181" t="str">
        <f t="shared" si="26"/>
        <v>MOND_TYPE|DO</v>
      </c>
      <c r="L1228" s="181"/>
    </row>
    <row r="1229" spans="1:12" hidden="1" x14ac:dyDescent="0.35">
      <c r="A1229" s="181" t="s">
        <v>4453</v>
      </c>
      <c r="B1229" s="182" t="s">
        <v>7750</v>
      </c>
      <c r="C1229" s="181" t="s">
        <v>7751</v>
      </c>
      <c r="D1229" s="178">
        <v>4.0999999999999996</v>
      </c>
      <c r="E1229" s="181" t="s">
        <v>6450</v>
      </c>
      <c r="F1229" s="184">
        <v>42446</v>
      </c>
      <c r="G1229" s="181"/>
      <c r="H1229" s="181" t="s">
        <v>6451</v>
      </c>
      <c r="I1229" s="181" t="str">
        <f>VLOOKUP(LEFT(A1229,4),Groups!$A$1:$C$188,3,FALSE)</f>
        <v>Monitoring Readings</v>
      </c>
      <c r="J1229" s="181" t="str">
        <f>VLOOKUP(A1229,Headings!$C$1:$H$3948,4,FALSE)</f>
        <v>Reading type</v>
      </c>
      <c r="K1229" s="181" t="str">
        <f t="shared" si="26"/>
        <v>MOND_TYPE|DOWNTEMP</v>
      </c>
      <c r="L1229" s="181"/>
    </row>
    <row r="1230" spans="1:12" hidden="1" x14ac:dyDescent="0.35">
      <c r="A1230" s="181" t="s">
        <v>4453</v>
      </c>
      <c r="B1230" s="182" t="s">
        <v>7752</v>
      </c>
      <c r="C1230" s="181" t="s">
        <v>7753</v>
      </c>
      <c r="D1230" s="178">
        <v>4.0999999999999996</v>
      </c>
      <c r="E1230" s="181" t="s">
        <v>6450</v>
      </c>
      <c r="F1230" s="184">
        <v>40323</v>
      </c>
      <c r="G1230" s="181"/>
      <c r="H1230" s="181" t="s">
        <v>6451</v>
      </c>
      <c r="I1230" s="181" t="str">
        <f>VLOOKUP(LEFT(A1230,4),Groups!$A$1:$C$188,3,FALSE)</f>
        <v>Monitoring Readings</v>
      </c>
      <c r="J1230" s="181" t="str">
        <f>VLOOKUP(A1230,Headings!$C$1:$H$3948,4,FALSE)</f>
        <v>Reading type</v>
      </c>
      <c r="K1230" s="181" t="str">
        <f t="shared" si="26"/>
        <v>MOND_TYPE|DSPA</v>
      </c>
      <c r="L1230" s="181"/>
    </row>
    <row r="1231" spans="1:12" hidden="1" x14ac:dyDescent="0.35">
      <c r="A1231" s="181" t="s">
        <v>4453</v>
      </c>
      <c r="B1231" s="182" t="s">
        <v>7754</v>
      </c>
      <c r="C1231" s="181" t="s">
        <v>7755</v>
      </c>
      <c r="D1231" s="178">
        <v>4.0999999999999996</v>
      </c>
      <c r="E1231" s="181" t="s">
        <v>6450</v>
      </c>
      <c r="F1231" s="184">
        <v>40323</v>
      </c>
      <c r="G1231" s="181"/>
      <c r="H1231" s="181" t="s">
        <v>6451</v>
      </c>
      <c r="I1231" s="181" t="str">
        <f>VLOOKUP(LEFT(A1231,4),Groups!$A$1:$C$188,3,FALSE)</f>
        <v>Monitoring Readings</v>
      </c>
      <c r="J1231" s="181" t="str">
        <f>VLOOKUP(A1231,Headings!$C$1:$H$3948,4,FALSE)</f>
        <v>Reading type</v>
      </c>
      <c r="K1231" s="181" t="str">
        <f t="shared" si="26"/>
        <v>MOND_TYPE|DSPB</v>
      </c>
      <c r="L1231" s="181"/>
    </row>
    <row r="1232" spans="1:12" hidden="1" x14ac:dyDescent="0.35">
      <c r="A1232" s="181" t="s">
        <v>4453</v>
      </c>
      <c r="B1232" s="182" t="s">
        <v>7756</v>
      </c>
      <c r="C1232" s="181" t="s">
        <v>7757</v>
      </c>
      <c r="D1232" s="178">
        <v>4.0999999999999996</v>
      </c>
      <c r="E1232" s="181" t="s">
        <v>6450</v>
      </c>
      <c r="F1232" s="184">
        <v>40323</v>
      </c>
      <c r="G1232" s="181"/>
      <c r="H1232" s="181" t="s">
        <v>6451</v>
      </c>
      <c r="I1232" s="181" t="str">
        <f>VLOOKUP(LEFT(A1232,4),Groups!$A$1:$C$188,3,FALSE)</f>
        <v>Monitoring Readings</v>
      </c>
      <c r="J1232" s="181" t="str">
        <f>VLOOKUP(A1232,Headings!$C$1:$H$3948,4,FALSE)</f>
        <v>Reading type</v>
      </c>
      <c r="K1232" s="181" t="str">
        <f t="shared" si="26"/>
        <v>MOND_TYPE|DSPC</v>
      </c>
      <c r="L1232" s="181"/>
    </row>
    <row r="1233" spans="1:12" hidden="1" x14ac:dyDescent="0.35">
      <c r="A1233" s="181" t="s">
        <v>4453</v>
      </c>
      <c r="B1233" s="182" t="s">
        <v>7758</v>
      </c>
      <c r="C1233" s="181" t="s">
        <v>7759</v>
      </c>
      <c r="D1233" s="178">
        <v>4.0999999999999996</v>
      </c>
      <c r="E1233" s="181" t="s">
        <v>6450</v>
      </c>
      <c r="F1233" s="184">
        <v>40323</v>
      </c>
      <c r="G1233" s="181"/>
      <c r="H1233" s="181" t="s">
        <v>6451</v>
      </c>
      <c r="I1233" s="181" t="str">
        <f>VLOOKUP(LEFT(A1233,4),Groups!$A$1:$C$188,3,FALSE)</f>
        <v>Monitoring Readings</v>
      </c>
      <c r="J1233" s="181" t="str">
        <f>VLOOKUP(A1233,Headings!$C$1:$H$3948,4,FALSE)</f>
        <v>Reading type</v>
      </c>
      <c r="K1233" s="181" t="str">
        <f t="shared" si="26"/>
        <v>MOND_TYPE|DSTA</v>
      </c>
      <c r="L1233" s="181"/>
    </row>
    <row r="1234" spans="1:12" hidden="1" x14ac:dyDescent="0.35">
      <c r="A1234" s="181" t="s">
        <v>4453</v>
      </c>
      <c r="B1234" s="182" t="s">
        <v>7760</v>
      </c>
      <c r="C1234" s="181" t="s">
        <v>7761</v>
      </c>
      <c r="D1234" s="178">
        <v>4.0999999999999996</v>
      </c>
      <c r="E1234" s="181" t="s">
        <v>6450</v>
      </c>
      <c r="F1234" s="184">
        <v>40323</v>
      </c>
      <c r="G1234" s="181"/>
      <c r="H1234" s="181" t="s">
        <v>6451</v>
      </c>
      <c r="I1234" s="181" t="str">
        <f>VLOOKUP(LEFT(A1234,4),Groups!$A$1:$C$188,3,FALSE)</f>
        <v>Monitoring Readings</v>
      </c>
      <c r="J1234" s="181" t="str">
        <f>VLOOKUP(A1234,Headings!$C$1:$H$3948,4,FALSE)</f>
        <v>Reading type</v>
      </c>
      <c r="K1234" s="181" t="str">
        <f t="shared" si="26"/>
        <v>MOND_TYPE|DSTB</v>
      </c>
      <c r="L1234" s="181"/>
    </row>
    <row r="1235" spans="1:12" hidden="1" x14ac:dyDescent="0.35">
      <c r="A1235" s="181" t="s">
        <v>4453</v>
      </c>
      <c r="B1235" s="182" t="s">
        <v>7762</v>
      </c>
      <c r="C1235" s="181" t="s">
        <v>7763</v>
      </c>
      <c r="D1235" s="178">
        <v>4.0999999999999996</v>
      </c>
      <c r="E1235" s="181" t="s">
        <v>6450</v>
      </c>
      <c r="F1235" s="184">
        <v>40323</v>
      </c>
      <c r="G1235" s="181"/>
      <c r="H1235" s="181" t="s">
        <v>6451</v>
      </c>
      <c r="I1235" s="181" t="str">
        <f>VLOOKUP(LEFT(A1235,4),Groups!$A$1:$C$188,3,FALSE)</f>
        <v>Monitoring Readings</v>
      </c>
      <c r="J1235" s="181" t="str">
        <f>VLOOKUP(A1235,Headings!$C$1:$H$3948,4,FALSE)</f>
        <v>Reading type</v>
      </c>
      <c r="K1235" s="181" t="str">
        <f t="shared" si="26"/>
        <v>MOND_TYPE|DSTL</v>
      </c>
      <c r="L1235" s="181"/>
    </row>
    <row r="1236" spans="1:12" hidden="1" x14ac:dyDescent="0.35">
      <c r="A1236" s="181" t="s">
        <v>4453</v>
      </c>
      <c r="B1236" s="182" t="s">
        <v>7764</v>
      </c>
      <c r="C1236" s="181" t="s">
        <v>7765</v>
      </c>
      <c r="D1236" s="178">
        <v>4.0999999999999996</v>
      </c>
      <c r="E1236" s="181" t="s">
        <v>6450</v>
      </c>
      <c r="F1236" s="184">
        <v>40323</v>
      </c>
      <c r="G1236" s="181"/>
      <c r="H1236" s="181" t="s">
        <v>6451</v>
      </c>
      <c r="I1236" s="181" t="str">
        <f>VLOOKUP(LEFT(A1236,4),Groups!$A$1:$C$188,3,FALSE)</f>
        <v>Monitoring Readings</v>
      </c>
      <c r="J1236" s="181" t="str">
        <f>VLOOKUP(A1236,Headings!$C$1:$H$3948,4,FALSE)</f>
        <v>Reading type</v>
      </c>
      <c r="K1236" s="181" t="str">
        <f t="shared" si="26"/>
        <v>MOND_TYPE|EAST</v>
      </c>
      <c r="L1236" s="181"/>
    </row>
    <row r="1237" spans="1:12" hidden="1" x14ac:dyDescent="0.35">
      <c r="A1237" s="181" t="s">
        <v>4453</v>
      </c>
      <c r="B1237" s="182" t="s">
        <v>7766</v>
      </c>
      <c r="C1237" s="181" t="s">
        <v>7767</v>
      </c>
      <c r="D1237" s="178">
        <v>4.0999999999999996</v>
      </c>
      <c r="E1237" s="181" t="s">
        <v>6450</v>
      </c>
      <c r="F1237" s="184">
        <v>42668</v>
      </c>
      <c r="G1237" s="181"/>
      <c r="H1237" s="181" t="s">
        <v>6451</v>
      </c>
      <c r="I1237" s="181" t="str">
        <f>VLOOKUP(LEFT(A1237,4),Groups!$A$1:$C$188,3,FALSE)</f>
        <v>Monitoring Readings</v>
      </c>
      <c r="J1237" s="181" t="str">
        <f>VLOOKUP(A1237,Headings!$C$1:$H$3948,4,FALSE)</f>
        <v>Reading type</v>
      </c>
      <c r="K1237" s="181" t="str">
        <f t="shared" si="26"/>
        <v>MOND_TYPE|EC</v>
      </c>
      <c r="L1237" s="181"/>
    </row>
    <row r="1238" spans="1:12" hidden="1" x14ac:dyDescent="0.35">
      <c r="A1238" s="181" t="s">
        <v>4453</v>
      </c>
      <c r="B1238" s="182" t="s">
        <v>7768</v>
      </c>
      <c r="C1238" s="181" t="s">
        <v>7769</v>
      </c>
      <c r="D1238" s="178">
        <v>4.0999999999999996</v>
      </c>
      <c r="E1238" s="181" t="s">
        <v>6450</v>
      </c>
      <c r="F1238" s="184">
        <v>43704</v>
      </c>
      <c r="G1238" s="181"/>
      <c r="H1238" s="181" t="s">
        <v>6451</v>
      </c>
      <c r="I1238" s="181" t="str">
        <f>VLOOKUP(LEFT(A1238,4),Groups!$A$1:$C$188,3,FALSE)</f>
        <v>Monitoring Readings</v>
      </c>
      <c r="J1238" s="181" t="str">
        <f>VLOOKUP(A1238,Headings!$C$1:$H$3948,4,FALSE)</f>
        <v>Reading type</v>
      </c>
      <c r="K1238" s="181" t="str">
        <f t="shared" si="26"/>
        <v>MOND_TYPE|ECA</v>
      </c>
      <c r="L1238" s="181"/>
    </row>
    <row r="1239" spans="1:12" hidden="1" x14ac:dyDescent="0.35">
      <c r="A1239" s="181" t="s">
        <v>4453</v>
      </c>
      <c r="B1239" s="182" t="s">
        <v>7770</v>
      </c>
      <c r="C1239" s="181" t="s">
        <v>7771</v>
      </c>
      <c r="D1239" s="178">
        <v>4.0999999999999996</v>
      </c>
      <c r="E1239" s="181" t="s">
        <v>6450</v>
      </c>
      <c r="F1239" s="184">
        <v>43704</v>
      </c>
      <c r="G1239" s="181"/>
      <c r="H1239" s="181" t="s">
        <v>6451</v>
      </c>
      <c r="I1239" s="181" t="str">
        <f>VLOOKUP(LEFT(A1239,4),Groups!$A$1:$C$188,3,FALSE)</f>
        <v>Monitoring Readings</v>
      </c>
      <c r="J1239" s="181" t="str">
        <f>VLOOKUP(A1239,Headings!$C$1:$H$3948,4,FALSE)</f>
        <v>Reading type</v>
      </c>
      <c r="K1239" s="181" t="str">
        <f t="shared" si="26"/>
        <v>MOND_TYPE|ECS</v>
      </c>
      <c r="L1239" s="181"/>
    </row>
    <row r="1240" spans="1:12" hidden="1" x14ac:dyDescent="0.35">
      <c r="A1240" s="181" t="s">
        <v>4453</v>
      </c>
      <c r="B1240" s="182" t="s">
        <v>7772</v>
      </c>
      <c r="C1240" s="181" t="s">
        <v>7773</v>
      </c>
      <c r="D1240" s="178">
        <v>4.0999999999999996</v>
      </c>
      <c r="E1240" s="181" t="s">
        <v>6450</v>
      </c>
      <c r="F1240" s="184">
        <v>40323</v>
      </c>
      <c r="G1240" s="181"/>
      <c r="H1240" s="181" t="s">
        <v>6451</v>
      </c>
      <c r="I1240" s="181" t="str">
        <f>VLOOKUP(LEFT(A1240,4),Groups!$A$1:$C$188,3,FALSE)</f>
        <v>Monitoring Readings</v>
      </c>
      <c r="J1240" s="181" t="str">
        <f>VLOOKUP(A1240,Headings!$C$1:$H$3948,4,FALSE)</f>
        <v>Reading type</v>
      </c>
      <c r="K1240" s="181" t="str">
        <f t="shared" si="26"/>
        <v>MOND_TYPE|ERAT</v>
      </c>
      <c r="L1240" s="181"/>
    </row>
    <row r="1241" spans="1:12" hidden="1" x14ac:dyDescent="0.35">
      <c r="A1241" s="181" t="s">
        <v>4453</v>
      </c>
      <c r="B1241" s="182" t="s">
        <v>7774</v>
      </c>
      <c r="C1241" s="181" t="s">
        <v>7775</v>
      </c>
      <c r="D1241" s="178">
        <v>4.0999999999999996</v>
      </c>
      <c r="E1241" s="181" t="s">
        <v>6450</v>
      </c>
      <c r="F1241" s="184">
        <v>40323</v>
      </c>
      <c r="G1241" s="181"/>
      <c r="H1241" s="181" t="s">
        <v>6451</v>
      </c>
      <c r="I1241" s="181" t="str">
        <f>VLOOKUP(LEFT(A1241,4),Groups!$A$1:$C$188,3,FALSE)</f>
        <v>Monitoring Readings</v>
      </c>
      <c r="J1241" s="181" t="str">
        <f>VLOOKUP(A1241,Headings!$C$1:$H$3948,4,FALSE)</f>
        <v>Reading type</v>
      </c>
      <c r="K1241" s="181" t="str">
        <f t="shared" si="26"/>
        <v>MOND_TYPE|FLOW</v>
      </c>
      <c r="L1241" s="181"/>
    </row>
    <row r="1242" spans="1:12" hidden="1" x14ac:dyDescent="0.35">
      <c r="A1242" s="181" t="s">
        <v>4453</v>
      </c>
      <c r="B1242" s="182" t="s">
        <v>7776</v>
      </c>
      <c r="C1242" s="181" t="s">
        <v>7777</v>
      </c>
      <c r="D1242" s="178">
        <v>4.0999999999999996</v>
      </c>
      <c r="E1242" s="181" t="s">
        <v>6450</v>
      </c>
      <c r="F1242" s="184">
        <v>40323</v>
      </c>
      <c r="G1242" s="181"/>
      <c r="H1242" s="181" t="s">
        <v>6451</v>
      </c>
      <c r="I1242" s="181" t="str">
        <f>VLOOKUP(LEFT(A1242,4),Groups!$A$1:$C$188,3,FALSE)</f>
        <v>Monitoring Readings</v>
      </c>
      <c r="J1242" s="181" t="str">
        <f>VLOOKUP(A1242,Headings!$C$1:$H$3948,4,FALSE)</f>
        <v>Reading type</v>
      </c>
      <c r="K1242" s="181" t="str">
        <f t="shared" si="26"/>
        <v>MOND_TYPE|FORC</v>
      </c>
      <c r="L1242" s="181"/>
    </row>
    <row r="1243" spans="1:12" hidden="1" x14ac:dyDescent="0.35">
      <c r="A1243" s="181" t="s">
        <v>4453</v>
      </c>
      <c r="B1243" s="182" t="s">
        <v>7778</v>
      </c>
      <c r="C1243" s="181" t="s">
        <v>7779</v>
      </c>
      <c r="D1243" s="178">
        <v>4.0999999999999996</v>
      </c>
      <c r="E1243" s="181" t="s">
        <v>6450</v>
      </c>
      <c r="F1243" s="184">
        <v>43712</v>
      </c>
      <c r="G1243" s="181"/>
      <c r="H1243" s="181" t="s">
        <v>6451</v>
      </c>
      <c r="I1243" s="181" t="str">
        <f>VLOOKUP(LEFT(A1243,4),Groups!$A$1:$C$188,3,FALSE)</f>
        <v>Monitoring Readings</v>
      </c>
      <c r="J1243" s="181" t="str">
        <f>VLOOKUP(A1243,Headings!$C$1:$H$3948,4,FALSE)</f>
        <v>Reading type</v>
      </c>
      <c r="K1243" s="181" t="str">
        <f t="shared" si="26"/>
        <v>MOND_TYPE|GAMP</v>
      </c>
      <c r="L1243" s="181"/>
    </row>
    <row r="1244" spans="1:12" hidden="1" x14ac:dyDescent="0.35">
      <c r="A1244" s="181" t="s">
        <v>4453</v>
      </c>
      <c r="B1244" s="182" t="s">
        <v>7780</v>
      </c>
      <c r="C1244" s="181" t="s">
        <v>7781</v>
      </c>
      <c r="D1244" s="178">
        <v>4.0999999999999996</v>
      </c>
      <c r="E1244" s="181" t="s">
        <v>6450</v>
      </c>
      <c r="F1244" s="184">
        <v>43712</v>
      </c>
      <c r="G1244" s="181"/>
      <c r="H1244" s="181" t="s">
        <v>6451</v>
      </c>
      <c r="I1244" s="181" t="str">
        <f>VLOOKUP(LEFT(A1244,4),Groups!$A$1:$C$188,3,FALSE)</f>
        <v>Monitoring Readings</v>
      </c>
      <c r="J1244" s="181" t="str">
        <f>VLOOKUP(A1244,Headings!$C$1:$H$3948,4,FALSE)</f>
        <v>Reading type</v>
      </c>
      <c r="K1244" s="181" t="str">
        <f t="shared" si="26"/>
        <v>MOND_TYPE|GAMS</v>
      </c>
      <c r="L1244" s="181"/>
    </row>
    <row r="1245" spans="1:12" hidden="1" x14ac:dyDescent="0.35">
      <c r="A1245" s="181" t="s">
        <v>4453</v>
      </c>
      <c r="B1245" s="182" t="s">
        <v>7782</v>
      </c>
      <c r="C1245" s="181" t="s">
        <v>7783</v>
      </c>
      <c r="D1245" s="178">
        <v>4.0999999999999996</v>
      </c>
      <c r="E1245" s="181" t="s">
        <v>6450</v>
      </c>
      <c r="F1245" s="184">
        <v>40323</v>
      </c>
      <c r="G1245" s="181"/>
      <c r="H1245" s="181" t="s">
        <v>6451</v>
      </c>
      <c r="I1245" s="181" t="str">
        <f>VLOOKUP(LEFT(A1245,4),Groups!$A$1:$C$188,3,FALSE)</f>
        <v>Monitoring Readings</v>
      </c>
      <c r="J1245" s="181" t="str">
        <f>VLOOKUP(A1245,Headings!$C$1:$H$3948,4,FALSE)</f>
        <v>Reading type</v>
      </c>
      <c r="K1245" s="181" t="str">
        <f t="shared" si="26"/>
        <v>MOND_TYPE|GAUG</v>
      </c>
      <c r="L1245" s="181"/>
    </row>
    <row r="1246" spans="1:12" hidden="1" x14ac:dyDescent="0.35">
      <c r="A1246" s="181" t="s">
        <v>4453</v>
      </c>
      <c r="B1246" s="182" t="s">
        <v>7784</v>
      </c>
      <c r="C1246" s="181" t="s">
        <v>7785</v>
      </c>
      <c r="D1246" s="178">
        <v>4.0999999999999996</v>
      </c>
      <c r="E1246" s="181" t="s">
        <v>6450</v>
      </c>
      <c r="F1246" s="184">
        <v>40323</v>
      </c>
      <c r="G1246" s="181"/>
      <c r="H1246" s="181" t="s">
        <v>6451</v>
      </c>
      <c r="I1246" s="181" t="str">
        <f>VLOOKUP(LEFT(A1246,4),Groups!$A$1:$C$188,3,FALSE)</f>
        <v>Monitoring Readings</v>
      </c>
      <c r="J1246" s="181" t="str">
        <f>VLOOKUP(A1246,Headings!$C$1:$H$3948,4,FALSE)</f>
        <v>Reading type</v>
      </c>
      <c r="K1246" s="181" t="str">
        <f t="shared" si="26"/>
        <v>MOND_TYPE|GCD</v>
      </c>
      <c r="L1246" s="181"/>
    </row>
    <row r="1247" spans="1:12" hidden="1" x14ac:dyDescent="0.35">
      <c r="A1247" s="181" t="s">
        <v>4453</v>
      </c>
      <c r="B1247" s="182" t="s">
        <v>7786</v>
      </c>
      <c r="C1247" s="181" t="s">
        <v>7787</v>
      </c>
      <c r="D1247" s="178">
        <v>4.0999999999999996</v>
      </c>
      <c r="E1247" s="181" t="s">
        <v>6450</v>
      </c>
      <c r="F1247" s="184">
        <v>40323</v>
      </c>
      <c r="G1247" s="181"/>
      <c r="H1247" s="181" t="s">
        <v>6451</v>
      </c>
      <c r="I1247" s="181" t="str">
        <f>VLOOKUP(LEFT(A1247,4),Groups!$A$1:$C$188,3,FALSE)</f>
        <v>Monitoring Readings</v>
      </c>
      <c r="J1247" s="181" t="str">
        <f>VLOOKUP(A1247,Headings!$C$1:$H$3948,4,FALSE)</f>
        <v>Reading type</v>
      </c>
      <c r="K1247" s="181" t="str">
        <f t="shared" si="26"/>
        <v>MOND_TYPE|GCDP</v>
      </c>
      <c r="L1247" s="181"/>
    </row>
    <row r="1248" spans="1:12" hidden="1" x14ac:dyDescent="0.35">
      <c r="A1248" s="181" t="s">
        <v>4453</v>
      </c>
      <c r="B1248" s="182" t="s">
        <v>7788</v>
      </c>
      <c r="C1248" s="181" t="s">
        <v>7789</v>
      </c>
      <c r="D1248" s="178">
        <v>4.0999999999999996</v>
      </c>
      <c r="E1248" s="181" t="s">
        <v>6450</v>
      </c>
      <c r="F1248" s="184">
        <v>40323</v>
      </c>
      <c r="G1248" s="181"/>
      <c r="H1248" s="181" t="s">
        <v>6451</v>
      </c>
      <c r="I1248" s="181" t="str">
        <f>VLOOKUP(LEFT(A1248,4),Groups!$A$1:$C$188,3,FALSE)</f>
        <v>Monitoring Readings</v>
      </c>
      <c r="J1248" s="181" t="str">
        <f>VLOOKUP(A1248,Headings!$C$1:$H$3948,4,FALSE)</f>
        <v>Reading type</v>
      </c>
      <c r="K1248" s="181" t="str">
        <f t="shared" si="26"/>
        <v>MOND_TYPE|GCDS</v>
      </c>
      <c r="L1248" s="181"/>
    </row>
    <row r="1249" spans="1:12" hidden="1" x14ac:dyDescent="0.35">
      <c r="A1249" s="181" t="s">
        <v>4453</v>
      </c>
      <c r="B1249" s="182" t="s">
        <v>7790</v>
      </c>
      <c r="C1249" s="181" t="s">
        <v>7791</v>
      </c>
      <c r="D1249" s="178">
        <v>4.0999999999999996</v>
      </c>
      <c r="E1249" s="181" t="s">
        <v>6450</v>
      </c>
      <c r="F1249" s="184">
        <v>40323</v>
      </c>
      <c r="G1249" s="181"/>
      <c r="H1249" s="181" t="s">
        <v>6451</v>
      </c>
      <c r="I1249" s="181" t="str">
        <f>VLOOKUP(LEFT(A1249,4),Groups!$A$1:$C$188,3,FALSE)</f>
        <v>Monitoring Readings</v>
      </c>
      <c r="J1249" s="181" t="str">
        <f>VLOOKUP(A1249,Headings!$C$1:$H$3948,4,FALSE)</f>
        <v>Reading type</v>
      </c>
      <c r="K1249" s="181" t="str">
        <f t="shared" si="26"/>
        <v>MOND_TYPE|GCM</v>
      </c>
      <c r="L1249" s="181"/>
    </row>
    <row r="1250" spans="1:12" hidden="1" x14ac:dyDescent="0.35">
      <c r="A1250" s="181" t="s">
        <v>4453</v>
      </c>
      <c r="B1250" s="182" t="s">
        <v>7792</v>
      </c>
      <c r="C1250" s="181" t="s">
        <v>7793</v>
      </c>
      <c r="D1250" s="178">
        <v>4.0999999999999996</v>
      </c>
      <c r="E1250" s="181" t="s">
        <v>6450</v>
      </c>
      <c r="F1250" s="184">
        <v>40323</v>
      </c>
      <c r="G1250" s="181"/>
      <c r="H1250" s="181" t="s">
        <v>6451</v>
      </c>
      <c r="I1250" s="181" t="str">
        <f>VLOOKUP(LEFT(A1250,4),Groups!$A$1:$C$188,3,FALSE)</f>
        <v>Monitoring Readings</v>
      </c>
      <c r="J1250" s="181" t="str">
        <f>VLOOKUP(A1250,Headings!$C$1:$H$3948,4,FALSE)</f>
        <v>Reading type</v>
      </c>
      <c r="K1250" s="181" t="str">
        <f t="shared" si="26"/>
        <v>MOND_TYPE|GCMP</v>
      </c>
      <c r="L1250" s="181"/>
    </row>
    <row r="1251" spans="1:12" hidden="1" x14ac:dyDescent="0.35">
      <c r="A1251" s="181" t="s">
        <v>4453</v>
      </c>
      <c r="B1251" s="182" t="s">
        <v>2538</v>
      </c>
      <c r="C1251" s="181" t="s">
        <v>7794</v>
      </c>
      <c r="D1251" s="178">
        <v>4.0999999999999996</v>
      </c>
      <c r="E1251" s="181" t="s">
        <v>6450</v>
      </c>
      <c r="F1251" s="184">
        <v>40323</v>
      </c>
      <c r="G1251" s="181"/>
      <c r="H1251" s="181" t="s">
        <v>6451</v>
      </c>
      <c r="I1251" s="181" t="str">
        <f>VLOOKUP(LEFT(A1251,4),Groups!$A$1:$C$188,3,FALSE)</f>
        <v>Monitoring Readings</v>
      </c>
      <c r="J1251" s="181" t="str">
        <f>VLOOKUP(A1251,Headings!$C$1:$H$3948,4,FALSE)</f>
        <v>Reading type</v>
      </c>
      <c r="K1251" s="181" t="str">
        <f t="shared" si="26"/>
        <v>MOND_TYPE|GCMS</v>
      </c>
      <c r="L1251" s="181"/>
    </row>
    <row r="1252" spans="1:12" hidden="1" x14ac:dyDescent="0.35">
      <c r="A1252" s="181" t="s">
        <v>4453</v>
      </c>
      <c r="B1252" s="182" t="s">
        <v>7795</v>
      </c>
      <c r="C1252" s="181" t="s">
        <v>5622</v>
      </c>
      <c r="D1252" s="178">
        <v>4.0999999999999996</v>
      </c>
      <c r="E1252" s="181" t="s">
        <v>6450</v>
      </c>
      <c r="F1252" s="184">
        <v>40323</v>
      </c>
      <c r="G1252" s="181"/>
      <c r="H1252" s="181" t="s">
        <v>6451</v>
      </c>
      <c r="I1252" s="181" t="str">
        <f>VLOOKUP(LEFT(A1252,4),Groups!$A$1:$C$188,3,FALSE)</f>
        <v>Monitoring Readings</v>
      </c>
      <c r="J1252" s="181" t="str">
        <f>VLOOKUP(A1252,Headings!$C$1:$H$3948,4,FALSE)</f>
        <v>Reading type</v>
      </c>
      <c r="K1252" s="181" t="str">
        <f t="shared" si="26"/>
        <v>MOND_TYPE|GFLO</v>
      </c>
      <c r="L1252" s="181"/>
    </row>
    <row r="1253" spans="1:12" hidden="1" x14ac:dyDescent="0.35">
      <c r="A1253" s="181" t="s">
        <v>4453</v>
      </c>
      <c r="B1253" s="182" t="s">
        <v>7796</v>
      </c>
      <c r="C1253" s="181" t="s">
        <v>7797</v>
      </c>
      <c r="D1253" s="178">
        <v>4.0999999999999996</v>
      </c>
      <c r="E1253" s="181" t="s">
        <v>6450</v>
      </c>
      <c r="F1253" s="184">
        <v>42446</v>
      </c>
      <c r="G1253" s="181"/>
      <c r="H1253" s="181" t="s">
        <v>6451</v>
      </c>
      <c r="I1253" s="181" t="str">
        <f>VLOOKUP(LEFT(A1253,4),Groups!$A$1:$C$188,3,FALSE)</f>
        <v>Monitoring Readings</v>
      </c>
      <c r="J1253" s="181" t="str">
        <f>VLOOKUP(A1253,Headings!$C$1:$H$3948,4,FALSE)</f>
        <v>Reading type</v>
      </c>
      <c r="K1253" s="181" t="str">
        <f t="shared" si="26"/>
        <v>MOND_TYPE|GFLOP</v>
      </c>
      <c r="L1253" s="181"/>
    </row>
    <row r="1254" spans="1:12" hidden="1" x14ac:dyDescent="0.35">
      <c r="A1254" s="181" t="s">
        <v>4453</v>
      </c>
      <c r="B1254" s="182" t="s">
        <v>7798</v>
      </c>
      <c r="C1254" s="181" t="s">
        <v>7799</v>
      </c>
      <c r="D1254" s="178">
        <v>4.0999999999999996</v>
      </c>
      <c r="E1254" s="181" t="s">
        <v>6450</v>
      </c>
      <c r="F1254" s="184">
        <v>42446</v>
      </c>
      <c r="G1254" s="181"/>
      <c r="H1254" s="181" t="s">
        <v>6451</v>
      </c>
      <c r="I1254" s="181" t="str">
        <f>VLOOKUP(LEFT(A1254,4),Groups!$A$1:$C$188,3,FALSE)</f>
        <v>Monitoring Readings</v>
      </c>
      <c r="J1254" s="181" t="str">
        <f>VLOOKUP(A1254,Headings!$C$1:$H$3948,4,FALSE)</f>
        <v>Reading type</v>
      </c>
      <c r="K1254" s="181" t="str">
        <f t="shared" si="26"/>
        <v>MOND_TYPE|GFLOS</v>
      </c>
      <c r="L1254" s="181"/>
    </row>
    <row r="1255" spans="1:12" hidden="1" x14ac:dyDescent="0.35">
      <c r="A1255" s="181" t="s">
        <v>4453</v>
      </c>
      <c r="B1255" s="182" t="s">
        <v>7800</v>
      </c>
      <c r="C1255" s="181" t="s">
        <v>7801</v>
      </c>
      <c r="D1255" s="178">
        <v>4.0999999999999996</v>
      </c>
      <c r="E1255" s="181" t="s">
        <v>6450</v>
      </c>
      <c r="F1255" s="184">
        <v>43712</v>
      </c>
      <c r="G1255" s="181"/>
      <c r="H1255" s="181" t="s">
        <v>6451</v>
      </c>
      <c r="I1255" s="181" t="str">
        <f>VLOOKUP(LEFT(A1255,4),Groups!$A$1:$C$188,3,FALSE)</f>
        <v>Monitoring Readings</v>
      </c>
      <c r="J1255" s="181" t="str">
        <f>VLOOKUP(A1255,Headings!$C$1:$H$3948,4,FALSE)</f>
        <v>Reading type</v>
      </c>
      <c r="K1255" s="181" t="str">
        <f t="shared" si="26"/>
        <v>MOND_TYPE|GHP</v>
      </c>
      <c r="L1255" s="181"/>
    </row>
    <row r="1256" spans="1:12" hidden="1" x14ac:dyDescent="0.35">
      <c r="A1256" s="181" t="s">
        <v>4453</v>
      </c>
      <c r="B1256" s="182" t="s">
        <v>7802</v>
      </c>
      <c r="C1256" s="181" t="s">
        <v>7803</v>
      </c>
      <c r="D1256" s="178">
        <v>4.0999999999999996</v>
      </c>
      <c r="E1256" s="181" t="s">
        <v>6450</v>
      </c>
      <c r="F1256" s="184">
        <v>43712</v>
      </c>
      <c r="G1256" s="181"/>
      <c r="H1256" s="181" t="s">
        <v>6451</v>
      </c>
      <c r="I1256" s="181" t="str">
        <f>VLOOKUP(LEFT(A1256,4),Groups!$A$1:$C$188,3,FALSE)</f>
        <v>Monitoring Readings</v>
      </c>
      <c r="J1256" s="181" t="str">
        <f>VLOOKUP(A1256,Headings!$C$1:$H$3948,4,FALSE)</f>
        <v>Reading type</v>
      </c>
      <c r="K1256" s="181" t="str">
        <f t="shared" si="26"/>
        <v>MOND_TYPE|GHS</v>
      </c>
      <c r="L1256" s="181"/>
    </row>
    <row r="1257" spans="1:12" hidden="1" x14ac:dyDescent="0.35">
      <c r="A1257" s="181" t="s">
        <v>4453</v>
      </c>
      <c r="B1257" s="182" t="s">
        <v>7210</v>
      </c>
      <c r="C1257" s="181" t="s">
        <v>7804</v>
      </c>
      <c r="D1257" s="178">
        <v>4.0999999999999996</v>
      </c>
      <c r="E1257" s="181" t="s">
        <v>6450</v>
      </c>
      <c r="F1257" s="184">
        <v>40323</v>
      </c>
      <c r="G1257" s="181"/>
      <c r="H1257" s="181" t="s">
        <v>6451</v>
      </c>
      <c r="I1257" s="181" t="str">
        <f>VLOOKUP(LEFT(A1257,4),Groups!$A$1:$C$188,3,FALSE)</f>
        <v>Monitoring Readings</v>
      </c>
      <c r="J1257" s="181" t="str">
        <f>VLOOKUP(A1257,Headings!$C$1:$H$3948,4,FALSE)</f>
        <v>Reading type</v>
      </c>
      <c r="K1257" s="181" t="str">
        <f t="shared" si="26"/>
        <v>MOND_TYPE|GM</v>
      </c>
      <c r="L1257" s="181"/>
    </row>
    <row r="1258" spans="1:12" hidden="1" x14ac:dyDescent="0.35">
      <c r="A1258" s="181" t="s">
        <v>4453</v>
      </c>
      <c r="B1258" s="182" t="s">
        <v>7805</v>
      </c>
      <c r="C1258" s="181" t="s">
        <v>7806</v>
      </c>
      <c r="D1258" s="178">
        <v>4.0999999999999996</v>
      </c>
      <c r="E1258" s="181" t="s">
        <v>6450</v>
      </c>
      <c r="F1258" s="184">
        <v>40323</v>
      </c>
      <c r="G1258" s="181"/>
      <c r="H1258" s="181" t="s">
        <v>6451</v>
      </c>
      <c r="I1258" s="181" t="str">
        <f>VLOOKUP(LEFT(A1258,4),Groups!$A$1:$C$188,3,FALSE)</f>
        <v>Monitoring Readings</v>
      </c>
      <c r="J1258" s="181" t="str">
        <f>VLOOKUP(A1258,Headings!$C$1:$H$3948,4,FALSE)</f>
        <v>Reading type</v>
      </c>
      <c r="K1258" s="181" t="str">
        <f t="shared" si="26"/>
        <v>MOND_TYPE|GMP</v>
      </c>
      <c r="L1258" s="181"/>
    </row>
    <row r="1259" spans="1:12" hidden="1" x14ac:dyDescent="0.35">
      <c r="A1259" s="181" t="s">
        <v>4453</v>
      </c>
      <c r="B1259" s="182" t="s">
        <v>7807</v>
      </c>
      <c r="C1259" s="181" t="s">
        <v>7808</v>
      </c>
      <c r="D1259" s="178">
        <v>4.0999999999999996</v>
      </c>
      <c r="E1259" s="181" t="s">
        <v>6450</v>
      </c>
      <c r="F1259" s="184">
        <v>40323</v>
      </c>
      <c r="G1259" s="181"/>
      <c r="H1259" s="181" t="s">
        <v>6451</v>
      </c>
      <c r="I1259" s="181" t="str">
        <f>VLOOKUP(LEFT(A1259,4),Groups!$A$1:$C$188,3,FALSE)</f>
        <v>Monitoring Readings</v>
      </c>
      <c r="J1259" s="181" t="str">
        <f>VLOOKUP(A1259,Headings!$C$1:$H$3948,4,FALSE)</f>
        <v>Reading type</v>
      </c>
      <c r="K1259" s="181" t="str">
        <f t="shared" si="26"/>
        <v>MOND_TYPE|GMS</v>
      </c>
      <c r="L1259" s="181"/>
    </row>
    <row r="1260" spans="1:12" hidden="1" x14ac:dyDescent="0.35">
      <c r="A1260" s="181" t="s">
        <v>4453</v>
      </c>
      <c r="B1260" s="182" t="s">
        <v>7809</v>
      </c>
      <c r="C1260" s="181" t="s">
        <v>7810</v>
      </c>
      <c r="D1260" s="178">
        <v>4.0999999999999996</v>
      </c>
      <c r="E1260" s="181" t="s">
        <v>6450</v>
      </c>
      <c r="F1260" s="184">
        <v>42446</v>
      </c>
      <c r="G1260" s="181"/>
      <c r="H1260" s="181" t="s">
        <v>6451</v>
      </c>
      <c r="I1260" s="181" t="str">
        <f>VLOOKUP(LEFT(A1260,4),Groups!$A$1:$C$188,3,FALSE)</f>
        <v>Monitoring Readings</v>
      </c>
      <c r="J1260" s="181" t="str">
        <f>VLOOKUP(A1260,Headings!$C$1:$H$3948,4,FALSE)</f>
        <v>Reading type</v>
      </c>
      <c r="K1260" s="181" t="str">
        <f t="shared" si="26"/>
        <v>MOND_TYPE|GNIT</v>
      </c>
      <c r="L1260" s="181"/>
    </row>
    <row r="1261" spans="1:12" hidden="1" x14ac:dyDescent="0.35">
      <c r="A1261" s="181" t="s">
        <v>4453</v>
      </c>
      <c r="B1261" s="182" t="s">
        <v>7809</v>
      </c>
      <c r="C1261" s="181" t="s">
        <v>7810</v>
      </c>
      <c r="D1261" s="178">
        <v>4.0999999999999996</v>
      </c>
      <c r="E1261" s="181" t="s">
        <v>6450</v>
      </c>
      <c r="F1261" s="184">
        <v>42446</v>
      </c>
      <c r="G1261" s="181"/>
      <c r="H1261" s="181" t="s">
        <v>6451</v>
      </c>
      <c r="I1261" s="181" t="str">
        <f>VLOOKUP(LEFT(A1261,4),Groups!$A$1:$C$188,3,FALSE)</f>
        <v>Monitoring Readings</v>
      </c>
      <c r="J1261" s="181" t="str">
        <f>VLOOKUP(A1261,Headings!$C$1:$H$3948,4,FALSE)</f>
        <v>Reading type</v>
      </c>
      <c r="K1261" s="181" t="str">
        <f t="shared" si="26"/>
        <v>MOND_TYPE|GNIT</v>
      </c>
      <c r="L1261" s="181"/>
    </row>
    <row r="1262" spans="1:12" hidden="1" x14ac:dyDescent="0.35">
      <c r="A1262" s="181" t="s">
        <v>4453</v>
      </c>
      <c r="B1262" s="182" t="s">
        <v>7811</v>
      </c>
      <c r="C1262" s="181" t="s">
        <v>7812</v>
      </c>
      <c r="D1262" s="178">
        <v>4.0999999999999996</v>
      </c>
      <c r="E1262" s="181" t="s">
        <v>6450</v>
      </c>
      <c r="F1262" s="184">
        <v>42446</v>
      </c>
      <c r="G1262" s="181"/>
      <c r="H1262" s="181" t="s">
        <v>6451</v>
      </c>
      <c r="I1262" s="181" t="str">
        <f>VLOOKUP(LEFT(A1262,4),Groups!$A$1:$C$188,3,FALSE)</f>
        <v>Monitoring Readings</v>
      </c>
      <c r="J1262" s="181" t="str">
        <f>VLOOKUP(A1262,Headings!$C$1:$H$3948,4,FALSE)</f>
        <v>Reading type</v>
      </c>
      <c r="K1262" s="181" t="str">
        <f t="shared" ref="K1262:K1325" si="27">A1262&amp;"|"&amp;B1262</f>
        <v>MOND_TYPE|GNITP</v>
      </c>
      <c r="L1262" s="181"/>
    </row>
    <row r="1263" spans="1:12" hidden="1" x14ac:dyDescent="0.35">
      <c r="A1263" s="181" t="s">
        <v>4453</v>
      </c>
      <c r="B1263" s="182" t="s">
        <v>7811</v>
      </c>
      <c r="C1263" s="181" t="s">
        <v>7812</v>
      </c>
      <c r="D1263" s="178">
        <v>4.0999999999999996</v>
      </c>
      <c r="E1263" s="181" t="s">
        <v>6450</v>
      </c>
      <c r="F1263" s="184">
        <v>42446</v>
      </c>
      <c r="G1263" s="181"/>
      <c r="H1263" s="181" t="s">
        <v>6451</v>
      </c>
      <c r="I1263" s="181" t="str">
        <f>VLOOKUP(LEFT(A1263,4),Groups!$A$1:$C$188,3,FALSE)</f>
        <v>Monitoring Readings</v>
      </c>
      <c r="J1263" s="181" t="str">
        <f>VLOOKUP(A1263,Headings!$C$1:$H$3948,4,FALSE)</f>
        <v>Reading type</v>
      </c>
      <c r="K1263" s="181" t="str">
        <f t="shared" si="27"/>
        <v>MOND_TYPE|GNITP</v>
      </c>
      <c r="L1263" s="181"/>
    </row>
    <row r="1264" spans="1:12" hidden="1" x14ac:dyDescent="0.35">
      <c r="A1264" s="181" t="s">
        <v>4453</v>
      </c>
      <c r="B1264" s="182" t="s">
        <v>7813</v>
      </c>
      <c r="C1264" s="181" t="s">
        <v>7814</v>
      </c>
      <c r="D1264" s="178">
        <v>4.0999999999999996</v>
      </c>
      <c r="E1264" s="181" t="s">
        <v>6450</v>
      </c>
      <c r="F1264" s="184">
        <v>42446</v>
      </c>
      <c r="G1264" s="181"/>
      <c r="H1264" s="181" t="s">
        <v>6451</v>
      </c>
      <c r="I1264" s="181" t="str">
        <f>VLOOKUP(LEFT(A1264,4),Groups!$A$1:$C$188,3,FALSE)</f>
        <v>Monitoring Readings</v>
      </c>
      <c r="J1264" s="181" t="str">
        <f>VLOOKUP(A1264,Headings!$C$1:$H$3948,4,FALSE)</f>
        <v>Reading type</v>
      </c>
      <c r="K1264" s="181" t="str">
        <f t="shared" si="27"/>
        <v>MOND_TYPE|GNITS</v>
      </c>
      <c r="L1264" s="181"/>
    </row>
    <row r="1265" spans="1:12" hidden="1" x14ac:dyDescent="0.35">
      <c r="A1265" s="181" t="s">
        <v>4453</v>
      </c>
      <c r="B1265" s="182" t="s">
        <v>7813</v>
      </c>
      <c r="C1265" s="181" t="s">
        <v>7814</v>
      </c>
      <c r="D1265" s="178">
        <v>4.0999999999999996</v>
      </c>
      <c r="E1265" s="181" t="s">
        <v>6450</v>
      </c>
      <c r="F1265" s="184">
        <v>42446</v>
      </c>
      <c r="G1265" s="181"/>
      <c r="H1265" s="181" t="s">
        <v>6451</v>
      </c>
      <c r="I1265" s="181" t="str">
        <f>VLOOKUP(LEFT(A1265,4),Groups!$A$1:$C$188,3,FALSE)</f>
        <v>Monitoring Readings</v>
      </c>
      <c r="J1265" s="181" t="str">
        <f>VLOOKUP(A1265,Headings!$C$1:$H$3948,4,FALSE)</f>
        <v>Reading type</v>
      </c>
      <c r="K1265" s="181" t="str">
        <f t="shared" si="27"/>
        <v>MOND_TYPE|GNITS</v>
      </c>
      <c r="L1265" s="181"/>
    </row>
    <row r="1266" spans="1:12" hidden="1" x14ac:dyDescent="0.35">
      <c r="A1266" s="181" t="s">
        <v>4453</v>
      </c>
      <c r="B1266" s="182" t="s">
        <v>7815</v>
      </c>
      <c r="C1266" s="181" t="s">
        <v>7816</v>
      </c>
      <c r="D1266" s="178">
        <v>4.0999999999999996</v>
      </c>
      <c r="E1266" s="181" t="s">
        <v>6450</v>
      </c>
      <c r="F1266" s="184">
        <v>40323</v>
      </c>
      <c r="G1266" s="181"/>
      <c r="H1266" s="181" t="s">
        <v>6451</v>
      </c>
      <c r="I1266" s="181" t="str">
        <f>VLOOKUP(LEFT(A1266,4),Groups!$A$1:$C$188,3,FALSE)</f>
        <v>Monitoring Readings</v>
      </c>
      <c r="J1266" s="181" t="str">
        <f>VLOOKUP(A1266,Headings!$C$1:$H$3948,4,FALSE)</f>
        <v>Reading type</v>
      </c>
      <c r="K1266" s="181" t="str">
        <f t="shared" si="27"/>
        <v>MOND_TYPE|GOX</v>
      </c>
      <c r="L1266" s="181"/>
    </row>
    <row r="1267" spans="1:12" hidden="1" x14ac:dyDescent="0.35">
      <c r="A1267" s="181" t="s">
        <v>4453</v>
      </c>
      <c r="B1267" s="182" t="s">
        <v>7817</v>
      </c>
      <c r="C1267" s="181" t="s">
        <v>7818</v>
      </c>
      <c r="D1267" s="178">
        <v>4.0999999999999996</v>
      </c>
      <c r="E1267" s="181" t="s">
        <v>6450</v>
      </c>
      <c r="F1267" s="184">
        <v>43405</v>
      </c>
      <c r="G1267" s="181"/>
      <c r="H1267" s="181" t="s">
        <v>6451</v>
      </c>
      <c r="I1267" s="181" t="str">
        <f>VLOOKUP(LEFT(A1267,4),Groups!$A$1:$C$188,3,FALSE)</f>
        <v>Monitoring Readings</v>
      </c>
      <c r="J1267" s="181" t="str">
        <f>VLOOKUP(A1267,Headings!$C$1:$H$3948,4,FALSE)</f>
        <v>Reading type</v>
      </c>
      <c r="K1267" s="181" t="str">
        <f t="shared" si="27"/>
        <v>MOND_TYPE|GOXM</v>
      </c>
      <c r="L1267" s="181"/>
    </row>
    <row r="1268" spans="1:12" hidden="1" x14ac:dyDescent="0.35">
      <c r="A1268" s="181" t="s">
        <v>4453</v>
      </c>
      <c r="B1268" s="182" t="s">
        <v>7819</v>
      </c>
      <c r="C1268" s="181" t="s">
        <v>7820</v>
      </c>
      <c r="D1268" s="178">
        <v>4.0999999999999996</v>
      </c>
      <c r="E1268" s="181" t="s">
        <v>6450</v>
      </c>
      <c r="F1268" s="184">
        <v>40323</v>
      </c>
      <c r="G1268" s="181"/>
      <c r="H1268" s="181" t="s">
        <v>6451</v>
      </c>
      <c r="I1268" s="181" t="str">
        <f>VLOOKUP(LEFT(A1268,4),Groups!$A$1:$C$188,3,FALSE)</f>
        <v>Monitoring Readings</v>
      </c>
      <c r="J1268" s="181" t="str">
        <f>VLOOKUP(A1268,Headings!$C$1:$H$3948,4,FALSE)</f>
        <v>Reading type</v>
      </c>
      <c r="K1268" s="181" t="str">
        <f t="shared" si="27"/>
        <v>MOND_TYPE|GOXP</v>
      </c>
      <c r="L1268" s="181"/>
    </row>
    <row r="1269" spans="1:12" hidden="1" x14ac:dyDescent="0.35">
      <c r="A1269" s="181" t="s">
        <v>4453</v>
      </c>
      <c r="B1269" s="182" t="s">
        <v>7821</v>
      </c>
      <c r="C1269" s="181" t="s">
        <v>7822</v>
      </c>
      <c r="D1269" s="178">
        <v>4.0999999999999996</v>
      </c>
      <c r="E1269" s="181" t="s">
        <v>6450</v>
      </c>
      <c r="F1269" s="184">
        <v>40323</v>
      </c>
      <c r="G1269" s="181"/>
      <c r="H1269" s="181" t="s">
        <v>6451</v>
      </c>
      <c r="I1269" s="181" t="str">
        <f>VLOOKUP(LEFT(A1269,4),Groups!$A$1:$C$188,3,FALSE)</f>
        <v>Monitoring Readings</v>
      </c>
      <c r="J1269" s="181" t="str">
        <f>VLOOKUP(A1269,Headings!$C$1:$H$3948,4,FALSE)</f>
        <v>Reading type</v>
      </c>
      <c r="K1269" s="181" t="str">
        <f t="shared" si="27"/>
        <v>MOND_TYPE|GOXS</v>
      </c>
      <c r="L1269" s="181"/>
    </row>
    <row r="1270" spans="1:12" hidden="1" x14ac:dyDescent="0.35">
      <c r="A1270" s="181" t="s">
        <v>4453</v>
      </c>
      <c r="B1270" s="182" t="s">
        <v>7823</v>
      </c>
      <c r="C1270" s="181" t="s">
        <v>7824</v>
      </c>
      <c r="D1270" s="178">
        <v>4.0999999999999996</v>
      </c>
      <c r="E1270" s="181" t="s">
        <v>6450</v>
      </c>
      <c r="F1270" s="184">
        <v>40323</v>
      </c>
      <c r="G1270" s="181"/>
      <c r="H1270" s="181" t="s">
        <v>6451</v>
      </c>
      <c r="I1270" s="181" t="str">
        <f>VLOOKUP(LEFT(A1270,4),Groups!$A$1:$C$188,3,FALSE)</f>
        <v>Monitoring Readings</v>
      </c>
      <c r="J1270" s="181" t="str">
        <f>VLOOKUP(A1270,Headings!$C$1:$H$3948,4,FALSE)</f>
        <v>Reading type</v>
      </c>
      <c r="K1270" s="181" t="str">
        <f t="shared" si="27"/>
        <v>MOND_TYPE|GPRS</v>
      </c>
      <c r="L1270" s="181"/>
    </row>
    <row r="1271" spans="1:12" hidden="1" x14ac:dyDescent="0.35">
      <c r="A1271" s="181" t="s">
        <v>4453</v>
      </c>
      <c r="B1271" s="182" t="s">
        <v>7825</v>
      </c>
      <c r="C1271" s="181" t="s">
        <v>7826</v>
      </c>
      <c r="D1271" s="178">
        <v>4.0999999999999996</v>
      </c>
      <c r="E1271" s="181" t="s">
        <v>6450</v>
      </c>
      <c r="F1271" s="184">
        <v>42446</v>
      </c>
      <c r="G1271" s="181"/>
      <c r="H1271" s="181" t="s">
        <v>6451</v>
      </c>
      <c r="I1271" s="181" t="str">
        <f>VLOOKUP(LEFT(A1271,4),Groups!$A$1:$C$188,3,FALSE)</f>
        <v>Monitoring Readings</v>
      </c>
      <c r="J1271" s="181" t="str">
        <f>VLOOKUP(A1271,Headings!$C$1:$H$3948,4,FALSE)</f>
        <v>Reading type</v>
      </c>
      <c r="K1271" s="181" t="str">
        <f t="shared" si="27"/>
        <v>MOND_TYPE|HYC</v>
      </c>
      <c r="L1271" s="181"/>
    </row>
    <row r="1272" spans="1:12" hidden="1" x14ac:dyDescent="0.35">
      <c r="A1272" s="181" t="s">
        <v>4453</v>
      </c>
      <c r="B1272" s="182" t="s">
        <v>7827</v>
      </c>
      <c r="C1272" s="181" t="s">
        <v>7828</v>
      </c>
      <c r="D1272" s="178">
        <v>4.0999999999999996</v>
      </c>
      <c r="E1272" s="181" t="s">
        <v>6450</v>
      </c>
      <c r="F1272" s="184">
        <v>42446</v>
      </c>
      <c r="G1272" s="181"/>
      <c r="H1272" s="181" t="s">
        <v>6451</v>
      </c>
      <c r="I1272" s="181" t="str">
        <f>VLOOKUP(LEFT(A1272,4),Groups!$A$1:$C$188,3,FALSE)</f>
        <v>Monitoring Readings</v>
      </c>
      <c r="J1272" s="181" t="str">
        <f>VLOOKUP(A1272,Headings!$C$1:$H$3948,4,FALSE)</f>
        <v>Reading type</v>
      </c>
      <c r="K1272" s="181" t="str">
        <f t="shared" si="27"/>
        <v>MOND_TYPE|HYCP</v>
      </c>
      <c r="L1272" s="181"/>
    </row>
    <row r="1273" spans="1:12" hidden="1" x14ac:dyDescent="0.35">
      <c r="A1273" s="181" t="s">
        <v>4453</v>
      </c>
      <c r="B1273" s="182" t="s">
        <v>7829</v>
      </c>
      <c r="C1273" s="181" t="s">
        <v>7830</v>
      </c>
      <c r="D1273" s="178">
        <v>4.0999999999999996</v>
      </c>
      <c r="E1273" s="181" t="s">
        <v>6450</v>
      </c>
      <c r="F1273" s="184">
        <v>42446</v>
      </c>
      <c r="G1273" s="181"/>
      <c r="H1273" s="181" t="s">
        <v>6451</v>
      </c>
      <c r="I1273" s="181" t="str">
        <f>VLOOKUP(LEFT(A1273,4),Groups!$A$1:$C$188,3,FALSE)</f>
        <v>Monitoring Readings</v>
      </c>
      <c r="J1273" s="181" t="str">
        <f>VLOOKUP(A1273,Headings!$C$1:$H$3948,4,FALSE)</f>
        <v>Reading type</v>
      </c>
      <c r="K1273" s="181" t="str">
        <f t="shared" si="27"/>
        <v>MOND_TYPE|HYCS</v>
      </c>
      <c r="L1273" s="181"/>
    </row>
    <row r="1274" spans="1:12" hidden="1" x14ac:dyDescent="0.35">
      <c r="A1274" s="181" t="s">
        <v>4453</v>
      </c>
      <c r="B1274" s="182" t="s">
        <v>7831</v>
      </c>
      <c r="C1274" s="181" t="s">
        <v>7832</v>
      </c>
      <c r="D1274" s="178">
        <v>4.0999999999999996</v>
      </c>
      <c r="E1274" s="181" t="s">
        <v>6450</v>
      </c>
      <c r="F1274" s="184">
        <v>40323</v>
      </c>
      <c r="G1274" s="181"/>
      <c r="H1274" s="181" t="s">
        <v>6451</v>
      </c>
      <c r="I1274" s="181" t="str">
        <f>VLOOKUP(LEFT(A1274,4),Groups!$A$1:$C$188,3,FALSE)</f>
        <v>Monitoring Readings</v>
      </c>
      <c r="J1274" s="181" t="str">
        <f>VLOOKUP(A1274,Headings!$C$1:$H$3948,4,FALSE)</f>
        <v>Reading type</v>
      </c>
      <c r="K1274" s="181" t="str">
        <f t="shared" si="27"/>
        <v>MOND_TYPE|HYS</v>
      </c>
      <c r="L1274" s="181"/>
    </row>
    <row r="1275" spans="1:12" hidden="1" x14ac:dyDescent="0.35">
      <c r="A1275" s="181" t="s">
        <v>4453</v>
      </c>
      <c r="B1275" s="182" t="s">
        <v>7833</v>
      </c>
      <c r="C1275" s="181" t="s">
        <v>7834</v>
      </c>
      <c r="D1275" s="178">
        <v>4.0999999999999996</v>
      </c>
      <c r="E1275" s="181" t="s">
        <v>6450</v>
      </c>
      <c r="F1275" s="184">
        <v>40323</v>
      </c>
      <c r="G1275" s="181"/>
      <c r="H1275" s="181" t="s">
        <v>6451</v>
      </c>
      <c r="I1275" s="181" t="str">
        <f>VLOOKUP(LEFT(A1275,4),Groups!$A$1:$C$188,3,FALSE)</f>
        <v>Monitoring Readings</v>
      </c>
      <c r="J1275" s="181" t="str">
        <f>VLOOKUP(A1275,Headings!$C$1:$H$3948,4,FALSE)</f>
        <v>Reading type</v>
      </c>
      <c r="K1275" s="181" t="str">
        <f t="shared" si="27"/>
        <v>MOND_TYPE|HYSP</v>
      </c>
      <c r="L1275" s="181"/>
    </row>
    <row r="1276" spans="1:12" hidden="1" x14ac:dyDescent="0.35">
      <c r="A1276" s="181" t="s">
        <v>4453</v>
      </c>
      <c r="B1276" s="182" t="s">
        <v>7835</v>
      </c>
      <c r="C1276" s="181" t="s">
        <v>7836</v>
      </c>
      <c r="D1276" s="178">
        <v>4.0999999999999996</v>
      </c>
      <c r="E1276" s="181" t="s">
        <v>6450</v>
      </c>
      <c r="F1276" s="184">
        <v>40323</v>
      </c>
      <c r="G1276" s="181"/>
      <c r="H1276" s="181" t="s">
        <v>6451</v>
      </c>
      <c r="I1276" s="181" t="str">
        <f>VLOOKUP(LEFT(A1276,4),Groups!$A$1:$C$188,3,FALSE)</f>
        <v>Monitoring Readings</v>
      </c>
      <c r="J1276" s="181" t="str">
        <f>VLOOKUP(A1276,Headings!$C$1:$H$3948,4,FALSE)</f>
        <v>Reading type</v>
      </c>
      <c r="K1276" s="181" t="str">
        <f t="shared" si="27"/>
        <v>MOND_TYPE|HYSS</v>
      </c>
      <c r="L1276" s="181"/>
    </row>
    <row r="1277" spans="1:12" hidden="1" x14ac:dyDescent="0.35">
      <c r="A1277" s="181" t="s">
        <v>4453</v>
      </c>
      <c r="B1277" s="182" t="s">
        <v>7837</v>
      </c>
      <c r="C1277" s="181" t="s">
        <v>7838</v>
      </c>
      <c r="D1277" s="178">
        <v>4.0999999999999996</v>
      </c>
      <c r="E1277" s="181" t="s">
        <v>6450</v>
      </c>
      <c r="F1277" s="184">
        <v>40323</v>
      </c>
      <c r="G1277" s="181"/>
      <c r="H1277" s="181" t="s">
        <v>6451</v>
      </c>
      <c r="I1277" s="181" t="str">
        <f>VLOOKUP(LEFT(A1277,4),Groups!$A$1:$C$188,3,FALSE)</f>
        <v>Monitoring Readings</v>
      </c>
      <c r="J1277" s="181" t="str">
        <f>VLOOKUP(A1277,Headings!$C$1:$H$3948,4,FALSE)</f>
        <v>Reading type</v>
      </c>
      <c r="K1277" s="181" t="str">
        <f t="shared" si="27"/>
        <v>MOND_TYPE|LEV</v>
      </c>
      <c r="L1277" s="181"/>
    </row>
    <row r="1278" spans="1:12" hidden="1" x14ac:dyDescent="0.35">
      <c r="A1278" s="181" t="s">
        <v>4453</v>
      </c>
      <c r="B1278" s="182" t="s">
        <v>7839</v>
      </c>
      <c r="C1278" s="181" t="s">
        <v>7840</v>
      </c>
      <c r="D1278" s="178">
        <v>4.0999999999999996</v>
      </c>
      <c r="E1278" s="181" t="s">
        <v>6450</v>
      </c>
      <c r="F1278" s="184">
        <v>41774</v>
      </c>
      <c r="G1278" s="181"/>
      <c r="H1278" s="181" t="s">
        <v>6451</v>
      </c>
      <c r="I1278" s="181" t="str">
        <f>VLOOKUP(LEFT(A1278,4),Groups!$A$1:$C$188,3,FALSE)</f>
        <v>Monitoring Readings</v>
      </c>
      <c r="J1278" s="181" t="str">
        <f>VLOOKUP(A1278,Headings!$C$1:$H$3948,4,FALSE)</f>
        <v>Reading type</v>
      </c>
      <c r="K1278" s="181" t="str">
        <f t="shared" si="27"/>
        <v>MOND_TYPE|LNAPL</v>
      </c>
      <c r="L1278" s="181"/>
    </row>
    <row r="1279" spans="1:12" hidden="1" x14ac:dyDescent="0.35">
      <c r="A1279" s="181" t="s">
        <v>4453</v>
      </c>
      <c r="B1279" s="182" t="s">
        <v>7841</v>
      </c>
      <c r="C1279" s="181" t="s">
        <v>7842</v>
      </c>
      <c r="D1279" s="178">
        <v>4.0999999999999996</v>
      </c>
      <c r="E1279" s="181" t="s">
        <v>6450</v>
      </c>
      <c r="F1279" s="184">
        <v>40323</v>
      </c>
      <c r="G1279" s="181"/>
      <c r="H1279" s="181" t="s">
        <v>6451</v>
      </c>
      <c r="I1279" s="181" t="str">
        <f>VLOOKUP(LEFT(A1279,4),Groups!$A$1:$C$188,3,FALSE)</f>
        <v>Monitoring Readings</v>
      </c>
      <c r="J1279" s="181" t="str">
        <f>VLOOKUP(A1279,Headings!$C$1:$H$3948,4,FALSE)</f>
        <v>Reading type</v>
      </c>
      <c r="K1279" s="181" t="str">
        <f t="shared" si="27"/>
        <v>MOND_TYPE|NRTH</v>
      </c>
      <c r="L1279" s="181"/>
    </row>
    <row r="1280" spans="1:12" hidden="1" x14ac:dyDescent="0.35">
      <c r="A1280" s="181" t="s">
        <v>4453</v>
      </c>
      <c r="B1280" s="182" t="s">
        <v>7843</v>
      </c>
      <c r="C1280" s="181" t="s">
        <v>7844</v>
      </c>
      <c r="D1280" s="178">
        <v>4.0999999999999996</v>
      </c>
      <c r="E1280" s="181" t="s">
        <v>6450</v>
      </c>
      <c r="F1280" s="184">
        <v>43720</v>
      </c>
      <c r="G1280" s="181"/>
      <c r="H1280" s="181" t="s">
        <v>6451</v>
      </c>
      <c r="I1280" s="181" t="str">
        <f>VLOOKUP(LEFT(A1280,4),Groups!$A$1:$C$188,3,FALSE)</f>
        <v>Monitoring Readings</v>
      </c>
      <c r="J1280" s="181" t="str">
        <f>VLOOKUP(A1280,Headings!$C$1:$H$3948,4,FALSE)</f>
        <v>Reading type</v>
      </c>
      <c r="K1280" s="181" t="str">
        <f t="shared" si="27"/>
        <v>MOND_TYPE|OPP</v>
      </c>
      <c r="L1280" s="181"/>
    </row>
    <row r="1281" spans="1:12" hidden="1" x14ac:dyDescent="0.35">
      <c r="A1281" s="181" t="s">
        <v>4453</v>
      </c>
      <c r="B1281" s="182" t="s">
        <v>6694</v>
      </c>
      <c r="C1281" s="181" t="s">
        <v>7845</v>
      </c>
      <c r="D1281" s="178">
        <v>4.0999999999999996</v>
      </c>
      <c r="E1281" s="181" t="s">
        <v>6450</v>
      </c>
      <c r="F1281" s="184">
        <v>42908</v>
      </c>
      <c r="G1281" s="181"/>
      <c r="H1281" s="181" t="s">
        <v>6451</v>
      </c>
      <c r="I1281" s="181" t="str">
        <f>VLOOKUP(LEFT(A1281,4),Groups!$A$1:$C$188,3,FALSE)</f>
        <v>Monitoring Readings</v>
      </c>
      <c r="J1281" s="181" t="str">
        <f>VLOOKUP(A1281,Headings!$C$1:$H$3948,4,FALSE)</f>
        <v>Reading type</v>
      </c>
      <c r="K1281" s="181" t="str">
        <f t="shared" si="27"/>
        <v>MOND_TYPE|PH</v>
      </c>
      <c r="L1281" s="181"/>
    </row>
    <row r="1282" spans="1:12" hidden="1" x14ac:dyDescent="0.35">
      <c r="A1282" s="181" t="s">
        <v>4453</v>
      </c>
      <c r="B1282" s="182" t="s">
        <v>7846</v>
      </c>
      <c r="C1282" s="181" t="s">
        <v>7847</v>
      </c>
      <c r="D1282" s="178">
        <v>4.0999999999999996</v>
      </c>
      <c r="E1282" s="181" t="s">
        <v>6450</v>
      </c>
      <c r="F1282" s="184">
        <v>43363</v>
      </c>
      <c r="G1282" s="181"/>
      <c r="H1282" s="181" t="s">
        <v>6451</v>
      </c>
      <c r="I1282" s="181" t="str">
        <f>VLOOKUP(LEFT(A1282,4),Groups!$A$1:$C$188,3,FALSE)</f>
        <v>Monitoring Readings</v>
      </c>
      <c r="J1282" s="181" t="str">
        <f>VLOOKUP(A1282,Headings!$C$1:$H$3948,4,FALSE)</f>
        <v>Reading type</v>
      </c>
      <c r="K1282" s="181" t="str">
        <f t="shared" si="27"/>
        <v>MOND_TYPE|PID</v>
      </c>
      <c r="L1282" s="181"/>
    </row>
    <row r="1283" spans="1:12" hidden="1" x14ac:dyDescent="0.35">
      <c r="A1283" s="181" t="s">
        <v>4453</v>
      </c>
      <c r="B1283" s="182" t="s">
        <v>7848</v>
      </c>
      <c r="C1283" s="181" t="s">
        <v>7849</v>
      </c>
      <c r="D1283" s="178">
        <v>4.0999999999999996</v>
      </c>
      <c r="E1283" s="181" t="s">
        <v>6450</v>
      </c>
      <c r="F1283" s="184">
        <v>43363</v>
      </c>
      <c r="G1283" s="181"/>
      <c r="H1283" s="181" t="s">
        <v>6451</v>
      </c>
      <c r="I1283" s="181" t="str">
        <f>VLOOKUP(LEFT(A1283,4),Groups!$A$1:$C$188,3,FALSE)</f>
        <v>Monitoring Readings</v>
      </c>
      <c r="J1283" s="181" t="str">
        <f>VLOOKUP(A1283,Headings!$C$1:$H$3948,4,FALSE)</f>
        <v>Reading type</v>
      </c>
      <c r="K1283" s="181" t="str">
        <f t="shared" si="27"/>
        <v>MOND_TYPE|PIDP</v>
      </c>
      <c r="L1283" s="181"/>
    </row>
    <row r="1284" spans="1:12" hidden="1" x14ac:dyDescent="0.35">
      <c r="A1284" s="181" t="s">
        <v>4453</v>
      </c>
      <c r="B1284" s="182" t="s">
        <v>7850</v>
      </c>
      <c r="C1284" s="181" t="s">
        <v>7851</v>
      </c>
      <c r="D1284" s="178">
        <v>4.0999999999999996</v>
      </c>
      <c r="E1284" s="181" t="s">
        <v>6450</v>
      </c>
      <c r="F1284" s="184">
        <v>43363</v>
      </c>
      <c r="G1284" s="181"/>
      <c r="H1284" s="181" t="s">
        <v>6451</v>
      </c>
      <c r="I1284" s="181" t="str">
        <f>VLOOKUP(LEFT(A1284,4),Groups!$A$1:$C$188,3,FALSE)</f>
        <v>Monitoring Readings</v>
      </c>
      <c r="J1284" s="181" t="str">
        <f>VLOOKUP(A1284,Headings!$C$1:$H$3948,4,FALSE)</f>
        <v>Reading type</v>
      </c>
      <c r="K1284" s="181" t="str">
        <f t="shared" si="27"/>
        <v>MOND_TYPE|PIDS</v>
      </c>
      <c r="L1284" s="181"/>
    </row>
    <row r="1285" spans="1:12" hidden="1" x14ac:dyDescent="0.35">
      <c r="A1285" s="181" t="s">
        <v>4453</v>
      </c>
      <c r="B1285" s="182" t="s">
        <v>7852</v>
      </c>
      <c r="C1285" s="181" t="s">
        <v>7853</v>
      </c>
      <c r="D1285" s="178">
        <v>4.0999999999999996</v>
      </c>
      <c r="E1285" s="181" t="s">
        <v>6450</v>
      </c>
      <c r="F1285" s="184">
        <v>43129</v>
      </c>
      <c r="G1285" s="181"/>
      <c r="H1285" s="181" t="s">
        <v>6451</v>
      </c>
      <c r="I1285" s="181" t="str">
        <f>VLOOKUP(LEFT(A1285,4),Groups!$A$1:$C$188,3,FALSE)</f>
        <v>Monitoring Readings</v>
      </c>
      <c r="J1285" s="181" t="str">
        <f>VLOOKUP(A1285,Headings!$C$1:$H$3948,4,FALSE)</f>
        <v>Reading type</v>
      </c>
      <c r="K1285" s="181" t="str">
        <f t="shared" si="27"/>
        <v>MOND_TYPE|PRES</v>
      </c>
      <c r="L1285" s="181"/>
    </row>
    <row r="1286" spans="1:12" hidden="1" x14ac:dyDescent="0.35">
      <c r="A1286" s="181" t="s">
        <v>4453</v>
      </c>
      <c r="B1286" s="182" t="s">
        <v>7854</v>
      </c>
      <c r="C1286" s="181" t="s">
        <v>7855</v>
      </c>
      <c r="D1286" s="178">
        <v>4.0999999999999996</v>
      </c>
      <c r="E1286" s="181" t="s">
        <v>6450</v>
      </c>
      <c r="F1286" s="184">
        <v>43774</v>
      </c>
      <c r="G1286" s="181"/>
      <c r="H1286" s="181" t="s">
        <v>6451</v>
      </c>
      <c r="I1286" s="181" t="str">
        <f>VLOOKUP(LEFT(A1286,4),Groups!$A$1:$C$188,3,FALSE)</f>
        <v>Monitoring Readings</v>
      </c>
      <c r="J1286" s="181" t="str">
        <f>VLOOKUP(A1286,Headings!$C$1:$H$3948,4,FALSE)</f>
        <v>Reading type</v>
      </c>
      <c r="K1286" s="181" t="str">
        <f t="shared" si="27"/>
        <v>MOND_TYPE|RAD</v>
      </c>
      <c r="L1286" s="181"/>
    </row>
    <row r="1287" spans="1:12" hidden="1" x14ac:dyDescent="0.35">
      <c r="A1287" s="181" t="s">
        <v>4453</v>
      </c>
      <c r="B1287" s="182" t="s">
        <v>7856</v>
      </c>
      <c r="C1287" s="181" t="s">
        <v>7857</v>
      </c>
      <c r="D1287" s="178">
        <v>4.0999999999999996</v>
      </c>
      <c r="E1287" s="181" t="s">
        <v>6450</v>
      </c>
      <c r="F1287" s="184">
        <v>40323</v>
      </c>
      <c r="G1287" s="181"/>
      <c r="H1287" s="181" t="s">
        <v>6451</v>
      </c>
      <c r="I1287" s="181" t="str">
        <f>VLOOKUP(LEFT(A1287,4),Groups!$A$1:$C$188,3,FALSE)</f>
        <v>Monitoring Readings</v>
      </c>
      <c r="J1287" s="181" t="str">
        <f>VLOOKUP(A1287,Headings!$C$1:$H$3948,4,FALSE)</f>
        <v>Reading type</v>
      </c>
      <c r="K1287" s="181" t="str">
        <f t="shared" si="27"/>
        <v>MOND_TYPE|RAIN</v>
      </c>
      <c r="L1287" s="181"/>
    </row>
    <row r="1288" spans="1:12" hidden="1" x14ac:dyDescent="0.35">
      <c r="A1288" s="181" t="s">
        <v>4453</v>
      </c>
      <c r="B1288" s="182" t="s">
        <v>7858</v>
      </c>
      <c r="C1288" s="181" t="s">
        <v>3301</v>
      </c>
      <c r="D1288" s="178">
        <v>4.0999999999999996</v>
      </c>
      <c r="E1288" s="181" t="s">
        <v>6450</v>
      </c>
      <c r="F1288" s="184">
        <v>42668</v>
      </c>
      <c r="G1288" s="181"/>
      <c r="H1288" s="181" t="s">
        <v>6451</v>
      </c>
      <c r="I1288" s="181" t="str">
        <f>VLOOKUP(LEFT(A1288,4),Groups!$A$1:$C$188,3,FALSE)</f>
        <v>Monitoring Readings</v>
      </c>
      <c r="J1288" s="181" t="str">
        <f>VLOOKUP(A1288,Headings!$C$1:$H$3948,4,FALSE)</f>
        <v>Reading type</v>
      </c>
      <c r="K1288" s="181" t="str">
        <f t="shared" si="27"/>
        <v>MOND_TYPE|RDX</v>
      </c>
      <c r="L1288" s="181"/>
    </row>
    <row r="1289" spans="1:12" hidden="1" x14ac:dyDescent="0.35">
      <c r="A1289" s="181" t="s">
        <v>4453</v>
      </c>
      <c r="B1289" s="182" t="s">
        <v>7859</v>
      </c>
      <c r="C1289" s="181" t="s">
        <v>7860</v>
      </c>
      <c r="D1289" s="178">
        <v>4.0999999999999996</v>
      </c>
      <c r="E1289" s="181" t="s">
        <v>6450</v>
      </c>
      <c r="F1289" s="184">
        <v>42668</v>
      </c>
      <c r="G1289" s="181"/>
      <c r="H1289" s="181" t="s">
        <v>6451</v>
      </c>
      <c r="I1289" s="181" t="str">
        <f>VLOOKUP(LEFT(A1289,4),Groups!$A$1:$C$188,3,FALSE)</f>
        <v>Monitoring Readings</v>
      </c>
      <c r="J1289" s="181" t="str">
        <f>VLOOKUP(A1289,Headings!$C$1:$H$3948,4,FALSE)</f>
        <v>Reading type</v>
      </c>
      <c r="K1289" s="181" t="str">
        <f t="shared" si="27"/>
        <v>MOND_TYPE|RES</v>
      </c>
      <c r="L1289" s="181"/>
    </row>
    <row r="1290" spans="1:12" hidden="1" x14ac:dyDescent="0.35">
      <c r="A1290" s="181" t="s">
        <v>4453</v>
      </c>
      <c r="B1290" s="182" t="s">
        <v>7861</v>
      </c>
      <c r="C1290" s="181" t="s">
        <v>7862</v>
      </c>
      <c r="D1290" s="178">
        <v>4.0999999999999996</v>
      </c>
      <c r="E1290" s="181" t="s">
        <v>6450</v>
      </c>
      <c r="F1290" s="184">
        <v>40323</v>
      </c>
      <c r="G1290" s="181"/>
      <c r="H1290" s="181" t="s">
        <v>6451</v>
      </c>
      <c r="I1290" s="181" t="str">
        <f>VLOOKUP(LEFT(A1290,4),Groups!$A$1:$C$188,3,FALSE)</f>
        <v>Monitoring Readings</v>
      </c>
      <c r="J1290" s="181" t="str">
        <f>VLOOKUP(A1290,Headings!$C$1:$H$3948,4,FALSE)</f>
        <v>Reading type</v>
      </c>
      <c r="K1290" s="181" t="str">
        <f t="shared" si="27"/>
        <v>MOND_TYPE|RFLOW</v>
      </c>
      <c r="L1290" s="181"/>
    </row>
    <row r="1291" spans="1:12" hidden="1" x14ac:dyDescent="0.35">
      <c r="A1291" s="181" t="s">
        <v>4453</v>
      </c>
      <c r="B1291" s="182" t="s">
        <v>7863</v>
      </c>
      <c r="C1291" s="181" t="s">
        <v>7864</v>
      </c>
      <c r="D1291" s="178">
        <v>4.0999999999999996</v>
      </c>
      <c r="E1291" s="181" t="s">
        <v>6450</v>
      </c>
      <c r="F1291" s="184">
        <v>40323</v>
      </c>
      <c r="G1291" s="181"/>
      <c r="H1291" s="181" t="s">
        <v>6451</v>
      </c>
      <c r="I1291" s="181" t="str">
        <f>VLOOKUP(LEFT(A1291,4),Groups!$A$1:$C$188,3,FALSE)</f>
        <v>Monitoring Readings</v>
      </c>
      <c r="J1291" s="181" t="str">
        <f>VLOOKUP(A1291,Headings!$C$1:$H$3948,4,FALSE)</f>
        <v>Reading type</v>
      </c>
      <c r="K1291" s="181" t="str">
        <f t="shared" si="27"/>
        <v>MOND_TYPE|RLEVEL</v>
      </c>
      <c r="L1291" s="181"/>
    </row>
    <row r="1292" spans="1:12" hidden="1" x14ac:dyDescent="0.35">
      <c r="A1292" s="181" t="s">
        <v>4453</v>
      </c>
      <c r="B1292" s="182" t="s">
        <v>7865</v>
      </c>
      <c r="C1292" s="181" t="s">
        <v>7866</v>
      </c>
      <c r="D1292" s="178">
        <v>4.0999999999999996</v>
      </c>
      <c r="E1292" s="181" t="s">
        <v>6450</v>
      </c>
      <c r="F1292" s="184">
        <v>40323</v>
      </c>
      <c r="G1292" s="181"/>
      <c r="H1292" s="181" t="s">
        <v>6451</v>
      </c>
      <c r="I1292" s="181" t="str">
        <f>VLOOKUP(LEFT(A1292,4),Groups!$A$1:$C$188,3,FALSE)</f>
        <v>Monitoring Readings</v>
      </c>
      <c r="J1292" s="181" t="str">
        <f>VLOOKUP(A1292,Headings!$C$1:$H$3948,4,FALSE)</f>
        <v>Reading type</v>
      </c>
      <c r="K1292" s="181" t="str">
        <f t="shared" si="27"/>
        <v>MOND_TYPE|ROTS</v>
      </c>
      <c r="L1292" s="181"/>
    </row>
    <row r="1293" spans="1:12" hidden="1" x14ac:dyDescent="0.35">
      <c r="A1293" s="181" t="s">
        <v>4453</v>
      </c>
      <c r="B1293" s="182" t="s">
        <v>7867</v>
      </c>
      <c r="C1293" s="181" t="s">
        <v>7868</v>
      </c>
      <c r="D1293" s="178">
        <v>4.0999999999999996</v>
      </c>
      <c r="E1293" s="181" t="s">
        <v>6450</v>
      </c>
      <c r="F1293" s="184">
        <v>42668</v>
      </c>
      <c r="G1293" s="181"/>
      <c r="H1293" s="181" t="s">
        <v>6451</v>
      </c>
      <c r="I1293" s="181" t="str">
        <f>VLOOKUP(LEFT(A1293,4),Groups!$A$1:$C$188,3,FALSE)</f>
        <v>Monitoring Readings</v>
      </c>
      <c r="J1293" s="181" t="str">
        <f>VLOOKUP(A1293,Headings!$C$1:$H$3948,4,FALSE)</f>
        <v>Reading type</v>
      </c>
      <c r="K1293" s="181" t="str">
        <f t="shared" si="27"/>
        <v>MOND_TYPE|SAL</v>
      </c>
      <c r="L1293" s="181"/>
    </row>
    <row r="1294" spans="1:12" hidden="1" x14ac:dyDescent="0.35">
      <c r="A1294" s="181" t="s">
        <v>4453</v>
      </c>
      <c r="B1294" s="182" t="s">
        <v>7869</v>
      </c>
      <c r="C1294" s="181" t="s">
        <v>7870</v>
      </c>
      <c r="D1294" s="178">
        <v>4.0999999999999996</v>
      </c>
      <c r="E1294" s="181" t="s">
        <v>6450</v>
      </c>
      <c r="F1294" s="184">
        <v>43132</v>
      </c>
      <c r="G1294" s="181"/>
      <c r="H1294" s="181" t="s">
        <v>6451</v>
      </c>
      <c r="I1294" s="181" t="str">
        <f>VLOOKUP(LEFT(A1294,4),Groups!$A$1:$C$188,3,FALSE)</f>
        <v>Monitoring Readings</v>
      </c>
      <c r="J1294" s="181" t="str">
        <f>VLOOKUP(A1294,Headings!$C$1:$H$3948,4,FALSE)</f>
        <v>Reading type</v>
      </c>
      <c r="K1294" s="181" t="str">
        <f t="shared" si="27"/>
        <v>MOND_TYPE|SAMPTEMP</v>
      </c>
      <c r="L1294" s="181"/>
    </row>
    <row r="1295" spans="1:12" hidden="1" x14ac:dyDescent="0.35">
      <c r="A1295" s="181" t="s">
        <v>4453</v>
      </c>
      <c r="B1295" s="182" t="s">
        <v>7871</v>
      </c>
      <c r="C1295" s="181" t="s">
        <v>8</v>
      </c>
      <c r="D1295" s="178">
        <v>4.0999999999999996</v>
      </c>
      <c r="E1295" s="181" t="s">
        <v>6450</v>
      </c>
      <c r="F1295" s="184">
        <v>40323</v>
      </c>
      <c r="G1295" s="181"/>
      <c r="H1295" s="181" t="s">
        <v>6451</v>
      </c>
      <c r="I1295" s="181" t="str">
        <f>VLOOKUP(LEFT(A1295,4),Groups!$A$1:$C$188,3,FALSE)</f>
        <v>Monitoring Readings</v>
      </c>
      <c r="J1295" s="181" t="str">
        <f>VLOOKUP(A1295,Headings!$C$1:$H$3948,4,FALSE)</f>
        <v>Reading type</v>
      </c>
      <c r="K1295" s="181" t="str">
        <f t="shared" si="27"/>
        <v>MOND_TYPE|STAT</v>
      </c>
      <c r="L1295" s="181"/>
    </row>
    <row r="1296" spans="1:12" hidden="1" x14ac:dyDescent="0.35">
      <c r="A1296" s="181" t="s">
        <v>4453</v>
      </c>
      <c r="B1296" s="182" t="s">
        <v>7872</v>
      </c>
      <c r="C1296" s="181" t="s">
        <v>7873</v>
      </c>
      <c r="D1296" s="178">
        <v>4.0999999999999996</v>
      </c>
      <c r="E1296" s="181" t="s">
        <v>6450</v>
      </c>
      <c r="F1296" s="184">
        <v>40323</v>
      </c>
      <c r="G1296" s="181"/>
      <c r="H1296" s="181" t="s">
        <v>6451</v>
      </c>
      <c r="I1296" s="181" t="str">
        <f>VLOOKUP(LEFT(A1296,4),Groups!$A$1:$C$188,3,FALSE)</f>
        <v>Monitoring Readings</v>
      </c>
      <c r="J1296" s="181" t="str">
        <f>VLOOKUP(A1296,Headings!$C$1:$H$3948,4,FALSE)</f>
        <v>Reading type</v>
      </c>
      <c r="K1296" s="181" t="str">
        <f t="shared" si="27"/>
        <v>MOND_TYPE|STRA</v>
      </c>
      <c r="L1296" s="181"/>
    </row>
    <row r="1297" spans="1:12" hidden="1" x14ac:dyDescent="0.35">
      <c r="A1297" s="181" t="s">
        <v>4453</v>
      </c>
      <c r="B1297" s="182" t="s">
        <v>7874</v>
      </c>
      <c r="C1297" s="181" t="s">
        <v>7875</v>
      </c>
      <c r="D1297" s="178">
        <v>4.0999999999999996</v>
      </c>
      <c r="E1297" s="181" t="s">
        <v>6450</v>
      </c>
      <c r="F1297" s="184">
        <v>40323</v>
      </c>
      <c r="G1297" s="181"/>
      <c r="H1297" s="181" t="s">
        <v>6451</v>
      </c>
      <c r="I1297" s="181" t="str">
        <f>VLOOKUP(LEFT(A1297,4),Groups!$A$1:$C$188,3,FALSE)</f>
        <v>Monitoring Readings</v>
      </c>
      <c r="J1297" s="181" t="str">
        <f>VLOOKUP(A1297,Headings!$C$1:$H$3948,4,FALSE)</f>
        <v>Reading type</v>
      </c>
      <c r="K1297" s="181" t="str">
        <f t="shared" si="27"/>
        <v>MOND_TYPE|STRB</v>
      </c>
      <c r="L1297" s="181"/>
    </row>
    <row r="1298" spans="1:12" hidden="1" x14ac:dyDescent="0.35">
      <c r="A1298" s="181" t="s">
        <v>4453</v>
      </c>
      <c r="B1298" s="182" t="s">
        <v>7876</v>
      </c>
      <c r="C1298" s="181" t="s">
        <v>7877</v>
      </c>
      <c r="D1298" s="178">
        <v>4.0999999999999996</v>
      </c>
      <c r="E1298" s="181" t="s">
        <v>6450</v>
      </c>
      <c r="F1298" s="184">
        <v>40323</v>
      </c>
      <c r="G1298" s="181"/>
      <c r="H1298" s="181" t="s">
        <v>6451</v>
      </c>
      <c r="I1298" s="181" t="str">
        <f>VLOOKUP(LEFT(A1298,4),Groups!$A$1:$C$188,3,FALSE)</f>
        <v>Monitoring Readings</v>
      </c>
      <c r="J1298" s="181" t="str">
        <f>VLOOKUP(A1298,Headings!$C$1:$H$3948,4,FALSE)</f>
        <v>Reading type</v>
      </c>
      <c r="K1298" s="181" t="str">
        <f t="shared" si="27"/>
        <v>MOND_TYPE|STRC</v>
      </c>
      <c r="L1298" s="181"/>
    </row>
    <row r="1299" spans="1:12" hidden="1" x14ac:dyDescent="0.35">
      <c r="A1299" s="181" t="s">
        <v>4453</v>
      </c>
      <c r="B1299" s="182" t="s">
        <v>6749</v>
      </c>
      <c r="C1299" s="181" t="s">
        <v>7878</v>
      </c>
      <c r="D1299" s="178">
        <v>4.0999999999999996</v>
      </c>
      <c r="E1299" s="181" t="s">
        <v>6450</v>
      </c>
      <c r="F1299" s="184">
        <v>42668</v>
      </c>
      <c r="G1299" s="181"/>
      <c r="H1299" s="181" t="s">
        <v>6451</v>
      </c>
      <c r="I1299" s="181" t="str">
        <f>VLOOKUP(LEFT(A1299,4),Groups!$A$1:$C$188,3,FALSE)</f>
        <v>Monitoring Readings</v>
      </c>
      <c r="J1299" s="181" t="str">
        <f>VLOOKUP(A1299,Headings!$C$1:$H$3948,4,FALSE)</f>
        <v>Reading type</v>
      </c>
      <c r="K1299" s="181" t="str">
        <f t="shared" si="27"/>
        <v>MOND_TYPE|TDS</v>
      </c>
      <c r="L1299" s="181"/>
    </row>
    <row r="1300" spans="1:12" hidden="1" x14ac:dyDescent="0.35">
      <c r="A1300" s="181" t="s">
        <v>4453</v>
      </c>
      <c r="B1300" s="182" t="s">
        <v>7879</v>
      </c>
      <c r="C1300" s="181" t="s">
        <v>7880</v>
      </c>
      <c r="D1300" s="178">
        <v>4.0999999999999996</v>
      </c>
      <c r="E1300" s="181" t="s">
        <v>6450</v>
      </c>
      <c r="F1300" s="184">
        <v>40323</v>
      </c>
      <c r="G1300" s="181"/>
      <c r="H1300" s="181" t="s">
        <v>6451</v>
      </c>
      <c r="I1300" s="181" t="str">
        <f>VLOOKUP(LEFT(A1300,4),Groups!$A$1:$C$188,3,FALSE)</f>
        <v>Monitoring Readings</v>
      </c>
      <c r="J1300" s="181" t="str">
        <f>VLOOKUP(A1300,Headings!$C$1:$H$3948,4,FALSE)</f>
        <v>Reading type</v>
      </c>
      <c r="K1300" s="181" t="str">
        <f t="shared" si="27"/>
        <v>MOND_TYPE|TEMP</v>
      </c>
      <c r="L1300" s="181"/>
    </row>
    <row r="1301" spans="1:12" hidden="1" x14ac:dyDescent="0.35">
      <c r="A1301" s="181" t="s">
        <v>4453</v>
      </c>
      <c r="B1301" s="182" t="s">
        <v>7881</v>
      </c>
      <c r="C1301" s="181" t="s">
        <v>7882</v>
      </c>
      <c r="D1301" s="178">
        <v>4.0999999999999996</v>
      </c>
      <c r="E1301" s="181" t="s">
        <v>6450</v>
      </c>
      <c r="F1301" s="184">
        <v>40323</v>
      </c>
      <c r="G1301" s="181"/>
      <c r="H1301" s="181" t="s">
        <v>6451</v>
      </c>
      <c r="I1301" s="181" t="str">
        <f>VLOOKUP(LEFT(A1301,4),Groups!$A$1:$C$188,3,FALSE)</f>
        <v>Monitoring Readings</v>
      </c>
      <c r="J1301" s="181" t="str">
        <f>VLOOKUP(A1301,Headings!$C$1:$H$3948,4,FALSE)</f>
        <v>Reading type</v>
      </c>
      <c r="K1301" s="181" t="str">
        <f t="shared" si="27"/>
        <v>MOND_TYPE|TGM</v>
      </c>
      <c r="L1301" s="181"/>
    </row>
    <row r="1302" spans="1:12" hidden="1" x14ac:dyDescent="0.35">
      <c r="A1302" s="181" t="s">
        <v>4453</v>
      </c>
      <c r="B1302" s="182" t="s">
        <v>7883</v>
      </c>
      <c r="C1302" s="181" t="s">
        <v>7884</v>
      </c>
      <c r="D1302" s="178">
        <v>4.0999999999999996</v>
      </c>
      <c r="E1302" s="181" t="s">
        <v>6450</v>
      </c>
      <c r="F1302" s="184">
        <v>40323</v>
      </c>
      <c r="G1302" s="181"/>
      <c r="H1302" s="181" t="s">
        <v>6451</v>
      </c>
      <c r="I1302" s="181" t="str">
        <f>VLOOKUP(LEFT(A1302,4),Groups!$A$1:$C$188,3,FALSE)</f>
        <v>Monitoring Readings</v>
      </c>
      <c r="J1302" s="181" t="str">
        <f>VLOOKUP(A1302,Headings!$C$1:$H$3948,4,FALSE)</f>
        <v>Reading type</v>
      </c>
      <c r="K1302" s="181" t="str">
        <f t="shared" si="27"/>
        <v>MOND_TYPE|TGMP</v>
      </c>
      <c r="L1302" s="181"/>
    </row>
    <row r="1303" spans="1:12" hidden="1" x14ac:dyDescent="0.35">
      <c r="A1303" s="181" t="s">
        <v>4453</v>
      </c>
      <c r="B1303" s="182" t="s">
        <v>7885</v>
      </c>
      <c r="C1303" s="181" t="s">
        <v>7886</v>
      </c>
      <c r="D1303" s="178">
        <v>4.0999999999999996</v>
      </c>
      <c r="E1303" s="181" t="s">
        <v>6450</v>
      </c>
      <c r="F1303" s="184">
        <v>40323</v>
      </c>
      <c r="G1303" s="181"/>
      <c r="H1303" s="181" t="s">
        <v>6451</v>
      </c>
      <c r="I1303" s="181" t="str">
        <f>VLOOKUP(LEFT(A1303,4),Groups!$A$1:$C$188,3,FALSE)</f>
        <v>Monitoring Readings</v>
      </c>
      <c r="J1303" s="181" t="str">
        <f>VLOOKUP(A1303,Headings!$C$1:$H$3948,4,FALSE)</f>
        <v>Reading type</v>
      </c>
      <c r="K1303" s="181" t="str">
        <f t="shared" si="27"/>
        <v>MOND_TYPE|TGMS</v>
      </c>
      <c r="L1303" s="181"/>
    </row>
    <row r="1304" spans="1:12" hidden="1" x14ac:dyDescent="0.35">
      <c r="A1304" s="181" t="s">
        <v>4453</v>
      </c>
      <c r="B1304" s="182" t="s">
        <v>7887</v>
      </c>
      <c r="C1304" s="181" t="s">
        <v>7888</v>
      </c>
      <c r="D1304" s="178">
        <v>4.0999999999999996</v>
      </c>
      <c r="E1304" s="181" t="s">
        <v>6450</v>
      </c>
      <c r="F1304" s="184">
        <v>40323</v>
      </c>
      <c r="G1304" s="181"/>
      <c r="H1304" s="181" t="s">
        <v>6451</v>
      </c>
      <c r="I1304" s="181" t="str">
        <f>VLOOKUP(LEFT(A1304,4),Groups!$A$1:$C$188,3,FALSE)</f>
        <v>Monitoring Readings</v>
      </c>
      <c r="J1304" s="181" t="str">
        <f>VLOOKUP(A1304,Headings!$C$1:$H$3948,4,FALSE)</f>
        <v>Reading type</v>
      </c>
      <c r="K1304" s="181" t="str">
        <f t="shared" si="27"/>
        <v>MOND_TYPE|TORQ</v>
      </c>
      <c r="L1304" s="181"/>
    </row>
    <row r="1305" spans="1:12" hidden="1" x14ac:dyDescent="0.35">
      <c r="A1305" s="181" t="s">
        <v>4453</v>
      </c>
      <c r="B1305" s="182" t="s">
        <v>7889</v>
      </c>
      <c r="C1305" s="181" t="s">
        <v>7890</v>
      </c>
      <c r="D1305" s="178">
        <v>4.0999999999999996</v>
      </c>
      <c r="E1305" s="181" t="s">
        <v>6450</v>
      </c>
      <c r="F1305" s="184">
        <v>40323</v>
      </c>
      <c r="G1305" s="181"/>
      <c r="H1305" s="181" t="s">
        <v>6451</v>
      </c>
      <c r="I1305" s="181" t="str">
        <f>VLOOKUP(LEFT(A1305,4),Groups!$A$1:$C$188,3,FALSE)</f>
        <v>Monitoring Readings</v>
      </c>
      <c r="J1305" s="181" t="str">
        <f>VLOOKUP(A1305,Headings!$C$1:$H$3948,4,FALSE)</f>
        <v>Reading type</v>
      </c>
      <c r="K1305" s="181" t="str">
        <f t="shared" si="27"/>
        <v>MOND_TYPE|TRST</v>
      </c>
      <c r="L1305" s="181"/>
    </row>
    <row r="1306" spans="1:12" hidden="1" x14ac:dyDescent="0.35">
      <c r="A1306" s="181" t="s">
        <v>4453</v>
      </c>
      <c r="B1306" s="182" t="s">
        <v>7891</v>
      </c>
      <c r="C1306" s="181" t="s">
        <v>7892</v>
      </c>
      <c r="D1306" s="178">
        <v>4.0999999999999996</v>
      </c>
      <c r="E1306" s="181" t="s">
        <v>6450</v>
      </c>
      <c r="F1306" s="184">
        <v>42908</v>
      </c>
      <c r="G1306" s="181"/>
      <c r="H1306" s="181" t="s">
        <v>6451</v>
      </c>
      <c r="I1306" s="181" t="str">
        <f>VLOOKUP(LEFT(A1306,4),Groups!$A$1:$C$188,3,FALSE)</f>
        <v>Monitoring Readings</v>
      </c>
      <c r="J1306" s="181" t="str">
        <f>VLOOKUP(A1306,Headings!$C$1:$H$3948,4,FALSE)</f>
        <v>Reading type</v>
      </c>
      <c r="K1306" s="181" t="str">
        <f t="shared" si="27"/>
        <v>MOND_TYPE|TURB</v>
      </c>
      <c r="L1306" s="181"/>
    </row>
    <row r="1307" spans="1:12" hidden="1" x14ac:dyDescent="0.35">
      <c r="A1307" s="181" t="s">
        <v>4453</v>
      </c>
      <c r="B1307" s="182" t="s">
        <v>7893</v>
      </c>
      <c r="C1307" s="181" t="s">
        <v>7894</v>
      </c>
      <c r="D1307" s="178">
        <v>4.0999999999999996</v>
      </c>
      <c r="E1307" s="181" t="s">
        <v>6450</v>
      </c>
      <c r="F1307" s="184">
        <v>40323</v>
      </c>
      <c r="G1307" s="181"/>
      <c r="H1307" s="181" t="s">
        <v>6451</v>
      </c>
      <c r="I1307" s="181" t="str">
        <f>VLOOKUP(LEFT(A1307,4),Groups!$A$1:$C$188,3,FALSE)</f>
        <v>Monitoring Readings</v>
      </c>
      <c r="J1307" s="181" t="str">
        <f>VLOOKUP(A1307,Headings!$C$1:$H$3948,4,FALSE)</f>
        <v>Reading type</v>
      </c>
      <c r="K1307" s="181" t="str">
        <f t="shared" si="27"/>
        <v>MOND_TYPE|UPT</v>
      </c>
      <c r="L1307" s="181"/>
    </row>
    <row r="1308" spans="1:12" hidden="1" x14ac:dyDescent="0.35">
      <c r="A1308" s="181" t="s">
        <v>4453</v>
      </c>
      <c r="B1308" s="182" t="s">
        <v>7895</v>
      </c>
      <c r="C1308" s="181" t="s">
        <v>7896</v>
      </c>
      <c r="D1308" s="178">
        <v>4.0999999999999996</v>
      </c>
      <c r="E1308" s="181" t="s">
        <v>6450</v>
      </c>
      <c r="F1308" s="184">
        <v>40323</v>
      </c>
      <c r="G1308" s="181"/>
      <c r="H1308" s="181" t="s">
        <v>6451</v>
      </c>
      <c r="I1308" s="181" t="str">
        <f>VLOOKUP(LEFT(A1308,4),Groups!$A$1:$C$188,3,FALSE)</f>
        <v>Monitoring Readings</v>
      </c>
      <c r="J1308" s="181" t="str">
        <f>VLOOKUP(A1308,Headings!$C$1:$H$3948,4,FALSE)</f>
        <v>Reading type</v>
      </c>
      <c r="K1308" s="181" t="str">
        <f t="shared" si="27"/>
        <v>MOND_TYPE|VEL</v>
      </c>
      <c r="L1308" s="181"/>
    </row>
    <row r="1309" spans="1:12" hidden="1" x14ac:dyDescent="0.35">
      <c r="A1309" s="181" t="s">
        <v>4453</v>
      </c>
      <c r="B1309" s="182" t="s">
        <v>7897</v>
      </c>
      <c r="C1309" s="181" t="s">
        <v>7898</v>
      </c>
      <c r="D1309" s="178">
        <v>4.0999999999999996</v>
      </c>
      <c r="E1309" s="181" t="s">
        <v>6450</v>
      </c>
      <c r="F1309" s="184">
        <v>43444</v>
      </c>
      <c r="G1309" s="181"/>
      <c r="H1309" s="181" t="s">
        <v>6451</v>
      </c>
      <c r="I1309" s="181" t="str">
        <f>VLOOKUP(LEFT(A1309,4),Groups!$A$1:$C$188,3,FALSE)</f>
        <v>Monitoring Readings</v>
      </c>
      <c r="J1309" s="181" t="str">
        <f>VLOOKUP(A1309,Headings!$C$1:$H$3948,4,FALSE)</f>
        <v>Reading type</v>
      </c>
      <c r="K1309" s="181" t="str">
        <f t="shared" si="27"/>
        <v>MOND_TYPE|VOC</v>
      </c>
      <c r="L1309" s="181"/>
    </row>
    <row r="1310" spans="1:12" hidden="1" x14ac:dyDescent="0.35">
      <c r="A1310" s="181" t="s">
        <v>4453</v>
      </c>
      <c r="B1310" s="182" t="s">
        <v>7899</v>
      </c>
      <c r="C1310" s="181" t="s">
        <v>7900</v>
      </c>
      <c r="D1310" s="178">
        <v>4.0999999999999996</v>
      </c>
      <c r="E1310" s="181" t="s">
        <v>6450</v>
      </c>
      <c r="F1310" s="184">
        <v>43570</v>
      </c>
      <c r="G1310" s="181"/>
      <c r="H1310" s="181" t="s">
        <v>6451</v>
      </c>
      <c r="I1310" s="181" t="str">
        <f>VLOOKUP(LEFT(A1310,4),Groups!$A$1:$C$188,3,FALSE)</f>
        <v>Monitoring Readings</v>
      </c>
      <c r="J1310" s="181" t="str">
        <f>VLOOKUP(A1310,Headings!$C$1:$H$3948,4,FALSE)</f>
        <v>Reading type</v>
      </c>
      <c r="K1310" s="181" t="str">
        <f t="shared" si="27"/>
        <v>MOND_TYPE|VOCP</v>
      </c>
      <c r="L1310" s="181"/>
    </row>
    <row r="1311" spans="1:12" ht="13.5" hidden="1" customHeight="1" x14ac:dyDescent="0.35">
      <c r="A1311" s="181" t="s">
        <v>4453</v>
      </c>
      <c r="B1311" s="182" t="s">
        <v>7901</v>
      </c>
      <c r="C1311" s="181" t="s">
        <v>7902</v>
      </c>
      <c r="D1311" s="178">
        <v>4.0999999999999996</v>
      </c>
      <c r="E1311" s="181" t="s">
        <v>6450</v>
      </c>
      <c r="F1311" s="184">
        <v>40323</v>
      </c>
      <c r="G1311" s="181"/>
      <c r="H1311" s="181" t="s">
        <v>6451</v>
      </c>
      <c r="I1311" s="181" t="str">
        <f>VLOOKUP(LEFT(A1311,4),Groups!$A$1:$C$188,3,FALSE)</f>
        <v>Monitoring Readings</v>
      </c>
      <c r="J1311" s="181" t="str">
        <f>VLOOKUP(A1311,Headings!$C$1:$H$3948,4,FALSE)</f>
        <v>Reading type</v>
      </c>
      <c r="K1311" s="181" t="str">
        <f t="shared" si="27"/>
        <v>MOND_TYPE|VOL</v>
      </c>
      <c r="L1311" s="181"/>
    </row>
    <row r="1312" spans="1:12" hidden="1" x14ac:dyDescent="0.35">
      <c r="A1312" s="181" t="s">
        <v>4453</v>
      </c>
      <c r="B1312" s="182" t="s">
        <v>7903</v>
      </c>
      <c r="C1312" s="181" t="s">
        <v>7904</v>
      </c>
      <c r="D1312" s="178">
        <v>4.0999999999999996</v>
      </c>
      <c r="E1312" s="181" t="s">
        <v>6450</v>
      </c>
      <c r="F1312" s="184">
        <v>40323</v>
      </c>
      <c r="G1312" s="181"/>
      <c r="H1312" s="181" t="s">
        <v>6451</v>
      </c>
      <c r="I1312" s="181" t="str">
        <f>VLOOKUP(LEFT(A1312,4),Groups!$A$1:$C$188,3,FALSE)</f>
        <v>Monitoring Readings</v>
      </c>
      <c r="J1312" s="181" t="str">
        <f>VLOOKUP(A1312,Headings!$C$1:$H$3948,4,FALSE)</f>
        <v>Reading type</v>
      </c>
      <c r="K1312" s="181" t="str">
        <f t="shared" si="27"/>
        <v>MOND_TYPE|VOLT</v>
      </c>
      <c r="L1312" s="181"/>
    </row>
    <row r="1313" spans="1:12" hidden="1" x14ac:dyDescent="0.35">
      <c r="A1313" s="181" t="s">
        <v>4453</v>
      </c>
      <c r="B1313" s="182" t="s">
        <v>4455</v>
      </c>
      <c r="C1313" s="181" t="s">
        <v>7905</v>
      </c>
      <c r="D1313" s="178">
        <v>4.0999999999999996</v>
      </c>
      <c r="E1313" s="181" t="s">
        <v>6450</v>
      </c>
      <c r="F1313" s="184">
        <v>40323</v>
      </c>
      <c r="G1313" s="181"/>
      <c r="H1313" s="181" t="s">
        <v>6451</v>
      </c>
      <c r="I1313" s="181" t="str">
        <f>VLOOKUP(LEFT(A1313,4),Groups!$A$1:$C$188,3,FALSE)</f>
        <v>Monitoring Readings</v>
      </c>
      <c r="J1313" s="181" t="str">
        <f>VLOOKUP(A1313,Headings!$C$1:$H$3948,4,FALSE)</f>
        <v>Reading type</v>
      </c>
      <c r="K1313" s="181" t="str">
        <f t="shared" si="27"/>
        <v>MOND_TYPE|WDEP</v>
      </c>
      <c r="L1313" s="181"/>
    </row>
    <row r="1314" spans="1:12" hidden="1" x14ac:dyDescent="0.35">
      <c r="A1314" s="181" t="s">
        <v>4453</v>
      </c>
      <c r="B1314" s="182" t="s">
        <v>7906</v>
      </c>
      <c r="C1314" s="181" t="s">
        <v>7907</v>
      </c>
      <c r="D1314" s="178">
        <v>4.0999999999999996</v>
      </c>
      <c r="E1314" s="181" t="s">
        <v>6450</v>
      </c>
      <c r="F1314" s="184">
        <v>40323</v>
      </c>
      <c r="G1314" s="181"/>
      <c r="H1314" s="181" t="s">
        <v>6451</v>
      </c>
      <c r="I1314" s="181" t="str">
        <f>VLOOKUP(LEFT(A1314,4),Groups!$A$1:$C$188,3,FALSE)</f>
        <v>Monitoring Readings</v>
      </c>
      <c r="J1314" s="181" t="str">
        <f>VLOOKUP(A1314,Headings!$C$1:$H$3948,4,FALSE)</f>
        <v>Reading type</v>
      </c>
      <c r="K1314" s="181" t="str">
        <f t="shared" si="27"/>
        <v>MOND_TYPE|WHD</v>
      </c>
      <c r="L1314" s="181"/>
    </row>
    <row r="1315" spans="1:12" hidden="1" x14ac:dyDescent="0.35">
      <c r="A1315" s="181" t="s">
        <v>4490</v>
      </c>
      <c r="B1315" s="182" t="s">
        <v>7908</v>
      </c>
      <c r="C1315" s="181" t="s">
        <v>7909</v>
      </c>
      <c r="D1315" s="178">
        <v>4.0999999999999996</v>
      </c>
      <c r="E1315" s="181" t="s">
        <v>6450</v>
      </c>
      <c r="F1315" s="184">
        <v>40323</v>
      </c>
      <c r="G1315" s="181"/>
      <c r="H1315" s="181" t="s">
        <v>6451</v>
      </c>
      <c r="I1315" s="181" t="str">
        <f>VLOOKUP(LEFT(A1315,4),Groups!$A$1:$C$188,3,FALSE)</f>
        <v>Monitoring Installations and Instruments</v>
      </c>
      <c r="J1315" s="181" t="str">
        <f>VLOOKUP(A1315,Headings!$C$1:$H$3948,4,FALSE)</f>
        <v>Instrument type</v>
      </c>
      <c r="K1315" s="181" t="str">
        <f t="shared" si="27"/>
        <v>MONG_TYPE|ANEM</v>
      </c>
      <c r="L1315" s="181"/>
    </row>
    <row r="1316" spans="1:12" hidden="1" x14ac:dyDescent="0.35">
      <c r="A1316" s="181" t="s">
        <v>4490</v>
      </c>
      <c r="B1316" s="182" t="s">
        <v>7910</v>
      </c>
      <c r="C1316" s="181" t="s">
        <v>7911</v>
      </c>
      <c r="D1316" s="178">
        <v>4.0999999999999996</v>
      </c>
      <c r="E1316" s="181" t="s">
        <v>6450</v>
      </c>
      <c r="F1316" s="184">
        <v>40323</v>
      </c>
      <c r="G1316" s="181"/>
      <c r="H1316" s="181" t="s">
        <v>6451</v>
      </c>
      <c r="I1316" s="181" t="str">
        <f>VLOOKUP(LEFT(A1316,4),Groups!$A$1:$C$188,3,FALSE)</f>
        <v>Monitoring Installations and Instruments</v>
      </c>
      <c r="J1316" s="181" t="str">
        <f>VLOOKUP(A1316,Headings!$C$1:$H$3948,4,FALSE)</f>
        <v>Instrument type</v>
      </c>
      <c r="K1316" s="181" t="str">
        <f t="shared" si="27"/>
        <v>MONG_TYPE|DM</v>
      </c>
      <c r="L1316" s="181"/>
    </row>
    <row r="1317" spans="1:12" hidden="1" x14ac:dyDescent="0.35">
      <c r="A1317" s="181" t="s">
        <v>4490</v>
      </c>
      <c r="B1317" s="182" t="s">
        <v>7912</v>
      </c>
      <c r="C1317" s="181" t="s">
        <v>7913</v>
      </c>
      <c r="D1317" s="178">
        <v>4.0999999999999996</v>
      </c>
      <c r="E1317" s="181" t="s">
        <v>6450</v>
      </c>
      <c r="F1317" s="184">
        <v>40323</v>
      </c>
      <c r="G1317" s="181"/>
      <c r="H1317" s="181" t="s">
        <v>6451</v>
      </c>
      <c r="I1317" s="181" t="str">
        <f>VLOOKUP(LEFT(A1317,4),Groups!$A$1:$C$188,3,FALSE)</f>
        <v>Monitoring Installations and Instruments</v>
      </c>
      <c r="J1317" s="181" t="str">
        <f>VLOOKUP(A1317,Headings!$C$1:$H$3948,4,FALSE)</f>
        <v>Instrument type</v>
      </c>
      <c r="K1317" s="181" t="str">
        <f t="shared" si="27"/>
        <v>MONG_TYPE|EPCE</v>
      </c>
      <c r="L1317" s="181"/>
    </row>
    <row r="1318" spans="1:12" hidden="1" x14ac:dyDescent="0.35">
      <c r="A1318" s="181" t="s">
        <v>4490</v>
      </c>
      <c r="B1318" s="182" t="s">
        <v>7914</v>
      </c>
      <c r="C1318" s="181" t="s">
        <v>7913</v>
      </c>
      <c r="D1318" s="178">
        <v>4.0999999999999996</v>
      </c>
      <c r="E1318" s="181" t="s">
        <v>6450</v>
      </c>
      <c r="F1318" s="184">
        <v>40323</v>
      </c>
      <c r="G1318" s="181"/>
      <c r="H1318" s="181" t="s">
        <v>6451</v>
      </c>
      <c r="I1318" s="181" t="str">
        <f>VLOOKUP(LEFT(A1318,4),Groups!$A$1:$C$188,3,FALSE)</f>
        <v>Monitoring Installations and Instruments</v>
      </c>
      <c r="J1318" s="181" t="str">
        <f>VLOOKUP(A1318,Headings!$C$1:$H$3948,4,FALSE)</f>
        <v>Instrument type</v>
      </c>
      <c r="K1318" s="181" t="str">
        <f t="shared" si="27"/>
        <v>MONG_TYPE|EPCH</v>
      </c>
      <c r="L1318" s="181"/>
    </row>
    <row r="1319" spans="1:12" hidden="1" x14ac:dyDescent="0.35">
      <c r="A1319" s="181" t="s">
        <v>4490</v>
      </c>
      <c r="B1319" s="182" t="s">
        <v>7915</v>
      </c>
      <c r="C1319" s="181" t="s">
        <v>7913</v>
      </c>
      <c r="D1319" s="178">
        <v>4.0999999999999996</v>
      </c>
      <c r="E1319" s="181" t="s">
        <v>6450</v>
      </c>
      <c r="F1319" s="184">
        <v>40323</v>
      </c>
      <c r="G1319" s="181"/>
      <c r="H1319" s="181" t="s">
        <v>6451</v>
      </c>
      <c r="I1319" s="181" t="str">
        <f>VLOOKUP(LEFT(A1319,4),Groups!$A$1:$C$188,3,FALSE)</f>
        <v>Monitoring Installations and Instruments</v>
      </c>
      <c r="J1319" s="181" t="str">
        <f>VLOOKUP(A1319,Headings!$C$1:$H$3948,4,FALSE)</f>
        <v>Instrument type</v>
      </c>
      <c r="K1319" s="181" t="str">
        <f t="shared" si="27"/>
        <v>MONG_TYPE|EPCP</v>
      </c>
      <c r="L1319" s="181"/>
    </row>
    <row r="1320" spans="1:12" hidden="1" x14ac:dyDescent="0.35">
      <c r="A1320" s="181" t="s">
        <v>4490</v>
      </c>
      <c r="B1320" s="182" t="s">
        <v>7916</v>
      </c>
      <c r="C1320" s="181" t="s">
        <v>7917</v>
      </c>
      <c r="D1320" s="178">
        <v>4.0999999999999996</v>
      </c>
      <c r="E1320" s="181" t="s">
        <v>6450</v>
      </c>
      <c r="F1320" s="184">
        <v>40323</v>
      </c>
      <c r="G1320" s="181"/>
      <c r="H1320" s="181" t="s">
        <v>6451</v>
      </c>
      <c r="I1320" s="181" t="str">
        <f>VLOOKUP(LEFT(A1320,4),Groups!$A$1:$C$188,3,FALSE)</f>
        <v>Monitoring Installations and Instruments</v>
      </c>
      <c r="J1320" s="181" t="str">
        <f>VLOOKUP(A1320,Headings!$C$1:$H$3948,4,FALSE)</f>
        <v>Instrument type</v>
      </c>
      <c r="K1320" s="181" t="str">
        <f t="shared" si="27"/>
        <v>MONG_TYPE|EPIE</v>
      </c>
      <c r="L1320" s="181"/>
    </row>
    <row r="1321" spans="1:12" hidden="1" x14ac:dyDescent="0.35">
      <c r="A1321" s="181" t="s">
        <v>4490</v>
      </c>
      <c r="B1321" s="182" t="s">
        <v>7918</v>
      </c>
      <c r="C1321" s="181" t="s">
        <v>7919</v>
      </c>
      <c r="D1321" s="178">
        <v>4.0999999999999996</v>
      </c>
      <c r="E1321" s="181" t="s">
        <v>6450</v>
      </c>
      <c r="F1321" s="184">
        <v>40323</v>
      </c>
      <c r="G1321" s="181"/>
      <c r="H1321" s="181" t="s">
        <v>6451</v>
      </c>
      <c r="I1321" s="181" t="str">
        <f>VLOOKUP(LEFT(A1321,4),Groups!$A$1:$C$188,3,FALSE)</f>
        <v>Monitoring Installations and Instruments</v>
      </c>
      <c r="J1321" s="181" t="str">
        <f>VLOOKUP(A1321,Headings!$C$1:$H$3948,4,FALSE)</f>
        <v>Instrument type</v>
      </c>
      <c r="K1321" s="181" t="str">
        <f t="shared" si="27"/>
        <v>MONG_TYPE|ESET</v>
      </c>
      <c r="L1321" s="181"/>
    </row>
    <row r="1322" spans="1:12" hidden="1" x14ac:dyDescent="0.35">
      <c r="A1322" s="181" t="s">
        <v>4490</v>
      </c>
      <c r="B1322" s="182" t="s">
        <v>7920</v>
      </c>
      <c r="C1322" s="181" t="s">
        <v>7921</v>
      </c>
      <c r="D1322" s="178">
        <v>4.0999999999999996</v>
      </c>
      <c r="E1322" s="181" t="s">
        <v>6450</v>
      </c>
      <c r="F1322" s="184">
        <v>42633</v>
      </c>
      <c r="G1322" s="181"/>
      <c r="H1322" s="181" t="s">
        <v>6451</v>
      </c>
      <c r="I1322" s="181" t="str">
        <f>VLOOKUP(LEFT(A1322,4),Groups!$A$1:$C$188,3,FALSE)</f>
        <v>Monitoring Installations and Instruments</v>
      </c>
      <c r="J1322" s="181" t="str">
        <f>VLOOKUP(A1322,Headings!$C$1:$H$3948,4,FALSE)</f>
        <v>Instrument type</v>
      </c>
      <c r="K1322" s="181" t="str">
        <f t="shared" si="27"/>
        <v>MONG_TYPE|ETL</v>
      </c>
      <c r="L1322" s="181"/>
    </row>
    <row r="1323" spans="1:12" hidden="1" x14ac:dyDescent="0.35">
      <c r="A1323" s="181" t="s">
        <v>4490</v>
      </c>
      <c r="B1323" s="182" t="s">
        <v>7922</v>
      </c>
      <c r="C1323" s="181" t="s">
        <v>7923</v>
      </c>
      <c r="D1323" s="178">
        <v>4.0999999999999996</v>
      </c>
      <c r="E1323" s="181" t="s">
        <v>6450</v>
      </c>
      <c r="F1323" s="184">
        <v>40323</v>
      </c>
      <c r="G1323" s="181"/>
      <c r="H1323" s="181" t="s">
        <v>6451</v>
      </c>
      <c r="I1323" s="181" t="str">
        <f>VLOOKUP(LEFT(A1323,4),Groups!$A$1:$C$188,3,FALSE)</f>
        <v>Monitoring Installations and Instruments</v>
      </c>
      <c r="J1323" s="181" t="str">
        <f>VLOOKUP(A1323,Headings!$C$1:$H$3948,4,FALSE)</f>
        <v>Instrument type</v>
      </c>
      <c r="K1323" s="181" t="str">
        <f t="shared" si="27"/>
        <v>MONG_TYPE|ETM</v>
      </c>
      <c r="L1323" s="181"/>
    </row>
    <row r="1324" spans="1:12" hidden="1" x14ac:dyDescent="0.35">
      <c r="A1324" s="181" t="s">
        <v>4490</v>
      </c>
      <c r="B1324" s="182" t="s">
        <v>7924</v>
      </c>
      <c r="C1324" s="181" t="s">
        <v>7925</v>
      </c>
      <c r="D1324" s="178">
        <v>4.0999999999999996</v>
      </c>
      <c r="E1324" s="181" t="s">
        <v>6450</v>
      </c>
      <c r="F1324" s="184">
        <v>40323</v>
      </c>
      <c r="G1324" s="181"/>
      <c r="H1324" s="181" t="s">
        <v>6451</v>
      </c>
      <c r="I1324" s="181" t="str">
        <f>VLOOKUP(LEFT(A1324,4),Groups!$A$1:$C$188,3,FALSE)</f>
        <v>Monitoring Installations and Instruments</v>
      </c>
      <c r="J1324" s="181" t="str">
        <f>VLOOKUP(A1324,Headings!$C$1:$H$3948,4,FALSE)</f>
        <v>Instrument type</v>
      </c>
      <c r="K1324" s="181" t="str">
        <f t="shared" si="27"/>
        <v>MONG_TYPE|ETR</v>
      </c>
      <c r="L1324" s="181"/>
    </row>
    <row r="1325" spans="1:12" hidden="1" x14ac:dyDescent="0.35">
      <c r="A1325" s="181" t="s">
        <v>4490</v>
      </c>
      <c r="B1325" s="182" t="s">
        <v>7926</v>
      </c>
      <c r="C1325" s="181" t="s">
        <v>7927</v>
      </c>
      <c r="D1325" s="178">
        <v>4.0999999999999996</v>
      </c>
      <c r="E1325" s="181" t="s">
        <v>6450</v>
      </c>
      <c r="F1325" s="184">
        <v>40323</v>
      </c>
      <c r="G1325" s="181"/>
      <c r="H1325" s="181" t="s">
        <v>6451</v>
      </c>
      <c r="I1325" s="181" t="str">
        <f>VLOOKUP(LEFT(A1325,4),Groups!$A$1:$C$188,3,FALSE)</f>
        <v>Monitoring Installations and Instruments</v>
      </c>
      <c r="J1325" s="181" t="str">
        <f>VLOOKUP(A1325,Headings!$C$1:$H$3948,4,FALSE)</f>
        <v>Instrument type</v>
      </c>
      <c r="K1325" s="181" t="str">
        <f t="shared" si="27"/>
        <v>MONG_TYPE|ETT</v>
      </c>
      <c r="L1325" s="181"/>
    </row>
    <row r="1326" spans="1:12" hidden="1" x14ac:dyDescent="0.35">
      <c r="A1326" s="181" t="s">
        <v>4490</v>
      </c>
      <c r="B1326" s="182" t="s">
        <v>7805</v>
      </c>
      <c r="C1326" s="181" t="s">
        <v>7928</v>
      </c>
      <c r="D1326" s="178">
        <v>4.0999999999999996</v>
      </c>
      <c r="E1326" s="181" t="s">
        <v>6450</v>
      </c>
      <c r="F1326" s="184">
        <v>40323</v>
      </c>
      <c r="G1326" s="181"/>
      <c r="H1326" s="181" t="s">
        <v>6451</v>
      </c>
      <c r="I1326" s="181" t="str">
        <f>VLOOKUP(LEFT(A1326,4),Groups!$A$1:$C$188,3,FALSE)</f>
        <v>Monitoring Installations and Instruments</v>
      </c>
      <c r="J1326" s="181" t="str">
        <f>VLOOKUP(A1326,Headings!$C$1:$H$3948,4,FALSE)</f>
        <v>Instrument type</v>
      </c>
      <c r="K1326" s="181" t="str">
        <f t="shared" ref="K1326:K1389" si="28">A1326&amp;"|"&amp;B1326</f>
        <v>MONG_TYPE|GMP</v>
      </c>
      <c r="L1326" s="181"/>
    </row>
    <row r="1327" spans="1:12" hidden="1" x14ac:dyDescent="0.35">
      <c r="A1327" s="181" t="s">
        <v>4490</v>
      </c>
      <c r="B1327" s="182" t="s">
        <v>7929</v>
      </c>
      <c r="C1327" s="181" t="s">
        <v>7930</v>
      </c>
      <c r="D1327" s="178">
        <v>4.0999999999999996</v>
      </c>
      <c r="E1327" s="181" t="s">
        <v>6450</v>
      </c>
      <c r="F1327" s="184">
        <v>40323</v>
      </c>
      <c r="G1327" s="181"/>
      <c r="H1327" s="181" t="s">
        <v>6451</v>
      </c>
      <c r="I1327" s="181" t="str">
        <f>VLOOKUP(LEFT(A1327,4),Groups!$A$1:$C$188,3,FALSE)</f>
        <v>Monitoring Installations and Instruments</v>
      </c>
      <c r="J1327" s="181" t="str">
        <f>VLOOKUP(A1327,Headings!$C$1:$H$3948,4,FALSE)</f>
        <v>Instrument type</v>
      </c>
      <c r="K1327" s="181" t="str">
        <f t="shared" si="28"/>
        <v>MONG_TYPE|GWMP</v>
      </c>
      <c r="L1327" s="181"/>
    </row>
    <row r="1328" spans="1:12" hidden="1" x14ac:dyDescent="0.35">
      <c r="A1328" s="181" t="s">
        <v>4490</v>
      </c>
      <c r="B1328" s="182" t="s">
        <v>7931</v>
      </c>
      <c r="C1328" s="181" t="s">
        <v>7932</v>
      </c>
      <c r="D1328" s="178">
        <v>4.0999999999999996</v>
      </c>
      <c r="E1328" s="181" t="s">
        <v>6450</v>
      </c>
      <c r="F1328" s="184">
        <v>40323</v>
      </c>
      <c r="G1328" s="181"/>
      <c r="H1328" s="181" t="s">
        <v>6451</v>
      </c>
      <c r="I1328" s="181" t="str">
        <f>VLOOKUP(LEFT(A1328,4),Groups!$A$1:$C$188,3,FALSE)</f>
        <v>Monitoring Installations and Instruments</v>
      </c>
      <c r="J1328" s="181" t="str">
        <f>VLOOKUP(A1328,Headings!$C$1:$H$3948,4,FALSE)</f>
        <v>Instrument type</v>
      </c>
      <c r="K1328" s="181" t="str">
        <f t="shared" si="28"/>
        <v>MONG_TYPE|HPIE</v>
      </c>
      <c r="L1328" s="181"/>
    </row>
    <row r="1329" spans="1:12" hidden="1" x14ac:dyDescent="0.35">
      <c r="A1329" s="181" t="s">
        <v>4490</v>
      </c>
      <c r="B1329" s="182" t="s">
        <v>7933</v>
      </c>
      <c r="C1329" s="181" t="s">
        <v>7934</v>
      </c>
      <c r="D1329" s="178">
        <v>4.0999999999999996</v>
      </c>
      <c r="E1329" s="181" t="s">
        <v>6450</v>
      </c>
      <c r="F1329" s="184">
        <v>40323</v>
      </c>
      <c r="G1329" s="181"/>
      <c r="H1329" s="181" t="s">
        <v>6451</v>
      </c>
      <c r="I1329" s="181" t="str">
        <f>VLOOKUP(LEFT(A1329,4),Groups!$A$1:$C$188,3,FALSE)</f>
        <v>Monitoring Installations and Instruments</v>
      </c>
      <c r="J1329" s="181" t="str">
        <f>VLOOKUP(A1329,Headings!$C$1:$H$3948,4,FALSE)</f>
        <v>Instrument type</v>
      </c>
      <c r="K1329" s="181" t="str">
        <f t="shared" si="28"/>
        <v>MONG_TYPE|HSET</v>
      </c>
      <c r="L1329" s="181"/>
    </row>
    <row r="1330" spans="1:12" hidden="1" x14ac:dyDescent="0.35">
      <c r="A1330" s="181" t="s">
        <v>4490</v>
      </c>
      <c r="B1330" s="182" t="s">
        <v>7935</v>
      </c>
      <c r="C1330" s="181" t="s">
        <v>7936</v>
      </c>
      <c r="D1330" s="178">
        <v>4.0999999999999996</v>
      </c>
      <c r="E1330" s="181" t="s">
        <v>6450</v>
      </c>
      <c r="F1330" s="184">
        <v>40323</v>
      </c>
      <c r="G1330" s="181"/>
      <c r="H1330" s="181" t="s">
        <v>6451</v>
      </c>
      <c r="I1330" s="181" t="str">
        <f>VLOOKUP(LEFT(A1330,4),Groups!$A$1:$C$188,3,FALSE)</f>
        <v>Monitoring Installations and Instruments</v>
      </c>
      <c r="J1330" s="181" t="str">
        <f>VLOOKUP(A1330,Headings!$C$1:$H$3948,4,FALSE)</f>
        <v>Instrument type</v>
      </c>
      <c r="K1330" s="181" t="str">
        <f t="shared" si="28"/>
        <v>MONG_TYPE|ICE</v>
      </c>
      <c r="L1330" s="181"/>
    </row>
    <row r="1331" spans="1:12" hidden="1" x14ac:dyDescent="0.35">
      <c r="A1331" s="181" t="s">
        <v>4490</v>
      </c>
      <c r="B1331" s="182" t="s">
        <v>7937</v>
      </c>
      <c r="C1331" s="181" t="s">
        <v>7938</v>
      </c>
      <c r="D1331" s="178">
        <v>4.0999999999999996</v>
      </c>
      <c r="E1331" s="181" t="s">
        <v>6450</v>
      </c>
      <c r="F1331" s="184">
        <v>40323</v>
      </c>
      <c r="G1331" s="181"/>
      <c r="H1331" s="181" t="s">
        <v>6451</v>
      </c>
      <c r="I1331" s="181" t="str">
        <f>VLOOKUP(LEFT(A1331,4),Groups!$A$1:$C$188,3,FALSE)</f>
        <v>Monitoring Installations and Instruments</v>
      </c>
      <c r="J1331" s="181" t="str">
        <f>VLOOKUP(A1331,Headings!$C$1:$H$3948,4,FALSE)</f>
        <v>Instrument type</v>
      </c>
      <c r="K1331" s="181" t="str">
        <f t="shared" si="28"/>
        <v>MONG_TYPE|ICM</v>
      </c>
      <c r="L1331" s="181"/>
    </row>
    <row r="1332" spans="1:12" hidden="1" x14ac:dyDescent="0.35">
      <c r="A1332" s="181" t="s">
        <v>4490</v>
      </c>
      <c r="B1332" s="182" t="s">
        <v>7939</v>
      </c>
      <c r="C1332" s="181" t="s">
        <v>7940</v>
      </c>
      <c r="D1332" s="178">
        <v>4.0999999999999996</v>
      </c>
      <c r="E1332" s="181" t="s">
        <v>6450</v>
      </c>
      <c r="F1332" s="184">
        <v>40323</v>
      </c>
      <c r="G1332" s="181"/>
      <c r="H1332" s="181" t="s">
        <v>6451</v>
      </c>
      <c r="I1332" s="181" t="str">
        <f>VLOOKUP(LEFT(A1332,4),Groups!$A$1:$C$188,3,FALSE)</f>
        <v>Monitoring Installations and Instruments</v>
      </c>
      <c r="J1332" s="181" t="str">
        <f>VLOOKUP(A1332,Headings!$C$1:$H$3948,4,FALSE)</f>
        <v>Instrument type</v>
      </c>
      <c r="K1332" s="181" t="str">
        <f t="shared" si="28"/>
        <v>MONG_TYPE|IPCE</v>
      </c>
      <c r="L1332" s="181"/>
    </row>
    <row r="1333" spans="1:12" hidden="1" x14ac:dyDescent="0.35">
      <c r="A1333" s="181" t="s">
        <v>4490</v>
      </c>
      <c r="B1333" s="182" t="s">
        <v>7941</v>
      </c>
      <c r="C1333" s="181" t="s">
        <v>7940</v>
      </c>
      <c r="D1333" s="178">
        <v>4.0999999999999996</v>
      </c>
      <c r="E1333" s="181" t="s">
        <v>6450</v>
      </c>
      <c r="F1333" s="184">
        <v>40323</v>
      </c>
      <c r="G1333" s="181"/>
      <c r="H1333" s="181" t="s">
        <v>6451</v>
      </c>
      <c r="I1333" s="181" t="str">
        <f>VLOOKUP(LEFT(A1333,4),Groups!$A$1:$C$188,3,FALSE)</f>
        <v>Monitoring Installations and Instruments</v>
      </c>
      <c r="J1333" s="181" t="str">
        <f>VLOOKUP(A1333,Headings!$C$1:$H$3948,4,FALSE)</f>
        <v>Instrument type</v>
      </c>
      <c r="K1333" s="181" t="str">
        <f t="shared" si="28"/>
        <v>MONG_TYPE|IPCH</v>
      </c>
      <c r="L1333" s="181"/>
    </row>
    <row r="1334" spans="1:12" hidden="1" x14ac:dyDescent="0.35">
      <c r="A1334" s="181" t="s">
        <v>4490</v>
      </c>
      <c r="B1334" s="182" t="s">
        <v>7942</v>
      </c>
      <c r="C1334" s="181" t="s">
        <v>7940</v>
      </c>
      <c r="D1334" s="178">
        <v>4.0999999999999996</v>
      </c>
      <c r="E1334" s="181" t="s">
        <v>6450</v>
      </c>
      <c r="F1334" s="184">
        <v>40323</v>
      </c>
      <c r="G1334" s="181"/>
      <c r="H1334" s="181" t="s">
        <v>6451</v>
      </c>
      <c r="I1334" s="181" t="str">
        <f>VLOOKUP(LEFT(A1334,4),Groups!$A$1:$C$188,3,FALSE)</f>
        <v>Monitoring Installations and Instruments</v>
      </c>
      <c r="J1334" s="181" t="str">
        <f>VLOOKUP(A1334,Headings!$C$1:$H$3948,4,FALSE)</f>
        <v>Instrument type</v>
      </c>
      <c r="K1334" s="181" t="str">
        <f t="shared" si="28"/>
        <v>MONG_TYPE|IPCP</v>
      </c>
      <c r="L1334" s="181"/>
    </row>
    <row r="1335" spans="1:12" hidden="1" x14ac:dyDescent="0.35">
      <c r="A1335" s="181" t="s">
        <v>4490</v>
      </c>
      <c r="B1335" s="182" t="s">
        <v>624</v>
      </c>
      <c r="C1335" s="181" t="s">
        <v>7943</v>
      </c>
      <c r="D1335" s="178">
        <v>4.0999999999999996</v>
      </c>
      <c r="E1335" s="181" t="s">
        <v>6450</v>
      </c>
      <c r="F1335" s="184">
        <v>40323</v>
      </c>
      <c r="G1335" s="181"/>
      <c r="H1335" s="181" t="s">
        <v>6451</v>
      </c>
      <c r="I1335" s="181" t="str">
        <f>VLOOKUP(LEFT(A1335,4),Groups!$A$1:$C$188,3,FALSE)</f>
        <v>Monitoring Installations and Instruments</v>
      </c>
      <c r="J1335" s="181" t="str">
        <f>VLOOKUP(A1335,Headings!$C$1:$H$3948,4,FALSE)</f>
        <v>Instrument type</v>
      </c>
      <c r="K1335" s="181" t="str">
        <f t="shared" si="28"/>
        <v>MONG_TYPE|LC</v>
      </c>
      <c r="L1335" s="181"/>
    </row>
    <row r="1336" spans="1:12" hidden="1" x14ac:dyDescent="0.35">
      <c r="A1336" s="181" t="s">
        <v>4490</v>
      </c>
      <c r="B1336" s="182" t="s">
        <v>7944</v>
      </c>
      <c r="C1336" s="181" t="s">
        <v>7945</v>
      </c>
      <c r="D1336" s="178">
        <v>4.0999999999999996</v>
      </c>
      <c r="E1336" s="181" t="s">
        <v>6450</v>
      </c>
      <c r="F1336" s="184">
        <v>40323</v>
      </c>
      <c r="G1336" s="181"/>
      <c r="H1336" s="181" t="s">
        <v>6451</v>
      </c>
      <c r="I1336" s="181" t="str">
        <f>VLOOKUP(LEFT(A1336,4),Groups!$A$1:$C$188,3,FALSE)</f>
        <v>Monitoring Installations and Instruments</v>
      </c>
      <c r="J1336" s="181" t="str">
        <f>VLOOKUP(A1336,Headings!$C$1:$H$3948,4,FALSE)</f>
        <v>Instrument type</v>
      </c>
      <c r="K1336" s="181" t="str">
        <f t="shared" si="28"/>
        <v>MONG_TYPE|MSET</v>
      </c>
      <c r="L1336" s="181"/>
    </row>
    <row r="1337" spans="1:12" hidden="1" x14ac:dyDescent="0.35">
      <c r="A1337" s="181" t="s">
        <v>4490</v>
      </c>
      <c r="B1337" s="182" t="s">
        <v>7946</v>
      </c>
      <c r="C1337" s="181" t="s">
        <v>7947</v>
      </c>
      <c r="D1337" s="178">
        <v>4.0999999999999996</v>
      </c>
      <c r="E1337" s="181" t="s">
        <v>6450</v>
      </c>
      <c r="F1337" s="184">
        <v>40323</v>
      </c>
      <c r="G1337" s="181"/>
      <c r="H1337" s="181" t="s">
        <v>6451</v>
      </c>
      <c r="I1337" s="181" t="str">
        <f>VLOOKUP(LEFT(A1337,4),Groups!$A$1:$C$188,3,FALSE)</f>
        <v>Monitoring Installations and Instruments</v>
      </c>
      <c r="J1337" s="181" t="str">
        <f>VLOOKUP(A1337,Headings!$C$1:$H$3948,4,FALSE)</f>
        <v>Instrument type</v>
      </c>
      <c r="K1337" s="181" t="str">
        <f t="shared" si="28"/>
        <v>MONG_TYPE|PPCE</v>
      </c>
      <c r="L1337" s="181"/>
    </row>
    <row r="1338" spans="1:12" hidden="1" x14ac:dyDescent="0.35">
      <c r="A1338" s="181" t="s">
        <v>4490</v>
      </c>
      <c r="B1338" s="182" t="s">
        <v>7948</v>
      </c>
      <c r="C1338" s="181" t="s">
        <v>7947</v>
      </c>
      <c r="D1338" s="178">
        <v>4.0999999999999996</v>
      </c>
      <c r="E1338" s="181" t="s">
        <v>6450</v>
      </c>
      <c r="F1338" s="184">
        <v>40323</v>
      </c>
      <c r="G1338" s="181"/>
      <c r="H1338" s="181" t="s">
        <v>6451</v>
      </c>
      <c r="I1338" s="181" t="str">
        <f>VLOOKUP(LEFT(A1338,4),Groups!$A$1:$C$188,3,FALSE)</f>
        <v>Monitoring Installations and Instruments</v>
      </c>
      <c r="J1338" s="181" t="str">
        <f>VLOOKUP(A1338,Headings!$C$1:$H$3948,4,FALSE)</f>
        <v>Instrument type</v>
      </c>
      <c r="K1338" s="181" t="str">
        <f t="shared" si="28"/>
        <v>MONG_TYPE|PPCH</v>
      </c>
      <c r="L1338" s="181"/>
    </row>
    <row r="1339" spans="1:12" hidden="1" x14ac:dyDescent="0.35">
      <c r="A1339" s="181" t="s">
        <v>4490</v>
      </c>
      <c r="B1339" s="182" t="s">
        <v>7949</v>
      </c>
      <c r="C1339" s="181" t="s">
        <v>7947</v>
      </c>
      <c r="D1339" s="178">
        <v>4.0999999999999996</v>
      </c>
      <c r="E1339" s="181" t="s">
        <v>6450</v>
      </c>
      <c r="F1339" s="184">
        <v>40323</v>
      </c>
      <c r="G1339" s="181"/>
      <c r="H1339" s="181" t="s">
        <v>6451</v>
      </c>
      <c r="I1339" s="181" t="str">
        <f>VLOOKUP(LEFT(A1339,4),Groups!$A$1:$C$188,3,FALSE)</f>
        <v>Monitoring Installations and Instruments</v>
      </c>
      <c r="J1339" s="181" t="str">
        <f>VLOOKUP(A1339,Headings!$C$1:$H$3948,4,FALSE)</f>
        <v>Instrument type</v>
      </c>
      <c r="K1339" s="181" t="str">
        <f t="shared" si="28"/>
        <v>MONG_TYPE|PPCP</v>
      </c>
      <c r="L1339" s="181"/>
    </row>
    <row r="1340" spans="1:12" hidden="1" x14ac:dyDescent="0.35">
      <c r="A1340" s="181" t="s">
        <v>4490</v>
      </c>
      <c r="B1340" s="182" t="s">
        <v>7950</v>
      </c>
      <c r="C1340" s="181" t="s">
        <v>7951</v>
      </c>
      <c r="D1340" s="178">
        <v>4.0999999999999996</v>
      </c>
      <c r="E1340" s="181" t="s">
        <v>6450</v>
      </c>
      <c r="F1340" s="184">
        <v>40323</v>
      </c>
      <c r="G1340" s="181"/>
      <c r="H1340" s="181" t="s">
        <v>6451</v>
      </c>
      <c r="I1340" s="181" t="str">
        <f>VLOOKUP(LEFT(A1340,4),Groups!$A$1:$C$188,3,FALSE)</f>
        <v>Monitoring Installations and Instruments</v>
      </c>
      <c r="J1340" s="181" t="str">
        <f>VLOOKUP(A1340,Headings!$C$1:$H$3948,4,FALSE)</f>
        <v>Instrument type</v>
      </c>
      <c r="K1340" s="181" t="str">
        <f t="shared" si="28"/>
        <v>MONG_TYPE|PPIE</v>
      </c>
      <c r="L1340" s="181"/>
    </row>
    <row r="1341" spans="1:12" hidden="1" x14ac:dyDescent="0.35">
      <c r="A1341" s="181" t="s">
        <v>4490</v>
      </c>
      <c r="B1341" s="182" t="s">
        <v>7952</v>
      </c>
      <c r="C1341" s="181" t="s">
        <v>7953</v>
      </c>
      <c r="D1341" s="178">
        <v>4.0999999999999996</v>
      </c>
      <c r="E1341" s="181" t="s">
        <v>6450</v>
      </c>
      <c r="F1341" s="184">
        <v>40323</v>
      </c>
      <c r="G1341" s="181"/>
      <c r="H1341" s="181" t="s">
        <v>6451</v>
      </c>
      <c r="I1341" s="181" t="str">
        <f>VLOOKUP(LEFT(A1341,4),Groups!$A$1:$C$188,3,FALSE)</f>
        <v>Monitoring Installations and Instruments</v>
      </c>
      <c r="J1341" s="181" t="str">
        <f>VLOOKUP(A1341,Headings!$C$1:$H$3948,4,FALSE)</f>
        <v>Instrument type</v>
      </c>
      <c r="K1341" s="181" t="str">
        <f t="shared" si="28"/>
        <v>MONG_TYPE|PSET</v>
      </c>
      <c r="L1341" s="181"/>
    </row>
    <row r="1342" spans="1:12" hidden="1" x14ac:dyDescent="0.35">
      <c r="A1342" s="181" t="s">
        <v>4490</v>
      </c>
      <c r="B1342" s="182" t="s">
        <v>7856</v>
      </c>
      <c r="C1342" s="181" t="s">
        <v>7954</v>
      </c>
      <c r="D1342" s="178">
        <v>4.0999999999999996</v>
      </c>
      <c r="E1342" s="181" t="s">
        <v>6450</v>
      </c>
      <c r="F1342" s="184">
        <v>40323</v>
      </c>
      <c r="G1342" s="181"/>
      <c r="H1342" s="181" t="s">
        <v>6451</v>
      </c>
      <c r="I1342" s="181" t="str">
        <f>VLOOKUP(LEFT(A1342,4),Groups!$A$1:$C$188,3,FALSE)</f>
        <v>Monitoring Installations and Instruments</v>
      </c>
      <c r="J1342" s="181" t="str">
        <f>VLOOKUP(A1342,Headings!$C$1:$H$3948,4,FALSE)</f>
        <v>Instrument type</v>
      </c>
      <c r="K1342" s="181" t="str">
        <f t="shared" si="28"/>
        <v>MONG_TYPE|RAIN</v>
      </c>
      <c r="L1342" s="181"/>
    </row>
    <row r="1343" spans="1:12" hidden="1" x14ac:dyDescent="0.35">
      <c r="A1343" s="181" t="s">
        <v>4490</v>
      </c>
      <c r="B1343" s="182" t="s">
        <v>7955</v>
      </c>
      <c r="C1343" s="181" t="s">
        <v>7956</v>
      </c>
      <c r="D1343" s="178">
        <v>4.0999999999999996</v>
      </c>
      <c r="E1343" s="181" t="s">
        <v>6450</v>
      </c>
      <c r="F1343" s="184">
        <v>40323</v>
      </c>
      <c r="G1343" s="181"/>
      <c r="H1343" s="181" t="s">
        <v>6451</v>
      </c>
      <c r="I1343" s="181" t="str">
        <f>VLOOKUP(LEFT(A1343,4),Groups!$A$1:$C$188,3,FALSE)</f>
        <v>Monitoring Installations and Instruments</v>
      </c>
      <c r="J1343" s="181" t="str">
        <f>VLOOKUP(A1343,Headings!$C$1:$H$3948,4,FALSE)</f>
        <v>Instrument type</v>
      </c>
      <c r="K1343" s="181" t="str">
        <f t="shared" si="28"/>
        <v>MONG_TYPE|RIVER</v>
      </c>
      <c r="L1343" s="181"/>
    </row>
    <row r="1344" spans="1:12" hidden="1" x14ac:dyDescent="0.35">
      <c r="A1344" s="181" t="s">
        <v>4490</v>
      </c>
      <c r="B1344" s="182" t="s">
        <v>7957</v>
      </c>
      <c r="C1344" s="181" t="s">
        <v>7958</v>
      </c>
      <c r="D1344" s="178">
        <v>4.0999999999999996</v>
      </c>
      <c r="E1344" s="181" t="s">
        <v>6450</v>
      </c>
      <c r="F1344" s="184">
        <v>40323</v>
      </c>
      <c r="G1344" s="181"/>
      <c r="H1344" s="181" t="s">
        <v>6451</v>
      </c>
      <c r="I1344" s="181" t="str">
        <f>VLOOKUP(LEFT(A1344,4),Groups!$A$1:$C$188,3,FALSE)</f>
        <v>Monitoring Installations and Instruments</v>
      </c>
      <c r="J1344" s="181" t="str">
        <f>VLOOKUP(A1344,Headings!$C$1:$H$3948,4,FALSE)</f>
        <v>Instrument type</v>
      </c>
      <c r="K1344" s="181" t="str">
        <f t="shared" si="28"/>
        <v>MONG_TYPE|SG</v>
      </c>
      <c r="L1344" s="181"/>
    </row>
    <row r="1345" spans="1:12" hidden="1" x14ac:dyDescent="0.35">
      <c r="A1345" s="181" t="s">
        <v>4490</v>
      </c>
      <c r="B1345" s="182" t="s">
        <v>7959</v>
      </c>
      <c r="C1345" s="181" t="s">
        <v>7960</v>
      </c>
      <c r="D1345" s="178">
        <v>4.0999999999999996</v>
      </c>
      <c r="E1345" s="181" t="s">
        <v>6450</v>
      </c>
      <c r="F1345" s="184">
        <v>40323</v>
      </c>
      <c r="G1345" s="181"/>
      <c r="H1345" s="181" t="s">
        <v>6451</v>
      </c>
      <c r="I1345" s="181" t="str">
        <f>VLOOKUP(LEFT(A1345,4),Groups!$A$1:$C$188,3,FALSE)</f>
        <v>Monitoring Installations and Instruments</v>
      </c>
      <c r="J1345" s="181" t="str">
        <f>VLOOKUP(A1345,Headings!$C$1:$H$3948,4,FALSE)</f>
        <v>Instrument type</v>
      </c>
      <c r="K1345" s="181" t="str">
        <f t="shared" si="28"/>
        <v>MONG_TYPE|SLIP</v>
      </c>
      <c r="L1345" s="181"/>
    </row>
    <row r="1346" spans="1:12" hidden="1" x14ac:dyDescent="0.35">
      <c r="A1346" s="181" t="s">
        <v>4490</v>
      </c>
      <c r="B1346" s="182" t="s">
        <v>682</v>
      </c>
      <c r="C1346" s="181" t="s">
        <v>7961</v>
      </c>
      <c r="D1346" s="178">
        <v>4.0999999999999996</v>
      </c>
      <c r="E1346" s="181" t="s">
        <v>6450</v>
      </c>
      <c r="F1346" s="184">
        <v>40323</v>
      </c>
      <c r="G1346" s="181"/>
      <c r="H1346" s="181" t="s">
        <v>6451</v>
      </c>
      <c r="I1346" s="181" t="str">
        <f>VLOOKUP(LEFT(A1346,4),Groups!$A$1:$C$188,3,FALSE)</f>
        <v>Monitoring Installations and Instruments</v>
      </c>
      <c r="J1346" s="181" t="str">
        <f>VLOOKUP(A1346,Headings!$C$1:$H$3948,4,FALSE)</f>
        <v>Instrument type</v>
      </c>
      <c r="K1346" s="181" t="str">
        <f t="shared" si="28"/>
        <v>MONG_TYPE|SP</v>
      </c>
      <c r="L1346" s="181"/>
    </row>
    <row r="1347" spans="1:12" hidden="1" x14ac:dyDescent="0.35">
      <c r="A1347" s="181" t="s">
        <v>4490</v>
      </c>
      <c r="B1347" s="182" t="s">
        <v>7962</v>
      </c>
      <c r="C1347" s="181" t="s">
        <v>6680</v>
      </c>
      <c r="D1347" s="178">
        <v>4.0999999999999996</v>
      </c>
      <c r="E1347" s="181" t="s">
        <v>6450</v>
      </c>
      <c r="F1347" s="184">
        <v>40323</v>
      </c>
      <c r="G1347" s="181"/>
      <c r="H1347" s="181" t="s">
        <v>6451</v>
      </c>
      <c r="I1347" s="181" t="str">
        <f>VLOOKUP(LEFT(A1347,4),Groups!$A$1:$C$188,3,FALSE)</f>
        <v>Monitoring Installations and Instruments</v>
      </c>
      <c r="J1347" s="181" t="str">
        <f>VLOOKUP(A1347,Headings!$C$1:$H$3948,4,FALSE)</f>
        <v>Instrument type</v>
      </c>
      <c r="K1347" s="181" t="str">
        <f t="shared" si="28"/>
        <v>MONG_TYPE|SPIE</v>
      </c>
      <c r="L1347" s="181"/>
    </row>
    <row r="1348" spans="1:12" hidden="1" x14ac:dyDescent="0.35">
      <c r="A1348" s="181" t="s">
        <v>4490</v>
      </c>
      <c r="B1348" s="182" t="s">
        <v>7963</v>
      </c>
      <c r="C1348" s="181" t="s">
        <v>7964</v>
      </c>
      <c r="D1348" s="178">
        <v>4.0999999999999996</v>
      </c>
      <c r="E1348" s="181" t="s">
        <v>6450</v>
      </c>
      <c r="F1348" s="184">
        <v>40323</v>
      </c>
      <c r="G1348" s="181"/>
      <c r="H1348" s="181" t="s">
        <v>6451</v>
      </c>
      <c r="I1348" s="181" t="str">
        <f>VLOOKUP(LEFT(A1348,4),Groups!$A$1:$C$188,3,FALSE)</f>
        <v>Monitoring Installations and Instruments</v>
      </c>
      <c r="J1348" s="181" t="str">
        <f>VLOOKUP(A1348,Headings!$C$1:$H$3948,4,FALSE)</f>
        <v>Instrument type</v>
      </c>
      <c r="K1348" s="181" t="str">
        <f t="shared" si="28"/>
        <v>MONG_TYPE|TMB</v>
      </c>
      <c r="L1348" s="181"/>
    </row>
    <row r="1349" spans="1:12" hidden="1" x14ac:dyDescent="0.35">
      <c r="A1349" s="181" t="s">
        <v>4490</v>
      </c>
      <c r="B1349" s="182" t="s">
        <v>7965</v>
      </c>
      <c r="C1349" s="181" t="s">
        <v>7966</v>
      </c>
      <c r="D1349" s="178">
        <v>4.0999999999999996</v>
      </c>
      <c r="E1349" s="181" t="s">
        <v>6450</v>
      </c>
      <c r="F1349" s="184">
        <v>40323</v>
      </c>
      <c r="G1349" s="181"/>
      <c r="H1349" s="181" t="s">
        <v>6451</v>
      </c>
      <c r="I1349" s="181" t="str">
        <f>VLOOKUP(LEFT(A1349,4),Groups!$A$1:$C$188,3,FALSE)</f>
        <v>Monitoring Installations and Instruments</v>
      </c>
      <c r="J1349" s="181" t="str">
        <f>VLOOKUP(A1349,Headings!$C$1:$H$3948,4,FALSE)</f>
        <v>Instrument type</v>
      </c>
      <c r="K1349" s="181" t="str">
        <f t="shared" si="28"/>
        <v>MONG_TYPE|TMU</v>
      </c>
      <c r="L1349" s="181"/>
    </row>
    <row r="1350" spans="1:12" hidden="1" x14ac:dyDescent="0.35">
      <c r="A1350" s="181" t="s">
        <v>4490</v>
      </c>
      <c r="B1350" s="182" t="s">
        <v>965</v>
      </c>
      <c r="C1350" s="181" t="s">
        <v>7967</v>
      </c>
      <c r="D1350" s="178">
        <v>4.0999999999999996</v>
      </c>
      <c r="E1350" s="181" t="s">
        <v>6450</v>
      </c>
      <c r="F1350" s="184">
        <v>40323</v>
      </c>
      <c r="G1350" s="181"/>
      <c r="H1350" s="181" t="s">
        <v>6451</v>
      </c>
      <c r="I1350" s="181" t="str">
        <f>VLOOKUP(LEFT(A1350,4),Groups!$A$1:$C$188,3,FALSE)</f>
        <v>Monitoring Installations and Instruments</v>
      </c>
      <c r="J1350" s="181" t="str">
        <f>VLOOKUP(A1350,Headings!$C$1:$H$3948,4,FALSE)</f>
        <v>Instrument type</v>
      </c>
      <c r="K1350" s="181" t="str">
        <f t="shared" si="28"/>
        <v>MONG_TYPE|TP</v>
      </c>
      <c r="L1350" s="181"/>
    </row>
    <row r="1351" spans="1:12" hidden="1" x14ac:dyDescent="0.35">
      <c r="A1351" s="181" t="s">
        <v>4490</v>
      </c>
      <c r="B1351" s="182" t="s">
        <v>7968</v>
      </c>
      <c r="C1351" s="181" t="s">
        <v>7969</v>
      </c>
      <c r="D1351" s="178">
        <v>4.0999999999999996</v>
      </c>
      <c r="E1351" s="181" t="s">
        <v>6450</v>
      </c>
      <c r="F1351" s="184">
        <v>43789</v>
      </c>
      <c r="G1351" s="181"/>
      <c r="H1351" s="181" t="s">
        <v>6451</v>
      </c>
      <c r="I1351" s="181" t="str">
        <f>VLOOKUP(LEFT(A1351,4),Groups!$A$1:$C$188,3,FALSE)</f>
        <v>Monitoring Installations and Instruments</v>
      </c>
      <c r="J1351" s="181" t="str">
        <f>VLOOKUP(A1351,Headings!$C$1:$H$3948,4,FALSE)</f>
        <v>Instrument type</v>
      </c>
      <c r="K1351" s="181" t="str">
        <f t="shared" si="28"/>
        <v>MONG_TYPE|TRT</v>
      </c>
      <c r="L1351" s="181"/>
    </row>
    <row r="1352" spans="1:12" hidden="1" x14ac:dyDescent="0.35">
      <c r="A1352" s="181" t="s">
        <v>4490</v>
      </c>
      <c r="B1352" s="182" t="s">
        <v>6758</v>
      </c>
      <c r="C1352" s="181" t="s">
        <v>7970</v>
      </c>
      <c r="D1352" s="178">
        <v>4.0999999999999996</v>
      </c>
      <c r="E1352" s="181" t="s">
        <v>6450</v>
      </c>
      <c r="F1352" s="184">
        <v>40323</v>
      </c>
      <c r="G1352" s="181"/>
      <c r="H1352" s="181" t="s">
        <v>6451</v>
      </c>
      <c r="I1352" s="181" t="str">
        <f>VLOOKUP(LEFT(A1352,4),Groups!$A$1:$C$188,3,FALSE)</f>
        <v>Monitoring Installations and Instruments</v>
      </c>
      <c r="J1352" s="181" t="str">
        <f>VLOOKUP(A1352,Headings!$C$1:$H$3948,4,FALSE)</f>
        <v>Instrument type</v>
      </c>
      <c r="K1352" s="181" t="str">
        <f t="shared" si="28"/>
        <v>MONG_TYPE|TS</v>
      </c>
      <c r="L1352" s="181"/>
    </row>
    <row r="1353" spans="1:12" hidden="1" x14ac:dyDescent="0.35">
      <c r="A1353" s="88" t="s">
        <v>4535</v>
      </c>
      <c r="B1353" s="88" t="s">
        <v>7327</v>
      </c>
      <c r="C1353" s="89" t="s">
        <v>7971</v>
      </c>
      <c r="D1353" s="89" t="s">
        <v>473</v>
      </c>
      <c r="E1353" s="181"/>
      <c r="F1353" s="181"/>
      <c r="G1353" s="183"/>
      <c r="H1353" s="181"/>
      <c r="I1353" s="181"/>
      <c r="J1353" s="181"/>
      <c r="K1353" s="181" t="str">
        <f t="shared" si="28"/>
        <v>PENR_PENR|E</v>
      </c>
      <c r="L1353" s="181"/>
    </row>
    <row r="1354" spans="1:12" hidden="1" x14ac:dyDescent="0.35">
      <c r="A1354" s="88" t="s">
        <v>4535</v>
      </c>
      <c r="B1354" s="88" t="s">
        <v>3269</v>
      </c>
      <c r="C1354" s="89" t="s">
        <v>7972</v>
      </c>
      <c r="D1354" s="89" t="s">
        <v>473</v>
      </c>
      <c r="E1354" s="181"/>
      <c r="F1354" s="181"/>
      <c r="G1354" s="183"/>
      <c r="H1354" s="181"/>
      <c r="I1354" s="181"/>
      <c r="J1354" s="181"/>
      <c r="K1354" s="181" t="str">
        <f t="shared" si="28"/>
        <v>PENR_PENR|F</v>
      </c>
      <c r="L1354" s="181"/>
    </row>
    <row r="1355" spans="1:12" hidden="1" x14ac:dyDescent="0.35">
      <c r="A1355" s="88" t="s">
        <v>4535</v>
      </c>
      <c r="B1355" s="88" t="s">
        <v>4538</v>
      </c>
      <c r="C1355" s="89" t="s">
        <v>7973</v>
      </c>
      <c r="D1355" s="89" t="s">
        <v>473</v>
      </c>
      <c r="E1355" s="181"/>
      <c r="F1355" s="181"/>
      <c r="G1355" s="183"/>
      <c r="H1355" s="181"/>
      <c r="I1355" s="181"/>
      <c r="J1355" s="181"/>
      <c r="K1355" s="181" t="str">
        <f t="shared" si="28"/>
        <v>PENR_PENR|H</v>
      </c>
      <c r="L1355" s="181"/>
    </row>
    <row r="1356" spans="1:12" hidden="1" x14ac:dyDescent="0.35">
      <c r="A1356" s="88" t="s">
        <v>4535</v>
      </c>
      <c r="B1356" s="88" t="s">
        <v>4534</v>
      </c>
      <c r="C1356" s="89" t="s">
        <v>7974</v>
      </c>
      <c r="D1356" s="89" t="s">
        <v>473</v>
      </c>
      <c r="E1356" s="181"/>
      <c r="F1356" s="181"/>
      <c r="G1356" s="183"/>
      <c r="H1356" s="181"/>
      <c r="I1356" s="181"/>
      <c r="J1356" s="181"/>
      <c r="K1356" s="181" t="str">
        <f t="shared" si="28"/>
        <v>PENR_PENR|VE</v>
      </c>
      <c r="L1356" s="181"/>
    </row>
    <row r="1357" spans="1:12" hidden="1" x14ac:dyDescent="0.35">
      <c r="A1357" s="88" t="s">
        <v>4535</v>
      </c>
      <c r="B1357" s="88" t="s">
        <v>7975</v>
      </c>
      <c r="C1357" s="89" t="s">
        <v>7976</v>
      </c>
      <c r="D1357" s="89" t="s">
        <v>473</v>
      </c>
      <c r="E1357" s="181"/>
      <c r="F1357" s="181"/>
      <c r="G1357" s="183"/>
      <c r="H1357" s="181"/>
      <c r="I1357" s="181"/>
      <c r="J1357" s="181"/>
      <c r="K1357" s="181" t="str">
        <f t="shared" si="28"/>
        <v>PENR_PENR|VH</v>
      </c>
      <c r="L1357" s="181"/>
    </row>
    <row r="1358" spans="1:12" hidden="1" x14ac:dyDescent="0.35">
      <c r="A1358" s="181" t="s">
        <v>4548</v>
      </c>
      <c r="B1358" s="182" t="s">
        <v>7977</v>
      </c>
      <c r="C1358" s="181" t="s">
        <v>7978</v>
      </c>
      <c r="D1358" s="178">
        <v>4.0999999999999996</v>
      </c>
      <c r="E1358" s="181" t="s">
        <v>6450</v>
      </c>
      <c r="F1358" s="184">
        <v>40323</v>
      </c>
      <c r="G1358" s="181"/>
      <c r="H1358" s="181" t="s">
        <v>6451</v>
      </c>
      <c r="I1358" s="181" t="str">
        <f>VLOOKUP(LEFT(A1358,4),Groups!$A$1:$C$188,3,FALSE)</f>
        <v>Monitoring Installation Pipe Work</v>
      </c>
      <c r="J1358" s="181" t="str">
        <f>VLOOKUP(A1358,Headings!$C$1:$H$3948,4,FALSE)</f>
        <v>Type of pipe</v>
      </c>
      <c r="K1358" s="181" t="str">
        <f t="shared" si="28"/>
        <v>PIPE_TYPE|PLAIN</v>
      </c>
      <c r="L1358" s="181"/>
    </row>
    <row r="1359" spans="1:12" hidden="1" x14ac:dyDescent="0.35">
      <c r="A1359" s="181" t="s">
        <v>4548</v>
      </c>
      <c r="B1359" s="182" t="s">
        <v>4550</v>
      </c>
      <c r="C1359" s="181" t="s">
        <v>7979</v>
      </c>
      <c r="D1359" s="178">
        <v>4.0999999999999996</v>
      </c>
      <c r="E1359" s="181" t="s">
        <v>6450</v>
      </c>
      <c r="F1359" s="184">
        <v>40323</v>
      </c>
      <c r="G1359" s="181"/>
      <c r="H1359" s="181" t="s">
        <v>6451</v>
      </c>
      <c r="I1359" s="181" t="str">
        <f>VLOOKUP(LEFT(A1359,4),Groups!$A$1:$C$188,3,FALSE)</f>
        <v>Monitoring Installation Pipe Work</v>
      </c>
      <c r="J1359" s="181" t="str">
        <f>VLOOKUP(A1359,Headings!$C$1:$H$3948,4,FALSE)</f>
        <v>Type of pipe</v>
      </c>
      <c r="K1359" s="181" t="str">
        <f t="shared" si="28"/>
        <v>PIPE_TYPE|SLOTTED</v>
      </c>
      <c r="L1359" s="181"/>
    </row>
    <row r="1360" spans="1:12" hidden="1" x14ac:dyDescent="0.35">
      <c r="A1360" s="181" t="s">
        <v>4675</v>
      </c>
      <c r="B1360" s="182" t="s">
        <v>7980</v>
      </c>
      <c r="C1360" s="181" t="s">
        <v>7981</v>
      </c>
      <c r="D1360" s="178">
        <v>4.0999999999999996</v>
      </c>
      <c r="E1360" s="181" t="s">
        <v>6450</v>
      </c>
      <c r="F1360" s="184">
        <v>40323</v>
      </c>
      <c r="G1360" s="181"/>
      <c r="H1360" s="181" t="s">
        <v>6451</v>
      </c>
      <c r="I1360" s="181" t="str">
        <f>VLOOKUP(LEFT(A1360,4),Groups!$A$1:$C$188,3,FALSE)</f>
        <v>Pressuremeter Test Results - General</v>
      </c>
      <c r="J1360" s="181" t="str">
        <f>VLOOKUP(A1360,Headings!$C$1:$H$3948,4,FALSE)</f>
        <v>Pressuremeter type</v>
      </c>
      <c r="K1360" s="181" t="str">
        <f t="shared" si="28"/>
        <v>PMTG_TYPE|HPD</v>
      </c>
      <c r="L1360" s="181"/>
    </row>
    <row r="1361" spans="1:12" hidden="1" x14ac:dyDescent="0.35">
      <c r="A1361" s="181" t="s">
        <v>4675</v>
      </c>
      <c r="B1361" s="182" t="s">
        <v>7982</v>
      </c>
      <c r="C1361" s="181" t="s">
        <v>7983</v>
      </c>
      <c r="D1361" s="178">
        <v>4.0999999999999996</v>
      </c>
      <c r="E1361" s="181" t="s">
        <v>6450</v>
      </c>
      <c r="F1361" s="184">
        <v>40323</v>
      </c>
      <c r="G1361" s="181"/>
      <c r="H1361" s="181" t="s">
        <v>6451</v>
      </c>
      <c r="I1361" s="181" t="str">
        <f>VLOOKUP(LEFT(A1361,4),Groups!$A$1:$C$188,3,FALSE)</f>
        <v>Pressuremeter Test Results - General</v>
      </c>
      <c r="J1361" s="181" t="str">
        <f>VLOOKUP(A1361,Headings!$C$1:$H$3948,4,FALSE)</f>
        <v>Pressuremeter type</v>
      </c>
      <c r="K1361" s="181" t="str">
        <f t="shared" si="28"/>
        <v>PMTG_TYPE|MPM</v>
      </c>
      <c r="L1361" s="181"/>
    </row>
    <row r="1362" spans="1:12" hidden="1" x14ac:dyDescent="0.35">
      <c r="A1362" s="181" t="s">
        <v>4675</v>
      </c>
      <c r="B1362" s="182" t="s">
        <v>7984</v>
      </c>
      <c r="C1362" s="181" t="s">
        <v>7985</v>
      </c>
      <c r="D1362" s="178">
        <v>4.0999999999999996</v>
      </c>
      <c r="E1362" s="181" t="s">
        <v>6450</v>
      </c>
      <c r="F1362" s="184">
        <v>40323</v>
      </c>
      <c r="G1362" s="181"/>
      <c r="H1362" s="181" t="s">
        <v>6451</v>
      </c>
      <c r="I1362" s="181" t="str">
        <f>VLOOKUP(LEFT(A1362,4),Groups!$A$1:$C$188,3,FALSE)</f>
        <v>Pressuremeter Test Results - General</v>
      </c>
      <c r="J1362" s="181" t="str">
        <f>VLOOKUP(A1362,Headings!$C$1:$H$3948,4,FALSE)</f>
        <v>Pressuremeter type</v>
      </c>
      <c r="K1362" s="181" t="str">
        <f t="shared" si="28"/>
        <v>PMTG_TYPE|PIP</v>
      </c>
      <c r="L1362" s="181"/>
    </row>
    <row r="1363" spans="1:12" hidden="1" x14ac:dyDescent="0.35">
      <c r="A1363" s="181" t="s">
        <v>4675</v>
      </c>
      <c r="B1363" s="182" t="s">
        <v>7986</v>
      </c>
      <c r="C1363" s="181" t="s">
        <v>7987</v>
      </c>
      <c r="D1363" s="178">
        <v>4.0999999999999996</v>
      </c>
      <c r="E1363" s="181" t="s">
        <v>6450</v>
      </c>
      <c r="F1363" s="184">
        <v>40323</v>
      </c>
      <c r="G1363" s="181"/>
      <c r="H1363" s="181" t="s">
        <v>6451</v>
      </c>
      <c r="I1363" s="181" t="str">
        <f>VLOOKUP(LEFT(A1363,4),Groups!$A$1:$C$188,3,FALSE)</f>
        <v>Pressuremeter Test Results - General</v>
      </c>
      <c r="J1363" s="181" t="str">
        <f>VLOOKUP(A1363,Headings!$C$1:$H$3948,4,FALSE)</f>
        <v>Pressuremeter type</v>
      </c>
      <c r="K1363" s="181" t="str">
        <f t="shared" si="28"/>
        <v>PMTG_TYPE|SBP</v>
      </c>
      <c r="L1363" s="181"/>
    </row>
    <row r="1364" spans="1:12" hidden="1" x14ac:dyDescent="0.35">
      <c r="A1364" s="181" t="s">
        <v>4675</v>
      </c>
      <c r="B1364" s="182" t="s">
        <v>7988</v>
      </c>
      <c r="C1364" s="181" t="s">
        <v>7989</v>
      </c>
      <c r="D1364" s="178">
        <v>4.0999999999999996</v>
      </c>
      <c r="E1364" s="181" t="s">
        <v>6450</v>
      </c>
      <c r="F1364" s="184">
        <v>40323</v>
      </c>
      <c r="G1364" s="181"/>
      <c r="H1364" s="181" t="s">
        <v>6451</v>
      </c>
      <c r="I1364" s="181" t="str">
        <f>VLOOKUP(LEFT(A1364,4),Groups!$A$1:$C$188,3,FALSE)</f>
        <v>Pressuremeter Test Results - General</v>
      </c>
      <c r="J1364" s="181" t="str">
        <f>VLOOKUP(A1364,Headings!$C$1:$H$3948,4,FALSE)</f>
        <v>Pressuremeter type</v>
      </c>
      <c r="K1364" s="181" t="str">
        <f t="shared" si="28"/>
        <v>PMTG_TYPE|WRSBP</v>
      </c>
      <c r="L1364" s="181"/>
    </row>
    <row r="1365" spans="1:12" hidden="1" x14ac:dyDescent="0.35">
      <c r="A1365" s="181" t="s">
        <v>4834</v>
      </c>
      <c r="B1365" s="182" t="s">
        <v>7990</v>
      </c>
      <c r="C1365" s="181" t="s">
        <v>7991</v>
      </c>
      <c r="D1365" s="178">
        <v>4.0999999999999996</v>
      </c>
      <c r="E1365" s="181" t="s">
        <v>6450</v>
      </c>
      <c r="F1365" s="184">
        <v>40323</v>
      </c>
      <c r="G1365" s="181"/>
      <c r="H1365" s="181" t="s">
        <v>6451</v>
      </c>
      <c r="I1365" s="181" t="str">
        <f>VLOOKUP(LEFT(A1365,4),Groups!$A$1:$C$188,3,FALSE)</f>
        <v>Laboratory Permeability Tests</v>
      </c>
      <c r="J1365" s="181" t="str">
        <f>VLOOKUP(A1365,Headings!$C$1:$H$3948,4,FALSE)</f>
        <v>Type of permeameter</v>
      </c>
      <c r="K1365" s="181" t="str">
        <f t="shared" si="28"/>
        <v>PTST_CELL|CHP</v>
      </c>
      <c r="L1365" s="181"/>
    </row>
    <row r="1366" spans="1:12" hidden="1" x14ac:dyDescent="0.35">
      <c r="A1366" s="181" t="s">
        <v>4834</v>
      </c>
      <c r="B1366" s="182" t="s">
        <v>7992</v>
      </c>
      <c r="C1366" s="181" t="s">
        <v>7993</v>
      </c>
      <c r="D1366" s="178">
        <v>4.0999999999999996</v>
      </c>
      <c r="E1366" s="181" t="s">
        <v>6450</v>
      </c>
      <c r="F1366" s="184">
        <v>40323</v>
      </c>
      <c r="G1366" s="181"/>
      <c r="H1366" s="181" t="s">
        <v>6451</v>
      </c>
      <c r="I1366" s="181" t="str">
        <f>VLOOKUP(LEFT(A1366,4),Groups!$A$1:$C$188,3,FALSE)</f>
        <v>Laboratory Permeability Tests</v>
      </c>
      <c r="J1366" s="181" t="str">
        <f>VLOOKUP(A1366,Headings!$C$1:$H$3948,4,FALSE)</f>
        <v>Type of permeameter</v>
      </c>
      <c r="K1366" s="181" t="str">
        <f t="shared" si="28"/>
        <v>PTST_CELL|FHP</v>
      </c>
      <c r="L1366" s="181"/>
    </row>
    <row r="1367" spans="1:12" hidden="1" x14ac:dyDescent="0.35">
      <c r="A1367" s="181" t="s">
        <v>4834</v>
      </c>
      <c r="B1367" s="182" t="s">
        <v>6505</v>
      </c>
      <c r="C1367" s="181" t="s">
        <v>6506</v>
      </c>
      <c r="D1367" s="178">
        <v>4.0999999999999996</v>
      </c>
      <c r="E1367" s="181" t="s">
        <v>6450</v>
      </c>
      <c r="F1367" s="184">
        <v>40323</v>
      </c>
      <c r="G1367" s="181"/>
      <c r="H1367" s="181" t="s">
        <v>6451</v>
      </c>
      <c r="I1367" s="181" t="str">
        <f>VLOOKUP(LEFT(A1367,4),Groups!$A$1:$C$188,3,FALSE)</f>
        <v>Laboratory Permeability Tests</v>
      </c>
      <c r="J1367" s="181" t="str">
        <f>VLOOKUP(A1367,Headings!$C$1:$H$3948,4,FALSE)</f>
        <v>Type of permeameter</v>
      </c>
      <c r="K1367" s="181" t="str">
        <f t="shared" si="28"/>
        <v>PTST_CELL|HYDRAULIC CELL</v>
      </c>
      <c r="L1367" s="181"/>
    </row>
    <row r="1368" spans="1:12" hidden="1" x14ac:dyDescent="0.35">
      <c r="A1368" s="181" t="s">
        <v>4834</v>
      </c>
      <c r="B1368" s="182" t="s">
        <v>4836</v>
      </c>
      <c r="C1368" s="181" t="s">
        <v>7994</v>
      </c>
      <c r="D1368" s="178">
        <v>4.0999999999999996</v>
      </c>
      <c r="E1368" s="181" t="s">
        <v>6450</v>
      </c>
      <c r="F1368" s="184">
        <v>40323</v>
      </c>
      <c r="G1368" s="181"/>
      <c r="H1368" s="181" t="s">
        <v>6451</v>
      </c>
      <c r="I1368" s="181" t="str">
        <f>VLOOKUP(LEFT(A1368,4),Groups!$A$1:$C$188,3,FALSE)</f>
        <v>Laboratory Permeability Tests</v>
      </c>
      <c r="J1368" s="181" t="str">
        <f>VLOOKUP(A1368,Headings!$C$1:$H$3948,4,FALSE)</f>
        <v>Type of permeameter</v>
      </c>
      <c r="K1368" s="181" t="str">
        <f t="shared" si="28"/>
        <v>PTST_CELL|TRIAXIAL CELL</v>
      </c>
      <c r="L1368" s="181"/>
    </row>
    <row r="1369" spans="1:12" hidden="1" x14ac:dyDescent="0.35">
      <c r="A1369" s="181" t="s">
        <v>4789</v>
      </c>
      <c r="B1369" s="182" t="s">
        <v>6466</v>
      </c>
      <c r="C1369" s="181" t="s">
        <v>4112</v>
      </c>
      <c r="D1369" s="178">
        <v>4.0999999999999996</v>
      </c>
      <c r="E1369" s="181" t="s">
        <v>6450</v>
      </c>
      <c r="F1369" s="184">
        <v>40323</v>
      </c>
      <c r="G1369" s="181"/>
      <c r="H1369" s="181" t="s">
        <v>6451</v>
      </c>
      <c r="I1369" s="181" t="str">
        <f>VLOOKUP(LEFT(A1369,4),Groups!$A$1:$C$188,3,FALSE)</f>
        <v>Laboratory Permeability Tests</v>
      </c>
      <c r="J1369" s="181" t="str">
        <f>VLOOKUP(A1369,Headings!$C$1:$H$3948,4,FALSE)</f>
        <v>Sample condition</v>
      </c>
      <c r="K1369" s="181" t="str">
        <f t="shared" si="28"/>
        <v>PTST_COND|REMOULDED</v>
      </c>
      <c r="L1369" s="181"/>
    </row>
    <row r="1370" spans="1:12" hidden="1" x14ac:dyDescent="0.35">
      <c r="A1370" s="181" t="s">
        <v>4789</v>
      </c>
      <c r="B1370" s="182" t="s">
        <v>1273</v>
      </c>
      <c r="C1370" s="181" t="s">
        <v>6467</v>
      </c>
      <c r="D1370" s="178">
        <v>4.0999999999999996</v>
      </c>
      <c r="E1370" s="181" t="s">
        <v>6450</v>
      </c>
      <c r="F1370" s="184">
        <v>40323</v>
      </c>
      <c r="G1370" s="181"/>
      <c r="H1370" s="181" t="s">
        <v>6451</v>
      </c>
      <c r="I1370" s="181" t="str">
        <f>VLOOKUP(LEFT(A1370,4),Groups!$A$1:$C$188,3,FALSE)</f>
        <v>Laboratory Permeability Tests</v>
      </c>
      <c r="J1370" s="181" t="str">
        <f>VLOOKUP(A1370,Headings!$C$1:$H$3948,4,FALSE)</f>
        <v>Sample condition</v>
      </c>
      <c r="K1370" s="181" t="str">
        <f t="shared" si="28"/>
        <v>PTST_COND|UNDISTURBED</v>
      </c>
      <c r="L1370" s="181"/>
    </row>
    <row r="1371" spans="1:12" hidden="1" x14ac:dyDescent="0.35">
      <c r="A1371" s="181" t="s">
        <v>4831</v>
      </c>
      <c r="B1371" s="182" t="s">
        <v>7995</v>
      </c>
      <c r="C1371" s="181" t="s">
        <v>7995</v>
      </c>
      <c r="D1371" s="178">
        <v>4.0999999999999996</v>
      </c>
      <c r="E1371" s="181" t="s">
        <v>6450</v>
      </c>
      <c r="F1371" s="184">
        <v>44173</v>
      </c>
      <c r="G1371" s="181"/>
      <c r="H1371" s="181" t="s">
        <v>6451</v>
      </c>
      <c r="I1371" s="181" t="str">
        <f>VLOOKUP(LEFT(A1371,4),Groups!$A$1:$C$188,3,FALSE)</f>
        <v>Laboratory Permeability Tests</v>
      </c>
      <c r="J1371" s="181" t="str">
        <f>VLOOKUP(A1371,Headings!$C$1:$H$3948,4,FALSE)</f>
        <v>Type of permeability measurement</v>
      </c>
      <c r="K1371" s="181" t="str">
        <f t="shared" si="28"/>
        <v>PTST_TYPE|Constant head</v>
      </c>
      <c r="L1371" s="181"/>
    </row>
    <row r="1372" spans="1:12" hidden="1" x14ac:dyDescent="0.35">
      <c r="A1372" s="181" t="s">
        <v>4831</v>
      </c>
      <c r="B1372" s="182" t="s">
        <v>4833</v>
      </c>
      <c r="C1372" s="181" t="s">
        <v>4833</v>
      </c>
      <c r="D1372" s="178">
        <v>4.0999999999999996</v>
      </c>
      <c r="E1372" s="181" t="s">
        <v>6450</v>
      </c>
      <c r="F1372" s="184">
        <v>44173</v>
      </c>
      <c r="G1372" s="181"/>
      <c r="H1372" s="181" t="s">
        <v>6451</v>
      </c>
      <c r="I1372" s="181" t="str">
        <f>VLOOKUP(LEFT(A1372,4),Groups!$A$1:$C$188,3,FALSE)</f>
        <v>Laboratory Permeability Tests</v>
      </c>
      <c r="J1372" s="181" t="str">
        <f>VLOOKUP(A1372,Headings!$C$1:$H$3948,4,FALSE)</f>
        <v>Type of permeability measurement</v>
      </c>
      <c r="K1372" s="181" t="str">
        <f t="shared" si="28"/>
        <v>PTST_TYPE|Falling head</v>
      </c>
      <c r="L1372" s="181"/>
    </row>
    <row r="1373" spans="1:12" hidden="1" x14ac:dyDescent="0.35">
      <c r="A1373" s="88" t="s">
        <v>4981</v>
      </c>
      <c r="B1373" s="89" t="s">
        <v>7996</v>
      </c>
      <c r="C1373" s="88" t="s">
        <v>7997</v>
      </c>
      <c r="D1373" s="89" t="s">
        <v>473</v>
      </c>
      <c r="E1373" s="181"/>
      <c r="F1373" s="181"/>
      <c r="G1373" s="183"/>
      <c r="H1373" s="181"/>
      <c r="I1373" s="181"/>
      <c r="J1373" s="181"/>
      <c r="K1373" s="181" t="str">
        <f t="shared" si="28"/>
        <v>RCKA_ALT|DA</v>
      </c>
      <c r="L1373" s="181"/>
    </row>
    <row r="1374" spans="1:12" hidden="1" x14ac:dyDescent="0.35">
      <c r="A1374" s="88" t="s">
        <v>4981</v>
      </c>
      <c r="B1374" s="89" t="s">
        <v>4980</v>
      </c>
      <c r="C1374" s="88" t="s">
        <v>7998</v>
      </c>
      <c r="D1374" s="89" t="s">
        <v>473</v>
      </c>
      <c r="E1374" s="181"/>
      <c r="F1374" s="181"/>
      <c r="G1374" s="183"/>
      <c r="H1374" s="181"/>
      <c r="I1374" s="181"/>
      <c r="J1374" s="181"/>
      <c r="K1374" s="181" t="str">
        <f t="shared" si="28"/>
        <v>RCKA_ALT|HA</v>
      </c>
      <c r="L1374" s="181"/>
    </row>
    <row r="1375" spans="1:12" hidden="1" x14ac:dyDescent="0.35">
      <c r="A1375" s="88" t="s">
        <v>4981</v>
      </c>
      <c r="B1375" s="89" t="s">
        <v>7999</v>
      </c>
      <c r="C1375" s="88" t="s">
        <v>8000</v>
      </c>
      <c r="D1375" s="89" t="s">
        <v>473</v>
      </c>
      <c r="E1375" s="181"/>
      <c r="F1375" s="181"/>
      <c r="G1375" s="183"/>
      <c r="H1375" s="181"/>
      <c r="I1375" s="181"/>
      <c r="J1375" s="181"/>
      <c r="K1375" s="181" t="str">
        <f t="shared" si="28"/>
        <v>RCKA_ALT|MA</v>
      </c>
      <c r="L1375" s="181"/>
    </row>
    <row r="1376" spans="1:12" hidden="1" x14ac:dyDescent="0.35">
      <c r="A1376" s="88" t="s">
        <v>4981</v>
      </c>
      <c r="B1376" s="89" t="s">
        <v>4986</v>
      </c>
      <c r="C1376" s="88" t="s">
        <v>8001</v>
      </c>
      <c r="D1376" s="89" t="s">
        <v>473</v>
      </c>
      <c r="E1376" s="181"/>
      <c r="F1376" s="181"/>
      <c r="G1376" s="183"/>
      <c r="H1376" s="181"/>
      <c r="I1376" s="181"/>
      <c r="J1376" s="181"/>
      <c r="K1376" s="181" t="str">
        <f t="shared" si="28"/>
        <v>RCKA_ALT|SA</v>
      </c>
      <c r="L1376" s="181"/>
    </row>
    <row r="1377" spans="1:12" hidden="1" x14ac:dyDescent="0.35">
      <c r="A1377" s="88" t="s">
        <v>4981</v>
      </c>
      <c r="B1377" s="89" t="s">
        <v>8002</v>
      </c>
      <c r="C1377" s="88" t="s">
        <v>8003</v>
      </c>
      <c r="D1377" s="89" t="s">
        <v>473</v>
      </c>
      <c r="E1377" s="181"/>
      <c r="F1377" s="181"/>
      <c r="G1377" s="183"/>
      <c r="H1377" s="181"/>
      <c r="I1377" s="181"/>
      <c r="J1377" s="181"/>
      <c r="K1377" s="181" t="str">
        <f t="shared" si="28"/>
        <v>RCKA_ALT|XA</v>
      </c>
      <c r="L1377" s="181"/>
    </row>
    <row r="1378" spans="1:12" hidden="1" x14ac:dyDescent="0.35">
      <c r="A1378" s="88" t="s">
        <v>4992</v>
      </c>
      <c r="B1378" s="88" t="s">
        <v>7329</v>
      </c>
      <c r="C1378" s="89" t="s">
        <v>8004</v>
      </c>
      <c r="D1378" s="89" t="s">
        <v>473</v>
      </c>
      <c r="E1378" s="181"/>
      <c r="F1378" s="181"/>
      <c r="G1378" s="183"/>
      <c r="H1378" s="181"/>
      <c r="I1378" s="181"/>
      <c r="J1378" s="181"/>
      <c r="K1378" s="181" t="str">
        <f t="shared" si="28"/>
        <v>RCKS_STR|EH</v>
      </c>
      <c r="L1378" s="181"/>
    </row>
    <row r="1379" spans="1:12" hidden="1" x14ac:dyDescent="0.35">
      <c r="A1379" s="88" t="s">
        <v>4992</v>
      </c>
      <c r="B1379" s="88" t="s">
        <v>4538</v>
      </c>
      <c r="C1379" s="89" t="s">
        <v>7257</v>
      </c>
      <c r="D1379" s="89" t="s">
        <v>473</v>
      </c>
      <c r="E1379" s="181"/>
      <c r="F1379" s="181"/>
      <c r="G1379" s="183"/>
      <c r="H1379" s="181"/>
      <c r="I1379" s="181"/>
      <c r="J1379" s="181"/>
      <c r="K1379" s="181" t="str">
        <f t="shared" si="28"/>
        <v>RCKS_STR|H</v>
      </c>
      <c r="L1379" s="181"/>
    </row>
    <row r="1380" spans="1:12" hidden="1" x14ac:dyDescent="0.35">
      <c r="A1380" s="88" t="s">
        <v>4992</v>
      </c>
      <c r="B1380" s="88" t="s">
        <v>4991</v>
      </c>
      <c r="C1380" s="89" t="s">
        <v>7259</v>
      </c>
      <c r="D1380" s="89" t="s">
        <v>473</v>
      </c>
      <c r="E1380" s="181"/>
      <c r="F1380" s="181"/>
      <c r="G1380" s="183"/>
      <c r="H1380" s="181"/>
      <c r="I1380" s="181"/>
      <c r="J1380" s="181"/>
      <c r="K1380" s="181" t="str">
        <f t="shared" si="28"/>
        <v>RCKS_STR|L</v>
      </c>
      <c r="L1380" s="181"/>
    </row>
    <row r="1381" spans="1:12" hidden="1" x14ac:dyDescent="0.35">
      <c r="A1381" s="88" t="s">
        <v>4992</v>
      </c>
      <c r="B1381" s="88" t="s">
        <v>4996</v>
      </c>
      <c r="C1381" s="89" t="s">
        <v>715</v>
      </c>
      <c r="D1381" s="89" t="s">
        <v>473</v>
      </c>
      <c r="E1381" s="181"/>
      <c r="F1381" s="181"/>
      <c r="G1381" s="183"/>
      <c r="H1381" s="181"/>
      <c r="I1381" s="181"/>
      <c r="J1381" s="181"/>
      <c r="K1381" s="181" t="str">
        <f t="shared" si="28"/>
        <v>RCKS_STR|M</v>
      </c>
      <c r="L1381" s="181"/>
    </row>
    <row r="1382" spans="1:12" hidden="1" x14ac:dyDescent="0.35">
      <c r="A1382" s="88" t="s">
        <v>4992</v>
      </c>
      <c r="B1382" s="88" t="s">
        <v>7975</v>
      </c>
      <c r="C1382" s="89" t="s">
        <v>8005</v>
      </c>
      <c r="D1382" s="89" t="s">
        <v>473</v>
      </c>
      <c r="E1382" s="181"/>
      <c r="F1382" s="181"/>
      <c r="G1382" s="183"/>
      <c r="H1382" s="181"/>
      <c r="I1382" s="181"/>
      <c r="J1382" s="181"/>
      <c r="K1382" s="181" t="str">
        <f t="shared" si="28"/>
        <v>RCKS_STR|VH</v>
      </c>
      <c r="L1382" s="181"/>
    </row>
    <row r="1383" spans="1:12" hidden="1" x14ac:dyDescent="0.35">
      <c r="A1383" s="88" t="s">
        <v>4992</v>
      </c>
      <c r="B1383" s="88" t="s">
        <v>8006</v>
      </c>
      <c r="C1383" s="89" t="s">
        <v>8007</v>
      </c>
      <c r="D1383" s="89" t="s">
        <v>473</v>
      </c>
      <c r="E1383" s="181"/>
      <c r="F1383" s="181"/>
      <c r="G1383" s="183"/>
      <c r="H1383" s="181"/>
      <c r="I1383" s="181"/>
      <c r="J1383" s="181"/>
      <c r="K1383" s="181" t="str">
        <f t="shared" si="28"/>
        <v>RCKS_STR|VL</v>
      </c>
      <c r="L1383" s="181"/>
    </row>
    <row r="1384" spans="1:12" hidden="1" x14ac:dyDescent="0.35">
      <c r="A1384" s="181" t="s">
        <v>5121</v>
      </c>
      <c r="B1384" s="182" t="s">
        <v>1634</v>
      </c>
      <c r="C1384" s="181" t="s">
        <v>5278</v>
      </c>
      <c r="D1384" s="178">
        <v>4.0999999999999996</v>
      </c>
      <c r="E1384" s="181" t="s">
        <v>6450</v>
      </c>
      <c r="F1384" s="184">
        <v>44173</v>
      </c>
      <c r="G1384" s="181"/>
      <c r="H1384" s="181">
        <v>4.0999999999999996</v>
      </c>
      <c r="I1384" s="181" t="str">
        <f>VLOOKUP(LEFT(A1384,4),Groups!$A$1:$C$188,3,FALSE)</f>
        <v>Resonant Column Test - Consolidation</v>
      </c>
      <c r="J1384" s="181" t="str">
        <f>VLOOKUP(A1384,Headings!$C$1:$H$3948,4,FALSE)</f>
        <v>Type of consolidation</v>
      </c>
      <c r="K1384" s="181" t="str">
        <f t="shared" si="28"/>
        <v>RESC_CTYP|ISOTROPIC</v>
      </c>
      <c r="L1384" s="181"/>
    </row>
    <row r="1385" spans="1:12" hidden="1" x14ac:dyDescent="0.35">
      <c r="A1385" s="181" t="s">
        <v>5178</v>
      </c>
      <c r="B1385" s="182" t="s">
        <v>1723</v>
      </c>
      <c r="C1385" s="181" t="s">
        <v>6524</v>
      </c>
      <c r="D1385" s="178">
        <v>4.0999999999999996</v>
      </c>
      <c r="E1385" s="181" t="s">
        <v>6450</v>
      </c>
      <c r="F1385" s="184">
        <v>44173</v>
      </c>
      <c r="G1385" s="181"/>
      <c r="H1385" s="181">
        <v>4.0999999999999996</v>
      </c>
      <c r="I1385" s="181" t="str">
        <f>VLOOKUP(LEFT(A1385,4),Groups!$A$1:$C$188,3,FALSE)</f>
        <v>Resonant Column Test - Data</v>
      </c>
      <c r="J1385" s="181" t="str">
        <f>VLOOKUP(A1385,Headings!$C$1:$H$3948,4,FALSE)</f>
        <v>Test Conditions</v>
      </c>
      <c r="K1385" s="181" t="str">
        <f t="shared" si="28"/>
        <v>RESD_CNDS|DRAINED</v>
      </c>
      <c r="L1385" s="181"/>
    </row>
    <row r="1386" spans="1:12" hidden="1" x14ac:dyDescent="0.35">
      <c r="A1386" s="181" t="s">
        <v>5229</v>
      </c>
      <c r="B1386" s="182" t="s">
        <v>1273</v>
      </c>
      <c r="C1386" s="181" t="s">
        <v>6467</v>
      </c>
      <c r="D1386" s="178">
        <v>4.0999999999999996</v>
      </c>
      <c r="E1386" s="181" t="s">
        <v>6450</v>
      </c>
      <c r="F1386" s="184">
        <v>44173</v>
      </c>
      <c r="G1386" s="181"/>
      <c r="H1386" s="181">
        <v>4.0999999999999996</v>
      </c>
      <c r="I1386" s="181" t="str">
        <f>VLOOKUP(LEFT(A1386,4),Groups!$A$1:$C$188,3,FALSE)</f>
        <v>Resonant Column Test - General</v>
      </c>
      <c r="J1386" s="181" t="str">
        <f>VLOOKUP(A1386,Headings!$C$1:$H$3948,4,FALSE)</f>
        <v>Sample condition</v>
      </c>
      <c r="K1386" s="181" t="str">
        <f t="shared" si="28"/>
        <v>RESG_COND|UNDISTURBED</v>
      </c>
      <c r="L1386" s="181"/>
    </row>
    <row r="1387" spans="1:12" hidden="1" x14ac:dyDescent="0.35">
      <c r="A1387" s="181" t="s">
        <v>5236</v>
      </c>
      <c r="B1387" s="182" t="s">
        <v>5238</v>
      </c>
      <c r="C1387" s="181" t="s">
        <v>5238</v>
      </c>
      <c r="D1387" s="178">
        <v>4.0999999999999996</v>
      </c>
      <c r="E1387" s="181" t="s">
        <v>6450</v>
      </c>
      <c r="F1387" s="184">
        <v>44173</v>
      </c>
      <c r="G1387" s="181"/>
      <c r="H1387" s="181">
        <v>4.0999999999999996</v>
      </c>
      <c r="I1387" s="181" t="str">
        <f>VLOOKUP(LEFT(A1387,4),Groups!$A$1:$C$188,3,FALSE)</f>
        <v>Resonant Column Test - General</v>
      </c>
      <c r="J1387" s="181" t="str">
        <f>VLOOKUP(A1387,Headings!$C$1:$H$3948,4,FALSE)</f>
        <v>Orientation of Specimen</v>
      </c>
      <c r="K1387" s="181" t="str">
        <f t="shared" si="28"/>
        <v>RESG_ORNT|Vertical</v>
      </c>
      <c r="L1387" s="181"/>
    </row>
    <row r="1388" spans="1:12" hidden="1" x14ac:dyDescent="0.35">
      <c r="A1388" s="88" t="s">
        <v>5337</v>
      </c>
      <c r="B1388" s="88" t="s">
        <v>1311</v>
      </c>
      <c r="C1388" s="89" t="s">
        <v>6651</v>
      </c>
      <c r="D1388" s="89" t="s">
        <v>473</v>
      </c>
      <c r="E1388" s="181"/>
      <c r="F1388" s="181"/>
      <c r="G1388" s="183"/>
      <c r="H1388" s="181"/>
      <c r="I1388" s="181"/>
      <c r="J1388" s="181"/>
      <c r="K1388" s="181" t="str">
        <f t="shared" si="28"/>
        <v>RPLT_MCOD|D</v>
      </c>
      <c r="L1388" s="181"/>
    </row>
    <row r="1389" spans="1:12" hidden="1" x14ac:dyDescent="0.35">
      <c r="A1389" s="88" t="s">
        <v>5337</v>
      </c>
      <c r="B1389" s="88" t="s">
        <v>3269</v>
      </c>
      <c r="C1389" s="89" t="s">
        <v>6653</v>
      </c>
      <c r="D1389" s="89" t="s">
        <v>473</v>
      </c>
      <c r="E1389" s="181"/>
      <c r="F1389" s="181"/>
      <c r="G1389" s="183"/>
      <c r="H1389" s="181"/>
      <c r="I1389" s="181"/>
      <c r="J1389" s="181"/>
      <c r="K1389" s="181" t="str">
        <f t="shared" si="28"/>
        <v>RPLT_MCOD|F</v>
      </c>
      <c r="L1389" s="181"/>
    </row>
    <row r="1390" spans="1:12" hidden="1" x14ac:dyDescent="0.35">
      <c r="A1390" s="88" t="s">
        <v>5337</v>
      </c>
      <c r="B1390" s="88" t="s">
        <v>6028</v>
      </c>
      <c r="C1390" s="89" t="s">
        <v>8008</v>
      </c>
      <c r="D1390" s="89" t="s">
        <v>473</v>
      </c>
      <c r="E1390" s="181"/>
      <c r="F1390" s="181"/>
      <c r="G1390" s="183"/>
      <c r="H1390" s="181"/>
      <c r="I1390" s="181"/>
      <c r="J1390" s="181"/>
      <c r="K1390" s="181" t="str">
        <f t="shared" ref="K1390:K1453" si="29">A1390&amp;"|"&amp;B1390</f>
        <v>RPLT_MCOD|S</v>
      </c>
      <c r="L1390" s="181"/>
    </row>
    <row r="1391" spans="1:12" hidden="1" x14ac:dyDescent="0.35">
      <c r="A1391" s="181" t="s">
        <v>5329</v>
      </c>
      <c r="B1391" s="182" t="s">
        <v>2187</v>
      </c>
      <c r="C1391" s="181" t="s">
        <v>8009</v>
      </c>
      <c r="D1391" s="178">
        <v>4.0999999999999996</v>
      </c>
      <c r="E1391" s="181" t="s">
        <v>6450</v>
      </c>
      <c r="F1391" s="184">
        <v>40323</v>
      </c>
      <c r="G1391" s="181"/>
      <c r="H1391" s="181" t="s">
        <v>6451</v>
      </c>
      <c r="I1391" s="181" t="str">
        <f>VLOOKUP(LEFT(A1391,4),Groups!$A$1:$C$188,3,FALSE)</f>
        <v>Point Load Testing</v>
      </c>
      <c r="J1391" s="181" t="str">
        <f>VLOOKUP(A1391,Headings!$C$1:$H$3948,4,FALSE)</f>
        <v>Point load test type</v>
      </c>
      <c r="K1391" s="181" t="str">
        <f t="shared" si="29"/>
        <v>RPLT_PLTF|A</v>
      </c>
      <c r="L1391" s="181"/>
    </row>
    <row r="1392" spans="1:12" hidden="1" x14ac:dyDescent="0.35">
      <c r="A1392" s="181" t="s">
        <v>5329</v>
      </c>
      <c r="B1392" s="182" t="s">
        <v>7320</v>
      </c>
      <c r="C1392" s="181" t="s">
        <v>8010</v>
      </c>
      <c r="D1392" s="178">
        <v>4.0999999999999996</v>
      </c>
      <c r="E1392" s="181" t="s">
        <v>6450</v>
      </c>
      <c r="F1392" s="184">
        <v>40323</v>
      </c>
      <c r="G1392" s="181"/>
      <c r="H1392" s="181" t="s">
        <v>6451</v>
      </c>
      <c r="I1392" s="181" t="str">
        <f>VLOOKUP(LEFT(A1392,4),Groups!$A$1:$C$188,3,FALSE)</f>
        <v>Point Load Testing</v>
      </c>
      <c r="J1392" s="181" t="str">
        <f>VLOOKUP(A1392,Headings!$C$1:$H$3948,4,FALSE)</f>
        <v>Point load test type</v>
      </c>
      <c r="K1392" s="181" t="str">
        <f t="shared" si="29"/>
        <v>RPLT_PLTF|B</v>
      </c>
      <c r="L1392" s="181"/>
    </row>
    <row r="1393" spans="1:12" hidden="1" x14ac:dyDescent="0.35">
      <c r="A1393" s="181" t="s">
        <v>5329</v>
      </c>
      <c r="B1393" s="182" t="s">
        <v>1311</v>
      </c>
      <c r="C1393" s="181" t="s">
        <v>8011</v>
      </c>
      <c r="D1393" s="178">
        <v>4.0999999999999996</v>
      </c>
      <c r="E1393" s="181" t="s">
        <v>6450</v>
      </c>
      <c r="F1393" s="184">
        <v>40323</v>
      </c>
      <c r="G1393" s="181"/>
      <c r="H1393" s="181" t="s">
        <v>6451</v>
      </c>
      <c r="I1393" s="181" t="str">
        <f>VLOOKUP(LEFT(A1393,4),Groups!$A$1:$C$188,3,FALSE)</f>
        <v>Point Load Testing</v>
      </c>
      <c r="J1393" s="181" t="str">
        <f>VLOOKUP(A1393,Headings!$C$1:$H$3948,4,FALSE)</f>
        <v>Point load test type</v>
      </c>
      <c r="K1393" s="181" t="str">
        <f t="shared" si="29"/>
        <v>RPLT_PLTF|D</v>
      </c>
      <c r="L1393" s="181"/>
    </row>
    <row r="1394" spans="1:12" hidden="1" x14ac:dyDescent="0.35">
      <c r="A1394" s="181" t="s">
        <v>5329</v>
      </c>
      <c r="B1394" s="182" t="s">
        <v>8012</v>
      </c>
      <c r="C1394" s="181" t="s">
        <v>8013</v>
      </c>
      <c r="D1394" s="178">
        <v>4.0999999999999996</v>
      </c>
      <c r="E1394" s="181" t="s">
        <v>6450</v>
      </c>
      <c r="F1394" s="184">
        <v>40323</v>
      </c>
      <c r="G1394" s="181"/>
      <c r="H1394" s="181" t="s">
        <v>6451</v>
      </c>
      <c r="I1394" s="181" t="str">
        <f>VLOOKUP(LEFT(A1394,4),Groups!$A$1:$C$188,3,FALSE)</f>
        <v>Point Load Testing</v>
      </c>
      <c r="J1394" s="181" t="str">
        <f>VLOOKUP(A1394,Headings!$C$1:$H$3948,4,FALSE)</f>
        <v>Point load test type</v>
      </c>
      <c r="K1394" s="181" t="str">
        <f t="shared" si="29"/>
        <v>RPLT_PLTF|I</v>
      </c>
      <c r="L1394" s="181"/>
    </row>
    <row r="1395" spans="1:12" hidden="1" x14ac:dyDescent="0.35">
      <c r="A1395" s="181" t="s">
        <v>5329</v>
      </c>
      <c r="B1395" s="182" t="s">
        <v>4991</v>
      </c>
      <c r="C1395" s="181" t="s">
        <v>8014</v>
      </c>
      <c r="D1395" s="178">
        <v>4.0999999999999996</v>
      </c>
      <c r="E1395" s="181" t="s">
        <v>6450</v>
      </c>
      <c r="F1395" s="184">
        <v>40323</v>
      </c>
      <c r="G1395" s="181"/>
      <c r="H1395" s="181" t="s">
        <v>6451</v>
      </c>
      <c r="I1395" s="181" t="str">
        <f>VLOOKUP(LEFT(A1395,4),Groups!$A$1:$C$188,3,FALSE)</f>
        <v>Point Load Testing</v>
      </c>
      <c r="J1395" s="181" t="str">
        <f>VLOOKUP(A1395,Headings!$C$1:$H$3948,4,FALSE)</f>
        <v>Point load test type</v>
      </c>
      <c r="K1395" s="181" t="str">
        <f t="shared" si="29"/>
        <v>RPLT_PLTF|L</v>
      </c>
      <c r="L1395" s="181"/>
    </row>
    <row r="1396" spans="1:12" hidden="1" x14ac:dyDescent="0.35">
      <c r="A1396" s="181" t="s">
        <v>5329</v>
      </c>
      <c r="B1396" s="182" t="s">
        <v>6631</v>
      </c>
      <c r="C1396" s="181" t="s">
        <v>8015</v>
      </c>
      <c r="D1396" s="178">
        <v>4.0999999999999996</v>
      </c>
      <c r="E1396" s="181" t="s">
        <v>6450</v>
      </c>
      <c r="F1396" s="184">
        <v>40323</v>
      </c>
      <c r="G1396" s="181"/>
      <c r="H1396" s="181" t="s">
        <v>6451</v>
      </c>
      <c r="I1396" s="181" t="str">
        <f>VLOOKUP(LEFT(A1396,4),Groups!$A$1:$C$188,3,FALSE)</f>
        <v>Point Load Testing</v>
      </c>
      <c r="J1396" s="181" t="str">
        <f>VLOOKUP(A1396,Headings!$C$1:$H$3948,4,FALSE)</f>
        <v>Point load test type</v>
      </c>
      <c r="K1396" s="181" t="str">
        <f t="shared" si="29"/>
        <v>RPLT_PLTF|P</v>
      </c>
      <c r="L1396" s="181"/>
    </row>
    <row r="1397" spans="1:12" hidden="1" x14ac:dyDescent="0.35">
      <c r="A1397" s="181" t="s">
        <v>5329</v>
      </c>
      <c r="B1397" s="182" t="s">
        <v>859</v>
      </c>
      <c r="C1397" s="181" t="s">
        <v>8016</v>
      </c>
      <c r="D1397" s="178">
        <v>4.0999999999999996</v>
      </c>
      <c r="E1397" s="181" t="s">
        <v>6450</v>
      </c>
      <c r="F1397" s="184">
        <v>43077</v>
      </c>
      <c r="G1397" s="181"/>
      <c r="H1397" s="181" t="s">
        <v>6451</v>
      </c>
      <c r="I1397" s="181" t="str">
        <f>VLOOKUP(LEFT(A1397,4),Groups!$A$1:$C$188,3,FALSE)</f>
        <v>Point Load Testing</v>
      </c>
      <c r="J1397" s="181" t="str">
        <f>VLOOKUP(A1397,Headings!$C$1:$H$3948,4,FALSE)</f>
        <v>Point load test type</v>
      </c>
      <c r="K1397" s="181" t="str">
        <f t="shared" si="29"/>
        <v>RPLT_PLTF|U</v>
      </c>
      <c r="L1397" s="181"/>
    </row>
    <row r="1398" spans="1:12" hidden="1" x14ac:dyDescent="0.35">
      <c r="A1398" s="181" t="s">
        <v>5357</v>
      </c>
      <c r="B1398" s="182" t="s">
        <v>8017</v>
      </c>
      <c r="C1398" s="181" t="s">
        <v>8018</v>
      </c>
      <c r="D1398" s="178">
        <v>4.0999999999999996</v>
      </c>
      <c r="E1398" s="181" t="s">
        <v>6450</v>
      </c>
      <c r="F1398" s="184">
        <v>44173</v>
      </c>
      <c r="G1398" s="181"/>
      <c r="H1398" s="181">
        <v>4.0999999999999996</v>
      </c>
      <c r="I1398" s="181" t="str">
        <f>VLOOKUP(LEFT(A1398,4),Groups!$A$1:$C$188,3,FALSE)</f>
        <v>Schmidt Rebound Hardness Tests</v>
      </c>
      <c r="J1398" s="181" t="str">
        <f>VLOOKUP(A1398,Headings!$C$1:$H$3948,4,FALSE)</f>
        <v>Method of excavation or block production</v>
      </c>
      <c r="K1398" s="181" t="str">
        <f t="shared" si="29"/>
        <v>RSCH_EXCV|BLASTING</v>
      </c>
      <c r="L1398" s="181"/>
    </row>
    <row r="1399" spans="1:12" hidden="1" x14ac:dyDescent="0.35">
      <c r="A1399" s="181" t="s">
        <v>5357</v>
      </c>
      <c r="B1399" s="182" t="s">
        <v>5359</v>
      </c>
      <c r="C1399" s="181" t="s">
        <v>8019</v>
      </c>
      <c r="D1399" s="178">
        <v>4.0999999999999996</v>
      </c>
      <c r="E1399" s="181" t="s">
        <v>6450</v>
      </c>
      <c r="F1399" s="184">
        <v>44173</v>
      </c>
      <c r="G1399" s="181"/>
      <c r="H1399" s="181">
        <v>4.0999999999999996</v>
      </c>
      <c r="I1399" s="181" t="str">
        <f>VLOOKUP(LEFT(A1399,4),Groups!$A$1:$C$188,3,FALSE)</f>
        <v>Schmidt Rebound Hardness Tests</v>
      </c>
      <c r="J1399" s="181" t="str">
        <f>VLOOKUP(A1399,Headings!$C$1:$H$3948,4,FALSE)</f>
        <v>Method of excavation or block production</v>
      </c>
      <c r="K1399" s="181" t="str">
        <f t="shared" si="29"/>
        <v>RSCH_EXCV|BORING</v>
      </c>
      <c r="L1399" s="181"/>
    </row>
    <row r="1400" spans="1:12" hidden="1" x14ac:dyDescent="0.35">
      <c r="A1400" s="181" t="s">
        <v>5357</v>
      </c>
      <c r="B1400" s="182" t="s">
        <v>8020</v>
      </c>
      <c r="C1400" s="181" t="s">
        <v>8021</v>
      </c>
      <c r="D1400" s="178">
        <v>4.0999999999999996</v>
      </c>
      <c r="E1400" s="181" t="s">
        <v>6450</v>
      </c>
      <c r="F1400" s="184">
        <v>44173</v>
      </c>
      <c r="G1400" s="181"/>
      <c r="H1400" s="181">
        <v>4.0999999999999996</v>
      </c>
      <c r="I1400" s="181" t="str">
        <f>VLOOKUP(LEFT(A1400,4),Groups!$A$1:$C$188,3,FALSE)</f>
        <v>Schmidt Rebound Hardness Tests</v>
      </c>
      <c r="J1400" s="181" t="str">
        <f>VLOOKUP(A1400,Headings!$C$1:$H$3948,4,FALSE)</f>
        <v>Method of excavation or block production</v>
      </c>
      <c r="K1400" s="181" t="str">
        <f t="shared" si="29"/>
        <v>RSCH_EXCV|RIP</v>
      </c>
      <c r="L1400" s="181"/>
    </row>
    <row r="1401" spans="1:12" hidden="1" x14ac:dyDescent="0.35">
      <c r="A1401" s="181" t="s">
        <v>5357</v>
      </c>
      <c r="B1401" s="182" t="s">
        <v>8022</v>
      </c>
      <c r="C1401" s="181" t="s">
        <v>8023</v>
      </c>
      <c r="D1401" s="178">
        <v>4.0999999999999996</v>
      </c>
      <c r="E1401" s="181" t="s">
        <v>6450</v>
      </c>
      <c r="F1401" s="184">
        <v>44173</v>
      </c>
      <c r="G1401" s="181"/>
      <c r="H1401" s="181">
        <v>4.0999999999999996</v>
      </c>
      <c r="I1401" s="181" t="str">
        <f>VLOOKUP(LEFT(A1401,4),Groups!$A$1:$C$188,3,FALSE)</f>
        <v>Schmidt Rebound Hardness Tests</v>
      </c>
      <c r="J1401" s="181" t="str">
        <f>VLOOKUP(A1401,Headings!$C$1:$H$3948,4,FALSE)</f>
        <v>Method of excavation or block production</v>
      </c>
      <c r="K1401" s="181" t="str">
        <f t="shared" si="29"/>
        <v>RSCH_EXCV|SPLIT</v>
      </c>
      <c r="L1401" s="181"/>
    </row>
    <row r="1402" spans="1:12" hidden="1" x14ac:dyDescent="0.35">
      <c r="A1402" s="181" t="s">
        <v>5370</v>
      </c>
      <c r="B1402" s="182" t="s">
        <v>4991</v>
      </c>
      <c r="C1402" s="181" t="s">
        <v>8024</v>
      </c>
      <c r="D1402" s="178">
        <v>4.0999999999999996</v>
      </c>
      <c r="E1402" s="181" t="s">
        <v>6450</v>
      </c>
      <c r="F1402" s="184">
        <v>44173</v>
      </c>
      <c r="G1402" s="181"/>
      <c r="H1402" s="181">
        <v>4.0999999999999996</v>
      </c>
      <c r="I1402" s="181" t="str">
        <f>VLOOKUP(LEFT(A1402,4),Groups!$A$1:$C$188,3,FALSE)</f>
        <v>Schmidt Rebound Hardness Tests</v>
      </c>
      <c r="J1402" s="181" t="str">
        <f>VLOOKUP(A1402,Headings!$C$1:$H$3948,4,FALSE)</f>
        <v>Hammer type</v>
      </c>
      <c r="K1402" s="181" t="str">
        <f t="shared" si="29"/>
        <v>RSCH_HTYP|L</v>
      </c>
      <c r="L1402" s="181"/>
    </row>
    <row r="1403" spans="1:12" hidden="1" x14ac:dyDescent="0.35">
      <c r="A1403" s="181" t="s">
        <v>5370</v>
      </c>
      <c r="B1403" s="182" t="s">
        <v>676</v>
      </c>
      <c r="C1403" s="181" t="s">
        <v>8025</v>
      </c>
      <c r="D1403" s="178">
        <v>4.0999999999999996</v>
      </c>
      <c r="E1403" s="181" t="s">
        <v>6450</v>
      </c>
      <c r="F1403" s="184">
        <v>44173</v>
      </c>
      <c r="G1403" s="181"/>
      <c r="H1403" s="181">
        <v>4.0999999999999996</v>
      </c>
      <c r="I1403" s="181" t="str">
        <f>VLOOKUP(LEFT(A1403,4),Groups!$A$1:$C$188,3,FALSE)</f>
        <v>Schmidt Rebound Hardness Tests</v>
      </c>
      <c r="J1403" s="181" t="str">
        <f>VLOOKUP(A1403,Headings!$C$1:$H$3948,4,FALSE)</f>
        <v>Hammer type</v>
      </c>
      <c r="K1403" s="181" t="str">
        <f t="shared" si="29"/>
        <v>RSCH_HTYP|N</v>
      </c>
      <c r="L1403" s="181"/>
    </row>
    <row r="1404" spans="1:12" hidden="1" x14ac:dyDescent="0.35">
      <c r="A1404" s="181" t="s">
        <v>5355</v>
      </c>
      <c r="B1404" s="182" t="s">
        <v>108</v>
      </c>
      <c r="C1404" s="181" t="s">
        <v>3140</v>
      </c>
      <c r="D1404" s="178">
        <v>4.0999999999999996</v>
      </c>
      <c r="E1404" s="181" t="s">
        <v>6450</v>
      </c>
      <c r="F1404" s="184">
        <v>44173</v>
      </c>
      <c r="G1404" s="181"/>
      <c r="H1404" s="181">
        <v>4.0999999999999996</v>
      </c>
      <c r="I1404" s="181" t="str">
        <f>VLOOKUP(LEFT(A1404,4),Groups!$A$1:$C$188,3,FALSE)</f>
        <v>Schmidt Rebound Hardness Tests</v>
      </c>
      <c r="J1404" s="181" t="str">
        <f>VLOOKUP(A1404,Headings!$C$1:$H$3948,4,FALSE)</f>
        <v>Specimen type</v>
      </c>
      <c r="K1404" s="181" t="str">
        <f t="shared" si="29"/>
        <v>RSCH_STYP|CORE</v>
      </c>
      <c r="L1404" s="181"/>
    </row>
    <row r="1405" spans="1:12" hidden="1" x14ac:dyDescent="0.35">
      <c r="A1405" s="181" t="s">
        <v>5355</v>
      </c>
      <c r="B1405" s="182" t="s">
        <v>8026</v>
      </c>
      <c r="C1405" s="181" t="s">
        <v>8027</v>
      </c>
      <c r="D1405" s="178">
        <v>4.0999999999999996</v>
      </c>
      <c r="E1405" s="181" t="s">
        <v>6450</v>
      </c>
      <c r="F1405" s="184">
        <v>44173</v>
      </c>
      <c r="G1405" s="181"/>
      <c r="H1405" s="181">
        <v>4.0999999999999996</v>
      </c>
      <c r="I1405" s="181" t="str">
        <f>VLOOKUP(LEFT(A1405,4),Groups!$A$1:$C$188,3,FALSE)</f>
        <v>Schmidt Rebound Hardness Tests</v>
      </c>
      <c r="J1405" s="181" t="str">
        <f>VLOOKUP(A1405,Headings!$C$1:$H$3948,4,FALSE)</f>
        <v>Specimen type</v>
      </c>
      <c r="K1405" s="181" t="str">
        <f t="shared" si="29"/>
        <v>RSCH_STYP|EXC</v>
      </c>
      <c r="L1405" s="181"/>
    </row>
    <row r="1406" spans="1:12" hidden="1" x14ac:dyDescent="0.35">
      <c r="A1406" s="181" t="s">
        <v>5355</v>
      </c>
      <c r="B1406" s="182" t="s">
        <v>8028</v>
      </c>
      <c r="C1406" s="181" t="s">
        <v>8029</v>
      </c>
      <c r="D1406" s="178">
        <v>4.0999999999999996</v>
      </c>
      <c r="E1406" s="181" t="s">
        <v>6450</v>
      </c>
      <c r="F1406" s="184">
        <v>44173</v>
      </c>
      <c r="G1406" s="181"/>
      <c r="H1406" s="181">
        <v>4.0999999999999996</v>
      </c>
      <c r="I1406" s="181" t="str">
        <f>VLOOKUP(LEFT(A1406,4),Groups!$A$1:$C$188,3,FALSE)</f>
        <v>Schmidt Rebound Hardness Tests</v>
      </c>
      <c r="J1406" s="181" t="str">
        <f>VLOOKUP(A1406,Headings!$C$1:$H$3948,4,FALSE)</f>
        <v>Specimen type</v>
      </c>
      <c r="K1406" s="181" t="str">
        <f t="shared" si="29"/>
        <v>RSCH_STYP|LFB</v>
      </c>
      <c r="L1406" s="181"/>
    </row>
    <row r="1407" spans="1:12" hidden="1" x14ac:dyDescent="0.35">
      <c r="A1407" s="181" t="s">
        <v>5355</v>
      </c>
      <c r="B1407" s="182" t="s">
        <v>8030</v>
      </c>
      <c r="C1407" s="181" t="s">
        <v>7337</v>
      </c>
      <c r="D1407" s="178">
        <v>4.0999999999999996</v>
      </c>
      <c r="E1407" s="181" t="s">
        <v>6450</v>
      </c>
      <c r="F1407" s="184">
        <v>44173</v>
      </c>
      <c r="G1407" s="181"/>
      <c r="H1407" s="181">
        <v>4.0999999999999996</v>
      </c>
      <c r="I1407" s="181" t="str">
        <f>VLOOKUP(LEFT(A1407,4),Groups!$A$1:$C$188,3,FALSE)</f>
        <v>Schmidt Rebound Hardness Tests</v>
      </c>
      <c r="J1407" s="181" t="str">
        <f>VLOOKUP(A1407,Headings!$C$1:$H$3948,4,FALSE)</f>
        <v>Specimen type</v>
      </c>
      <c r="K1407" s="181" t="str">
        <f t="shared" si="29"/>
        <v>RSCH_STYP|NAT</v>
      </c>
      <c r="L1407" s="181"/>
    </row>
    <row r="1408" spans="1:12" hidden="1" x14ac:dyDescent="0.35">
      <c r="A1408" s="181" t="s">
        <v>5355</v>
      </c>
      <c r="B1408" s="182" t="s">
        <v>5745</v>
      </c>
      <c r="C1408" s="181" t="s">
        <v>8031</v>
      </c>
      <c r="D1408" s="178">
        <v>4.0999999999999996</v>
      </c>
      <c r="E1408" s="181" t="s">
        <v>6450</v>
      </c>
      <c r="F1408" s="184">
        <v>44173</v>
      </c>
      <c r="G1408" s="181"/>
      <c r="H1408" s="181">
        <v>4.0999999999999996</v>
      </c>
      <c r="I1408" s="181" t="str">
        <f>VLOOKUP(LEFT(A1408,4),Groups!$A$1:$C$188,3,FALSE)</f>
        <v>Schmidt Rebound Hardness Tests</v>
      </c>
      <c r="J1408" s="181" t="str">
        <f>VLOOKUP(A1408,Headings!$C$1:$H$3948,4,FALSE)</f>
        <v>Specimen type</v>
      </c>
      <c r="K1408" s="181" t="str">
        <f t="shared" si="29"/>
        <v>RSCH_STYP|SB</v>
      </c>
      <c r="L1408" s="181"/>
    </row>
    <row r="1409" spans="1:12" hidden="1" x14ac:dyDescent="0.35">
      <c r="A1409" s="181" t="s">
        <v>5487</v>
      </c>
      <c r="B1409" s="182" t="s">
        <v>5488</v>
      </c>
      <c r="C1409" s="181" t="s">
        <v>5488</v>
      </c>
      <c r="D1409" s="178">
        <v>4.0999999999999996</v>
      </c>
      <c r="E1409" s="181" t="s">
        <v>6450</v>
      </c>
      <c r="F1409" s="184">
        <v>44173</v>
      </c>
      <c r="G1409" s="181"/>
      <c r="H1409" s="181">
        <v>4.0999999999999996</v>
      </c>
      <c r="I1409" s="181" t="str">
        <f>VLOOKUP(LEFT(A1409,4),Groups!$A$1:$C$188,3,FALSE)</f>
        <v>Tensile Strength Testing</v>
      </c>
      <c r="J1409" s="181" t="str">
        <f>VLOOKUP(A1409,Headings!$C$1:$H$3948,4,FALSE)</f>
        <v>Mode of failure</v>
      </c>
      <c r="K1409" s="181" t="str">
        <f t="shared" si="29"/>
        <v>RTEN_MODE|Shear</v>
      </c>
      <c r="L1409" s="181"/>
    </row>
    <row r="1410" spans="1:12" hidden="1" x14ac:dyDescent="0.35">
      <c r="A1410" s="181" t="s">
        <v>5513</v>
      </c>
      <c r="B1410" s="182" t="s">
        <v>5488</v>
      </c>
      <c r="C1410" s="182" t="s">
        <v>5488</v>
      </c>
      <c r="D1410" s="178">
        <v>4.0999999999999996</v>
      </c>
      <c r="E1410" s="181" t="s">
        <v>6450</v>
      </c>
      <c r="F1410" s="184"/>
      <c r="G1410" s="183"/>
      <c r="H1410" s="181" t="s">
        <v>6451</v>
      </c>
      <c r="I1410" s="181" t="str">
        <f>VLOOKUP(LEFT(A1410,4),Groups!$A$1:$C$188,3,FALSE)</f>
        <v>Rock Uniaxial Compressive Strength and Deformability Tests</v>
      </c>
      <c r="J1410" s="181" t="str">
        <f>VLOOKUP(A1410,Headings!$C$1:$H$3948,4,FALSE)</f>
        <v>Mode of failure</v>
      </c>
      <c r="K1410" s="181" t="str">
        <f t="shared" si="29"/>
        <v>RUCS_MODE|Shear</v>
      </c>
      <c r="L1410" s="181"/>
    </row>
    <row r="1411" spans="1:12" hidden="1" x14ac:dyDescent="0.35">
      <c r="A1411" s="181" t="s">
        <v>857</v>
      </c>
      <c r="B1411" s="182" t="s">
        <v>8032</v>
      </c>
      <c r="C1411" s="181" t="s">
        <v>8033</v>
      </c>
      <c r="D1411" s="178">
        <v>4.0999999999999996</v>
      </c>
      <c r="E1411" s="181" t="s">
        <v>6450</v>
      </c>
      <c r="F1411" s="184">
        <v>40323</v>
      </c>
      <c r="G1411" s="181"/>
      <c r="H1411" s="181" t="s">
        <v>6451</v>
      </c>
      <c r="I1411" s="181" t="str">
        <f>VLOOKUP(LEFT(A1411,4),Groups!$A$1:$C$188,3,FALSE)</f>
        <v>Sample Information</v>
      </c>
      <c r="J1411" s="181" t="str">
        <f>VLOOKUP(A1411,Headings!$C$1:$H$3948,4,FALSE)</f>
        <v>Sample type</v>
      </c>
      <c r="K1411" s="181" t="str">
        <f t="shared" si="29"/>
        <v>SAMP_TYPE|AMAL</v>
      </c>
      <c r="L1411" s="181"/>
    </row>
    <row r="1412" spans="1:12" hidden="1" x14ac:dyDescent="0.35">
      <c r="A1412" s="181" t="s">
        <v>857</v>
      </c>
      <c r="B1412" s="182" t="s">
        <v>7320</v>
      </c>
      <c r="C1412" s="181" t="s">
        <v>8034</v>
      </c>
      <c r="D1412" s="178">
        <v>4.0999999999999996</v>
      </c>
      <c r="E1412" s="181" t="s">
        <v>6450</v>
      </c>
      <c r="F1412" s="184">
        <v>40323</v>
      </c>
      <c r="G1412" s="181"/>
      <c r="H1412" s="181" t="s">
        <v>6451</v>
      </c>
      <c r="I1412" s="181" t="str">
        <f>VLOOKUP(LEFT(A1412,4),Groups!$A$1:$C$188,3,FALSE)</f>
        <v>Sample Information</v>
      </c>
      <c r="J1412" s="181" t="str">
        <f>VLOOKUP(A1412,Headings!$C$1:$H$3948,4,FALSE)</f>
        <v>Sample type</v>
      </c>
      <c r="K1412" s="181" t="str">
        <f t="shared" si="29"/>
        <v>SAMP_TYPE|B</v>
      </c>
      <c r="L1412" s="181"/>
    </row>
    <row r="1413" spans="1:12" hidden="1" x14ac:dyDescent="0.35">
      <c r="A1413" s="181" t="s">
        <v>857</v>
      </c>
      <c r="B1413" s="182" t="s">
        <v>8035</v>
      </c>
      <c r="C1413" s="181" t="s">
        <v>7510</v>
      </c>
      <c r="D1413" s="178">
        <v>4.0999999999999996</v>
      </c>
      <c r="E1413" s="181" t="s">
        <v>6450</v>
      </c>
      <c r="F1413" s="184">
        <v>40323</v>
      </c>
      <c r="G1413" s="181"/>
      <c r="H1413" s="181" t="s">
        <v>6451</v>
      </c>
      <c r="I1413" s="181" t="str">
        <f>VLOOKUP(LEFT(A1413,4),Groups!$A$1:$C$188,3,FALSE)</f>
        <v>Sample Information</v>
      </c>
      <c r="J1413" s="181" t="str">
        <f>VLOOKUP(A1413,Headings!$C$1:$H$3948,4,FALSE)</f>
        <v>Sample type</v>
      </c>
      <c r="K1413" s="181" t="str">
        <f t="shared" si="29"/>
        <v>SAMP_TYPE|BLK</v>
      </c>
      <c r="L1413" s="181"/>
    </row>
    <row r="1414" spans="1:12" hidden="1" x14ac:dyDescent="0.35">
      <c r="A1414" s="181" t="s">
        <v>857</v>
      </c>
      <c r="B1414" s="182" t="s">
        <v>4898</v>
      </c>
      <c r="C1414" s="181" t="s">
        <v>8036</v>
      </c>
      <c r="D1414" s="178">
        <v>4.0999999999999996</v>
      </c>
      <c r="E1414" s="181" t="s">
        <v>6450</v>
      </c>
      <c r="F1414" s="184">
        <v>40323</v>
      </c>
      <c r="G1414" s="181"/>
      <c r="H1414" s="181" t="s">
        <v>6451</v>
      </c>
      <c r="I1414" s="181" t="str">
        <f>VLOOKUP(LEFT(A1414,4),Groups!$A$1:$C$188,3,FALSE)</f>
        <v>Sample Information</v>
      </c>
      <c r="J1414" s="181" t="str">
        <f>VLOOKUP(A1414,Headings!$C$1:$H$3948,4,FALSE)</f>
        <v>Sample type</v>
      </c>
      <c r="K1414" s="181" t="str">
        <f t="shared" si="29"/>
        <v>SAMP_TYPE|C</v>
      </c>
      <c r="L1414" s="181"/>
    </row>
    <row r="1415" spans="1:12" hidden="1" x14ac:dyDescent="0.35">
      <c r="A1415" s="181" t="s">
        <v>857</v>
      </c>
      <c r="B1415" s="182" t="s">
        <v>6490</v>
      </c>
      <c r="C1415" s="181" t="s">
        <v>8037</v>
      </c>
      <c r="D1415" s="178">
        <v>4.0999999999999996</v>
      </c>
      <c r="E1415" s="181" t="s">
        <v>6450</v>
      </c>
      <c r="F1415" s="184">
        <v>40323</v>
      </c>
      <c r="G1415" s="181"/>
      <c r="H1415" s="181" t="s">
        <v>6451</v>
      </c>
      <c r="I1415" s="181" t="str">
        <f>VLOOKUP(LEFT(A1415,4),Groups!$A$1:$C$188,3,FALSE)</f>
        <v>Sample Information</v>
      </c>
      <c r="J1415" s="181" t="str">
        <f>VLOOKUP(A1415,Headings!$C$1:$H$3948,4,FALSE)</f>
        <v>Sample type</v>
      </c>
      <c r="K1415" s="181" t="str">
        <f t="shared" si="29"/>
        <v>SAMP_TYPE|CBR</v>
      </c>
      <c r="L1415" s="181"/>
    </row>
    <row r="1416" spans="1:12" hidden="1" x14ac:dyDescent="0.35">
      <c r="A1416" s="181" t="s">
        <v>857</v>
      </c>
      <c r="B1416" s="182" t="s">
        <v>8038</v>
      </c>
      <c r="C1416" s="181" t="s">
        <v>8039</v>
      </c>
      <c r="D1416" s="178">
        <v>4.0999999999999996</v>
      </c>
      <c r="E1416" s="181" t="s">
        <v>6450</v>
      </c>
      <c r="F1416" s="184">
        <v>43665</v>
      </c>
      <c r="G1416" s="181" t="s">
        <v>8040</v>
      </c>
      <c r="H1416" s="181" t="s">
        <v>6451</v>
      </c>
      <c r="I1416" s="181" t="str">
        <f>VLOOKUP(LEFT(A1416,4),Groups!$A$1:$C$188,3,FALSE)</f>
        <v>Sample Information</v>
      </c>
      <c r="J1416" s="181" t="str">
        <f>VLOOKUP(A1416,Headings!$C$1:$H$3948,4,FALSE)</f>
        <v>Sample type</v>
      </c>
      <c r="K1416" s="181" t="str">
        <f t="shared" si="29"/>
        <v>SAMP_TYPE|COMP</v>
      </c>
      <c r="L1416" s="181"/>
    </row>
    <row r="1417" spans="1:12" hidden="1" x14ac:dyDescent="0.35">
      <c r="A1417" s="181" t="s">
        <v>857</v>
      </c>
      <c r="B1417" s="182" t="s">
        <v>8041</v>
      </c>
      <c r="C1417" s="181" t="s">
        <v>8042</v>
      </c>
      <c r="D1417" s="178">
        <v>4.0999999999999996</v>
      </c>
      <c r="E1417" s="181" t="s">
        <v>6450</v>
      </c>
      <c r="F1417" s="184">
        <v>41340</v>
      </c>
      <c r="G1417" s="181"/>
      <c r="H1417" s="181" t="s">
        <v>6451</v>
      </c>
      <c r="I1417" s="181" t="str">
        <f>VLOOKUP(LEFT(A1417,4),Groups!$A$1:$C$188,3,FALSE)</f>
        <v>Sample Information</v>
      </c>
      <c r="J1417" s="181" t="str">
        <f>VLOOKUP(A1417,Headings!$C$1:$H$3948,4,FALSE)</f>
        <v>Sample type</v>
      </c>
      <c r="K1417" s="181" t="str">
        <f t="shared" si="29"/>
        <v>SAMP_TYPE|CONCB</v>
      </c>
      <c r="L1417" s="181"/>
    </row>
    <row r="1418" spans="1:12" hidden="1" x14ac:dyDescent="0.35">
      <c r="A1418" s="181" t="s">
        <v>857</v>
      </c>
      <c r="B1418" s="182" t="s">
        <v>8043</v>
      </c>
      <c r="C1418" s="181" t="s">
        <v>8044</v>
      </c>
      <c r="D1418" s="178">
        <v>4.0999999999999996</v>
      </c>
      <c r="E1418" s="181" t="s">
        <v>6450</v>
      </c>
      <c r="F1418" s="184">
        <v>41340</v>
      </c>
      <c r="G1418" s="181"/>
      <c r="H1418" s="181" t="s">
        <v>6451</v>
      </c>
      <c r="I1418" s="181" t="str">
        <f>VLOOKUP(LEFT(A1418,4),Groups!$A$1:$C$188,3,FALSE)</f>
        <v>Sample Information</v>
      </c>
      <c r="J1418" s="181" t="str">
        <f>VLOOKUP(A1418,Headings!$C$1:$H$3948,4,FALSE)</f>
        <v>Sample type</v>
      </c>
      <c r="K1418" s="181" t="str">
        <f t="shared" si="29"/>
        <v>SAMP_TYPE|CONCC</v>
      </c>
      <c r="L1418" s="181"/>
    </row>
    <row r="1419" spans="1:12" hidden="1" x14ac:dyDescent="0.35">
      <c r="A1419" s="181" t="s">
        <v>857</v>
      </c>
      <c r="B1419" s="182" t="s">
        <v>1311</v>
      </c>
      <c r="C1419" s="181" t="s">
        <v>8045</v>
      </c>
      <c r="D1419" s="178">
        <v>4.0999999999999996</v>
      </c>
      <c r="E1419" s="181" t="s">
        <v>6450</v>
      </c>
      <c r="F1419" s="184">
        <v>40323</v>
      </c>
      <c r="G1419" s="181"/>
      <c r="H1419" s="181" t="s">
        <v>6451</v>
      </c>
      <c r="I1419" s="181" t="str">
        <f>VLOOKUP(LEFT(A1419,4),Groups!$A$1:$C$188,3,FALSE)</f>
        <v>Sample Information</v>
      </c>
      <c r="J1419" s="181" t="str">
        <f>VLOOKUP(A1419,Headings!$C$1:$H$3948,4,FALSE)</f>
        <v>Sample type</v>
      </c>
      <c r="K1419" s="181" t="str">
        <f t="shared" si="29"/>
        <v>SAMP_TYPE|D</v>
      </c>
      <c r="L1419" s="181"/>
    </row>
    <row r="1420" spans="1:12" s="112" customFormat="1" hidden="1" x14ac:dyDescent="0.35">
      <c r="A1420" s="181" t="s">
        <v>857</v>
      </c>
      <c r="B1420" s="182" t="s">
        <v>2428</v>
      </c>
      <c r="C1420" s="181" t="s">
        <v>8046</v>
      </c>
      <c r="D1420" s="178">
        <v>4.0999999999999996</v>
      </c>
      <c r="E1420" s="181" t="s">
        <v>6450</v>
      </c>
      <c r="F1420" s="184">
        <v>40323</v>
      </c>
      <c r="G1420" s="181"/>
      <c r="H1420" s="181" t="s">
        <v>6451</v>
      </c>
      <c r="I1420" s="181" t="str">
        <f>VLOOKUP(LEFT(A1420,4),Groups!$A$1:$C$188,3,FALSE)</f>
        <v>Sample Information</v>
      </c>
      <c r="J1420" s="181" t="str">
        <f>VLOOKUP(A1420,Headings!$C$1:$H$3948,4,FALSE)</f>
        <v>Sample type</v>
      </c>
      <c r="K1420" s="181" t="str">
        <f t="shared" si="29"/>
        <v>SAMP_TYPE|ES</v>
      </c>
      <c r="L1420" s="181"/>
    </row>
    <row r="1421" spans="1:12" s="112" customFormat="1" hidden="1" x14ac:dyDescent="0.35">
      <c r="A1421" s="181" t="s">
        <v>857</v>
      </c>
      <c r="B1421" s="182" t="s">
        <v>6621</v>
      </c>
      <c r="C1421" s="181" t="s">
        <v>8047</v>
      </c>
      <c r="D1421" s="178">
        <v>4.0999999999999996</v>
      </c>
      <c r="E1421" s="181" t="s">
        <v>6450</v>
      </c>
      <c r="F1421" s="184">
        <v>40323</v>
      </c>
      <c r="G1421" s="181"/>
      <c r="H1421" s="181" t="s">
        <v>6451</v>
      </c>
      <c r="I1421" s="181" t="str">
        <f>VLOOKUP(LEFT(A1421,4),Groups!$A$1:$C$188,3,FALSE)</f>
        <v>Sample Information</v>
      </c>
      <c r="J1421" s="181" t="str">
        <f>VLOOKUP(A1421,Headings!$C$1:$H$3948,4,FALSE)</f>
        <v>Sample type</v>
      </c>
      <c r="K1421" s="181" t="str">
        <f t="shared" si="29"/>
        <v>SAMP_TYPE|EW</v>
      </c>
      <c r="L1421" s="181"/>
    </row>
    <row r="1422" spans="1:12" s="112" customFormat="1" hidden="1" x14ac:dyDescent="0.35">
      <c r="A1422" s="181" t="s">
        <v>857</v>
      </c>
      <c r="B1422" s="182" t="s">
        <v>8048</v>
      </c>
      <c r="C1422" s="181" t="s">
        <v>8049</v>
      </c>
      <c r="D1422" s="178">
        <v>4.0999999999999996</v>
      </c>
      <c r="E1422" s="181" t="s">
        <v>6450</v>
      </c>
      <c r="F1422" s="184">
        <v>40323</v>
      </c>
      <c r="G1422" s="181"/>
      <c r="H1422" s="181" t="s">
        <v>6451</v>
      </c>
      <c r="I1422" s="181" t="str">
        <f>VLOOKUP(LEFT(A1422,4),Groups!$A$1:$C$188,3,FALSE)</f>
        <v>Sample Information</v>
      </c>
      <c r="J1422" s="181" t="str">
        <f>VLOOKUP(A1422,Headings!$C$1:$H$3948,4,FALSE)</f>
        <v>Sample type</v>
      </c>
      <c r="K1422" s="181" t="str">
        <f t="shared" si="29"/>
        <v>SAMP_TYPE|G</v>
      </c>
      <c r="L1422" s="181"/>
    </row>
    <row r="1423" spans="1:12" s="112" customFormat="1" hidden="1" x14ac:dyDescent="0.35">
      <c r="A1423" s="181" t="s">
        <v>857</v>
      </c>
      <c r="B1423" s="182" t="s">
        <v>4991</v>
      </c>
      <c r="C1423" s="181" t="s">
        <v>8050</v>
      </c>
      <c r="D1423" s="178">
        <v>4.0999999999999996</v>
      </c>
      <c r="E1423" s="181" t="s">
        <v>6450</v>
      </c>
      <c r="F1423" s="184">
        <v>43132</v>
      </c>
      <c r="G1423" s="181"/>
      <c r="H1423" s="181" t="s">
        <v>6451</v>
      </c>
      <c r="I1423" s="181" t="str">
        <f>VLOOKUP(LEFT(A1423,4),Groups!$A$1:$C$188,3,FALSE)</f>
        <v>Sample Information</v>
      </c>
      <c r="J1423" s="181" t="str">
        <f>VLOOKUP(A1423,Headings!$C$1:$H$3948,4,FALSE)</f>
        <v>Sample type</v>
      </c>
      <c r="K1423" s="181" t="str">
        <f t="shared" si="29"/>
        <v>SAMP_TYPE|L</v>
      </c>
      <c r="L1423" s="181"/>
    </row>
    <row r="1424" spans="1:12" s="112" customFormat="1" hidden="1" x14ac:dyDescent="0.35">
      <c r="A1424" s="181" t="s">
        <v>857</v>
      </c>
      <c r="B1424" s="182" t="s">
        <v>8051</v>
      </c>
      <c r="C1424" s="181" t="s">
        <v>8052</v>
      </c>
      <c r="D1424" s="178">
        <v>4.0999999999999996</v>
      </c>
      <c r="E1424" s="181" t="s">
        <v>6450</v>
      </c>
      <c r="F1424" s="184">
        <v>40323</v>
      </c>
      <c r="G1424" s="181"/>
      <c r="H1424" s="181" t="s">
        <v>6451</v>
      </c>
      <c r="I1424" s="181" t="str">
        <f>VLOOKUP(LEFT(A1424,4),Groups!$A$1:$C$188,3,FALSE)</f>
        <v>Sample Information</v>
      </c>
      <c r="J1424" s="181" t="str">
        <f>VLOOKUP(A1424,Headings!$C$1:$H$3948,4,FALSE)</f>
        <v>Sample type</v>
      </c>
      <c r="K1424" s="181" t="str">
        <f t="shared" si="29"/>
        <v>SAMP_TYPE|LB</v>
      </c>
      <c r="L1424" s="181"/>
    </row>
    <row r="1425" spans="1:12" s="112" customFormat="1" hidden="1" x14ac:dyDescent="0.35">
      <c r="A1425" s="181" t="s">
        <v>857</v>
      </c>
      <c r="B1425" s="182" t="s">
        <v>4996</v>
      </c>
      <c r="C1425" s="181" t="s">
        <v>8053</v>
      </c>
      <c r="D1425" s="178">
        <v>4.0999999999999996</v>
      </c>
      <c r="E1425" s="181" t="s">
        <v>6450</v>
      </c>
      <c r="F1425" s="184">
        <v>40323</v>
      </c>
      <c r="G1425" s="181"/>
      <c r="H1425" s="181" t="s">
        <v>6451</v>
      </c>
      <c r="I1425" s="181" t="str">
        <f>VLOOKUP(LEFT(A1425,4),Groups!$A$1:$C$188,3,FALSE)</f>
        <v>Sample Information</v>
      </c>
      <c r="J1425" s="181" t="str">
        <f>VLOOKUP(A1425,Headings!$C$1:$H$3948,4,FALSE)</f>
        <v>Sample type</v>
      </c>
      <c r="K1425" s="181" t="str">
        <f t="shared" si="29"/>
        <v>SAMP_TYPE|M</v>
      </c>
      <c r="L1425" s="181"/>
    </row>
    <row r="1426" spans="1:12" s="112" customFormat="1" hidden="1" x14ac:dyDescent="0.35">
      <c r="A1426" s="181" t="s">
        <v>857</v>
      </c>
      <c r="B1426" s="182" t="s">
        <v>8054</v>
      </c>
      <c r="C1426" s="181" t="s">
        <v>8055</v>
      </c>
      <c r="D1426" s="178">
        <v>4.0999999999999996</v>
      </c>
      <c r="E1426" s="181" t="s">
        <v>6450</v>
      </c>
      <c r="F1426" s="184">
        <v>43132</v>
      </c>
      <c r="G1426" s="181"/>
      <c r="H1426" s="181" t="s">
        <v>6451</v>
      </c>
      <c r="I1426" s="181" t="str">
        <f>VLOOKUP(LEFT(A1426,4),Groups!$A$1:$C$188,3,FALSE)</f>
        <v>Sample Information</v>
      </c>
      <c r="J1426" s="181" t="str">
        <f>VLOOKUP(A1426,Headings!$C$1:$H$3948,4,FALSE)</f>
        <v>Sample type</v>
      </c>
      <c r="K1426" s="181" t="str">
        <f t="shared" si="29"/>
        <v>SAMP_TYPE|MOS</v>
      </c>
      <c r="L1426" s="181"/>
    </row>
    <row r="1427" spans="1:12" s="112" customFormat="1" hidden="1" x14ac:dyDescent="0.35">
      <c r="A1427" s="181" t="s">
        <v>857</v>
      </c>
      <c r="B1427" s="182" t="s">
        <v>6631</v>
      </c>
      <c r="C1427" s="181" t="s">
        <v>8056</v>
      </c>
      <c r="D1427" s="178">
        <v>4.0999999999999996</v>
      </c>
      <c r="E1427" s="181" t="s">
        <v>6450</v>
      </c>
      <c r="F1427" s="184">
        <v>40323</v>
      </c>
      <c r="G1427" s="181"/>
      <c r="H1427" s="181" t="s">
        <v>6451</v>
      </c>
      <c r="I1427" s="181" t="str">
        <f>VLOOKUP(LEFT(A1427,4),Groups!$A$1:$C$188,3,FALSE)</f>
        <v>Sample Information</v>
      </c>
      <c r="J1427" s="181" t="str">
        <f>VLOOKUP(A1427,Headings!$C$1:$H$3948,4,FALSE)</f>
        <v>Sample type</v>
      </c>
      <c r="K1427" s="181" t="str">
        <f t="shared" si="29"/>
        <v>SAMP_TYPE|P</v>
      </c>
      <c r="L1427" s="181"/>
    </row>
    <row r="1428" spans="1:12" s="112" customFormat="1" hidden="1" x14ac:dyDescent="0.35">
      <c r="A1428" s="181" t="s">
        <v>857</v>
      </c>
      <c r="B1428" s="182" t="s">
        <v>8057</v>
      </c>
      <c r="C1428" s="181" t="s">
        <v>8058</v>
      </c>
      <c r="D1428" s="178">
        <v>4.0999999999999996</v>
      </c>
      <c r="E1428" s="181" t="s">
        <v>6450</v>
      </c>
      <c r="F1428" s="184">
        <v>40323</v>
      </c>
      <c r="G1428" s="181"/>
      <c r="H1428" s="181" t="s">
        <v>6451</v>
      </c>
      <c r="I1428" s="181" t="str">
        <f>VLOOKUP(LEFT(A1428,4),Groups!$A$1:$C$188,3,FALSE)</f>
        <v>Sample Information</v>
      </c>
      <c r="J1428" s="181" t="str">
        <f>VLOOKUP(A1428,Headings!$C$1:$H$3948,4,FALSE)</f>
        <v>Sample type</v>
      </c>
      <c r="K1428" s="181" t="str">
        <f t="shared" si="29"/>
        <v>SAMP_TYPE|SPTLS</v>
      </c>
      <c r="L1428" s="181"/>
    </row>
    <row r="1429" spans="1:12" s="112" customFormat="1" hidden="1" x14ac:dyDescent="0.35">
      <c r="A1429" s="181" t="s">
        <v>857</v>
      </c>
      <c r="B1429" s="182" t="s">
        <v>8059</v>
      </c>
      <c r="C1429" s="181" t="s">
        <v>8060</v>
      </c>
      <c r="D1429" s="178">
        <v>4.0999999999999996</v>
      </c>
      <c r="E1429" s="181" t="s">
        <v>6450</v>
      </c>
      <c r="F1429" s="184">
        <v>40323</v>
      </c>
      <c r="G1429" s="181"/>
      <c r="H1429" s="181" t="s">
        <v>6451</v>
      </c>
      <c r="I1429" s="181" t="str">
        <f>VLOOKUP(LEFT(A1429,4),Groups!$A$1:$C$188,3,FALSE)</f>
        <v>Sample Information</v>
      </c>
      <c r="J1429" s="181" t="str">
        <f>VLOOKUP(A1429,Headings!$C$1:$H$3948,4,FALSE)</f>
        <v>Sample type</v>
      </c>
      <c r="K1429" s="181" t="str">
        <f t="shared" si="29"/>
        <v>SAMP_TYPE|TW</v>
      </c>
      <c r="L1429" s="181"/>
    </row>
    <row r="1430" spans="1:12" s="112" customFormat="1" hidden="1" x14ac:dyDescent="0.35">
      <c r="A1430" s="181" t="s">
        <v>857</v>
      </c>
      <c r="B1430" s="182" t="s">
        <v>859</v>
      </c>
      <c r="C1430" s="181" t="s">
        <v>8061</v>
      </c>
      <c r="D1430" s="178">
        <v>4.0999999999999996</v>
      </c>
      <c r="E1430" s="181" t="s">
        <v>6450</v>
      </c>
      <c r="F1430" s="184">
        <v>40323</v>
      </c>
      <c r="G1430" s="181"/>
      <c r="H1430" s="181" t="s">
        <v>6451</v>
      </c>
      <c r="I1430" s="181" t="str">
        <f>VLOOKUP(LEFT(A1430,4),Groups!$A$1:$C$188,3,FALSE)</f>
        <v>Sample Information</v>
      </c>
      <c r="J1430" s="181" t="str">
        <f>VLOOKUP(A1430,Headings!$C$1:$H$3948,4,FALSE)</f>
        <v>Sample type</v>
      </c>
      <c r="K1430" s="181" t="str">
        <f t="shared" si="29"/>
        <v>SAMP_TYPE|U</v>
      </c>
      <c r="L1430" s="181"/>
    </row>
    <row r="1431" spans="1:12" s="112" customFormat="1" hidden="1" x14ac:dyDescent="0.35">
      <c r="A1431" s="181" t="s">
        <v>857</v>
      </c>
      <c r="B1431" s="182" t="s">
        <v>8062</v>
      </c>
      <c r="C1431" s="181" t="s">
        <v>8063</v>
      </c>
      <c r="D1431" s="178">
        <v>4.0999999999999996</v>
      </c>
      <c r="E1431" s="181" t="s">
        <v>6450</v>
      </c>
      <c r="F1431" s="184">
        <v>40323</v>
      </c>
      <c r="G1431" s="181"/>
      <c r="H1431" s="181" t="s">
        <v>6451</v>
      </c>
      <c r="I1431" s="181" t="str">
        <f>VLOOKUP(LEFT(A1431,4),Groups!$A$1:$C$188,3,FALSE)</f>
        <v>Sample Information</v>
      </c>
      <c r="J1431" s="181" t="str">
        <f>VLOOKUP(A1431,Headings!$C$1:$H$3948,4,FALSE)</f>
        <v>Sample type</v>
      </c>
      <c r="K1431" s="181" t="str">
        <f t="shared" si="29"/>
        <v>SAMP_TYPE|UT</v>
      </c>
      <c r="L1431" s="181"/>
    </row>
    <row r="1432" spans="1:12" s="112" customFormat="1" hidden="1" x14ac:dyDescent="0.35">
      <c r="A1432" s="181" t="s">
        <v>857</v>
      </c>
      <c r="B1432" s="182" t="s">
        <v>7461</v>
      </c>
      <c r="C1432" s="181" t="s">
        <v>8064</v>
      </c>
      <c r="D1432" s="178">
        <v>4.0999999999999996</v>
      </c>
      <c r="E1432" s="181" t="s">
        <v>6450</v>
      </c>
      <c r="F1432" s="184">
        <v>40323</v>
      </c>
      <c r="G1432" s="181"/>
      <c r="H1432" s="181" t="s">
        <v>6451</v>
      </c>
      <c r="I1432" s="181" t="str">
        <f>VLOOKUP(LEFT(A1432,4),Groups!$A$1:$C$188,3,FALSE)</f>
        <v>Sample Information</v>
      </c>
      <c r="J1432" s="181" t="str">
        <f>VLOOKUP(A1432,Headings!$C$1:$H$3948,4,FALSE)</f>
        <v>Sample type</v>
      </c>
      <c r="K1432" s="181" t="str">
        <f t="shared" si="29"/>
        <v>SAMP_TYPE|W</v>
      </c>
      <c r="L1432" s="181"/>
    </row>
    <row r="1433" spans="1:12" s="112" customFormat="1" hidden="1" x14ac:dyDescent="0.35">
      <c r="A1433" s="88" t="s">
        <v>5740</v>
      </c>
      <c r="B1433" s="91" t="s">
        <v>8065</v>
      </c>
      <c r="C1433" s="91" t="s">
        <v>8065</v>
      </c>
      <c r="D1433" s="89" t="s">
        <v>473</v>
      </c>
      <c r="E1433" s="181"/>
      <c r="F1433" s="181"/>
      <c r="G1433" s="183"/>
      <c r="H1433" s="181"/>
      <c r="I1433" s="181"/>
      <c r="J1433" s="181"/>
      <c r="K1433" s="181" t="str">
        <f t="shared" si="29"/>
        <v>SCPG_TERM|Maximum Cone Value</v>
      </c>
      <c r="L1433" s="181"/>
    </row>
    <row r="1434" spans="1:12" s="112" customFormat="1" hidden="1" x14ac:dyDescent="0.35">
      <c r="A1434" s="88" t="s">
        <v>5740</v>
      </c>
      <c r="B1434" s="91" t="s">
        <v>8066</v>
      </c>
      <c r="C1434" s="91" t="s">
        <v>8066</v>
      </c>
      <c r="D1434" s="89" t="s">
        <v>473</v>
      </c>
      <c r="E1434" s="181"/>
      <c r="F1434" s="181"/>
      <c r="G1434" s="183"/>
      <c r="H1434" s="181"/>
      <c r="I1434" s="181"/>
      <c r="J1434" s="181"/>
      <c r="K1434" s="181" t="str">
        <f t="shared" si="29"/>
        <v>SCPG_TERM|Maximum Friction Value</v>
      </c>
      <c r="L1434" s="181"/>
    </row>
    <row r="1435" spans="1:12" s="112" customFormat="1" hidden="1" x14ac:dyDescent="0.35">
      <c r="A1435" s="88" t="s">
        <v>5740</v>
      </c>
      <c r="B1435" s="91" t="s">
        <v>8067</v>
      </c>
      <c r="C1435" s="91" t="s">
        <v>8067</v>
      </c>
      <c r="D1435" s="89" t="s">
        <v>473</v>
      </c>
      <c r="E1435" s="181"/>
      <c r="F1435" s="181"/>
      <c r="G1435" s="183"/>
      <c r="H1435" s="181"/>
      <c r="I1435" s="181"/>
      <c r="J1435" s="181"/>
      <c r="K1435" s="181" t="str">
        <f t="shared" si="29"/>
        <v>SCPG_TERM|Maximum Inclination Value</v>
      </c>
    </row>
    <row r="1436" spans="1:12" s="112" customFormat="1" hidden="1" x14ac:dyDescent="0.35">
      <c r="A1436" s="88" t="s">
        <v>5740</v>
      </c>
      <c r="B1436" s="91" t="s">
        <v>8068</v>
      </c>
      <c r="C1436" s="91" t="s">
        <v>8068</v>
      </c>
      <c r="D1436" s="89" t="s">
        <v>473</v>
      </c>
      <c r="E1436" s="181"/>
      <c r="F1436" s="181"/>
      <c r="G1436" s="183"/>
      <c r="H1436" s="181"/>
      <c r="I1436" s="181"/>
      <c r="J1436" s="181"/>
      <c r="K1436" s="181" t="str">
        <f t="shared" si="29"/>
        <v>SCPG_TERM|Maximum Penetration Force</v>
      </c>
    </row>
    <row r="1437" spans="1:12" s="112" customFormat="1" hidden="1" x14ac:dyDescent="0.35">
      <c r="A1437" s="88" t="s">
        <v>5740</v>
      </c>
      <c r="B1437" s="91" t="s">
        <v>8069</v>
      </c>
      <c r="C1437" s="91" t="s">
        <v>8069</v>
      </c>
      <c r="D1437" s="89" t="s">
        <v>473</v>
      </c>
      <c r="E1437" s="181"/>
      <c r="F1437" s="181"/>
      <c r="G1437" s="183"/>
      <c r="H1437" s="181"/>
      <c r="I1437" s="181"/>
      <c r="J1437" s="181"/>
      <c r="K1437" s="181" t="str">
        <f t="shared" si="29"/>
        <v>SCPG_TERM|Maximum Pore Pressure Value</v>
      </c>
    </row>
    <row r="1438" spans="1:12" s="112" customFormat="1" hidden="1" x14ac:dyDescent="0.35">
      <c r="A1438" s="88" t="s">
        <v>5740</v>
      </c>
      <c r="B1438" s="91" t="s">
        <v>8070</v>
      </c>
      <c r="C1438" s="91" t="s">
        <v>8070</v>
      </c>
      <c r="D1438" s="89" t="s">
        <v>473</v>
      </c>
      <c r="E1438" s="181"/>
      <c r="F1438" s="181"/>
      <c r="G1438" s="183"/>
      <c r="H1438" s="181"/>
      <c r="I1438" s="181"/>
      <c r="J1438" s="181"/>
      <c r="K1438" s="181" t="str">
        <f t="shared" si="29"/>
        <v>SCPG_TERM|Obstacle</v>
      </c>
    </row>
    <row r="1439" spans="1:12" s="112" customFormat="1" hidden="1" x14ac:dyDescent="0.35">
      <c r="A1439" s="88" t="s">
        <v>5740</v>
      </c>
      <c r="B1439" s="91" t="s">
        <v>5742</v>
      </c>
      <c r="C1439" s="91" t="s">
        <v>5742</v>
      </c>
      <c r="D1439" s="89" t="s">
        <v>473</v>
      </c>
      <c r="E1439" s="181"/>
      <c r="F1439" s="181"/>
      <c r="G1439" s="183"/>
      <c r="H1439" s="181"/>
      <c r="I1439" s="181"/>
      <c r="J1439" s="181"/>
      <c r="K1439" s="181" t="str">
        <f t="shared" si="29"/>
        <v>SCPG_TERM|Rods Buckling</v>
      </c>
    </row>
    <row r="1440" spans="1:12" s="112" customFormat="1" hidden="1" x14ac:dyDescent="0.35">
      <c r="A1440" s="88" t="s">
        <v>5740</v>
      </c>
      <c r="B1440" s="88" t="s">
        <v>8071</v>
      </c>
      <c r="C1440" s="88" t="s">
        <v>8071</v>
      </c>
      <c r="D1440" s="89" t="s">
        <v>473</v>
      </c>
      <c r="E1440" s="181"/>
      <c r="F1440" s="181"/>
      <c r="G1440" s="183"/>
      <c r="H1440" s="181"/>
      <c r="I1440" s="181"/>
      <c r="J1440" s="181"/>
      <c r="K1440" s="181" t="str">
        <f t="shared" si="29"/>
        <v>SCPG_TERM|Target Depth</v>
      </c>
    </row>
    <row r="1441" spans="1:11" s="112" customFormat="1" hidden="1" x14ac:dyDescent="0.35">
      <c r="A1441" s="181" t="s">
        <v>5690</v>
      </c>
      <c r="B1441" s="182" t="s">
        <v>7413</v>
      </c>
      <c r="C1441" s="181" t="s">
        <v>8072</v>
      </c>
      <c r="D1441" s="178">
        <v>4.0999999999999996</v>
      </c>
      <c r="E1441" s="181" t="s">
        <v>6450</v>
      </c>
      <c r="F1441" s="184">
        <v>40323</v>
      </c>
      <c r="G1441" s="181"/>
      <c r="H1441" s="181" t="s">
        <v>6451</v>
      </c>
      <c r="I1441" s="181" t="str">
        <f>VLOOKUP(LEFT(A1441,4),Groups!$A$1:$C$188,3,FALSE)</f>
        <v>Static Cone Penetration Tests - General</v>
      </c>
      <c r="J1441" s="181" t="str">
        <f>VLOOKUP(A1441,Headings!$C$1:$H$3948,4,FALSE)</f>
        <v>Cone test type</v>
      </c>
      <c r="K1441" s="181" t="str">
        <f t="shared" si="29"/>
        <v>SCPG_TYPE|CC</v>
      </c>
    </row>
    <row r="1442" spans="1:11" s="112" customFormat="1" hidden="1" x14ac:dyDescent="0.35">
      <c r="A1442" s="181" t="s">
        <v>5690</v>
      </c>
      <c r="B1442" s="182" t="s">
        <v>7766</v>
      </c>
      <c r="C1442" s="181" t="s">
        <v>8073</v>
      </c>
      <c r="D1442" s="178">
        <v>4.0999999999999996</v>
      </c>
      <c r="E1442" s="181" t="s">
        <v>6450</v>
      </c>
      <c r="F1442" s="184">
        <v>40323</v>
      </c>
      <c r="G1442" s="181"/>
      <c r="H1442" s="181" t="s">
        <v>6451</v>
      </c>
      <c r="I1442" s="181" t="str">
        <f>VLOOKUP(LEFT(A1442,4),Groups!$A$1:$C$188,3,FALSE)</f>
        <v>Static Cone Penetration Tests - General</v>
      </c>
      <c r="J1442" s="181" t="str">
        <f>VLOOKUP(A1442,Headings!$C$1:$H$3948,4,FALSE)</f>
        <v>Cone test type</v>
      </c>
      <c r="K1442" s="181" t="str">
        <f t="shared" si="29"/>
        <v>SCPG_TYPE|EC</v>
      </c>
    </row>
    <row r="1443" spans="1:11" s="112" customFormat="1" hidden="1" x14ac:dyDescent="0.35">
      <c r="A1443" s="181" t="s">
        <v>5690</v>
      </c>
      <c r="B1443" s="182" t="s">
        <v>8074</v>
      </c>
      <c r="C1443" s="181" t="s">
        <v>8075</v>
      </c>
      <c r="D1443" s="178">
        <v>4.0999999999999996</v>
      </c>
      <c r="E1443" s="181" t="s">
        <v>6450</v>
      </c>
      <c r="F1443" s="184">
        <v>40323</v>
      </c>
      <c r="G1443" s="181"/>
      <c r="H1443" s="181" t="s">
        <v>6451</v>
      </c>
      <c r="I1443" s="181" t="str">
        <f>VLOOKUP(LEFT(A1443,4),Groups!$A$1:$C$188,3,FALSE)</f>
        <v>Static Cone Penetration Tests - General</v>
      </c>
      <c r="J1443" s="181" t="str">
        <f>VLOOKUP(A1443,Headings!$C$1:$H$3948,4,FALSE)</f>
        <v>Cone test type</v>
      </c>
      <c r="K1443" s="181" t="str">
        <f t="shared" si="29"/>
        <v>SCPG_TYPE|FFD</v>
      </c>
    </row>
    <row r="1444" spans="1:11" s="112" customFormat="1" hidden="1" x14ac:dyDescent="0.35">
      <c r="A1444" s="181" t="s">
        <v>5690</v>
      </c>
      <c r="B1444" s="182" t="s">
        <v>6559</v>
      </c>
      <c r="C1444" s="181" t="s">
        <v>8076</v>
      </c>
      <c r="D1444" s="178">
        <v>4.0999999999999996</v>
      </c>
      <c r="E1444" s="181" t="s">
        <v>6450</v>
      </c>
      <c r="F1444" s="184">
        <v>40323</v>
      </c>
      <c r="G1444" s="181"/>
      <c r="H1444" s="181" t="s">
        <v>6451</v>
      </c>
      <c r="I1444" s="181" t="str">
        <f>VLOOKUP(LEFT(A1444,4),Groups!$A$1:$C$188,3,FALSE)</f>
        <v>Static Cone Penetration Tests - General</v>
      </c>
      <c r="J1444" s="181" t="str">
        <f>VLOOKUP(A1444,Headings!$C$1:$H$3948,4,FALSE)</f>
        <v>Cone test type</v>
      </c>
      <c r="K1444" s="181" t="str">
        <f t="shared" si="29"/>
        <v>SCPG_TYPE|MC</v>
      </c>
    </row>
    <row r="1445" spans="1:11" s="112" customFormat="1" hidden="1" x14ac:dyDescent="0.35">
      <c r="A1445" s="181" t="s">
        <v>5690</v>
      </c>
      <c r="B1445" s="182" t="s">
        <v>8077</v>
      </c>
      <c r="C1445" s="181" t="s">
        <v>8078</v>
      </c>
      <c r="D1445" s="178">
        <v>4.0999999999999996</v>
      </c>
      <c r="E1445" s="181" t="s">
        <v>6450</v>
      </c>
      <c r="F1445" s="184">
        <v>43391</v>
      </c>
      <c r="G1445" s="181"/>
      <c r="H1445" s="181" t="s">
        <v>6451</v>
      </c>
      <c r="I1445" s="181" t="str">
        <f>VLOOKUP(LEFT(A1445,4),Groups!$A$1:$C$188,3,FALSE)</f>
        <v>Static Cone Penetration Tests - General</v>
      </c>
      <c r="J1445" s="181" t="str">
        <f>VLOOKUP(A1445,Headings!$C$1:$H$3948,4,FALSE)</f>
        <v>Cone test type</v>
      </c>
      <c r="K1445" s="181" t="str">
        <f t="shared" si="29"/>
        <v>SCPG_TYPE|MG</v>
      </c>
    </row>
    <row r="1446" spans="1:11" s="112" customFormat="1" hidden="1" x14ac:dyDescent="0.35">
      <c r="A1446" s="181" t="s">
        <v>5690</v>
      </c>
      <c r="B1446" s="182" t="s">
        <v>5692</v>
      </c>
      <c r="C1446" s="181" t="s">
        <v>8079</v>
      </c>
      <c r="D1446" s="178">
        <v>4.0999999999999996</v>
      </c>
      <c r="E1446" s="181" t="s">
        <v>6450</v>
      </c>
      <c r="F1446" s="184">
        <v>40323</v>
      </c>
      <c r="G1446" s="181"/>
      <c r="H1446" s="181" t="s">
        <v>6451</v>
      </c>
      <c r="I1446" s="181" t="str">
        <f>VLOOKUP(LEFT(A1446,4),Groups!$A$1:$C$188,3,FALSE)</f>
        <v>Static Cone Penetration Tests - General</v>
      </c>
      <c r="J1446" s="181" t="str">
        <f>VLOOKUP(A1446,Headings!$C$1:$H$3948,4,FALSE)</f>
        <v>Cone test type</v>
      </c>
      <c r="K1446" s="181" t="str">
        <f t="shared" si="29"/>
        <v>SCPG_TYPE|PC</v>
      </c>
    </row>
    <row r="1447" spans="1:11" s="112" customFormat="1" hidden="1" x14ac:dyDescent="0.35">
      <c r="A1447" s="181" t="s">
        <v>5690</v>
      </c>
      <c r="B1447" s="182" t="s">
        <v>6590</v>
      </c>
      <c r="C1447" s="181" t="s">
        <v>8080</v>
      </c>
      <c r="D1447" s="178">
        <v>4.0999999999999996</v>
      </c>
      <c r="E1447" s="181" t="s">
        <v>6450</v>
      </c>
      <c r="F1447" s="184">
        <v>43391</v>
      </c>
      <c r="G1447" s="181"/>
      <c r="H1447" s="181" t="s">
        <v>6451</v>
      </c>
      <c r="I1447" s="181" t="str">
        <f>VLOOKUP(LEFT(A1447,4),Groups!$A$1:$C$188,3,FALSE)</f>
        <v>Static Cone Penetration Tests - General</v>
      </c>
      <c r="J1447" s="181" t="str">
        <f>VLOOKUP(A1447,Headings!$C$1:$H$3948,4,FALSE)</f>
        <v>Cone test type</v>
      </c>
      <c r="K1447" s="181" t="str">
        <f t="shared" si="29"/>
        <v>SCPG_TYPE|SC</v>
      </c>
    </row>
    <row r="1448" spans="1:11" s="112" customFormat="1" hidden="1" x14ac:dyDescent="0.35">
      <c r="A1448" s="181" t="s">
        <v>5690</v>
      </c>
      <c r="B1448" s="182" t="s">
        <v>8081</v>
      </c>
      <c r="C1448" s="181" t="s">
        <v>8082</v>
      </c>
      <c r="D1448" s="178">
        <v>4.0999999999999996</v>
      </c>
      <c r="E1448" s="181" t="s">
        <v>6450</v>
      </c>
      <c r="F1448" s="184">
        <v>40323</v>
      </c>
      <c r="G1448" s="181"/>
      <c r="H1448" s="181" t="s">
        <v>6451</v>
      </c>
      <c r="I1448" s="181" t="str">
        <f>VLOOKUP(LEFT(A1448,4),Groups!$A$1:$C$188,3,FALSE)</f>
        <v>Static Cone Penetration Tests - General</v>
      </c>
      <c r="J1448" s="181" t="str">
        <f>VLOOKUP(A1448,Headings!$C$1:$H$3948,4,FALSE)</f>
        <v>Cone test type</v>
      </c>
      <c r="K1448" s="181" t="str">
        <f t="shared" si="29"/>
        <v>SCPG_TYPE|TC</v>
      </c>
    </row>
    <row r="1449" spans="1:11" s="112" customFormat="1" hidden="1" x14ac:dyDescent="0.35">
      <c r="A1449" s="88" t="s">
        <v>5743</v>
      </c>
      <c r="B1449" s="88" t="s">
        <v>8083</v>
      </c>
      <c r="C1449" s="89" t="s">
        <v>8084</v>
      </c>
      <c r="D1449" s="89" t="s">
        <v>473</v>
      </c>
      <c r="E1449" s="181"/>
      <c r="F1449" s="181"/>
      <c r="G1449" s="183"/>
      <c r="H1449" s="181"/>
      <c r="I1449" s="181"/>
      <c r="J1449" s="181"/>
      <c r="K1449" s="181" t="str">
        <f t="shared" si="29"/>
        <v>SCPG_RLOC|BB</v>
      </c>
    </row>
    <row r="1450" spans="1:11" s="112" customFormat="1" hidden="1" x14ac:dyDescent="0.35">
      <c r="A1450" s="88" t="s">
        <v>5743</v>
      </c>
      <c r="B1450" s="88" t="s">
        <v>6028</v>
      </c>
      <c r="C1450" s="89" t="s">
        <v>8085</v>
      </c>
      <c r="D1450" s="89" t="s">
        <v>473</v>
      </c>
      <c r="E1450" s="181"/>
      <c r="F1450" s="181"/>
      <c r="G1450" s="183"/>
      <c r="H1450" s="181"/>
      <c r="I1450" s="181"/>
      <c r="J1450" s="181"/>
      <c r="K1450" s="181" t="str">
        <f t="shared" si="29"/>
        <v>SCPG_RLOC|S</v>
      </c>
    </row>
    <row r="1451" spans="1:11" s="112" customFormat="1" hidden="1" x14ac:dyDescent="0.35">
      <c r="A1451" s="88" t="s">
        <v>5743</v>
      </c>
      <c r="B1451" s="88" t="s">
        <v>5745</v>
      </c>
      <c r="C1451" s="89" t="s">
        <v>8086</v>
      </c>
      <c r="D1451" s="89" t="s">
        <v>473</v>
      </c>
      <c r="E1451" s="181"/>
      <c r="F1451" s="181"/>
      <c r="G1451" s="183"/>
      <c r="H1451" s="181"/>
      <c r="I1451" s="181"/>
      <c r="J1451" s="181"/>
      <c r="K1451" s="181" t="str">
        <f t="shared" si="29"/>
        <v>SCPG_RLOC|SB</v>
      </c>
    </row>
    <row r="1452" spans="1:11" s="112" customFormat="1" hidden="1" x14ac:dyDescent="0.35">
      <c r="A1452" s="181" t="s">
        <v>5924</v>
      </c>
      <c r="B1452" s="182" t="s">
        <v>6466</v>
      </c>
      <c r="C1452" s="181" t="s">
        <v>4112</v>
      </c>
      <c r="D1452" s="178">
        <v>4.0999999999999996</v>
      </c>
      <c r="E1452" s="181" t="s">
        <v>6450</v>
      </c>
      <c r="F1452" s="184">
        <v>40323</v>
      </c>
      <c r="G1452" s="181"/>
      <c r="H1452" s="181" t="s">
        <v>6451</v>
      </c>
      <c r="I1452" s="181" t="str">
        <f>VLOOKUP(LEFT(A1452,4),Groups!$A$1:$C$188,3,FALSE)</f>
        <v>Shear Box Testing - General</v>
      </c>
      <c r="J1452" s="181" t="str">
        <f>VLOOKUP(A1452,Headings!$C$1:$H$3948,4,FALSE)</f>
        <v>Sample condition</v>
      </c>
      <c r="K1452" s="181" t="str">
        <f t="shared" si="29"/>
        <v>SHBG_COND|REMOULDED</v>
      </c>
    </row>
    <row r="1453" spans="1:11" s="112" customFormat="1" hidden="1" x14ac:dyDescent="0.35">
      <c r="A1453" s="181" t="s">
        <v>5924</v>
      </c>
      <c r="B1453" s="182" t="s">
        <v>1273</v>
      </c>
      <c r="C1453" s="181" t="s">
        <v>6467</v>
      </c>
      <c r="D1453" s="178">
        <v>4.0999999999999996</v>
      </c>
      <c r="E1453" s="181" t="s">
        <v>6450</v>
      </c>
      <c r="F1453" s="184">
        <v>40323</v>
      </c>
      <c r="G1453" s="181"/>
      <c r="H1453" s="181" t="s">
        <v>6451</v>
      </c>
      <c r="I1453" s="181" t="str">
        <f>VLOOKUP(LEFT(A1453,4),Groups!$A$1:$C$188,3,FALSE)</f>
        <v>Shear Box Testing - General</v>
      </c>
      <c r="J1453" s="181" t="str">
        <f>VLOOKUP(A1453,Headings!$C$1:$H$3948,4,FALSE)</f>
        <v>Sample condition</v>
      </c>
      <c r="K1453" s="181" t="str">
        <f t="shared" si="29"/>
        <v>SHBG_COND|UNDISTURBED</v>
      </c>
    </row>
    <row r="1454" spans="1:11" s="112" customFormat="1" hidden="1" x14ac:dyDescent="0.35">
      <c r="A1454" s="181" t="s">
        <v>5922</v>
      </c>
      <c r="B1454" s="182" t="s">
        <v>8087</v>
      </c>
      <c r="C1454" s="181" t="s">
        <v>8088</v>
      </c>
      <c r="D1454" s="178">
        <v>4.0999999999999996</v>
      </c>
      <c r="E1454" s="181" t="s">
        <v>6450</v>
      </c>
      <c r="F1454" s="184">
        <v>40323</v>
      </c>
      <c r="G1454" s="181"/>
      <c r="H1454" s="181" t="s">
        <v>6451</v>
      </c>
      <c r="I1454" s="181" t="str">
        <f>VLOOKUP(LEFT(A1454,4),Groups!$A$1:$C$188,3,FALSE)</f>
        <v>Shear Box Testing - General</v>
      </c>
      <c r="J1454" s="181" t="str">
        <f>VLOOKUP(A1454,Headings!$C$1:$H$3948,4,FALSE)</f>
        <v>Test type</v>
      </c>
      <c r="K1454" s="181" t="str">
        <f t="shared" ref="K1454:K1526" si="30">A1454&amp;"|"&amp;B1454</f>
        <v>SHBG_TYPE|LARGE RSHEAR</v>
      </c>
    </row>
    <row r="1455" spans="1:11" s="112" customFormat="1" hidden="1" x14ac:dyDescent="0.35">
      <c r="A1455" s="181" t="s">
        <v>5922</v>
      </c>
      <c r="B1455" s="182" t="s">
        <v>8089</v>
      </c>
      <c r="C1455" s="181" t="s">
        <v>8090</v>
      </c>
      <c r="D1455" s="178">
        <v>4.0999999999999996</v>
      </c>
      <c r="E1455" s="181" t="s">
        <v>6450</v>
      </c>
      <c r="F1455" s="184">
        <v>40323</v>
      </c>
      <c r="G1455" s="181"/>
      <c r="H1455" s="181" t="s">
        <v>6451</v>
      </c>
      <c r="I1455" s="181" t="str">
        <f>VLOOKUP(LEFT(A1455,4),Groups!$A$1:$C$188,3,FALSE)</f>
        <v>Shear Box Testing - General</v>
      </c>
      <c r="J1455" s="181" t="str">
        <f>VLOOKUP(A1455,Headings!$C$1:$H$3948,4,FALSE)</f>
        <v>Test type</v>
      </c>
      <c r="K1455" s="181" t="str">
        <f t="shared" si="30"/>
        <v>SHBG_TYPE|LARGE SBOX</v>
      </c>
    </row>
    <row r="1456" spans="1:11" s="112" customFormat="1" hidden="1" x14ac:dyDescent="0.35">
      <c r="A1456" s="181" t="s">
        <v>5922</v>
      </c>
      <c r="B1456" s="182" t="s">
        <v>8091</v>
      </c>
      <c r="C1456" s="181" t="s">
        <v>8092</v>
      </c>
      <c r="D1456" s="178">
        <v>4.0999999999999996</v>
      </c>
      <c r="E1456" s="181" t="s">
        <v>6450</v>
      </c>
      <c r="F1456" s="184">
        <v>40323</v>
      </c>
      <c r="G1456" s="181"/>
      <c r="H1456" s="181" t="s">
        <v>6451</v>
      </c>
      <c r="I1456" s="181" t="str">
        <f>VLOOKUP(LEFT(A1456,4),Groups!$A$1:$C$188,3,FALSE)</f>
        <v>Shear Box Testing - General</v>
      </c>
      <c r="J1456" s="181" t="str">
        <f>VLOOKUP(A1456,Headings!$C$1:$H$3948,4,FALSE)</f>
        <v>Test type</v>
      </c>
      <c r="K1456" s="181" t="str">
        <f t="shared" si="30"/>
        <v>SHBG_TYPE|SMALL RSHEAR</v>
      </c>
    </row>
    <row r="1457" spans="1:11" s="112" customFormat="1" hidden="1" x14ac:dyDescent="0.35">
      <c r="A1457" s="181" t="s">
        <v>5922</v>
      </c>
      <c r="B1457" s="182" t="s">
        <v>5923</v>
      </c>
      <c r="C1457" s="181" t="s">
        <v>8093</v>
      </c>
      <c r="D1457" s="178">
        <v>4.0999999999999996</v>
      </c>
      <c r="E1457" s="181" t="s">
        <v>6450</v>
      </c>
      <c r="F1457" s="184">
        <v>40323</v>
      </c>
      <c r="G1457" s="181"/>
      <c r="H1457" s="181" t="s">
        <v>6451</v>
      </c>
      <c r="I1457" s="181" t="str">
        <f>VLOOKUP(LEFT(A1457,4),Groups!$A$1:$C$188,3,FALSE)</f>
        <v>Shear Box Testing - General</v>
      </c>
      <c r="J1457" s="181" t="str">
        <f>VLOOKUP(A1457,Headings!$C$1:$H$3948,4,FALSE)</f>
        <v>Test type</v>
      </c>
      <c r="K1457" s="181" t="str">
        <f t="shared" si="30"/>
        <v>SHBG_TYPE|SMALL SBOX</v>
      </c>
    </row>
    <row r="1458" spans="1:11" s="112" customFormat="1" x14ac:dyDescent="0.35">
      <c r="A1458" s="88" t="s">
        <v>6024</v>
      </c>
      <c r="B1458" s="88" t="s">
        <v>1311</v>
      </c>
      <c r="C1458" s="89" t="s">
        <v>8094</v>
      </c>
      <c r="D1458" s="89" t="s">
        <v>473</v>
      </c>
      <c r="E1458" s="181"/>
      <c r="F1458" s="181"/>
      <c r="G1458" s="183"/>
      <c r="H1458" s="181"/>
      <c r="I1458" s="181"/>
      <c r="J1458" s="181"/>
      <c r="K1458" s="181" t="str">
        <f t="shared" si="30"/>
        <v>SOLC_CON|D</v>
      </c>
    </row>
    <row r="1459" spans="1:11" s="112" customFormat="1" x14ac:dyDescent="0.35">
      <c r="A1459" s="88" t="s">
        <v>6024</v>
      </c>
      <c r="B1459" s="88" t="s">
        <v>3269</v>
      </c>
      <c r="C1459" s="89" t="s">
        <v>7972</v>
      </c>
      <c r="D1459" s="89" t="s">
        <v>473</v>
      </c>
      <c r="E1459" s="181"/>
      <c r="F1459" s="181"/>
      <c r="G1459" s="183"/>
      <c r="H1459" s="181"/>
      <c r="I1459" s="181"/>
      <c r="J1459" s="181"/>
      <c r="K1459" s="181" t="str">
        <f t="shared" si="30"/>
        <v>SOLC_CON|F</v>
      </c>
    </row>
    <row r="1460" spans="1:11" s="112" customFormat="1" x14ac:dyDescent="0.35">
      <c r="A1460" s="88" t="s">
        <v>6024</v>
      </c>
      <c r="B1460" s="88" t="s">
        <v>8095</v>
      </c>
      <c r="C1460" s="89" t="s">
        <v>8096</v>
      </c>
      <c r="D1460" s="89" t="s">
        <v>473</v>
      </c>
      <c r="E1460" s="181"/>
      <c r="F1460" s="181"/>
      <c r="G1460" s="183"/>
      <c r="H1460" s="181"/>
      <c r="I1460" s="181"/>
      <c r="J1460" s="181"/>
      <c r="K1460" s="181" t="str">
        <f t="shared" si="30"/>
        <v>SOLC_CON|Fr</v>
      </c>
    </row>
    <row r="1461" spans="1:11" s="112" customFormat="1" x14ac:dyDescent="0.35">
      <c r="A1461" s="88" t="s">
        <v>6024</v>
      </c>
      <c r="B1461" s="88" t="s">
        <v>4538</v>
      </c>
      <c r="C1461" s="89" t="s">
        <v>7973</v>
      </c>
      <c r="D1461" s="89" t="s">
        <v>473</v>
      </c>
      <c r="E1461" s="181"/>
      <c r="F1461" s="181"/>
      <c r="G1461" s="183"/>
      <c r="H1461" s="181"/>
      <c r="I1461" s="181"/>
      <c r="J1461" s="181"/>
      <c r="K1461" s="181" t="str">
        <f t="shared" si="30"/>
        <v>SOLC_CON|H</v>
      </c>
    </row>
    <row r="1462" spans="1:11" s="112" customFormat="1" x14ac:dyDescent="0.35">
      <c r="A1462" s="88" t="s">
        <v>6024</v>
      </c>
      <c r="B1462" s="88" t="s">
        <v>4991</v>
      </c>
      <c r="C1462" s="89" t="s">
        <v>8097</v>
      </c>
      <c r="D1462" s="89" t="s">
        <v>473</v>
      </c>
      <c r="E1462" s="181"/>
      <c r="F1462" s="181"/>
      <c r="G1462" s="183"/>
      <c r="H1462" s="181"/>
      <c r="I1462" s="181"/>
      <c r="J1462" s="181"/>
      <c r="K1462" s="181" t="str">
        <f t="shared" si="30"/>
        <v>SOLC_CON|L</v>
      </c>
    </row>
    <row r="1463" spans="1:11" s="112" customFormat="1" x14ac:dyDescent="0.35">
      <c r="A1463" s="88" t="s">
        <v>6024</v>
      </c>
      <c r="B1463" s="88" t="s">
        <v>8098</v>
      </c>
      <c r="C1463" s="89" t="s">
        <v>8099</v>
      </c>
      <c r="D1463" s="89" t="s">
        <v>473</v>
      </c>
      <c r="E1463" s="181"/>
      <c r="F1463" s="181"/>
      <c r="G1463" s="183"/>
      <c r="H1463" s="181"/>
      <c r="I1463" s="181"/>
      <c r="J1463" s="181"/>
      <c r="K1463" s="181" t="str">
        <f t="shared" si="30"/>
        <v>SOLC_CON|MD</v>
      </c>
    </row>
    <row r="1464" spans="1:11" s="112" customFormat="1" x14ac:dyDescent="0.35">
      <c r="A1464" s="88" t="s">
        <v>6024</v>
      </c>
      <c r="B1464" s="88" t="s">
        <v>6028</v>
      </c>
      <c r="C1464" s="89" t="s">
        <v>8100</v>
      </c>
      <c r="D1464" s="89" t="s">
        <v>473</v>
      </c>
      <c r="E1464" s="181"/>
      <c r="F1464" s="181"/>
      <c r="G1464" s="183"/>
      <c r="H1464" s="181"/>
      <c r="I1464" s="181"/>
      <c r="J1464" s="181"/>
      <c r="K1464" s="181" t="str">
        <f t="shared" si="30"/>
        <v>SOLC_CON|S</v>
      </c>
    </row>
    <row r="1465" spans="1:11" s="112" customFormat="1" x14ac:dyDescent="0.35">
      <c r="A1465" s="88" t="s">
        <v>6024</v>
      </c>
      <c r="B1465" s="88" t="s">
        <v>8101</v>
      </c>
      <c r="C1465" s="89" t="s">
        <v>8102</v>
      </c>
      <c r="D1465" s="89" t="s">
        <v>473</v>
      </c>
      <c r="E1465" s="181"/>
      <c r="F1465" s="181"/>
      <c r="G1465" s="183"/>
      <c r="H1465" s="181"/>
      <c r="I1465" s="181"/>
      <c r="J1465" s="181"/>
      <c r="K1465" s="181" t="str">
        <f t="shared" si="30"/>
        <v>SOLC_CON|St</v>
      </c>
    </row>
    <row r="1466" spans="1:11" s="112" customFormat="1" x14ac:dyDescent="0.35">
      <c r="A1466" s="88" t="s">
        <v>6024</v>
      </c>
      <c r="B1466" s="88" t="s">
        <v>8103</v>
      </c>
      <c r="C1466" s="89" t="s">
        <v>8104</v>
      </c>
      <c r="D1466" s="89" t="s">
        <v>473</v>
      </c>
      <c r="E1466" s="181"/>
      <c r="F1466" s="181"/>
      <c r="G1466" s="183"/>
      <c r="H1466" s="181"/>
      <c r="I1466" s="181"/>
      <c r="J1466" s="181"/>
      <c r="K1466" s="181" t="str">
        <f t="shared" si="30"/>
        <v>SOLC_CON|VD</v>
      </c>
    </row>
    <row r="1467" spans="1:11" s="112" customFormat="1" x14ac:dyDescent="0.35">
      <c r="A1467" s="88" t="s">
        <v>6024</v>
      </c>
      <c r="B1467" s="88" t="s">
        <v>8006</v>
      </c>
      <c r="C1467" s="89" t="s">
        <v>8105</v>
      </c>
      <c r="D1467" s="89" t="s">
        <v>473</v>
      </c>
      <c r="E1467" s="181"/>
      <c r="F1467" s="181"/>
      <c r="G1467" s="183"/>
      <c r="H1467" s="181"/>
      <c r="I1467" s="181"/>
      <c r="J1467" s="181"/>
      <c r="K1467" s="181" t="str">
        <f t="shared" si="30"/>
        <v>SOLC_CON|VL</v>
      </c>
    </row>
    <row r="1468" spans="1:11" s="112" customFormat="1" x14ac:dyDescent="0.35">
      <c r="A1468" s="88" t="s">
        <v>6024</v>
      </c>
      <c r="B1468" s="88" t="s">
        <v>6023</v>
      </c>
      <c r="C1468" s="89" t="s">
        <v>8106</v>
      </c>
      <c r="D1468" s="89" t="s">
        <v>473</v>
      </c>
      <c r="E1468" s="181"/>
      <c r="F1468" s="181"/>
      <c r="G1468" s="183"/>
      <c r="H1468" s="181"/>
      <c r="I1468" s="181"/>
      <c r="J1468" s="181"/>
      <c r="K1468" s="181" t="str">
        <f t="shared" si="30"/>
        <v>SOLC_CON|VS</v>
      </c>
    </row>
    <row r="1469" spans="1:11" s="112" customFormat="1" x14ac:dyDescent="0.35">
      <c r="A1469" s="88" t="s">
        <v>6024</v>
      </c>
      <c r="B1469" s="88" t="s">
        <v>8107</v>
      </c>
      <c r="C1469" s="89" t="s">
        <v>8108</v>
      </c>
      <c r="D1469" s="89" t="s">
        <v>473</v>
      </c>
      <c r="E1469" s="181"/>
      <c r="F1469" s="181"/>
      <c r="G1469" s="183"/>
      <c r="H1469" s="181"/>
      <c r="I1469" s="181"/>
      <c r="J1469" s="181"/>
      <c r="K1469" s="181" t="str">
        <f t="shared" si="30"/>
        <v>SOLC_CON|VSt</v>
      </c>
    </row>
    <row r="1470" spans="1:11" s="112" customFormat="1" hidden="1" x14ac:dyDescent="0.35">
      <c r="A1470" s="88" t="s">
        <v>6034</v>
      </c>
      <c r="B1470" s="89" t="s">
        <v>1311</v>
      </c>
      <c r="C1470" s="88" t="s">
        <v>6651</v>
      </c>
      <c r="D1470" s="89" t="s">
        <v>473</v>
      </c>
      <c r="E1470" s="181"/>
      <c r="F1470" s="181"/>
      <c r="G1470" s="183"/>
      <c r="H1470" s="181"/>
      <c r="I1470" s="181"/>
      <c r="J1470" s="181"/>
      <c r="K1470" s="181" t="str">
        <f t="shared" si="30"/>
        <v>SOLM_MC|D</v>
      </c>
    </row>
    <row r="1471" spans="1:11" s="112" customFormat="1" hidden="1" x14ac:dyDescent="0.35">
      <c r="A1471" s="88" t="s">
        <v>6034</v>
      </c>
      <c r="B1471" s="89" t="s">
        <v>4996</v>
      </c>
      <c r="C1471" s="88" t="s">
        <v>8109</v>
      </c>
      <c r="D1471" s="89" t="s">
        <v>473</v>
      </c>
      <c r="E1471" s="181"/>
      <c r="F1471" s="181"/>
      <c r="G1471" s="183"/>
      <c r="H1471" s="181"/>
      <c r="I1471" s="181"/>
      <c r="J1471" s="181"/>
      <c r="K1471" s="181" t="str">
        <f t="shared" si="30"/>
        <v>SOLM_MC|M</v>
      </c>
    </row>
    <row r="1472" spans="1:11" s="112" customFormat="1" hidden="1" x14ac:dyDescent="0.35">
      <c r="A1472" s="88" t="s">
        <v>6034</v>
      </c>
      <c r="B1472" s="89" t="s">
        <v>7461</v>
      </c>
      <c r="C1472" s="88" t="s">
        <v>750</v>
      </c>
      <c r="D1472" s="89" t="s">
        <v>473</v>
      </c>
      <c r="E1472" s="181"/>
      <c r="F1472" s="181"/>
      <c r="G1472" s="183"/>
      <c r="H1472" s="181"/>
      <c r="I1472" s="181"/>
      <c r="J1472" s="181"/>
      <c r="K1472" s="181" t="str">
        <f t="shared" si="30"/>
        <v>SOLM_MC|W</v>
      </c>
    </row>
    <row r="1473" spans="1:11" s="112" customFormat="1" hidden="1" x14ac:dyDescent="0.35">
      <c r="A1473" s="88" t="s">
        <v>6034</v>
      </c>
      <c r="B1473" s="89" t="s">
        <v>8110</v>
      </c>
      <c r="C1473" s="88" t="s">
        <v>8111</v>
      </c>
      <c r="D1473" s="89" t="s">
        <v>473</v>
      </c>
      <c r="E1473" s="181"/>
      <c r="F1473" s="181"/>
      <c r="G1473" s="183"/>
      <c r="H1473" s="181"/>
      <c r="I1473" s="181"/>
      <c r="J1473" s="181"/>
      <c r="K1473" s="181" t="str">
        <f t="shared" si="30"/>
        <v>SOLM_MC|w &lt; PL</v>
      </c>
    </row>
    <row r="1474" spans="1:11" s="112" customFormat="1" hidden="1" x14ac:dyDescent="0.35">
      <c r="A1474" s="88" t="s">
        <v>6034</v>
      </c>
      <c r="B1474" s="89" t="s">
        <v>8112</v>
      </c>
      <c r="C1474" s="88" t="s">
        <v>8113</v>
      </c>
      <c r="D1474" s="89" t="s">
        <v>473</v>
      </c>
      <c r="E1474" s="181"/>
      <c r="F1474" s="181"/>
      <c r="G1474" s="183"/>
      <c r="H1474" s="181"/>
      <c r="I1474" s="181"/>
      <c r="J1474" s="181"/>
      <c r="K1474" s="181" t="str">
        <f t="shared" si="30"/>
        <v>SOLM_MC|w = LL</v>
      </c>
    </row>
    <row r="1475" spans="1:11" s="112" customFormat="1" hidden="1" x14ac:dyDescent="0.35">
      <c r="A1475" s="88" t="s">
        <v>6034</v>
      </c>
      <c r="B1475" s="89" t="s">
        <v>8114</v>
      </c>
      <c r="C1475" s="88" t="s">
        <v>8115</v>
      </c>
      <c r="D1475" s="89" t="s">
        <v>473</v>
      </c>
      <c r="E1475" s="181"/>
      <c r="F1475" s="181"/>
      <c r="G1475" s="183"/>
      <c r="H1475" s="181"/>
      <c r="I1475" s="181"/>
      <c r="J1475" s="181"/>
      <c r="K1475" s="181" t="str">
        <f t="shared" si="30"/>
        <v>SOLM_MC|w = PL</v>
      </c>
    </row>
    <row r="1476" spans="1:11" s="112" customFormat="1" hidden="1" x14ac:dyDescent="0.35">
      <c r="A1476" s="88" t="s">
        <v>6034</v>
      </c>
      <c r="B1476" s="89" t="s">
        <v>8116</v>
      </c>
      <c r="C1476" s="88" t="s">
        <v>8117</v>
      </c>
      <c r="D1476" s="89" t="s">
        <v>473</v>
      </c>
      <c r="E1476" s="181"/>
      <c r="F1476" s="181"/>
      <c r="G1476" s="183"/>
      <c r="H1476" s="181"/>
      <c r="I1476" s="181"/>
      <c r="J1476" s="181"/>
      <c r="K1476" s="181" t="str">
        <f t="shared" si="30"/>
        <v>SOLM_MC|w &gt; LL</v>
      </c>
    </row>
    <row r="1477" spans="1:11" s="112" customFormat="1" hidden="1" x14ac:dyDescent="0.35">
      <c r="A1477" s="88" t="s">
        <v>6034</v>
      </c>
      <c r="B1477" s="89" t="s">
        <v>8118</v>
      </c>
      <c r="C1477" s="88" t="s">
        <v>8119</v>
      </c>
      <c r="D1477" s="89" t="s">
        <v>473</v>
      </c>
      <c r="E1477" s="181"/>
      <c r="F1477" s="181"/>
      <c r="G1477" s="183"/>
      <c r="H1477" s="181"/>
      <c r="I1477" s="181"/>
      <c r="J1477" s="181"/>
      <c r="K1477" s="181" t="str">
        <f t="shared" si="30"/>
        <v>SOLM_MC|w &gt; PL</v>
      </c>
    </row>
    <row r="1478" spans="1:11" s="112" customFormat="1" hidden="1" x14ac:dyDescent="0.35">
      <c r="A1478" s="181" t="s">
        <v>6064</v>
      </c>
      <c r="B1478" s="182" t="s">
        <v>6466</v>
      </c>
      <c r="C1478" s="181" t="s">
        <v>4112</v>
      </c>
      <c r="D1478" s="178">
        <v>4.0999999999999996</v>
      </c>
      <c r="E1478" s="181" t="s">
        <v>6450</v>
      </c>
      <c r="F1478" s="184">
        <v>40323</v>
      </c>
      <c r="G1478" s="181"/>
      <c r="H1478" s="181" t="s">
        <v>6451</v>
      </c>
      <c r="I1478" s="181" t="str">
        <f>VLOOKUP(LEFT(A1478,4),Groups!$A$1:$C$188,3,FALSE)</f>
        <v>Suction Tests</v>
      </c>
      <c r="J1478" s="181" t="str">
        <f>VLOOKUP(A1478,Headings!$C$1:$H$3948,4,FALSE)</f>
        <v>Sample condition</v>
      </c>
      <c r="K1478" s="181" t="str">
        <f t="shared" si="30"/>
        <v>SUCT_COND|REMOULDED</v>
      </c>
    </row>
    <row r="1479" spans="1:11" s="112" customFormat="1" hidden="1" x14ac:dyDescent="0.35">
      <c r="A1479" s="181" t="s">
        <v>6064</v>
      </c>
      <c r="B1479" s="182" t="s">
        <v>1273</v>
      </c>
      <c r="C1479" s="181" t="s">
        <v>6467</v>
      </c>
      <c r="D1479" s="178">
        <v>4.0999999999999996</v>
      </c>
      <c r="E1479" s="181" t="s">
        <v>6450</v>
      </c>
      <c r="F1479" s="184">
        <v>40323</v>
      </c>
      <c r="G1479" s="181"/>
      <c r="H1479" s="181" t="s">
        <v>6451</v>
      </c>
      <c r="I1479" s="181" t="str">
        <f>VLOOKUP(LEFT(A1479,4),Groups!$A$1:$C$188,3,FALSE)</f>
        <v>Suction Tests</v>
      </c>
      <c r="J1479" s="181" t="str">
        <f>VLOOKUP(A1479,Headings!$C$1:$H$3948,4,FALSE)</f>
        <v>Sample condition</v>
      </c>
      <c r="K1479" s="181" t="str">
        <f t="shared" si="30"/>
        <v>SUCT_COND|UNDISTURBED</v>
      </c>
    </row>
    <row r="1480" spans="1:11" s="112" customFormat="1" hidden="1" x14ac:dyDescent="0.35">
      <c r="A1480" s="181" t="s">
        <v>6125</v>
      </c>
      <c r="B1480" s="182" t="s">
        <v>6466</v>
      </c>
      <c r="C1480" s="181" t="s">
        <v>4112</v>
      </c>
      <c r="D1480" s="178">
        <v>4.0999999999999996</v>
      </c>
      <c r="E1480" s="181" t="s">
        <v>6450</v>
      </c>
      <c r="F1480" s="184">
        <v>40323</v>
      </c>
      <c r="G1480" s="181"/>
      <c r="H1480" s="181" t="s">
        <v>6451</v>
      </c>
      <c r="I1480" s="181" t="str">
        <f>VLOOKUP(LEFT(A1480,4),Groups!$A$1:$C$188,3,FALSE)</f>
        <v>Triaxial Tests - Effective Stress - General</v>
      </c>
      <c r="J1480" s="181" t="str">
        <f>VLOOKUP(A1480,Headings!$C$1:$H$3948,4,FALSE)</f>
        <v>Sample condition</v>
      </c>
      <c r="K1480" s="181" t="str">
        <f t="shared" si="30"/>
        <v>TREG_COND|REMOULDED</v>
      </c>
    </row>
    <row r="1481" spans="1:11" s="112" customFormat="1" hidden="1" x14ac:dyDescent="0.35">
      <c r="A1481" s="181" t="s">
        <v>6125</v>
      </c>
      <c r="B1481" s="182" t="s">
        <v>1273</v>
      </c>
      <c r="C1481" s="181" t="s">
        <v>6467</v>
      </c>
      <c r="D1481" s="178">
        <v>4.0999999999999996</v>
      </c>
      <c r="E1481" s="181" t="s">
        <v>6450</v>
      </c>
      <c r="F1481" s="184">
        <v>40323</v>
      </c>
      <c r="G1481" s="181"/>
      <c r="H1481" s="181" t="s">
        <v>6451</v>
      </c>
      <c r="I1481" s="181" t="str">
        <f>VLOOKUP(LEFT(A1481,4),Groups!$A$1:$C$188,3,FALSE)</f>
        <v>Triaxial Tests - Effective Stress - General</v>
      </c>
      <c r="J1481" s="181" t="str">
        <f>VLOOKUP(A1481,Headings!$C$1:$H$3948,4,FALSE)</f>
        <v>Sample condition</v>
      </c>
      <c r="K1481" s="181" t="str">
        <f t="shared" si="30"/>
        <v>TREG_COND|UNDISTURBED</v>
      </c>
    </row>
    <row r="1482" spans="1:11" s="112" customFormat="1" hidden="1" x14ac:dyDescent="0.35">
      <c r="A1482" s="181" t="s">
        <v>6123</v>
      </c>
      <c r="B1482" s="182" t="s">
        <v>6527</v>
      </c>
      <c r="C1482" s="181" t="s">
        <v>8120</v>
      </c>
      <c r="D1482" s="178">
        <v>4.0999999999999996</v>
      </c>
      <c r="E1482" s="181" t="s">
        <v>6450</v>
      </c>
      <c r="F1482" s="184">
        <v>40323</v>
      </c>
      <c r="G1482" s="181"/>
      <c r="H1482" s="181" t="s">
        <v>6451</v>
      </c>
      <c r="I1482" s="181" t="str">
        <f>VLOOKUP(LEFT(A1482,4),Groups!$A$1:$C$188,3,FALSE)</f>
        <v>Triaxial Tests - Effective Stress - General</v>
      </c>
      <c r="J1482" s="181" t="str">
        <f>VLOOKUP(A1482,Headings!$C$1:$H$3948,4,FALSE)</f>
        <v>Test type</v>
      </c>
      <c r="K1482" s="181" t="str">
        <f t="shared" si="30"/>
        <v>TREG_TYPE|CADC</v>
      </c>
    </row>
    <row r="1483" spans="1:11" s="112" customFormat="1" hidden="1" x14ac:dyDescent="0.35">
      <c r="A1483" s="181" t="s">
        <v>6123</v>
      </c>
      <c r="B1483" s="182" t="s">
        <v>8121</v>
      </c>
      <c r="C1483" s="181" t="s">
        <v>8122</v>
      </c>
      <c r="D1483" s="178">
        <v>4.0999999999999996</v>
      </c>
      <c r="E1483" s="181" t="s">
        <v>6450</v>
      </c>
      <c r="F1483" s="184">
        <v>40323</v>
      </c>
      <c r="G1483" s="181"/>
      <c r="H1483" s="181" t="s">
        <v>6451</v>
      </c>
      <c r="I1483" s="181" t="str">
        <f>VLOOKUP(LEFT(A1483,4),Groups!$A$1:$C$188,3,FALSE)</f>
        <v>Triaxial Tests - Effective Stress - General</v>
      </c>
      <c r="J1483" s="181" t="str">
        <f>VLOOKUP(A1483,Headings!$C$1:$H$3948,4,FALSE)</f>
        <v>Test type</v>
      </c>
      <c r="K1483" s="181" t="str">
        <f t="shared" si="30"/>
        <v>TREG_TYPE|CADE</v>
      </c>
    </row>
    <row r="1484" spans="1:11" s="112" customFormat="1" hidden="1" x14ac:dyDescent="0.35">
      <c r="A1484" s="181" t="s">
        <v>6123</v>
      </c>
      <c r="B1484" s="182" t="s">
        <v>6529</v>
      </c>
      <c r="C1484" s="181" t="s">
        <v>8123</v>
      </c>
      <c r="D1484" s="178">
        <v>4.0999999999999996</v>
      </c>
      <c r="E1484" s="181" t="s">
        <v>6450</v>
      </c>
      <c r="F1484" s="184">
        <v>40323</v>
      </c>
      <c r="G1484" s="181"/>
      <c r="H1484" s="181" t="s">
        <v>6451</v>
      </c>
      <c r="I1484" s="181" t="str">
        <f>VLOOKUP(LEFT(A1484,4),Groups!$A$1:$C$188,3,FALSE)</f>
        <v>Triaxial Tests - Effective Stress - General</v>
      </c>
      <c r="J1484" s="181" t="str">
        <f>VLOOKUP(A1484,Headings!$C$1:$H$3948,4,FALSE)</f>
        <v>Test type</v>
      </c>
      <c r="K1484" s="181" t="str">
        <f t="shared" si="30"/>
        <v>TREG_TYPE|CAUC</v>
      </c>
    </row>
    <row r="1485" spans="1:11" s="112" customFormat="1" hidden="1" x14ac:dyDescent="0.35">
      <c r="A1485" s="181" t="s">
        <v>6123</v>
      </c>
      <c r="B1485" s="182" t="s">
        <v>8124</v>
      </c>
      <c r="C1485" s="181" t="s">
        <v>8125</v>
      </c>
      <c r="D1485" s="178">
        <v>4.0999999999999996</v>
      </c>
      <c r="E1485" s="181" t="s">
        <v>6450</v>
      </c>
      <c r="F1485" s="184">
        <v>40323</v>
      </c>
      <c r="G1485" s="181"/>
      <c r="H1485" s="181" t="s">
        <v>6451</v>
      </c>
      <c r="I1485" s="181" t="str">
        <f>VLOOKUP(LEFT(A1485,4),Groups!$A$1:$C$188,3,FALSE)</f>
        <v>Triaxial Tests - Effective Stress - General</v>
      </c>
      <c r="J1485" s="181" t="str">
        <f>VLOOKUP(A1485,Headings!$C$1:$H$3948,4,FALSE)</f>
        <v>Test type</v>
      </c>
      <c r="K1485" s="181" t="str">
        <f t="shared" si="30"/>
        <v>TREG_TYPE|CAUE</v>
      </c>
    </row>
    <row r="1486" spans="1:11" s="112" customFormat="1" hidden="1" x14ac:dyDescent="0.35">
      <c r="A1486" s="181" t="s">
        <v>6123</v>
      </c>
      <c r="B1486" s="182" t="s">
        <v>6673</v>
      </c>
      <c r="C1486" s="181" t="s">
        <v>8126</v>
      </c>
      <c r="D1486" s="178">
        <v>4.0999999999999996</v>
      </c>
      <c r="E1486" s="181" t="s">
        <v>6450</v>
      </c>
      <c r="F1486" s="184">
        <v>40323</v>
      </c>
      <c r="G1486" s="181"/>
      <c r="H1486" s="181" t="s">
        <v>6451</v>
      </c>
      <c r="I1486" s="181" t="str">
        <f>VLOOKUP(LEFT(A1486,4),Groups!$A$1:$C$188,3,FALSE)</f>
        <v>Triaxial Tests - Effective Stress - General</v>
      </c>
      <c r="J1486" s="181" t="str">
        <f>VLOOKUP(A1486,Headings!$C$1:$H$3948,4,FALSE)</f>
        <v>Test type</v>
      </c>
      <c r="K1486" s="181" t="str">
        <f t="shared" si="30"/>
        <v>TREG_TYPE|CD</v>
      </c>
    </row>
    <row r="1487" spans="1:11" s="112" customFormat="1" hidden="1" x14ac:dyDescent="0.35">
      <c r="A1487" s="181" t="s">
        <v>6123</v>
      </c>
      <c r="B1487" s="182" t="s">
        <v>6675</v>
      </c>
      <c r="C1487" s="181" t="s">
        <v>8127</v>
      </c>
      <c r="D1487" s="178">
        <v>4.0999999999999996</v>
      </c>
      <c r="E1487" s="181" t="s">
        <v>6450</v>
      </c>
      <c r="F1487" s="184">
        <v>40323</v>
      </c>
      <c r="G1487" s="181"/>
      <c r="H1487" s="181" t="s">
        <v>6451</v>
      </c>
      <c r="I1487" s="181" t="str">
        <f>VLOOKUP(LEFT(A1487,4),Groups!$A$1:$C$188,3,FALSE)</f>
        <v>Triaxial Tests - Effective Stress - General</v>
      </c>
      <c r="J1487" s="181" t="str">
        <f>VLOOKUP(A1487,Headings!$C$1:$H$3948,4,FALSE)</f>
        <v>Test type</v>
      </c>
      <c r="K1487" s="181" t="str">
        <f t="shared" si="30"/>
        <v>TREG_TYPE|CDM</v>
      </c>
    </row>
    <row r="1488" spans="1:11" s="112" customFormat="1" hidden="1" x14ac:dyDescent="0.35">
      <c r="A1488" s="181" t="s">
        <v>6123</v>
      </c>
      <c r="B1488" s="182" t="s">
        <v>6531</v>
      </c>
      <c r="C1488" s="181" t="s">
        <v>8128</v>
      </c>
      <c r="D1488" s="178">
        <v>4.0999999999999996</v>
      </c>
      <c r="E1488" s="181" t="s">
        <v>6450</v>
      </c>
      <c r="F1488" s="184">
        <v>40323</v>
      </c>
      <c r="G1488" s="181"/>
      <c r="H1488" s="181" t="s">
        <v>6451</v>
      </c>
      <c r="I1488" s="181" t="str">
        <f>VLOOKUP(LEFT(A1488,4),Groups!$A$1:$C$188,3,FALSE)</f>
        <v>Triaxial Tests - Effective Stress - General</v>
      </c>
      <c r="J1488" s="181" t="str">
        <f>VLOOKUP(A1488,Headings!$C$1:$H$3948,4,FALSE)</f>
        <v>Test type</v>
      </c>
      <c r="K1488" s="181" t="str">
        <f t="shared" si="30"/>
        <v>TREG_TYPE|CIDC</v>
      </c>
    </row>
    <row r="1489" spans="1:11" s="112" customFormat="1" hidden="1" x14ac:dyDescent="0.35">
      <c r="A1489" s="181" t="s">
        <v>6123</v>
      </c>
      <c r="B1489" s="182" t="s">
        <v>8129</v>
      </c>
      <c r="C1489" s="181" t="s">
        <v>8130</v>
      </c>
      <c r="D1489" s="178">
        <v>4.0999999999999996</v>
      </c>
      <c r="E1489" s="181" t="s">
        <v>6450</v>
      </c>
      <c r="F1489" s="184">
        <v>40323</v>
      </c>
      <c r="G1489" s="181"/>
      <c r="H1489" s="181" t="s">
        <v>6451</v>
      </c>
      <c r="I1489" s="181" t="str">
        <f>VLOOKUP(LEFT(A1489,4),Groups!$A$1:$C$188,3,FALSE)</f>
        <v>Triaxial Tests - Effective Stress - General</v>
      </c>
      <c r="J1489" s="181" t="str">
        <f>VLOOKUP(A1489,Headings!$C$1:$H$3948,4,FALSE)</f>
        <v>Test type</v>
      </c>
      <c r="K1489" s="181" t="str">
        <f t="shared" si="30"/>
        <v>TREG_TYPE|CIDE</v>
      </c>
    </row>
    <row r="1490" spans="1:11" s="112" customFormat="1" hidden="1" x14ac:dyDescent="0.35">
      <c r="A1490" s="181" t="s">
        <v>6123</v>
      </c>
      <c r="B1490" s="182" t="s">
        <v>6533</v>
      </c>
      <c r="C1490" s="181" t="s">
        <v>8131</v>
      </c>
      <c r="D1490" s="178">
        <v>4.0999999999999996</v>
      </c>
      <c r="E1490" s="181" t="s">
        <v>6450</v>
      </c>
      <c r="F1490" s="184">
        <v>43363</v>
      </c>
      <c r="G1490" s="181"/>
      <c r="H1490" s="181" t="s">
        <v>6451</v>
      </c>
      <c r="I1490" s="181" t="str">
        <f>VLOOKUP(LEFT(A1490,4),Groups!$A$1:$C$188,3,FALSE)</f>
        <v>Triaxial Tests - Effective Stress - General</v>
      </c>
      <c r="J1490" s="181" t="str">
        <f>VLOOKUP(A1490,Headings!$C$1:$H$3948,4,FALSE)</f>
        <v>Test type</v>
      </c>
      <c r="K1490" s="181" t="str">
        <f t="shared" si="30"/>
        <v>TREG_TYPE|CIUC</v>
      </c>
    </row>
    <row r="1491" spans="1:11" s="112" customFormat="1" hidden="1" x14ac:dyDescent="0.35">
      <c r="A1491" s="181" t="s">
        <v>6123</v>
      </c>
      <c r="B1491" s="182" t="s">
        <v>8132</v>
      </c>
      <c r="C1491" s="181" t="s">
        <v>8133</v>
      </c>
      <c r="D1491" s="178">
        <v>4.0999999999999996</v>
      </c>
      <c r="E1491" s="181" t="s">
        <v>6450</v>
      </c>
      <c r="F1491" s="184">
        <v>43363</v>
      </c>
      <c r="G1491" s="181"/>
      <c r="H1491" s="181" t="s">
        <v>6451</v>
      </c>
      <c r="I1491" s="181" t="str">
        <f>VLOOKUP(LEFT(A1491,4),Groups!$A$1:$C$188,3,FALSE)</f>
        <v>Triaxial Tests - Effective Stress - General</v>
      </c>
      <c r="J1491" s="181" t="str">
        <f>VLOOKUP(A1491,Headings!$C$1:$H$3948,4,FALSE)</f>
        <v>Test type</v>
      </c>
      <c r="K1491" s="181" t="str">
        <f t="shared" si="30"/>
        <v>TREG_TYPE|CIUCM</v>
      </c>
    </row>
    <row r="1492" spans="1:11" s="112" customFormat="1" hidden="1" x14ac:dyDescent="0.35">
      <c r="A1492" s="181" t="s">
        <v>6123</v>
      </c>
      <c r="B1492" s="182" t="s">
        <v>6594</v>
      </c>
      <c r="C1492" s="181" t="s">
        <v>8134</v>
      </c>
      <c r="D1492" s="178">
        <v>4.0999999999999996</v>
      </c>
      <c r="E1492" s="181" t="s">
        <v>6450</v>
      </c>
      <c r="F1492" s="184">
        <v>40323</v>
      </c>
      <c r="G1492" s="181"/>
      <c r="H1492" s="181" t="s">
        <v>6451</v>
      </c>
      <c r="I1492" s="181" t="str">
        <f>VLOOKUP(LEFT(A1492,4),Groups!$A$1:$C$188,3,FALSE)</f>
        <v>Triaxial Tests - Effective Stress - General</v>
      </c>
      <c r="J1492" s="181" t="str">
        <f>VLOOKUP(A1492,Headings!$C$1:$H$3948,4,FALSE)</f>
        <v>Test type</v>
      </c>
      <c r="K1492" s="181" t="str">
        <f t="shared" si="30"/>
        <v>TREG_TYPE|CU</v>
      </c>
    </row>
    <row r="1493" spans="1:11" s="112" customFormat="1" hidden="1" x14ac:dyDescent="0.35">
      <c r="A1493" s="181" t="s">
        <v>6123</v>
      </c>
      <c r="B1493" s="182" t="s">
        <v>6678</v>
      </c>
      <c r="C1493" s="181" t="s">
        <v>8135</v>
      </c>
      <c r="D1493" s="178">
        <v>4.0999999999999996</v>
      </c>
      <c r="E1493" s="181" t="s">
        <v>6450</v>
      </c>
      <c r="F1493" s="184">
        <v>40323</v>
      </c>
      <c r="G1493" s="181"/>
      <c r="H1493" s="181" t="s">
        <v>6451</v>
      </c>
      <c r="I1493" s="181" t="str">
        <f>VLOOKUP(LEFT(A1493,4),Groups!$A$1:$C$188,3,FALSE)</f>
        <v>Triaxial Tests - Effective Stress - General</v>
      </c>
      <c r="J1493" s="181" t="str">
        <f>VLOOKUP(A1493,Headings!$C$1:$H$3948,4,FALSE)</f>
        <v>Test type</v>
      </c>
      <c r="K1493" s="181" t="str">
        <f t="shared" si="30"/>
        <v>TREG_TYPE|CUM</v>
      </c>
    </row>
    <row r="1494" spans="1:11" s="112" customFormat="1" hidden="1" x14ac:dyDescent="0.35">
      <c r="A1494" s="181" t="s">
        <v>6123</v>
      </c>
      <c r="B1494" s="182" t="s">
        <v>8136</v>
      </c>
      <c r="C1494" s="181" t="s">
        <v>8137</v>
      </c>
      <c r="D1494" s="178">
        <v>4.0999999999999996</v>
      </c>
      <c r="E1494" s="181" t="s">
        <v>6450</v>
      </c>
      <c r="F1494" s="184">
        <v>40323</v>
      </c>
      <c r="G1494" s="181"/>
      <c r="H1494" s="181" t="s">
        <v>6451</v>
      </c>
      <c r="I1494" s="181" t="str">
        <f>VLOOKUP(LEFT(A1494,4),Groups!$A$1:$C$188,3,FALSE)</f>
        <v>Triaxial Tests - Effective Stress - General</v>
      </c>
      <c r="J1494" s="181" t="str">
        <f>VLOOKUP(A1494,Headings!$C$1:$H$3948,4,FALSE)</f>
        <v>Test type</v>
      </c>
      <c r="K1494" s="181" t="str">
        <f t="shared" si="30"/>
        <v>TREG_TYPE|UUP</v>
      </c>
    </row>
    <row r="1495" spans="1:11" s="112" customFormat="1" hidden="1" x14ac:dyDescent="0.35">
      <c r="A1495" s="181" t="s">
        <v>6191</v>
      </c>
      <c r="B1495" s="182" t="s">
        <v>1892</v>
      </c>
      <c r="C1495" s="181" t="s">
        <v>1892</v>
      </c>
      <c r="D1495" s="178">
        <v>4.0999999999999996</v>
      </c>
      <c r="E1495" s="181" t="s">
        <v>6450</v>
      </c>
      <c r="F1495" s="184">
        <v>44173</v>
      </c>
      <c r="G1495" s="181"/>
      <c r="H1495" s="181">
        <v>4.0999999999999996</v>
      </c>
      <c r="I1495" s="181" t="str">
        <f>VLOOKUP(LEFT(A1495,4),Groups!$A$1:$C$188,3,FALSE)</f>
        <v>Triaxial Tests - Effective Stress - Data</v>
      </c>
      <c r="J1495" s="181" t="str">
        <f>VLOOKUP(A1495,Headings!$C$1:$H$3948,4,FALSE)</f>
        <v>Mode of failure</v>
      </c>
      <c r="K1495" s="181" t="str">
        <f t="shared" si="30"/>
        <v>TRET_MODE|Brittle</v>
      </c>
    </row>
    <row r="1496" spans="1:11" s="112" customFormat="1" hidden="1" x14ac:dyDescent="0.35">
      <c r="A1496" s="181" t="s">
        <v>6271</v>
      </c>
      <c r="B1496" s="182" t="s">
        <v>6466</v>
      </c>
      <c r="C1496" s="181" t="s">
        <v>4112</v>
      </c>
      <c r="D1496" s="178">
        <v>4.0999999999999996</v>
      </c>
      <c r="E1496" s="181" t="s">
        <v>6450</v>
      </c>
      <c r="F1496" s="184">
        <v>40323</v>
      </c>
      <c r="G1496" s="181"/>
      <c r="H1496" s="181" t="s">
        <v>6451</v>
      </c>
      <c r="I1496" s="181" t="str">
        <f>VLOOKUP(LEFT(A1496,4),Groups!$A$1:$C$188,3,FALSE)</f>
        <v>Triaxial Tests - Total Stress - General</v>
      </c>
      <c r="J1496" s="181" t="str">
        <f>VLOOKUP(A1496,Headings!$C$1:$H$3948,4,FALSE)</f>
        <v>Sample condition</v>
      </c>
      <c r="K1496" s="181" t="str">
        <f t="shared" si="30"/>
        <v>TRIG_COND|REMOULDED</v>
      </c>
    </row>
    <row r="1497" spans="1:11" s="112" customFormat="1" hidden="1" x14ac:dyDescent="0.35">
      <c r="A1497" s="181" t="s">
        <v>6271</v>
      </c>
      <c r="B1497" s="182" t="s">
        <v>1273</v>
      </c>
      <c r="C1497" s="181" t="s">
        <v>6467</v>
      </c>
      <c r="D1497" s="178">
        <v>4.0999999999999996</v>
      </c>
      <c r="E1497" s="181" t="s">
        <v>6450</v>
      </c>
      <c r="F1497" s="184">
        <v>40323</v>
      </c>
      <c r="G1497" s="181"/>
      <c r="H1497" s="181" t="s">
        <v>6451</v>
      </c>
      <c r="I1497" s="181" t="str">
        <f>VLOOKUP(LEFT(A1497,4),Groups!$A$1:$C$188,3,FALSE)</f>
        <v>Triaxial Tests - Total Stress - General</v>
      </c>
      <c r="J1497" s="181" t="str">
        <f>VLOOKUP(A1497,Headings!$C$1:$H$3948,4,FALSE)</f>
        <v>Sample condition</v>
      </c>
      <c r="K1497" s="181" t="str">
        <f t="shared" si="30"/>
        <v>TRIG_COND|UNDISTURBED</v>
      </c>
    </row>
    <row r="1498" spans="1:11" s="112" customFormat="1" hidden="1" x14ac:dyDescent="0.35">
      <c r="A1498" s="181" t="s">
        <v>6269</v>
      </c>
      <c r="B1498" s="182" t="s">
        <v>8138</v>
      </c>
      <c r="C1498" s="181" t="s">
        <v>8139</v>
      </c>
      <c r="D1498" s="178">
        <v>4.0999999999999996</v>
      </c>
      <c r="E1498" s="181" t="s">
        <v>6450</v>
      </c>
      <c r="F1498" s="184">
        <v>40323</v>
      </c>
      <c r="G1498" s="181"/>
      <c r="H1498" s="181" t="s">
        <v>6451</v>
      </c>
      <c r="I1498" s="181" t="str">
        <f>VLOOKUP(LEFT(A1498,4),Groups!$A$1:$C$188,3,FALSE)</f>
        <v>Triaxial Tests - Total Stress - General</v>
      </c>
      <c r="J1498" s="181" t="str">
        <f>VLOOKUP(A1498,Headings!$C$1:$H$3948,4,FALSE)</f>
        <v>Test type</v>
      </c>
      <c r="K1498" s="181" t="str">
        <f t="shared" si="30"/>
        <v>TRIG_TYPE|UNC</v>
      </c>
    </row>
    <row r="1499" spans="1:11" s="112" customFormat="1" hidden="1" x14ac:dyDescent="0.35">
      <c r="A1499" s="181" t="s">
        <v>6269</v>
      </c>
      <c r="B1499" s="182" t="s">
        <v>8140</v>
      </c>
      <c r="C1499" s="181" t="s">
        <v>8141</v>
      </c>
      <c r="D1499" s="178">
        <v>4.0999999999999996</v>
      </c>
      <c r="E1499" s="181" t="s">
        <v>6450</v>
      </c>
      <c r="F1499" s="184">
        <v>40323</v>
      </c>
      <c r="G1499" s="181"/>
      <c r="H1499" s="181" t="s">
        <v>6451</v>
      </c>
      <c r="I1499" s="181" t="str">
        <f>VLOOKUP(LEFT(A1499,4),Groups!$A$1:$C$188,3,FALSE)</f>
        <v>Triaxial Tests - Total Stress - General</v>
      </c>
      <c r="J1499" s="181" t="str">
        <f>VLOOKUP(A1499,Headings!$C$1:$H$3948,4,FALSE)</f>
        <v>Test type</v>
      </c>
      <c r="K1499" s="181" t="str">
        <f t="shared" si="30"/>
        <v>TRIG_TYPE|UU</v>
      </c>
    </row>
    <row r="1500" spans="1:11" s="112" customFormat="1" hidden="1" x14ac:dyDescent="0.35">
      <c r="A1500" s="181" t="s">
        <v>6269</v>
      </c>
      <c r="B1500" s="182" t="s">
        <v>8142</v>
      </c>
      <c r="C1500" s="181" t="s">
        <v>8143</v>
      </c>
      <c r="D1500" s="178">
        <v>4.0999999999999996</v>
      </c>
      <c r="E1500" s="181" t="s">
        <v>6450</v>
      </c>
      <c r="F1500" s="184">
        <v>40323</v>
      </c>
      <c r="G1500" s="181"/>
      <c r="H1500" s="181" t="s">
        <v>6451</v>
      </c>
      <c r="I1500" s="181" t="str">
        <f>VLOOKUP(LEFT(A1500,4),Groups!$A$1:$C$188,3,FALSE)</f>
        <v>Triaxial Tests - Total Stress - General</v>
      </c>
      <c r="J1500" s="181" t="str">
        <f>VLOOKUP(A1500,Headings!$C$1:$H$3948,4,FALSE)</f>
        <v>Test type</v>
      </c>
      <c r="K1500" s="181" t="str">
        <f t="shared" si="30"/>
        <v>TRIG_TYPE|UUM</v>
      </c>
    </row>
    <row r="1501" spans="1:11" s="112" customFormat="1" hidden="1" x14ac:dyDescent="0.35">
      <c r="A1501" s="181" t="s">
        <v>6297</v>
      </c>
      <c r="B1501" s="182" t="s">
        <v>1892</v>
      </c>
      <c r="C1501" s="181" t="s">
        <v>1892</v>
      </c>
      <c r="D1501" s="178">
        <v>4.0999999999999996</v>
      </c>
      <c r="E1501" s="181" t="s">
        <v>6450</v>
      </c>
      <c r="F1501" s="184">
        <v>44173</v>
      </c>
      <c r="G1501" s="181"/>
      <c r="H1501" s="181">
        <v>4.0999999999999996</v>
      </c>
      <c r="I1501" s="181" t="str">
        <f>VLOOKUP(LEFT(A1501,4),Groups!$A$1:$C$188,3,FALSE)</f>
        <v>Triaxial Tests - Total Stress - Data</v>
      </c>
      <c r="J1501" s="181" t="str">
        <f>VLOOKUP(A1501,Headings!$C$1:$H$3948,4,FALSE)</f>
        <v>Mode of failure</v>
      </c>
      <c r="K1501" s="181" t="str">
        <f t="shared" si="30"/>
        <v>TRIT_MODE|Brittle</v>
      </c>
    </row>
    <row r="1502" spans="1:11" s="112" customFormat="1" hidden="1" x14ac:dyDescent="0.35">
      <c r="A1502" s="88" t="s">
        <v>6351</v>
      </c>
      <c r="B1502" s="89" t="s">
        <v>8144</v>
      </c>
      <c r="C1502" s="88" t="s">
        <v>8145</v>
      </c>
      <c r="D1502" s="89" t="s">
        <v>473</v>
      </c>
      <c r="E1502" s="181"/>
      <c r="F1502" s="181"/>
      <c r="G1502" s="183"/>
      <c r="H1502" s="181"/>
      <c r="I1502" s="181"/>
      <c r="J1502" s="181"/>
      <c r="K1502" s="181" t="str">
        <f t="shared" ref="K1502:K1508" si="31">A1502&amp;"|"&amp;B1502</f>
        <v>WETH_GRD|DW</v>
      </c>
    </row>
    <row r="1503" spans="1:11" s="112" customFormat="1" hidden="1" x14ac:dyDescent="0.35">
      <c r="A1503" s="88" t="s">
        <v>6351</v>
      </c>
      <c r="B1503" s="88" t="s">
        <v>6357</v>
      </c>
      <c r="C1503" s="89" t="s">
        <v>8146</v>
      </c>
      <c r="D1503" s="89" t="s">
        <v>473</v>
      </c>
      <c r="E1503" s="181"/>
      <c r="F1503" s="181"/>
      <c r="G1503" s="183"/>
      <c r="H1503" s="181"/>
      <c r="I1503" s="181"/>
      <c r="J1503" s="181"/>
      <c r="K1503" s="181" t="str">
        <f t="shared" si="31"/>
        <v>WETH_GRD|FR</v>
      </c>
    </row>
    <row r="1504" spans="1:11" s="112" customFormat="1" hidden="1" x14ac:dyDescent="0.35">
      <c r="A1504" s="88" t="s">
        <v>6351</v>
      </c>
      <c r="B1504" s="88" t="s">
        <v>1408</v>
      </c>
      <c r="C1504" s="89" t="s">
        <v>8147</v>
      </c>
      <c r="D1504" s="89" t="s">
        <v>473</v>
      </c>
      <c r="E1504" s="181"/>
      <c r="F1504" s="181"/>
      <c r="G1504" s="183"/>
      <c r="H1504" s="181"/>
      <c r="I1504" s="181"/>
      <c r="J1504" s="181"/>
      <c r="K1504" s="181" t="str">
        <f t="shared" si="31"/>
        <v>WETH_GRD|HW</v>
      </c>
    </row>
    <row r="1505" spans="1:11" s="112" customFormat="1" hidden="1" x14ac:dyDescent="0.35">
      <c r="A1505" s="88" t="s">
        <v>6351</v>
      </c>
      <c r="B1505" s="88" t="s">
        <v>8148</v>
      </c>
      <c r="C1505" s="89" t="s">
        <v>8149</v>
      </c>
      <c r="D1505" s="89" t="s">
        <v>473</v>
      </c>
      <c r="E1505" s="181"/>
      <c r="F1505" s="181"/>
      <c r="G1505" s="183"/>
      <c r="H1505" s="181"/>
      <c r="I1505" s="181"/>
      <c r="J1505" s="181"/>
      <c r="K1505" s="181" t="str">
        <f t="shared" si="31"/>
        <v>WETH_GRD|MW</v>
      </c>
    </row>
    <row r="1506" spans="1:11" s="112" customFormat="1" hidden="1" x14ac:dyDescent="0.35">
      <c r="A1506" s="88" t="s">
        <v>6351</v>
      </c>
      <c r="B1506" s="88" t="s">
        <v>8150</v>
      </c>
      <c r="C1506" s="89" t="s">
        <v>8151</v>
      </c>
      <c r="D1506" s="89" t="s">
        <v>473</v>
      </c>
      <c r="E1506" s="181"/>
      <c r="F1506" s="181"/>
      <c r="G1506" s="183"/>
      <c r="H1506" s="181"/>
      <c r="I1506" s="181"/>
      <c r="J1506" s="181"/>
      <c r="K1506" s="181" t="str">
        <f t="shared" si="31"/>
        <v>WETH_GRD|RS</v>
      </c>
    </row>
    <row r="1507" spans="1:11" s="112" customFormat="1" hidden="1" x14ac:dyDescent="0.35">
      <c r="A1507" s="88" t="s">
        <v>6351</v>
      </c>
      <c r="B1507" s="88" t="s">
        <v>6350</v>
      </c>
      <c r="C1507" s="89" t="s">
        <v>8152</v>
      </c>
      <c r="D1507" s="89" t="s">
        <v>473</v>
      </c>
      <c r="E1507" s="181"/>
      <c r="F1507" s="181"/>
      <c r="G1507" s="183"/>
      <c r="H1507" s="181"/>
      <c r="I1507" s="181"/>
      <c r="J1507" s="181"/>
      <c r="K1507" s="181" t="str">
        <f t="shared" si="31"/>
        <v>WETH_GRD|SW</v>
      </c>
    </row>
    <row r="1508" spans="1:11" s="112" customFormat="1" hidden="1" x14ac:dyDescent="0.35">
      <c r="A1508" s="88" t="s">
        <v>6351</v>
      </c>
      <c r="B1508" s="88" t="s">
        <v>8153</v>
      </c>
      <c r="C1508" s="89" t="s">
        <v>8154</v>
      </c>
      <c r="D1508" s="89" t="s">
        <v>473</v>
      </c>
      <c r="E1508" s="181"/>
      <c r="F1508" s="181"/>
      <c r="G1508" s="183"/>
      <c r="H1508" s="181"/>
      <c r="I1508" s="181"/>
      <c r="J1508" s="181"/>
      <c r="K1508" s="181" t="str">
        <f t="shared" si="31"/>
        <v>WETH_GRD|XW</v>
      </c>
    </row>
    <row r="1509" spans="1:11" s="112" customFormat="1" hidden="1" x14ac:dyDescent="0.35">
      <c r="A1509" s="88" t="s">
        <v>6351</v>
      </c>
      <c r="B1509" s="89" t="s">
        <v>8886</v>
      </c>
      <c r="C1509" s="88" t="s">
        <v>8887</v>
      </c>
      <c r="D1509" s="89" t="s">
        <v>473</v>
      </c>
      <c r="E1509" s="181"/>
      <c r="F1509" s="181"/>
      <c r="G1509" s="183"/>
      <c r="H1509" s="181"/>
      <c r="I1509" s="181"/>
      <c r="J1509" s="181"/>
      <c r="K1509" s="181" t="str">
        <f t="shared" si="30"/>
        <v xml:space="preserve">WETH_GRD|IA </v>
      </c>
    </row>
    <row r="1510" spans="1:11" s="112" customFormat="1" hidden="1" x14ac:dyDescent="0.35">
      <c r="A1510" s="88" t="s">
        <v>6351</v>
      </c>
      <c r="B1510" s="88" t="s">
        <v>8888</v>
      </c>
      <c r="C1510" s="89" t="s">
        <v>8889</v>
      </c>
      <c r="D1510" s="89" t="s">
        <v>473</v>
      </c>
      <c r="E1510" s="181"/>
      <c r="F1510" s="181"/>
      <c r="G1510" s="183"/>
      <c r="H1510" s="181"/>
      <c r="I1510" s="181"/>
      <c r="J1510" s="181"/>
      <c r="K1510" s="181" t="str">
        <f t="shared" si="30"/>
        <v xml:space="preserve">WETH_GRD|IB </v>
      </c>
    </row>
    <row r="1511" spans="1:11" s="112" customFormat="1" hidden="1" x14ac:dyDescent="0.35">
      <c r="A1511" s="88" t="s">
        <v>6351</v>
      </c>
      <c r="B1511" s="88" t="s">
        <v>8890</v>
      </c>
      <c r="C1511" s="89" t="s">
        <v>8891</v>
      </c>
      <c r="D1511" s="89" t="s">
        <v>473</v>
      </c>
      <c r="E1511" s="181"/>
      <c r="F1511" s="181"/>
      <c r="G1511" s="183"/>
      <c r="H1511" s="181"/>
      <c r="I1511" s="181"/>
      <c r="J1511" s="181"/>
      <c r="K1511" s="181" t="str">
        <f t="shared" si="30"/>
        <v xml:space="preserve">WETH_GRD|II </v>
      </c>
    </row>
    <row r="1512" spans="1:11" s="112" customFormat="1" hidden="1" x14ac:dyDescent="0.35">
      <c r="A1512" s="88" t="s">
        <v>6351</v>
      </c>
      <c r="B1512" s="88" t="s">
        <v>8892</v>
      </c>
      <c r="C1512" s="89" t="s">
        <v>8893</v>
      </c>
      <c r="D1512" s="89" t="s">
        <v>473</v>
      </c>
      <c r="E1512" s="181"/>
      <c r="F1512" s="181"/>
      <c r="G1512" s="183"/>
      <c r="H1512" s="181"/>
      <c r="I1512" s="181"/>
      <c r="J1512" s="181"/>
      <c r="K1512" s="181" t="str">
        <f t="shared" ref="K1512:K1514" si="32">A1512&amp;"|"&amp;B1512</f>
        <v xml:space="preserve">WETH_GRD|III </v>
      </c>
    </row>
    <row r="1513" spans="1:11" s="112" customFormat="1" hidden="1" x14ac:dyDescent="0.35">
      <c r="A1513" s="88" t="s">
        <v>6351</v>
      </c>
      <c r="B1513" s="88" t="s">
        <v>8895</v>
      </c>
      <c r="C1513" s="89" t="s">
        <v>8896</v>
      </c>
      <c r="D1513" s="89" t="s">
        <v>473</v>
      </c>
      <c r="E1513" s="181"/>
      <c r="F1513" s="181"/>
      <c r="G1513" s="183"/>
      <c r="H1513" s="181"/>
      <c r="I1513" s="181"/>
      <c r="J1513" s="181"/>
      <c r="K1513" s="181" t="str">
        <f t="shared" si="32"/>
        <v xml:space="preserve">WETH_GRD|IV </v>
      </c>
    </row>
    <row r="1514" spans="1:11" s="112" customFormat="1" hidden="1" x14ac:dyDescent="0.35">
      <c r="A1514" s="88" t="s">
        <v>6351</v>
      </c>
      <c r="B1514" s="88" t="s">
        <v>8894</v>
      </c>
      <c r="C1514" s="89" t="s">
        <v>8897</v>
      </c>
      <c r="D1514" s="89" t="s">
        <v>473</v>
      </c>
      <c r="E1514" s="181"/>
      <c r="F1514" s="181"/>
      <c r="G1514" s="183"/>
      <c r="H1514" s="181"/>
      <c r="I1514" s="181"/>
      <c r="J1514" s="181"/>
      <c r="K1514" s="181" t="str">
        <f t="shared" si="32"/>
        <v xml:space="preserve">WETH_GRD|V </v>
      </c>
    </row>
    <row r="1515" spans="1:11" s="112" customFormat="1" hidden="1" x14ac:dyDescent="0.35">
      <c r="A1515" s="88" t="s">
        <v>6351</v>
      </c>
      <c r="B1515" s="88" t="s">
        <v>8904</v>
      </c>
      <c r="C1515" s="89" t="s">
        <v>8914</v>
      </c>
      <c r="D1515" s="89" t="s">
        <v>473</v>
      </c>
      <c r="E1515" s="181"/>
      <c r="F1515" s="181"/>
      <c r="G1515" s="183"/>
      <c r="H1515" s="181"/>
      <c r="I1515" s="181"/>
      <c r="J1515" s="181"/>
      <c r="K1515" s="181" t="str">
        <f t="shared" si="30"/>
        <v xml:space="preserve">WETH_GRD|DI </v>
      </c>
    </row>
    <row r="1516" spans="1:11" s="112" customFormat="1" hidden="1" x14ac:dyDescent="0.35">
      <c r="A1516" s="88" t="s">
        <v>6351</v>
      </c>
      <c r="B1516" s="88" t="s">
        <v>8905</v>
      </c>
      <c r="C1516" s="89" t="s">
        <v>8915</v>
      </c>
      <c r="D1516" s="89" t="s">
        <v>473</v>
      </c>
      <c r="E1516" s="181"/>
      <c r="F1516" s="181"/>
      <c r="G1516" s="183"/>
      <c r="H1516" s="181"/>
      <c r="I1516" s="181"/>
      <c r="J1516" s="181"/>
      <c r="K1516" s="181" t="str">
        <f t="shared" si="30"/>
        <v xml:space="preserve">WETH_GRD|DII </v>
      </c>
    </row>
    <row r="1517" spans="1:11" s="112" customFormat="1" hidden="1" x14ac:dyDescent="0.35">
      <c r="A1517" s="88" t="s">
        <v>6351</v>
      </c>
      <c r="B1517" s="88" t="s">
        <v>8906</v>
      </c>
      <c r="C1517" s="89" t="s">
        <v>8916</v>
      </c>
      <c r="D1517" s="89" t="s">
        <v>473</v>
      </c>
      <c r="E1517" s="181"/>
      <c r="F1517" s="181"/>
      <c r="G1517" s="183"/>
      <c r="H1517" s="181"/>
      <c r="I1517" s="181"/>
      <c r="J1517" s="181"/>
      <c r="K1517" s="181" t="str">
        <f t="shared" si="30"/>
        <v xml:space="preserve">WETH_GRD|DIII </v>
      </c>
    </row>
    <row r="1518" spans="1:11" s="112" customFormat="1" hidden="1" x14ac:dyDescent="0.35">
      <c r="A1518" s="181" t="s">
        <v>6342</v>
      </c>
      <c r="B1518" s="182" t="s">
        <v>8155</v>
      </c>
      <c r="C1518" s="181" t="s">
        <v>8156</v>
      </c>
      <c r="D1518" s="178">
        <v>4.0999999999999996</v>
      </c>
      <c r="E1518" s="181" t="s">
        <v>6450</v>
      </c>
      <c r="F1518" s="184">
        <v>40323</v>
      </c>
      <c r="G1518" s="181"/>
      <c r="H1518" s="181" t="s">
        <v>6451</v>
      </c>
      <c r="I1518" s="181" t="str">
        <f>VLOOKUP(LEFT(A1518,4),Groups!$A$1:$C$188,3,FALSE)</f>
        <v>Weathering</v>
      </c>
      <c r="J1518" s="181" t="e">
        <f>VLOOKUP(A1518,Headings!$C$1:$H$3948,4,FALSE)</f>
        <v>#N/A</v>
      </c>
      <c r="K1518" s="181" t="str">
        <f t="shared" si="30"/>
        <v>WETH_SCH|BS 5930:1999 AMEND 1</v>
      </c>
    </row>
    <row r="1519" spans="1:11" s="112" customFormat="1" hidden="1" x14ac:dyDescent="0.35">
      <c r="A1519" s="181" t="s">
        <v>6342</v>
      </c>
      <c r="B1519" s="182" t="s">
        <v>8157</v>
      </c>
      <c r="C1519" s="181" t="s">
        <v>8158</v>
      </c>
      <c r="D1519" s="178">
        <v>4.0999999999999996</v>
      </c>
      <c r="E1519" s="181" t="s">
        <v>6450</v>
      </c>
      <c r="F1519" s="184">
        <v>40323</v>
      </c>
      <c r="G1519" s="181"/>
      <c r="H1519" s="181" t="s">
        <v>6451</v>
      </c>
      <c r="I1519" s="181" t="str">
        <f>VLOOKUP(LEFT(A1519,4),Groups!$A$1:$C$188,3,FALSE)</f>
        <v>Weathering</v>
      </c>
      <c r="J1519" s="181" t="e">
        <f>VLOOKUP(A1519,Headings!$C$1:$H$3948,4,FALSE)</f>
        <v>#N/A</v>
      </c>
      <c r="K1519" s="181" t="str">
        <f t="shared" si="30"/>
        <v>WETH_SCH|BS 5930:1999 PRE AMEND 1</v>
      </c>
    </row>
    <row r="1520" spans="1:11" s="112" customFormat="1" hidden="1" x14ac:dyDescent="0.35">
      <c r="A1520" s="181" t="s">
        <v>6342</v>
      </c>
      <c r="B1520" s="182" t="s">
        <v>8159</v>
      </c>
      <c r="C1520" s="181" t="s">
        <v>8159</v>
      </c>
      <c r="D1520" s="178">
        <v>4.0999999999999996</v>
      </c>
      <c r="E1520" s="181" t="s">
        <v>6450</v>
      </c>
      <c r="F1520" s="184">
        <v>42844</v>
      </c>
      <c r="G1520" s="181"/>
      <c r="H1520" s="181" t="s">
        <v>6451</v>
      </c>
      <c r="I1520" s="181" t="str">
        <f>VLOOKUP(LEFT(A1520,4),Groups!$A$1:$C$188,3,FALSE)</f>
        <v>Weathering</v>
      </c>
      <c r="J1520" s="181" t="e">
        <f>VLOOKUP(A1520,Headings!$C$1:$H$3948,4,FALSE)</f>
        <v>#N/A</v>
      </c>
      <c r="K1520" s="181" t="str">
        <f t="shared" si="30"/>
        <v>WETH_SCH|BS 5930:2015</v>
      </c>
    </row>
    <row r="1521" spans="1:11" s="112" customFormat="1" hidden="1" x14ac:dyDescent="0.35">
      <c r="A1521" s="181" t="s">
        <v>6342</v>
      </c>
      <c r="B1521" s="182" t="s">
        <v>8160</v>
      </c>
      <c r="C1521" s="181" t="s">
        <v>8160</v>
      </c>
      <c r="D1521" s="178">
        <v>4.0999999999999996</v>
      </c>
      <c r="E1521" s="181" t="s">
        <v>6450</v>
      </c>
      <c r="F1521" s="184">
        <v>42844</v>
      </c>
      <c r="G1521" s="181"/>
      <c r="H1521" s="181" t="s">
        <v>6451</v>
      </c>
      <c r="I1521" s="181" t="str">
        <f>VLOOKUP(LEFT(A1521,4),Groups!$A$1:$C$188,3,FALSE)</f>
        <v>Weathering</v>
      </c>
      <c r="J1521" s="181" t="e">
        <f>VLOOKUP(A1521,Headings!$C$1:$H$3948,4,FALSE)</f>
        <v>#N/A</v>
      </c>
      <c r="K1521" s="181" t="str">
        <f t="shared" si="30"/>
        <v>WETH_SCH|BS EN ISO 14689-1:2003</v>
      </c>
    </row>
    <row r="1522" spans="1:11" s="112" customFormat="1" hidden="1" x14ac:dyDescent="0.35">
      <c r="A1522" s="181" t="s">
        <v>6342</v>
      </c>
      <c r="B1522" s="182" t="s">
        <v>8161</v>
      </c>
      <c r="C1522" s="181" t="s">
        <v>8162</v>
      </c>
      <c r="D1522" s="178">
        <v>4.0999999999999996</v>
      </c>
      <c r="E1522" s="181" t="s">
        <v>6450</v>
      </c>
      <c r="F1522" s="184">
        <v>42650</v>
      </c>
      <c r="G1522" s="181"/>
      <c r="H1522" s="181" t="s">
        <v>6451</v>
      </c>
      <c r="I1522" s="181" t="str">
        <f>VLOOKUP(LEFT(A1522,4),Groups!$A$1:$C$188,3,FALSE)</f>
        <v>Weathering</v>
      </c>
      <c r="J1522" s="181" t="e">
        <f>VLOOKUP(A1522,Headings!$C$1:$H$3948,4,FALSE)</f>
        <v>#N/A</v>
      </c>
      <c r="K1522" s="181" t="str">
        <f t="shared" si="30"/>
        <v>WETH_SCH|BS5930: 2010 AMEND 2</v>
      </c>
    </row>
    <row r="1523" spans="1:11" s="112" customFormat="1" hidden="1" x14ac:dyDescent="0.35">
      <c r="A1523" s="181" t="s">
        <v>6342</v>
      </c>
      <c r="B1523" s="182" t="s">
        <v>8163</v>
      </c>
      <c r="C1523" s="181" t="s">
        <v>8164</v>
      </c>
      <c r="D1523" s="178">
        <v>4.0999999999999996</v>
      </c>
      <c r="E1523" s="181" t="s">
        <v>6450</v>
      </c>
      <c r="F1523" s="184">
        <v>40323</v>
      </c>
      <c r="G1523" s="181"/>
      <c r="H1523" s="181" t="s">
        <v>6451</v>
      </c>
      <c r="I1523" s="181" t="str">
        <f>VLOOKUP(LEFT(A1523,4),Groups!$A$1:$C$188,3,FALSE)</f>
        <v>Weathering</v>
      </c>
      <c r="J1523" s="181" t="e">
        <f>VLOOKUP(A1523,Headings!$C$1:$H$3948,4,FALSE)</f>
        <v>#N/A</v>
      </c>
      <c r="K1523" s="181" t="str">
        <f t="shared" si="30"/>
        <v>WETH_SCH|CHANDLER APTED LC</v>
      </c>
    </row>
    <row r="1524" spans="1:11" s="112" customFormat="1" hidden="1" x14ac:dyDescent="0.35">
      <c r="A1524" s="181" t="s">
        <v>6342</v>
      </c>
      <c r="B1524" s="182" t="s">
        <v>8165</v>
      </c>
      <c r="C1524" s="181" t="s">
        <v>8166</v>
      </c>
      <c r="D1524" s="178">
        <v>4.0999999999999996</v>
      </c>
      <c r="E1524" s="181" t="s">
        <v>6450</v>
      </c>
      <c r="F1524" s="184">
        <v>40323</v>
      </c>
      <c r="G1524" s="181"/>
      <c r="H1524" s="181" t="s">
        <v>6451</v>
      </c>
      <c r="I1524" s="181" t="str">
        <f>VLOOKUP(LEFT(A1524,4),Groups!$A$1:$C$188,3,FALSE)</f>
        <v>Weathering</v>
      </c>
      <c r="J1524" s="181" t="e">
        <f>VLOOKUP(A1524,Headings!$C$1:$H$3948,4,FALSE)</f>
        <v>#N/A</v>
      </c>
      <c r="K1524" s="181" t="str">
        <f t="shared" si="30"/>
        <v>WETH_SCH|CHANDLER MERCIA</v>
      </c>
    </row>
    <row r="1525" spans="1:11" s="112" customFormat="1" hidden="1" x14ac:dyDescent="0.35">
      <c r="A1525" s="181" t="s">
        <v>6342</v>
      </c>
      <c r="B1525" s="182" t="s">
        <v>8167</v>
      </c>
      <c r="C1525" s="181" t="s">
        <v>8168</v>
      </c>
      <c r="D1525" s="178">
        <v>4.0999999999999996</v>
      </c>
      <c r="E1525" s="181" t="s">
        <v>6450</v>
      </c>
      <c r="F1525" s="184">
        <v>40323</v>
      </c>
      <c r="G1525" s="181"/>
      <c r="H1525" s="181" t="s">
        <v>6451</v>
      </c>
      <c r="I1525" s="181" t="str">
        <f>VLOOKUP(LEFT(A1525,4),Groups!$A$1:$C$188,3,FALSE)</f>
        <v>Weathering</v>
      </c>
      <c r="J1525" s="181" t="e">
        <f>VLOOKUP(A1525,Headings!$C$1:$H$3948,4,FALSE)</f>
        <v>#N/A</v>
      </c>
      <c r="K1525" s="181" t="str">
        <f t="shared" si="30"/>
        <v>WETH_SCH|CIRIA CHALK</v>
      </c>
    </row>
    <row r="1526" spans="1:11" s="112" customFormat="1" hidden="1" x14ac:dyDescent="0.35">
      <c r="A1526" s="181" t="s">
        <v>6342</v>
      </c>
      <c r="B1526" s="182" t="s">
        <v>8169</v>
      </c>
      <c r="C1526" s="181" t="s">
        <v>8170</v>
      </c>
      <c r="D1526" s="178">
        <v>4.0999999999999996</v>
      </c>
      <c r="E1526" s="181" t="s">
        <v>6450</v>
      </c>
      <c r="F1526" s="184">
        <v>40323</v>
      </c>
      <c r="G1526" s="181"/>
      <c r="H1526" s="181" t="s">
        <v>6451</v>
      </c>
      <c r="I1526" s="181" t="str">
        <f>VLOOKUP(LEFT(A1526,4),Groups!$A$1:$C$188,3,FALSE)</f>
        <v>Weathering</v>
      </c>
      <c r="J1526" s="181" t="e">
        <f>VLOOKUP(A1526,Headings!$C$1:$H$3948,4,FALSE)</f>
        <v>#N/A</v>
      </c>
      <c r="K1526" s="181" t="str">
        <f t="shared" si="30"/>
        <v>WETH_SCH|CIRIA MERCIA</v>
      </c>
    </row>
    <row r="1527" spans="1:11" s="112" customFormat="1" hidden="1" x14ac:dyDescent="0.35">
      <c r="A1527" s="181" t="s">
        <v>6342</v>
      </c>
      <c r="B1527" s="182" t="s">
        <v>8171</v>
      </c>
      <c r="C1527" s="181" t="s">
        <v>8172</v>
      </c>
      <c r="D1527" s="178">
        <v>4.0999999999999996</v>
      </c>
      <c r="E1527" s="181" t="s">
        <v>6450</v>
      </c>
      <c r="F1527" s="184">
        <v>40323</v>
      </c>
      <c r="G1527" s="181"/>
      <c r="H1527" s="181" t="s">
        <v>6451</v>
      </c>
      <c r="I1527" s="181" t="str">
        <f>VLOOKUP(LEFT(A1527,4),Groups!$A$1:$C$188,3,FALSE)</f>
        <v>Weathering</v>
      </c>
      <c r="J1527" s="181" t="e">
        <f>VLOOKUP(A1527,Headings!$C$1:$H$3948,4,FALSE)</f>
        <v>#N/A</v>
      </c>
      <c r="K1527" s="181" t="str">
        <f t="shared" ref="K1527:K1593" si="33">A1527&amp;"|"&amp;B1527</f>
        <v>WETH_SCH|GEO3</v>
      </c>
    </row>
    <row r="1528" spans="1:11" s="112" customFormat="1" hidden="1" x14ac:dyDescent="0.35">
      <c r="A1528" s="181" t="s">
        <v>6342</v>
      </c>
      <c r="B1528" s="182" t="s">
        <v>8173</v>
      </c>
      <c r="C1528" s="181" t="s">
        <v>8173</v>
      </c>
      <c r="D1528" s="178">
        <v>4.0999999999999996</v>
      </c>
      <c r="E1528" s="181" t="s">
        <v>6450</v>
      </c>
      <c r="F1528" s="184">
        <v>40323</v>
      </c>
      <c r="G1528" s="181"/>
      <c r="H1528" s="181" t="s">
        <v>6451</v>
      </c>
      <c r="I1528" s="181" t="str">
        <f>VLOOKUP(LEFT(A1528,4),Groups!$A$1:$C$188,3,FALSE)</f>
        <v>Weathering</v>
      </c>
      <c r="J1528" s="181" t="e">
        <f>VLOOKUP(A1528,Headings!$C$1:$H$3948,4,FALSE)</f>
        <v>#N/A</v>
      </c>
      <c r="K1528" s="181" t="str">
        <f t="shared" si="33"/>
        <v>WETH_SCH|ISRM</v>
      </c>
    </row>
    <row r="1529" spans="1:11" s="112" customFormat="1" hidden="1" x14ac:dyDescent="0.35">
      <c r="A1529" s="181" t="s">
        <v>6342</v>
      </c>
      <c r="B1529" s="182" t="s">
        <v>8174</v>
      </c>
      <c r="C1529" s="181" t="s">
        <v>8175</v>
      </c>
      <c r="D1529" s="178">
        <v>4.0999999999999996</v>
      </c>
      <c r="E1529" s="181" t="s">
        <v>6450</v>
      </c>
      <c r="F1529" s="184">
        <v>40323</v>
      </c>
      <c r="G1529" s="181"/>
      <c r="H1529" s="181" t="s">
        <v>6451</v>
      </c>
      <c r="I1529" s="181" t="str">
        <f>VLOOKUP(LEFT(A1529,4),Groups!$A$1:$C$188,3,FALSE)</f>
        <v>Weathering</v>
      </c>
      <c r="J1529" s="181" t="e">
        <f>VLOOKUP(A1529,Headings!$C$1:$H$3948,4,FALSE)</f>
        <v>#N/A</v>
      </c>
      <c r="K1529" s="181" t="str">
        <f t="shared" si="33"/>
        <v>WETH_SCH|MUNDFORD</v>
      </c>
    </row>
    <row r="1530" spans="1:11" s="112" customFormat="1" hidden="1" x14ac:dyDescent="0.35">
      <c r="A1530" s="181" t="s">
        <v>6345</v>
      </c>
      <c r="B1530" s="182" t="s">
        <v>6347</v>
      </c>
      <c r="C1530" s="181" t="s">
        <v>8176</v>
      </c>
      <c r="D1530" s="178">
        <v>4.0999999999999996</v>
      </c>
      <c r="E1530" s="181" t="s">
        <v>6450</v>
      </c>
      <c r="F1530" s="184">
        <v>40323</v>
      </c>
      <c r="G1530" s="181"/>
      <c r="H1530" s="181" t="s">
        <v>6451</v>
      </c>
      <c r="I1530" s="181" t="str">
        <f>VLOOKUP(LEFT(A1530,4),Groups!$A$1:$C$188,3,FALSE)</f>
        <v>Weathering</v>
      </c>
      <c r="J1530" s="181" t="e">
        <f>VLOOKUP(A1530,Headings!$C$1:$H$3948,4,FALSE)</f>
        <v>#N/A</v>
      </c>
      <c r="K1530" s="181" t="str">
        <f t="shared" si="33"/>
        <v>WETH_SYS|MASS CLASS</v>
      </c>
    </row>
    <row r="1531" spans="1:11" s="112" customFormat="1" hidden="1" x14ac:dyDescent="0.35">
      <c r="A1531" s="181" t="s">
        <v>6345</v>
      </c>
      <c r="B1531" s="182" t="s">
        <v>8177</v>
      </c>
      <c r="C1531" s="181" t="s">
        <v>8178</v>
      </c>
      <c r="D1531" s="178">
        <v>4.0999999999999996</v>
      </c>
      <c r="E1531" s="181" t="s">
        <v>6450</v>
      </c>
      <c r="F1531" s="184">
        <v>40323</v>
      </c>
      <c r="G1531" s="181"/>
      <c r="H1531" s="181" t="s">
        <v>6451</v>
      </c>
      <c r="I1531" s="181" t="str">
        <f>VLOOKUP(LEFT(A1531,4),Groups!$A$1:$C$188,3,FALSE)</f>
        <v>Weathering</v>
      </c>
      <c r="J1531" s="181" t="e">
        <f>VLOOKUP(A1531,Headings!$C$1:$H$3948,4,FALSE)</f>
        <v>#N/A</v>
      </c>
      <c r="K1531" s="181" t="str">
        <f t="shared" si="33"/>
        <v>WETH_SYS|MASS GRADE</v>
      </c>
    </row>
    <row r="1532" spans="1:11" s="112" customFormat="1" hidden="1" x14ac:dyDescent="0.35">
      <c r="A1532" s="181" t="s">
        <v>6345</v>
      </c>
      <c r="B1532" s="182" t="s">
        <v>8179</v>
      </c>
      <c r="C1532" s="181" t="s">
        <v>8180</v>
      </c>
      <c r="D1532" s="178">
        <v>4.0999999999999996</v>
      </c>
      <c r="E1532" s="181" t="s">
        <v>6450</v>
      </c>
      <c r="F1532" s="184">
        <v>40323</v>
      </c>
      <c r="G1532" s="181"/>
      <c r="H1532" s="181" t="s">
        <v>6451</v>
      </c>
      <c r="I1532" s="181" t="str">
        <f>VLOOKUP(LEFT(A1532,4),Groups!$A$1:$C$188,3,FALSE)</f>
        <v>Weathering</v>
      </c>
      <c r="J1532" s="181" t="e">
        <f>VLOOKUP(A1532,Headings!$C$1:$H$3948,4,FALSE)</f>
        <v>#N/A</v>
      </c>
      <c r="K1532" s="181" t="str">
        <f t="shared" si="33"/>
        <v>WETH_SYS|MASS ZONE</v>
      </c>
    </row>
    <row r="1533" spans="1:11" s="112" customFormat="1" hidden="1" x14ac:dyDescent="0.35">
      <c r="A1533" s="181" t="s">
        <v>6345</v>
      </c>
      <c r="B1533" s="182" t="s">
        <v>8181</v>
      </c>
      <c r="C1533" s="181" t="s">
        <v>8182</v>
      </c>
      <c r="D1533" s="178">
        <v>4.0999999999999996</v>
      </c>
      <c r="E1533" s="181" t="s">
        <v>6450</v>
      </c>
      <c r="F1533" s="184">
        <v>43032</v>
      </c>
      <c r="G1533" s="181"/>
      <c r="H1533" s="181" t="s">
        <v>6451</v>
      </c>
      <c r="I1533" s="181" t="str">
        <f>VLOOKUP(LEFT(A1533,4),Groups!$A$1:$C$188,3,FALSE)</f>
        <v>Weathering</v>
      </c>
      <c r="J1533" s="181" t="e">
        <f>VLOOKUP(A1533,Headings!$C$1:$H$3948,4,FALSE)</f>
        <v>#N/A</v>
      </c>
      <c r="K1533" s="181" t="str">
        <f t="shared" si="33"/>
        <v>WETH_SYS|MAT CLASS</v>
      </c>
    </row>
    <row r="1534" spans="1:11" s="112" customFormat="1" hidden="1" x14ac:dyDescent="0.35">
      <c r="A1534" s="181" t="s">
        <v>6345</v>
      </c>
      <c r="B1534" s="182" t="s">
        <v>8183</v>
      </c>
      <c r="C1534" s="181" t="s">
        <v>8184</v>
      </c>
      <c r="D1534" s="178">
        <v>4.0999999999999996</v>
      </c>
      <c r="E1534" s="181" t="s">
        <v>6450</v>
      </c>
      <c r="F1534" s="184">
        <v>40323</v>
      </c>
      <c r="G1534" s="181"/>
      <c r="H1534" s="181" t="s">
        <v>6451</v>
      </c>
      <c r="I1534" s="181" t="str">
        <f>VLOOKUP(LEFT(A1534,4),Groups!$A$1:$C$188,3,FALSE)</f>
        <v>Weathering</v>
      </c>
      <c r="J1534" s="181" t="e">
        <f>VLOOKUP(A1534,Headings!$C$1:$H$3948,4,FALSE)</f>
        <v>#N/A</v>
      </c>
      <c r="K1534" s="181" t="str">
        <f t="shared" ref="K1534:K1536" si="34">A1534&amp;"|"&amp;B1534</f>
        <v>WETH_SYS|MAT GRADE</v>
      </c>
    </row>
    <row r="1535" spans="1:11" s="112" customFormat="1" hidden="1" x14ac:dyDescent="0.35">
      <c r="A1535" s="181" t="s">
        <v>6345</v>
      </c>
      <c r="B1535" s="198" t="s">
        <v>8900</v>
      </c>
      <c r="C1535" s="199" t="s">
        <v>8901</v>
      </c>
      <c r="D1535" s="89" t="s">
        <v>473</v>
      </c>
      <c r="E1535" s="181"/>
      <c r="F1535" s="184"/>
      <c r="G1535" s="181"/>
      <c r="H1535" s="181" t="s">
        <v>6451</v>
      </c>
      <c r="I1535" s="181" t="str">
        <f>VLOOKUP(LEFT(A1535,4),Groups!$A$1:$C$188,3,FALSE)</f>
        <v>Weathering</v>
      </c>
      <c r="J1535" s="181" t="e">
        <f>VLOOKUP(A1535,Headings!$C$1:$H$3948,4,FALSE)</f>
        <v>#N/A</v>
      </c>
      <c r="K1535" s="181" t="str">
        <f t="shared" ref="K1535" si="35">A1535&amp;"|"&amp;B1535</f>
        <v>WETH_SYS|AS1726:2017:6.2.10.2</v>
      </c>
    </row>
    <row r="1536" spans="1:11" s="112" customFormat="1" hidden="1" x14ac:dyDescent="0.35">
      <c r="A1536" s="181" t="s">
        <v>6345</v>
      </c>
      <c r="B1536" s="198" t="s">
        <v>8885</v>
      </c>
      <c r="C1536" s="199" t="s">
        <v>8178</v>
      </c>
      <c r="D1536" s="89" t="s">
        <v>473</v>
      </c>
      <c r="E1536" s="181"/>
      <c r="F1536" s="184"/>
      <c r="G1536" s="181"/>
      <c r="H1536" s="181" t="s">
        <v>6451</v>
      </c>
      <c r="I1536" s="181" t="str">
        <f>VLOOKUP(LEFT(A1536,4),Groups!$A$1:$C$188,3,FALSE)</f>
        <v>Weathering</v>
      </c>
      <c r="J1536" s="181" t="e">
        <f>VLOOKUP(A1536,Headings!$C$1:$H$3948,4,FALSE)</f>
        <v>#N/A</v>
      </c>
      <c r="K1536" s="181" t="str">
        <f t="shared" si="34"/>
        <v>WETH_SYS|AS1726:2017:6.2.10.1</v>
      </c>
    </row>
    <row r="1537" spans="1:11" s="112" customFormat="1" hidden="1" x14ac:dyDescent="0.35">
      <c r="A1537" s="181" t="s">
        <v>6345</v>
      </c>
      <c r="B1537" s="198" t="s">
        <v>8898</v>
      </c>
      <c r="C1537" s="199" t="s">
        <v>8899</v>
      </c>
      <c r="D1537" s="89" t="s">
        <v>473</v>
      </c>
      <c r="E1537" s="181"/>
      <c r="F1537" s="184"/>
      <c r="G1537" s="181"/>
      <c r="H1537" s="181" t="s">
        <v>6451</v>
      </c>
      <c r="I1537" s="181" t="str">
        <f>VLOOKUP(LEFT(A1537,4),Groups!$A$1:$C$188,3,FALSE)</f>
        <v>Weathering</v>
      </c>
      <c r="J1537" s="181" t="e">
        <f>VLOOKUP(A1537,Headings!$C$1:$H$3948,4,FALSE)</f>
        <v>#N/A</v>
      </c>
      <c r="K1537" s="181" t="str">
        <f t="shared" si="33"/>
        <v>WETH_SYS|AS1726:2017:6.2.4.2</v>
      </c>
    </row>
    <row r="1538" spans="1:11" s="112" customFormat="1" hidden="1" x14ac:dyDescent="0.35">
      <c r="A1538" s="181" t="s">
        <v>6360</v>
      </c>
      <c r="B1538" s="182" t="s">
        <v>8185</v>
      </c>
      <c r="C1538" s="181" t="s">
        <v>8186</v>
      </c>
      <c r="D1538" s="178">
        <v>4.0999999999999996</v>
      </c>
      <c r="E1538" s="181" t="s">
        <v>6450</v>
      </c>
      <c r="F1538" s="184">
        <v>44173</v>
      </c>
      <c r="G1538" s="181"/>
      <c r="H1538" s="181">
        <v>4.0999999999999996</v>
      </c>
      <c r="I1538" s="181" t="str">
        <f>VLOOKUP(LEFT(A1538,4),Groups!$A$1:$C$188,3,FALSE)</f>
        <v>Wireline Geophysics - General</v>
      </c>
      <c r="J1538" s="181" t="e">
        <f>VLOOKUP(A1538,Headings!$C$1:$H$3948,4,FALSE)</f>
        <v>#N/A</v>
      </c>
      <c r="K1538" s="181" t="str">
        <f t="shared" si="33"/>
        <v>WGPG_TOOL|ABI</v>
      </c>
    </row>
    <row r="1539" spans="1:11" s="112" customFormat="1" hidden="1" x14ac:dyDescent="0.35">
      <c r="A1539" s="181" t="s">
        <v>6360</v>
      </c>
      <c r="B1539" s="182" t="s">
        <v>8187</v>
      </c>
      <c r="C1539" s="181" t="s">
        <v>8188</v>
      </c>
      <c r="D1539" s="178">
        <v>4.0999999999999996</v>
      </c>
      <c r="E1539" s="181" t="s">
        <v>6450</v>
      </c>
      <c r="F1539" s="184">
        <v>44173</v>
      </c>
      <c r="G1539" s="181"/>
      <c r="H1539" s="181">
        <v>4.0999999999999996</v>
      </c>
      <c r="I1539" s="181" t="str">
        <f>VLOOKUP(LEFT(A1539,4),Groups!$A$1:$C$188,3,FALSE)</f>
        <v>Wireline Geophysics - General</v>
      </c>
      <c r="J1539" s="181" t="e">
        <f>VLOOKUP(A1539,Headings!$C$1:$H$3948,4,FALSE)</f>
        <v>#N/A</v>
      </c>
      <c r="K1539" s="181" t="str">
        <f t="shared" si="33"/>
        <v>WGPG_TOOL|BDEV</v>
      </c>
    </row>
    <row r="1540" spans="1:11" s="112" customFormat="1" hidden="1" x14ac:dyDescent="0.35">
      <c r="A1540" s="181" t="s">
        <v>6360</v>
      </c>
      <c r="B1540" s="182" t="s">
        <v>8189</v>
      </c>
      <c r="C1540" s="181" t="s">
        <v>8190</v>
      </c>
      <c r="D1540" s="178">
        <v>4.0999999999999996</v>
      </c>
      <c r="E1540" s="181" t="s">
        <v>6450</v>
      </c>
      <c r="F1540" s="184">
        <v>44173</v>
      </c>
      <c r="G1540" s="181"/>
      <c r="H1540" s="181">
        <v>4.0999999999999996</v>
      </c>
      <c r="I1540" s="181" t="str">
        <f>VLOOKUP(LEFT(A1540,4),Groups!$A$1:$C$188,3,FALSE)</f>
        <v>Wireline Geophysics - General</v>
      </c>
      <c r="J1540" s="181" t="e">
        <f>VLOOKUP(A1540,Headings!$C$1:$H$3948,4,FALSE)</f>
        <v>#N/A</v>
      </c>
      <c r="K1540" s="181" t="str">
        <f t="shared" si="33"/>
        <v>WGPG_TOOL|BT</v>
      </c>
    </row>
    <row r="1541" spans="1:11" s="112" customFormat="1" hidden="1" x14ac:dyDescent="0.35">
      <c r="A1541" s="181" t="s">
        <v>6360</v>
      </c>
      <c r="B1541" s="182" t="s">
        <v>8191</v>
      </c>
      <c r="C1541" s="181" t="s">
        <v>8192</v>
      </c>
      <c r="D1541" s="178">
        <v>4.0999999999999996</v>
      </c>
      <c r="E1541" s="181" t="s">
        <v>6450</v>
      </c>
      <c r="F1541" s="184">
        <v>44173</v>
      </c>
      <c r="G1541" s="181"/>
      <c r="H1541" s="181">
        <v>4.0999999999999996</v>
      </c>
      <c r="I1541" s="181" t="str">
        <f>VLOOKUP(LEFT(A1541,4),Groups!$A$1:$C$188,3,FALSE)</f>
        <v>Wireline Geophysics - General</v>
      </c>
      <c r="J1541" s="181" t="e">
        <f>VLOOKUP(A1541,Headings!$C$1:$H$3948,4,FALSE)</f>
        <v>#N/A</v>
      </c>
      <c r="K1541" s="181" t="str">
        <f t="shared" si="33"/>
        <v>WGPG_TOOL|CAL3</v>
      </c>
    </row>
    <row r="1542" spans="1:11" s="112" customFormat="1" hidden="1" x14ac:dyDescent="0.35">
      <c r="A1542" s="181" t="s">
        <v>6360</v>
      </c>
      <c r="B1542" s="182" t="s">
        <v>8193</v>
      </c>
      <c r="C1542" s="181" t="s">
        <v>8194</v>
      </c>
      <c r="D1542" s="178">
        <v>4.0999999999999996</v>
      </c>
      <c r="E1542" s="181" t="s">
        <v>6450</v>
      </c>
      <c r="F1542" s="184">
        <v>44173</v>
      </c>
      <c r="G1542" s="181"/>
      <c r="H1542" s="181">
        <v>4.0999999999999996</v>
      </c>
      <c r="I1542" s="181" t="str">
        <f>VLOOKUP(LEFT(A1542,4),Groups!$A$1:$C$188,3,FALSE)</f>
        <v>Wireline Geophysics - General</v>
      </c>
      <c r="J1542" s="181" t="e">
        <f>VLOOKUP(A1542,Headings!$C$1:$H$3948,4,FALSE)</f>
        <v>#N/A</v>
      </c>
      <c r="K1542" s="181" t="str">
        <f t="shared" si="33"/>
        <v>WGPG_TOOL|CAL4</v>
      </c>
    </row>
    <row r="1543" spans="1:11" s="112" customFormat="1" hidden="1" x14ac:dyDescent="0.35">
      <c r="A1543" s="181" t="s">
        <v>6360</v>
      </c>
      <c r="B1543" s="182" t="s">
        <v>8195</v>
      </c>
      <c r="C1543" s="181" t="s">
        <v>8196</v>
      </c>
      <c r="D1543" s="178">
        <v>4.0999999999999996</v>
      </c>
      <c r="E1543" s="181" t="s">
        <v>6450</v>
      </c>
      <c r="F1543" s="184">
        <v>44173</v>
      </c>
      <c r="G1543" s="181"/>
      <c r="H1543" s="181">
        <v>4.0999999999999996</v>
      </c>
      <c r="I1543" s="181" t="str">
        <f>VLOOKUP(LEFT(A1543,4),Groups!$A$1:$C$188,3,FALSE)</f>
        <v>Wireline Geophysics - General</v>
      </c>
      <c r="J1543" s="181" t="e">
        <f>VLOOKUP(A1543,Headings!$C$1:$H$3948,4,FALSE)</f>
        <v>#N/A</v>
      </c>
      <c r="K1543" s="181" t="str">
        <f t="shared" si="33"/>
        <v>WGPG_TOOL|CALX-Y</v>
      </c>
    </row>
    <row r="1544" spans="1:11" s="112" customFormat="1" hidden="1" x14ac:dyDescent="0.35">
      <c r="A1544" s="181" t="s">
        <v>6360</v>
      </c>
      <c r="B1544" s="182" t="s">
        <v>8197</v>
      </c>
      <c r="C1544" s="181" t="s">
        <v>8198</v>
      </c>
      <c r="D1544" s="178">
        <v>4.0999999999999996</v>
      </c>
      <c r="E1544" s="181" t="s">
        <v>6450</v>
      </c>
      <c r="F1544" s="184">
        <v>44173</v>
      </c>
      <c r="G1544" s="181"/>
      <c r="H1544" s="181">
        <v>4.0999999999999996</v>
      </c>
      <c r="I1544" s="181" t="str">
        <f>VLOOKUP(LEFT(A1544,4),Groups!$A$1:$C$188,3,FALSE)</f>
        <v>Wireline Geophysics - General</v>
      </c>
      <c r="J1544" s="181" t="e">
        <f>VLOOKUP(A1544,Headings!$C$1:$H$3948,4,FALSE)</f>
        <v>#N/A</v>
      </c>
      <c r="K1544" s="181" t="str">
        <f t="shared" si="33"/>
        <v>WGPG_TOOL|DFEL</v>
      </c>
    </row>
    <row r="1545" spans="1:11" s="112" customFormat="1" hidden="1" x14ac:dyDescent="0.35">
      <c r="A1545" s="181" t="s">
        <v>6360</v>
      </c>
      <c r="B1545" s="182" t="s">
        <v>8199</v>
      </c>
      <c r="C1545" s="181" t="s">
        <v>8200</v>
      </c>
      <c r="D1545" s="178">
        <v>4.0999999999999996</v>
      </c>
      <c r="E1545" s="181" t="s">
        <v>6450</v>
      </c>
      <c r="F1545" s="184">
        <v>44173</v>
      </c>
      <c r="G1545" s="181"/>
      <c r="H1545" s="181">
        <v>4.0999999999999996</v>
      </c>
      <c r="I1545" s="181" t="str">
        <f>VLOOKUP(LEFT(A1545,4),Groups!$A$1:$C$188,3,FALSE)</f>
        <v>Wireline Geophysics - General</v>
      </c>
      <c r="J1545" s="181" t="e">
        <f>VLOOKUP(A1545,Headings!$C$1:$H$3948,4,FALSE)</f>
        <v>#N/A</v>
      </c>
      <c r="K1545" s="181" t="str">
        <f t="shared" si="33"/>
        <v>WGPG_TOOL|DIEL</v>
      </c>
    </row>
    <row r="1546" spans="1:11" s="112" customFormat="1" hidden="1" x14ac:dyDescent="0.35">
      <c r="A1546" s="181" t="s">
        <v>6360</v>
      </c>
      <c r="B1546" s="182" t="s">
        <v>8201</v>
      </c>
      <c r="C1546" s="181" t="s">
        <v>8202</v>
      </c>
      <c r="D1546" s="178">
        <v>4.0999999999999996</v>
      </c>
      <c r="E1546" s="181" t="s">
        <v>6450</v>
      </c>
      <c r="F1546" s="184">
        <v>44173</v>
      </c>
      <c r="G1546" s="181"/>
      <c r="H1546" s="181">
        <v>4.0999999999999996</v>
      </c>
      <c r="I1546" s="181" t="str">
        <f>VLOOKUP(LEFT(A1546,4),Groups!$A$1:$C$188,3,FALSE)</f>
        <v>Wireline Geophysics - General</v>
      </c>
      <c r="J1546" s="181" t="e">
        <f>VLOOKUP(A1546,Headings!$C$1:$H$3948,4,FALSE)</f>
        <v>#N/A</v>
      </c>
      <c r="K1546" s="181" t="str">
        <f t="shared" si="33"/>
        <v>WGPG_TOOL|DMR</v>
      </c>
    </row>
    <row r="1547" spans="1:11" s="112" customFormat="1" hidden="1" x14ac:dyDescent="0.35">
      <c r="A1547" s="181" t="s">
        <v>6360</v>
      </c>
      <c r="B1547" s="182" t="s">
        <v>8203</v>
      </c>
      <c r="C1547" s="181" t="s">
        <v>8204</v>
      </c>
      <c r="D1547" s="178">
        <v>4.0999999999999996</v>
      </c>
      <c r="E1547" s="181" t="s">
        <v>6450</v>
      </c>
      <c r="F1547" s="184">
        <v>44173</v>
      </c>
      <c r="G1547" s="181"/>
      <c r="H1547" s="181">
        <v>4.0999999999999996</v>
      </c>
      <c r="I1547" s="181" t="str">
        <f>VLOOKUP(LEFT(A1547,4),Groups!$A$1:$C$188,3,FALSE)</f>
        <v>Wireline Geophysics - General</v>
      </c>
      <c r="J1547" s="181" t="e">
        <f>VLOOKUP(A1547,Headings!$C$1:$H$3948,4,FALSE)</f>
        <v>#N/A</v>
      </c>
      <c r="K1547" s="181" t="str">
        <f t="shared" si="33"/>
        <v>WGPG_TOOL|ELOG</v>
      </c>
    </row>
    <row r="1548" spans="1:11" s="112" customFormat="1" hidden="1" x14ac:dyDescent="0.35">
      <c r="A1548" s="181" t="s">
        <v>6360</v>
      </c>
      <c r="B1548" s="182" t="s">
        <v>8205</v>
      </c>
      <c r="C1548" s="181" t="s">
        <v>8206</v>
      </c>
      <c r="D1548" s="178">
        <v>4.0999999999999996</v>
      </c>
      <c r="E1548" s="181" t="s">
        <v>6450</v>
      </c>
      <c r="F1548" s="184">
        <v>44173</v>
      </c>
      <c r="G1548" s="181"/>
      <c r="H1548" s="181">
        <v>4.0999999999999996</v>
      </c>
      <c r="I1548" s="181" t="str">
        <f>VLOOKUP(LEFT(A1548,4),Groups!$A$1:$C$188,3,FALSE)</f>
        <v>Wireline Geophysics - General</v>
      </c>
      <c r="J1548" s="181" t="e">
        <f>VLOOKUP(A1548,Headings!$C$1:$H$3948,4,FALSE)</f>
        <v>#N/A</v>
      </c>
      <c r="K1548" s="181" t="str">
        <f t="shared" si="33"/>
        <v>WGPG_TOOL|FC</v>
      </c>
    </row>
    <row r="1549" spans="1:11" s="112" customFormat="1" hidden="1" x14ac:dyDescent="0.35">
      <c r="A1549" s="181" t="s">
        <v>6360</v>
      </c>
      <c r="B1549" s="182" t="s">
        <v>8207</v>
      </c>
      <c r="C1549" s="181" t="s">
        <v>8208</v>
      </c>
      <c r="D1549" s="178">
        <v>4.0999999999999996</v>
      </c>
      <c r="E1549" s="181" t="s">
        <v>6450</v>
      </c>
      <c r="F1549" s="184">
        <v>44173</v>
      </c>
      <c r="G1549" s="181"/>
      <c r="H1549" s="181">
        <v>4.0999999999999996</v>
      </c>
      <c r="I1549" s="181" t="str">
        <f>VLOOKUP(LEFT(A1549,4),Groups!$A$1:$C$188,3,FALSE)</f>
        <v>Wireline Geophysics - General</v>
      </c>
      <c r="J1549" s="181" t="e">
        <f>VLOOKUP(A1549,Headings!$C$1:$H$3948,4,FALSE)</f>
        <v>#N/A</v>
      </c>
      <c r="K1549" s="181" t="str">
        <f t="shared" si="33"/>
        <v>WGPG_TOOL|FWS</v>
      </c>
    </row>
    <row r="1550" spans="1:11" s="112" customFormat="1" hidden="1" x14ac:dyDescent="0.35">
      <c r="A1550" s="181" t="s">
        <v>6360</v>
      </c>
      <c r="B1550" s="182" t="s">
        <v>8209</v>
      </c>
      <c r="C1550" s="181" t="s">
        <v>8210</v>
      </c>
      <c r="D1550" s="178">
        <v>4.0999999999999996</v>
      </c>
      <c r="E1550" s="181" t="s">
        <v>6450</v>
      </c>
      <c r="F1550" s="184">
        <v>44173</v>
      </c>
      <c r="G1550" s="181"/>
      <c r="H1550" s="181">
        <v>4.0999999999999996</v>
      </c>
      <c r="I1550" s="181" t="str">
        <f>VLOOKUP(LEFT(A1550,4),Groups!$A$1:$C$188,3,FALSE)</f>
        <v>Wireline Geophysics - General</v>
      </c>
      <c r="J1550" s="181" t="e">
        <f>VLOOKUP(A1550,Headings!$C$1:$H$3948,4,FALSE)</f>
        <v>#N/A</v>
      </c>
      <c r="K1550" s="181" t="str">
        <f t="shared" si="33"/>
        <v>WGPG_TOOL|GGD</v>
      </c>
    </row>
    <row r="1551" spans="1:11" s="112" customFormat="1" hidden="1" x14ac:dyDescent="0.35">
      <c r="A1551" s="181" t="s">
        <v>6360</v>
      </c>
      <c r="B1551" s="182" t="s">
        <v>8211</v>
      </c>
      <c r="C1551" s="181" t="s">
        <v>8212</v>
      </c>
      <c r="D1551" s="178">
        <v>4.0999999999999996</v>
      </c>
      <c r="E1551" s="181" t="s">
        <v>6450</v>
      </c>
      <c r="F1551" s="184">
        <v>44173</v>
      </c>
      <c r="G1551" s="181"/>
      <c r="H1551" s="181">
        <v>4.0999999999999996</v>
      </c>
      <c r="I1551" s="181" t="str">
        <f>VLOOKUP(LEFT(A1551,4),Groups!$A$1:$C$188,3,FALSE)</f>
        <v>Wireline Geophysics - General</v>
      </c>
      <c r="J1551" s="181" t="e">
        <f>VLOOKUP(A1551,Headings!$C$1:$H$3948,4,FALSE)</f>
        <v>#N/A</v>
      </c>
      <c r="K1551" s="181" t="str">
        <f t="shared" si="33"/>
        <v>WGPG_TOOL|HPFL</v>
      </c>
    </row>
    <row r="1552" spans="1:11" s="112" customFormat="1" hidden="1" x14ac:dyDescent="0.35">
      <c r="A1552" s="181" t="s">
        <v>6360</v>
      </c>
      <c r="B1552" s="182" t="s">
        <v>8213</v>
      </c>
      <c r="C1552" s="181" t="s">
        <v>8214</v>
      </c>
      <c r="D1552" s="178">
        <v>4.0999999999999996</v>
      </c>
      <c r="E1552" s="181" t="s">
        <v>6450</v>
      </c>
      <c r="F1552" s="184">
        <v>44173</v>
      </c>
      <c r="G1552" s="181"/>
      <c r="H1552" s="181">
        <v>4.0999999999999996</v>
      </c>
      <c r="I1552" s="181" t="str">
        <f>VLOOKUP(LEFT(A1552,4),Groups!$A$1:$C$188,3,FALSE)</f>
        <v>Wireline Geophysics - General</v>
      </c>
      <c r="J1552" s="181" t="e">
        <f>VLOOKUP(A1552,Headings!$C$1:$H$3948,4,FALSE)</f>
        <v>#N/A</v>
      </c>
      <c r="K1552" s="181" t="str">
        <f t="shared" si="33"/>
        <v>WGPG_TOOL|IPFL</v>
      </c>
    </row>
    <row r="1553" spans="1:11" s="112" customFormat="1" hidden="1" x14ac:dyDescent="0.35">
      <c r="A1553" s="181" t="s">
        <v>6360</v>
      </c>
      <c r="B1553" s="182" t="s">
        <v>8215</v>
      </c>
      <c r="C1553" s="181" t="s">
        <v>8216</v>
      </c>
      <c r="D1553" s="178">
        <v>4.0999999999999996</v>
      </c>
      <c r="E1553" s="181" t="s">
        <v>6450</v>
      </c>
      <c r="F1553" s="184">
        <v>44173</v>
      </c>
      <c r="G1553" s="181"/>
      <c r="H1553" s="181">
        <v>4.0999999999999996</v>
      </c>
      <c r="I1553" s="181" t="str">
        <f>VLOOKUP(LEFT(A1553,4),Groups!$A$1:$C$188,3,FALSE)</f>
        <v>Wireline Geophysics - General</v>
      </c>
      <c r="J1553" s="181" t="e">
        <f>VLOOKUP(A1553,Headings!$C$1:$H$3948,4,FALSE)</f>
        <v>#N/A</v>
      </c>
      <c r="K1553" s="181" t="str">
        <f t="shared" si="33"/>
        <v>WGPG_TOOL|MSUS</v>
      </c>
    </row>
    <row r="1554" spans="1:11" s="112" customFormat="1" hidden="1" x14ac:dyDescent="0.35">
      <c r="A1554" s="181" t="s">
        <v>6360</v>
      </c>
      <c r="B1554" s="182" t="s">
        <v>8217</v>
      </c>
      <c r="C1554" s="181" t="s">
        <v>8218</v>
      </c>
      <c r="D1554" s="178">
        <v>4.0999999999999996</v>
      </c>
      <c r="E1554" s="181" t="s">
        <v>6450</v>
      </c>
      <c r="F1554" s="184">
        <v>44173</v>
      </c>
      <c r="G1554" s="181"/>
      <c r="H1554" s="181">
        <v>4.0999999999999996</v>
      </c>
      <c r="I1554" s="181" t="str">
        <f>VLOOKUP(LEFT(A1554,4),Groups!$A$1:$C$188,3,FALSE)</f>
        <v>Wireline Geophysics - General</v>
      </c>
      <c r="J1554" s="181" t="e">
        <f>VLOOKUP(A1554,Headings!$C$1:$H$3948,4,FALSE)</f>
        <v>#N/A</v>
      </c>
      <c r="K1554" s="181" t="str">
        <f t="shared" si="33"/>
        <v>WGPG_TOOL|NGR</v>
      </c>
    </row>
    <row r="1555" spans="1:11" s="112" customFormat="1" hidden="1" x14ac:dyDescent="0.35">
      <c r="A1555" s="181" t="s">
        <v>6360</v>
      </c>
      <c r="B1555" s="182" t="s">
        <v>8219</v>
      </c>
      <c r="C1555" s="181" t="s">
        <v>8220</v>
      </c>
      <c r="D1555" s="178">
        <v>4.0999999999999996</v>
      </c>
      <c r="E1555" s="181" t="s">
        <v>6450</v>
      </c>
      <c r="F1555" s="184">
        <v>44173</v>
      </c>
      <c r="G1555" s="181"/>
      <c r="H1555" s="181">
        <v>4.0999999999999996</v>
      </c>
      <c r="I1555" s="181" t="str">
        <f>VLOOKUP(LEFT(A1555,4),Groups!$A$1:$C$188,3,FALSE)</f>
        <v>Wireline Geophysics - General</v>
      </c>
      <c r="J1555" s="181" t="e">
        <f>VLOOKUP(A1555,Headings!$C$1:$H$3948,4,FALSE)</f>
        <v>#N/A</v>
      </c>
      <c r="K1555" s="181" t="str">
        <f t="shared" si="33"/>
        <v>WGPG_TOOL|NTR</v>
      </c>
    </row>
    <row r="1556" spans="1:11" s="112" customFormat="1" hidden="1" x14ac:dyDescent="0.35">
      <c r="A1556" s="181" t="s">
        <v>6360</v>
      </c>
      <c r="B1556" s="182" t="s">
        <v>6394</v>
      </c>
      <c r="C1556" s="181" t="s">
        <v>8221</v>
      </c>
      <c r="D1556" s="178">
        <v>4.0999999999999996</v>
      </c>
      <c r="E1556" s="181" t="s">
        <v>6450</v>
      </c>
      <c r="F1556" s="184">
        <v>44173</v>
      </c>
      <c r="G1556" s="181"/>
      <c r="H1556" s="181">
        <v>4.0999999999999996</v>
      </c>
      <c r="I1556" s="181" t="str">
        <f>VLOOKUP(LEFT(A1556,4),Groups!$A$1:$C$188,3,FALSE)</f>
        <v>Wireline Geophysics - General</v>
      </c>
      <c r="J1556" s="181" t="e">
        <f>VLOOKUP(A1556,Headings!$C$1:$H$3948,4,FALSE)</f>
        <v>#N/A</v>
      </c>
      <c r="K1556" s="181" t="str">
        <f t="shared" si="33"/>
        <v>WGPG_TOOL|OBI</v>
      </c>
    </row>
    <row r="1557" spans="1:11" s="112" customFormat="1" hidden="1" x14ac:dyDescent="0.35">
      <c r="A1557" s="181" t="s">
        <v>6360</v>
      </c>
      <c r="B1557" s="182" t="s">
        <v>8222</v>
      </c>
      <c r="C1557" s="181" t="s">
        <v>8223</v>
      </c>
      <c r="D1557" s="178">
        <v>4.0999999999999996</v>
      </c>
      <c r="E1557" s="181" t="s">
        <v>6450</v>
      </c>
      <c r="F1557" s="184">
        <v>44173</v>
      </c>
      <c r="G1557" s="181"/>
      <c r="H1557" s="181">
        <v>4.0999999999999996</v>
      </c>
      <c r="I1557" s="181" t="str">
        <f>VLOOKUP(LEFT(A1557,4),Groups!$A$1:$C$188,3,FALSE)</f>
        <v>Wireline Geophysics - General</v>
      </c>
      <c r="J1557" s="181" t="e">
        <f>VLOOKUP(A1557,Headings!$C$1:$H$3948,4,FALSE)</f>
        <v>#N/A</v>
      </c>
      <c r="K1557" s="181" t="str">
        <f t="shared" si="33"/>
        <v>WGPG_TOOL|PSL</v>
      </c>
    </row>
    <row r="1558" spans="1:11" s="112" customFormat="1" hidden="1" x14ac:dyDescent="0.35">
      <c r="A1558" s="181" t="s">
        <v>6360</v>
      </c>
      <c r="B1558" s="182" t="s">
        <v>8224</v>
      </c>
      <c r="C1558" s="181" t="s">
        <v>8225</v>
      </c>
      <c r="D1558" s="178">
        <v>4.0999999999999996</v>
      </c>
      <c r="E1558" s="181" t="s">
        <v>6450</v>
      </c>
      <c r="F1558" s="184">
        <v>44173</v>
      </c>
      <c r="G1558" s="181"/>
      <c r="H1558" s="181">
        <v>4.0999999999999996</v>
      </c>
      <c r="I1558" s="181" t="str">
        <f>VLOOKUP(LEFT(A1558,4),Groups!$A$1:$C$188,3,FALSE)</f>
        <v>Wireline Geophysics - General</v>
      </c>
      <c r="J1558" s="181" t="e">
        <f>VLOOKUP(A1558,Headings!$C$1:$H$3948,4,FALSE)</f>
        <v>#N/A</v>
      </c>
      <c r="K1558" s="181" t="str">
        <f t="shared" si="33"/>
        <v>WGPG_TOOL|SGR</v>
      </c>
    </row>
    <row r="1559" spans="1:11" s="112" customFormat="1" hidden="1" x14ac:dyDescent="0.35">
      <c r="A1559" s="181" t="s">
        <v>6403</v>
      </c>
      <c r="B1559" s="182" t="s">
        <v>6405</v>
      </c>
      <c r="C1559" s="181" t="s">
        <v>8226</v>
      </c>
      <c r="D1559" s="178">
        <v>4.0999999999999996</v>
      </c>
      <c r="E1559" s="181" t="s">
        <v>6450</v>
      </c>
      <c r="F1559" s="184">
        <v>44173</v>
      </c>
      <c r="G1559" s="181"/>
      <c r="H1559" s="181">
        <v>4.0999999999999996</v>
      </c>
      <c r="I1559" s="181" t="str">
        <f>VLOOKUP(LEFT(A1559,4),Groups!$A$1:$C$188,3,FALSE)</f>
        <v>Wireline Geophysics - Readings</v>
      </c>
      <c r="J1559" s="181" t="e">
        <f>VLOOKUP(A1559,Headings!$C$1:$H$3948,4,FALSE)</f>
        <v>#N/A</v>
      </c>
      <c r="K1559" s="181" t="str">
        <f t="shared" si="33"/>
        <v>WGPT_CAS|OH</v>
      </c>
    </row>
    <row r="1560" spans="1:11" s="112" customFormat="1" hidden="1" x14ac:dyDescent="0.35">
      <c r="A1560" s="181" t="s">
        <v>6403</v>
      </c>
      <c r="B1560" s="182" t="s">
        <v>8227</v>
      </c>
      <c r="C1560" s="181" t="s">
        <v>8228</v>
      </c>
      <c r="D1560" s="178">
        <v>4.0999999999999996</v>
      </c>
      <c r="E1560" s="181" t="s">
        <v>6450</v>
      </c>
      <c r="F1560" s="184">
        <v>44173</v>
      </c>
      <c r="G1560" s="181"/>
      <c r="H1560" s="181">
        <v>4.0999999999999996</v>
      </c>
      <c r="I1560" s="181" t="str">
        <f>VLOOKUP(LEFT(A1560,4),Groups!$A$1:$C$188,3,FALSE)</f>
        <v>Wireline Geophysics - Readings</v>
      </c>
      <c r="J1560" s="181" t="e">
        <f>VLOOKUP(A1560,Headings!$C$1:$H$3948,4,FALSE)</f>
        <v>#N/A</v>
      </c>
      <c r="K1560" s="181" t="str">
        <f t="shared" si="33"/>
        <v>WGPT_CAS|PVCG</v>
      </c>
    </row>
    <row r="1561" spans="1:11" s="112" customFormat="1" hidden="1" x14ac:dyDescent="0.35">
      <c r="A1561" s="181" t="s">
        <v>6403</v>
      </c>
      <c r="B1561" s="182" t="s">
        <v>8229</v>
      </c>
      <c r="C1561" s="181" t="s">
        <v>8230</v>
      </c>
      <c r="D1561" s="178">
        <v>4.0999999999999996</v>
      </c>
      <c r="E1561" s="181" t="s">
        <v>6450</v>
      </c>
      <c r="F1561" s="184">
        <v>44173</v>
      </c>
      <c r="G1561" s="181"/>
      <c r="H1561" s="181">
        <v>4.0999999999999996</v>
      </c>
      <c r="I1561" s="181" t="str">
        <f>VLOOKUP(LEFT(A1561,4),Groups!$A$1:$C$188,3,FALSE)</f>
        <v>Wireline Geophysics - Readings</v>
      </c>
      <c r="J1561" s="181" t="e">
        <f>VLOOKUP(A1561,Headings!$C$1:$H$3948,4,FALSE)</f>
        <v>#N/A</v>
      </c>
      <c r="K1561" s="181" t="str">
        <f t="shared" si="33"/>
        <v>WGPT_CAS|PVCU</v>
      </c>
    </row>
    <row r="1562" spans="1:11" s="112" customFormat="1" hidden="1" x14ac:dyDescent="0.35">
      <c r="A1562" s="181" t="s">
        <v>6403</v>
      </c>
      <c r="B1562" s="182" t="s">
        <v>8231</v>
      </c>
      <c r="C1562" s="181" t="s">
        <v>8232</v>
      </c>
      <c r="D1562" s="178">
        <v>4.0999999999999996</v>
      </c>
      <c r="E1562" s="181" t="s">
        <v>6450</v>
      </c>
      <c r="F1562" s="184">
        <v>44173</v>
      </c>
      <c r="G1562" s="181"/>
      <c r="H1562" s="181">
        <v>4.0999999999999996</v>
      </c>
      <c r="I1562" s="181" t="str">
        <f>VLOOKUP(LEFT(A1562,4),Groups!$A$1:$C$188,3,FALSE)</f>
        <v>Wireline Geophysics - Readings</v>
      </c>
      <c r="J1562" s="181" t="e">
        <f>VLOOKUP(A1562,Headings!$C$1:$H$3948,4,FALSE)</f>
        <v>#N/A</v>
      </c>
      <c r="K1562" s="181" t="str">
        <f t="shared" si="33"/>
        <v>WGPT_CAS|SLOT</v>
      </c>
    </row>
    <row r="1563" spans="1:11" s="112" customFormat="1" hidden="1" x14ac:dyDescent="0.35">
      <c r="A1563" s="181" t="s">
        <v>6403</v>
      </c>
      <c r="B1563" s="182" t="s">
        <v>8233</v>
      </c>
      <c r="C1563" s="181" t="s">
        <v>8234</v>
      </c>
      <c r="D1563" s="178">
        <v>4.0999999999999996</v>
      </c>
      <c r="E1563" s="181" t="s">
        <v>6450</v>
      </c>
      <c r="F1563" s="184">
        <v>44173</v>
      </c>
      <c r="G1563" s="181"/>
      <c r="H1563" s="181">
        <v>4.0999999999999996</v>
      </c>
      <c r="I1563" s="181" t="str">
        <f>VLOOKUP(LEFT(A1563,4),Groups!$A$1:$C$188,3,FALSE)</f>
        <v>Wireline Geophysics - Readings</v>
      </c>
      <c r="J1563" s="181" t="e">
        <f>VLOOKUP(A1563,Headings!$C$1:$H$3948,4,FALSE)</f>
        <v>#N/A</v>
      </c>
      <c r="K1563" s="181" t="str">
        <f t="shared" si="33"/>
        <v>WGPT_CAS|STCG</v>
      </c>
    </row>
    <row r="1564" spans="1:11" s="112" customFormat="1" hidden="1" x14ac:dyDescent="0.35">
      <c r="A1564" s="181" t="s">
        <v>6403</v>
      </c>
      <c r="B1564" s="182" t="s">
        <v>8235</v>
      </c>
      <c r="C1564" s="181" t="s">
        <v>8236</v>
      </c>
      <c r="D1564" s="178">
        <v>4.0999999999999996</v>
      </c>
      <c r="E1564" s="181" t="s">
        <v>6450</v>
      </c>
      <c r="F1564" s="184">
        <v>44173</v>
      </c>
      <c r="G1564" s="181"/>
      <c r="H1564" s="181">
        <v>4.0999999999999996</v>
      </c>
      <c r="I1564" s="181" t="str">
        <f>VLOOKUP(LEFT(A1564,4),Groups!$A$1:$C$188,3,FALSE)</f>
        <v>Wireline Geophysics - Readings</v>
      </c>
      <c r="J1564" s="181" t="e">
        <f>VLOOKUP(A1564,Headings!$C$1:$H$3948,4,FALSE)</f>
        <v>#N/A</v>
      </c>
      <c r="K1564" s="181" t="str">
        <f t="shared" si="33"/>
        <v>WGPT_CAS|STCU</v>
      </c>
    </row>
    <row r="1565" spans="1:11" s="112" customFormat="1" hidden="1" x14ac:dyDescent="0.35">
      <c r="A1565" s="181" t="s">
        <v>6395</v>
      </c>
      <c r="B1565" s="182" t="s">
        <v>8237</v>
      </c>
      <c r="C1565" s="181" t="s">
        <v>8238</v>
      </c>
      <c r="D1565" s="178">
        <v>4.0999999999999996</v>
      </c>
      <c r="E1565" s="181" t="s">
        <v>6450</v>
      </c>
      <c r="F1565" s="184">
        <v>44173</v>
      </c>
      <c r="G1565" s="181"/>
      <c r="H1565" s="181">
        <v>4.0999999999999996</v>
      </c>
      <c r="I1565" s="181" t="str">
        <f>VLOOKUP(LEFT(A1565,4),Groups!$A$1:$C$188,3,FALSE)</f>
        <v>Wireline Geophysics - Readings</v>
      </c>
      <c r="J1565" s="181" t="e">
        <f>VLOOKUP(A1565,Headings!$C$1:$H$3948,4,FALSE)</f>
        <v>#N/A</v>
      </c>
      <c r="K1565" s="181" t="str">
        <f t="shared" si="33"/>
        <v>WGPT_PARA|ABI-ARQD</v>
      </c>
    </row>
    <row r="1566" spans="1:11" s="112" customFormat="1" hidden="1" x14ac:dyDescent="0.35">
      <c r="A1566" s="181" t="s">
        <v>6395</v>
      </c>
      <c r="B1566" s="182" t="s">
        <v>8239</v>
      </c>
      <c r="C1566" s="181" t="s">
        <v>8240</v>
      </c>
      <c r="D1566" s="178">
        <v>4.0999999999999996</v>
      </c>
      <c r="E1566" s="181" t="s">
        <v>6450</v>
      </c>
      <c r="F1566" s="184">
        <v>44173</v>
      </c>
      <c r="G1566" s="181"/>
      <c r="H1566" s="181">
        <v>4.0999999999999996</v>
      </c>
      <c r="I1566" s="181" t="str">
        <f>VLOOKUP(LEFT(A1566,4),Groups!$A$1:$C$188,3,FALSE)</f>
        <v>Wireline Geophysics - Readings</v>
      </c>
      <c r="J1566" s="181" t="e">
        <f>VLOOKUP(A1566,Headings!$C$1:$H$3948,4,FALSE)</f>
        <v>#N/A</v>
      </c>
      <c r="K1566" s="181" t="str">
        <f t="shared" si="33"/>
        <v>WGPT_PARA|ABI-BAM</v>
      </c>
    </row>
    <row r="1567" spans="1:11" s="112" customFormat="1" hidden="1" x14ac:dyDescent="0.35">
      <c r="A1567" s="181" t="s">
        <v>6395</v>
      </c>
      <c r="B1567" s="182" t="s">
        <v>8241</v>
      </c>
      <c r="C1567" s="181" t="s">
        <v>8242</v>
      </c>
      <c r="D1567" s="178">
        <v>4.0999999999999996</v>
      </c>
      <c r="E1567" s="181" t="s">
        <v>6450</v>
      </c>
      <c r="F1567" s="184">
        <v>44173</v>
      </c>
      <c r="G1567" s="181"/>
      <c r="H1567" s="181">
        <v>4.0999999999999996</v>
      </c>
      <c r="I1567" s="181" t="str">
        <f>VLOOKUP(LEFT(A1567,4),Groups!$A$1:$C$188,3,FALSE)</f>
        <v>Wireline Geophysics - Readings</v>
      </c>
      <c r="J1567" s="181" t="e">
        <f>VLOOKUP(A1567,Headings!$C$1:$H$3948,4,FALSE)</f>
        <v>#N/A</v>
      </c>
      <c r="K1567" s="181" t="str">
        <f t="shared" si="33"/>
        <v>WGPT_PARA|ABI-BT</v>
      </c>
    </row>
    <row r="1568" spans="1:11" s="112" customFormat="1" hidden="1" x14ac:dyDescent="0.35">
      <c r="A1568" s="181" t="s">
        <v>6395</v>
      </c>
      <c r="B1568" s="182" t="s">
        <v>8243</v>
      </c>
      <c r="C1568" s="181" t="s">
        <v>8244</v>
      </c>
      <c r="D1568" s="178">
        <v>4.0999999999999996</v>
      </c>
      <c r="E1568" s="181" t="s">
        <v>6450</v>
      </c>
      <c r="F1568" s="184">
        <v>44173</v>
      </c>
      <c r="G1568" s="181"/>
      <c r="H1568" s="181">
        <v>4.0999999999999996</v>
      </c>
      <c r="I1568" s="181" t="str">
        <f>VLOOKUP(LEFT(A1568,4),Groups!$A$1:$C$188,3,FALSE)</f>
        <v>Wireline Geophysics - Readings</v>
      </c>
      <c r="J1568" s="181" t="e">
        <f>VLOOKUP(A1568,Headings!$C$1:$H$3948,4,FALSE)</f>
        <v>#N/A</v>
      </c>
      <c r="K1568" s="181" t="str">
        <f t="shared" si="33"/>
        <v>WGPT_PARA|ABI-CAVE</v>
      </c>
    </row>
    <row r="1569" spans="1:11" s="112" customFormat="1" hidden="1" x14ac:dyDescent="0.35">
      <c r="A1569" s="181" t="s">
        <v>6395</v>
      </c>
      <c r="B1569" s="182" t="s">
        <v>8245</v>
      </c>
      <c r="C1569" s="181" t="s">
        <v>8246</v>
      </c>
      <c r="D1569" s="178">
        <v>4.0999999999999996</v>
      </c>
      <c r="E1569" s="181" t="s">
        <v>6450</v>
      </c>
      <c r="F1569" s="184">
        <v>44173</v>
      </c>
      <c r="G1569" s="181"/>
      <c r="H1569" s="181">
        <v>4.0999999999999996</v>
      </c>
      <c r="I1569" s="181" t="str">
        <f>VLOOKUP(LEFT(A1569,4),Groups!$A$1:$C$188,3,FALSE)</f>
        <v>Wireline Geophysics - Readings</v>
      </c>
      <c r="J1569" s="181" t="e">
        <f>VLOOKUP(A1569,Headings!$C$1:$H$3948,4,FALSE)</f>
        <v>#N/A</v>
      </c>
      <c r="K1569" s="181" t="str">
        <f t="shared" si="33"/>
        <v>WGPT_PARA|ABI-CMAX</v>
      </c>
    </row>
    <row r="1570" spans="1:11" s="112" customFormat="1" hidden="1" x14ac:dyDescent="0.35">
      <c r="A1570" s="181" t="s">
        <v>6395</v>
      </c>
      <c r="B1570" s="182" t="s">
        <v>8247</v>
      </c>
      <c r="C1570" s="181" t="s">
        <v>8248</v>
      </c>
      <c r="D1570" s="178">
        <v>4.0999999999999996</v>
      </c>
      <c r="E1570" s="181" t="s">
        <v>6450</v>
      </c>
      <c r="F1570" s="184">
        <v>44173</v>
      </c>
      <c r="G1570" s="181"/>
      <c r="H1570" s="181">
        <v>4.0999999999999996</v>
      </c>
      <c r="I1570" s="181" t="str">
        <f>VLOOKUP(LEFT(A1570,4),Groups!$A$1:$C$188,3,FALSE)</f>
        <v>Wireline Geophysics - Readings</v>
      </c>
      <c r="J1570" s="181" t="e">
        <f>VLOOKUP(A1570,Headings!$C$1:$H$3948,4,FALSE)</f>
        <v>#N/A</v>
      </c>
      <c r="K1570" s="181" t="str">
        <f t="shared" si="33"/>
        <v>WGPT_PARA|ABI-CMIN</v>
      </c>
    </row>
    <row r="1571" spans="1:11" s="112" customFormat="1" hidden="1" x14ac:dyDescent="0.35">
      <c r="A1571" s="181" t="s">
        <v>6395</v>
      </c>
      <c r="B1571" s="182" t="s">
        <v>8249</v>
      </c>
      <c r="C1571" s="181" t="s">
        <v>8250</v>
      </c>
      <c r="D1571" s="178">
        <v>4.0999999999999996</v>
      </c>
      <c r="E1571" s="181" t="s">
        <v>6450</v>
      </c>
      <c r="F1571" s="184">
        <v>44173</v>
      </c>
      <c r="G1571" s="181"/>
      <c r="H1571" s="181">
        <v>4.0999999999999996</v>
      </c>
      <c r="I1571" s="181" t="str">
        <f>VLOOKUP(LEFT(A1571,4),Groups!$A$1:$C$188,3,FALSE)</f>
        <v>Wireline Geophysics - Readings</v>
      </c>
      <c r="J1571" s="181" t="e">
        <f>VLOOKUP(A1571,Headings!$C$1:$H$3948,4,FALSE)</f>
        <v>#N/A</v>
      </c>
      <c r="K1571" s="181" t="str">
        <f t="shared" si="33"/>
        <v>WGPT_PARA|ABI-EAST</v>
      </c>
    </row>
    <row r="1572" spans="1:11" s="112" customFormat="1" hidden="1" x14ac:dyDescent="0.35">
      <c r="A1572" s="181" t="s">
        <v>6395</v>
      </c>
      <c r="B1572" s="182" t="s">
        <v>8251</v>
      </c>
      <c r="C1572" s="181" t="s">
        <v>8252</v>
      </c>
      <c r="D1572" s="178">
        <v>4.0999999999999996</v>
      </c>
      <c r="E1572" s="181" t="s">
        <v>6450</v>
      </c>
      <c r="F1572" s="184">
        <v>44173</v>
      </c>
      <c r="G1572" s="181"/>
      <c r="H1572" s="181">
        <v>4.0999999999999996</v>
      </c>
      <c r="I1572" s="181" t="str">
        <f>VLOOKUP(LEFT(A1572,4),Groups!$A$1:$C$188,3,FALSE)</f>
        <v>Wireline Geophysics - Readings</v>
      </c>
      <c r="J1572" s="181" t="e">
        <f>VLOOKUP(A1572,Headings!$C$1:$H$3948,4,FALSE)</f>
        <v>#N/A</v>
      </c>
      <c r="K1572" s="181" t="str">
        <f t="shared" si="33"/>
        <v>WGPT_PARA|ABI-MF</v>
      </c>
    </row>
    <row r="1573" spans="1:11" s="112" customFormat="1" hidden="1" x14ac:dyDescent="0.35">
      <c r="A1573" s="181" t="s">
        <v>6395</v>
      </c>
      <c r="B1573" s="182" t="s">
        <v>8253</v>
      </c>
      <c r="C1573" s="181" t="s">
        <v>8254</v>
      </c>
      <c r="D1573" s="178">
        <v>4.0999999999999996</v>
      </c>
      <c r="E1573" s="181" t="s">
        <v>6450</v>
      </c>
      <c r="F1573" s="184">
        <v>44173</v>
      </c>
      <c r="G1573" s="181"/>
      <c r="H1573" s="181">
        <v>4.0999999999999996</v>
      </c>
      <c r="I1573" s="181" t="str">
        <f>VLOOKUP(LEFT(A1573,4),Groups!$A$1:$C$188,3,FALSE)</f>
        <v>Wireline Geophysics - Readings</v>
      </c>
      <c r="J1573" s="181" t="e">
        <f>VLOOKUP(A1573,Headings!$C$1:$H$3948,4,FALSE)</f>
        <v>#N/A</v>
      </c>
      <c r="K1573" s="181" t="str">
        <f t="shared" si="33"/>
        <v>WGPT_PARA|ABI-NORT</v>
      </c>
    </row>
    <row r="1574" spans="1:11" s="112" customFormat="1" hidden="1" x14ac:dyDescent="0.35">
      <c r="A1574" s="181" t="s">
        <v>6395</v>
      </c>
      <c r="B1574" s="182" t="s">
        <v>8255</v>
      </c>
      <c r="C1574" s="181" t="s">
        <v>8256</v>
      </c>
      <c r="D1574" s="178">
        <v>4.0999999999999996</v>
      </c>
      <c r="E1574" s="181" t="s">
        <v>6450</v>
      </c>
      <c r="F1574" s="184">
        <v>44173</v>
      </c>
      <c r="G1574" s="181"/>
      <c r="H1574" s="181">
        <v>4.0999999999999996</v>
      </c>
      <c r="I1574" s="181" t="str">
        <f>VLOOKUP(LEFT(A1574,4),Groups!$A$1:$C$188,3,FALSE)</f>
        <v>Wireline Geophysics - Readings</v>
      </c>
      <c r="J1574" s="181" t="e">
        <f>VLOOKUP(A1574,Headings!$C$1:$H$3948,4,FALSE)</f>
        <v>#N/A</v>
      </c>
      <c r="K1574" s="181" t="str">
        <f t="shared" si="33"/>
        <v>WGPT_PARA|ABI-SAM</v>
      </c>
    </row>
    <row r="1575" spans="1:11" s="112" customFormat="1" hidden="1" x14ac:dyDescent="0.35">
      <c r="A1575" s="181" t="s">
        <v>6395</v>
      </c>
      <c r="B1575" s="182" t="s">
        <v>8257</v>
      </c>
      <c r="C1575" s="181" t="s">
        <v>8258</v>
      </c>
      <c r="D1575" s="178">
        <v>4.0999999999999996</v>
      </c>
      <c r="E1575" s="181" t="s">
        <v>6450</v>
      </c>
      <c r="F1575" s="184">
        <v>44173</v>
      </c>
      <c r="G1575" s="181"/>
      <c r="H1575" s="181">
        <v>4.0999999999999996</v>
      </c>
      <c r="I1575" s="181" t="str">
        <f>VLOOKUP(LEFT(A1575,4),Groups!$A$1:$C$188,3,FALSE)</f>
        <v>Wireline Geophysics - Readings</v>
      </c>
      <c r="J1575" s="181" t="e">
        <f>VLOOKUP(A1575,Headings!$C$1:$H$3948,4,FALSE)</f>
        <v>#N/A</v>
      </c>
      <c r="K1575" s="181" t="str">
        <f t="shared" si="33"/>
        <v>WGPT_PARA|ABI-SAP</v>
      </c>
    </row>
    <row r="1576" spans="1:11" s="112" customFormat="1" hidden="1" x14ac:dyDescent="0.35">
      <c r="A1576" s="181" t="s">
        <v>6395</v>
      </c>
      <c r="B1576" s="182" t="s">
        <v>8259</v>
      </c>
      <c r="C1576" s="181" t="s">
        <v>8260</v>
      </c>
      <c r="D1576" s="178">
        <v>4.0999999999999996</v>
      </c>
      <c r="E1576" s="181" t="s">
        <v>6450</v>
      </c>
      <c r="F1576" s="184">
        <v>44173</v>
      </c>
      <c r="G1576" s="181"/>
      <c r="H1576" s="181">
        <v>4.0999999999999996</v>
      </c>
      <c r="I1576" s="181" t="str">
        <f>VLOOKUP(LEFT(A1576,4),Groups!$A$1:$C$188,3,FALSE)</f>
        <v>Wireline Geophysics - Readings</v>
      </c>
      <c r="J1576" s="181" t="e">
        <f>VLOOKUP(A1576,Headings!$C$1:$H$3948,4,FALSE)</f>
        <v>#N/A</v>
      </c>
      <c r="K1576" s="181" t="str">
        <f t="shared" si="33"/>
        <v>WGPT_PARA|ABI-SDIP</v>
      </c>
    </row>
    <row r="1577" spans="1:11" s="112" customFormat="1" hidden="1" x14ac:dyDescent="0.35">
      <c r="A1577" s="181" t="s">
        <v>6395</v>
      </c>
      <c r="B1577" s="182" t="s">
        <v>8261</v>
      </c>
      <c r="C1577" s="181" t="s">
        <v>8262</v>
      </c>
      <c r="D1577" s="178">
        <v>4.0999999999999996</v>
      </c>
      <c r="E1577" s="181" t="s">
        <v>6450</v>
      </c>
      <c r="F1577" s="184">
        <v>44173</v>
      </c>
      <c r="G1577" s="181"/>
      <c r="H1577" s="181">
        <v>4.0999999999999996</v>
      </c>
      <c r="I1577" s="181" t="str">
        <f>VLOOKUP(LEFT(A1577,4),Groups!$A$1:$C$188,3,FALSE)</f>
        <v>Wireline Geophysics - Readings</v>
      </c>
      <c r="J1577" s="181" t="e">
        <f>VLOOKUP(A1577,Headings!$C$1:$H$3948,4,FALSE)</f>
        <v>#N/A</v>
      </c>
      <c r="K1577" s="181" t="str">
        <f t="shared" si="33"/>
        <v>WGPT_PARA|ABI-TVD</v>
      </c>
    </row>
    <row r="1578" spans="1:11" s="112" customFormat="1" hidden="1" x14ac:dyDescent="0.35">
      <c r="A1578" s="181" t="s">
        <v>6395</v>
      </c>
      <c r="B1578" s="182" t="s">
        <v>8263</v>
      </c>
      <c r="C1578" s="181" t="s">
        <v>8264</v>
      </c>
      <c r="D1578" s="178">
        <v>4.0999999999999996</v>
      </c>
      <c r="E1578" s="181" t="s">
        <v>6450</v>
      </c>
      <c r="F1578" s="184">
        <v>44173</v>
      </c>
      <c r="G1578" s="181"/>
      <c r="H1578" s="181">
        <v>4.0999999999999996</v>
      </c>
      <c r="I1578" s="181" t="str">
        <f>VLOOKUP(LEFT(A1578,4),Groups!$A$1:$C$188,3,FALSE)</f>
        <v>Wireline Geophysics - Readings</v>
      </c>
      <c r="J1578" s="181" t="e">
        <f>VLOOKUP(A1578,Headings!$C$1:$H$3948,4,FALSE)</f>
        <v>#N/A</v>
      </c>
      <c r="K1578" s="181" t="str">
        <f t="shared" si="33"/>
        <v>WGPT_PARA|BDEV-BAG</v>
      </c>
    </row>
    <row r="1579" spans="1:11" s="112" customFormat="1" hidden="1" x14ac:dyDescent="0.35">
      <c r="A1579" s="181" t="s">
        <v>6395</v>
      </c>
      <c r="B1579" s="182" t="s">
        <v>8265</v>
      </c>
      <c r="C1579" s="181" t="s">
        <v>8266</v>
      </c>
      <c r="D1579" s="178">
        <v>4.0999999999999996</v>
      </c>
      <c r="E1579" s="181" t="s">
        <v>6450</v>
      </c>
      <c r="F1579" s="184">
        <v>44173</v>
      </c>
      <c r="G1579" s="181"/>
      <c r="H1579" s="181">
        <v>4.0999999999999996</v>
      </c>
      <c r="I1579" s="181" t="str">
        <f>VLOOKUP(LEFT(A1579,4),Groups!$A$1:$C$188,3,FALSE)</f>
        <v>Wireline Geophysics - Readings</v>
      </c>
      <c r="J1579" s="181" t="e">
        <f>VLOOKUP(A1579,Headings!$C$1:$H$3948,4,FALSE)</f>
        <v>#N/A</v>
      </c>
      <c r="K1579" s="181" t="str">
        <f t="shared" si="33"/>
        <v>WGPT_PARA|BDEV-BAM</v>
      </c>
    </row>
    <row r="1580" spans="1:11" s="112" customFormat="1" hidden="1" x14ac:dyDescent="0.35">
      <c r="A1580" s="181" t="s">
        <v>6395</v>
      </c>
      <c r="B1580" s="182" t="s">
        <v>8267</v>
      </c>
      <c r="C1580" s="181" t="s">
        <v>8268</v>
      </c>
      <c r="D1580" s="178">
        <v>4.0999999999999996</v>
      </c>
      <c r="E1580" s="181" t="s">
        <v>6450</v>
      </c>
      <c r="F1580" s="184">
        <v>44173</v>
      </c>
      <c r="G1580" s="181"/>
      <c r="H1580" s="181">
        <v>4.0999999999999996</v>
      </c>
      <c r="I1580" s="181" t="str">
        <f>VLOOKUP(LEFT(A1580,4),Groups!$A$1:$C$188,3,FALSE)</f>
        <v>Wireline Geophysics - Readings</v>
      </c>
      <c r="J1580" s="181" t="e">
        <f>VLOOKUP(A1580,Headings!$C$1:$H$3948,4,FALSE)</f>
        <v>#N/A</v>
      </c>
      <c r="K1580" s="181" t="str">
        <f t="shared" si="33"/>
        <v>WGPT_PARA|BDEV-BT</v>
      </c>
    </row>
    <row r="1581" spans="1:11" s="112" customFormat="1" hidden="1" x14ac:dyDescent="0.35">
      <c r="A1581" s="181" t="s">
        <v>6395</v>
      </c>
      <c r="B1581" s="182" t="s">
        <v>8269</v>
      </c>
      <c r="C1581" s="181" t="s">
        <v>8270</v>
      </c>
      <c r="D1581" s="178">
        <v>4.0999999999999996</v>
      </c>
      <c r="E1581" s="181" t="s">
        <v>6450</v>
      </c>
      <c r="F1581" s="184">
        <v>44173</v>
      </c>
      <c r="G1581" s="181"/>
      <c r="H1581" s="181">
        <v>4.0999999999999996</v>
      </c>
      <c r="I1581" s="181" t="str">
        <f>VLOOKUP(LEFT(A1581,4),Groups!$A$1:$C$188,3,FALSE)</f>
        <v>Wireline Geophysics - Readings</v>
      </c>
      <c r="J1581" s="181" t="e">
        <f>VLOOKUP(A1581,Headings!$C$1:$H$3948,4,FALSE)</f>
        <v>#N/A</v>
      </c>
      <c r="K1581" s="181" t="str">
        <f t="shared" si="33"/>
        <v>WGPT_PARA|BDEV-EAST</v>
      </c>
    </row>
    <row r="1582" spans="1:11" s="112" customFormat="1" hidden="1" x14ac:dyDescent="0.35">
      <c r="A1582" s="181" t="s">
        <v>6395</v>
      </c>
      <c r="B1582" s="182" t="s">
        <v>8271</v>
      </c>
      <c r="C1582" s="181" t="s">
        <v>8272</v>
      </c>
      <c r="D1582" s="178">
        <v>4.0999999999999996</v>
      </c>
      <c r="E1582" s="181" t="s">
        <v>6450</v>
      </c>
      <c r="F1582" s="184">
        <v>44173</v>
      </c>
      <c r="G1582" s="181"/>
      <c r="H1582" s="181">
        <v>4.0999999999999996</v>
      </c>
      <c r="I1582" s="181" t="str">
        <f>VLOOKUP(LEFT(A1582,4),Groups!$A$1:$C$188,3,FALSE)</f>
        <v>Wireline Geophysics - Readings</v>
      </c>
      <c r="J1582" s="181" t="e">
        <f>VLOOKUP(A1582,Headings!$C$1:$H$3948,4,FALSE)</f>
        <v>#N/A</v>
      </c>
      <c r="K1582" s="181" t="str">
        <f t="shared" si="33"/>
        <v>WGPT_PARA|BDEV-NORT</v>
      </c>
    </row>
    <row r="1583" spans="1:11" s="112" customFormat="1" hidden="1" x14ac:dyDescent="0.35">
      <c r="A1583" s="181" t="s">
        <v>6395</v>
      </c>
      <c r="B1583" s="182" t="s">
        <v>8273</v>
      </c>
      <c r="C1583" s="181" t="s">
        <v>8274</v>
      </c>
      <c r="D1583" s="178">
        <v>4.0999999999999996</v>
      </c>
      <c r="E1583" s="181" t="s">
        <v>6450</v>
      </c>
      <c r="F1583" s="184">
        <v>44173</v>
      </c>
      <c r="G1583" s="181"/>
      <c r="H1583" s="181">
        <v>4.0999999999999996</v>
      </c>
      <c r="I1583" s="181" t="str">
        <f>VLOOKUP(LEFT(A1583,4),Groups!$A$1:$C$188,3,FALSE)</f>
        <v>Wireline Geophysics - Readings</v>
      </c>
      <c r="J1583" s="181" t="e">
        <f>VLOOKUP(A1583,Headings!$C$1:$H$3948,4,FALSE)</f>
        <v>#N/A</v>
      </c>
      <c r="K1583" s="181" t="str">
        <f t="shared" si="33"/>
        <v>WGPT_PARA|BDEV-TVD</v>
      </c>
    </row>
    <row r="1584" spans="1:11" s="112" customFormat="1" hidden="1" x14ac:dyDescent="0.35">
      <c r="A1584" s="181" t="s">
        <v>6395</v>
      </c>
      <c r="B1584" s="182" t="s">
        <v>8275</v>
      </c>
      <c r="C1584" s="181" t="s">
        <v>8190</v>
      </c>
      <c r="D1584" s="178">
        <v>4.0999999999999996</v>
      </c>
      <c r="E1584" s="181" t="s">
        <v>6450</v>
      </c>
      <c r="F1584" s="184">
        <v>44173</v>
      </c>
      <c r="G1584" s="181"/>
      <c r="H1584" s="181">
        <v>4.0999999999999996</v>
      </c>
      <c r="I1584" s="181" t="str">
        <f>VLOOKUP(LEFT(A1584,4),Groups!$A$1:$C$188,3,FALSE)</f>
        <v>Wireline Geophysics - Readings</v>
      </c>
      <c r="J1584" s="181" t="e">
        <f>VLOOKUP(A1584,Headings!$C$1:$H$3948,4,FALSE)</f>
        <v>#N/A</v>
      </c>
      <c r="K1584" s="181" t="str">
        <f t="shared" si="33"/>
        <v>WGPT_PARA|BT-T</v>
      </c>
    </row>
    <row r="1585" spans="1:11" s="112" customFormat="1" hidden="1" x14ac:dyDescent="0.35">
      <c r="A1585" s="181" t="s">
        <v>6395</v>
      </c>
      <c r="B1585" s="182" t="s">
        <v>8276</v>
      </c>
      <c r="C1585" s="181" t="s">
        <v>8277</v>
      </c>
      <c r="D1585" s="178">
        <v>4.0999999999999996</v>
      </c>
      <c r="E1585" s="181" t="s">
        <v>6450</v>
      </c>
      <c r="F1585" s="184">
        <v>44173</v>
      </c>
      <c r="G1585" s="181"/>
      <c r="H1585" s="181">
        <v>4.0999999999999996</v>
      </c>
      <c r="I1585" s="181" t="str">
        <f>VLOOKUP(LEFT(A1585,4),Groups!$A$1:$C$188,3,FALSE)</f>
        <v>Wireline Geophysics - Readings</v>
      </c>
      <c r="J1585" s="181" t="e">
        <f>VLOOKUP(A1585,Headings!$C$1:$H$3948,4,FALSE)</f>
        <v>#N/A</v>
      </c>
      <c r="K1585" s="181" t="str">
        <f t="shared" si="33"/>
        <v>WGPT_PARA|CAL3-BHD</v>
      </c>
    </row>
    <row r="1586" spans="1:11" s="112" customFormat="1" hidden="1" x14ac:dyDescent="0.35">
      <c r="A1586" s="181" t="s">
        <v>6395</v>
      </c>
      <c r="B1586" s="182" t="s">
        <v>8278</v>
      </c>
      <c r="C1586" s="181" t="s">
        <v>8279</v>
      </c>
      <c r="D1586" s="178">
        <v>4.0999999999999996</v>
      </c>
      <c r="E1586" s="181" t="s">
        <v>6450</v>
      </c>
      <c r="F1586" s="184">
        <v>44173</v>
      </c>
      <c r="G1586" s="181"/>
      <c r="H1586" s="181">
        <v>4.0999999999999996</v>
      </c>
      <c r="I1586" s="181" t="str">
        <f>VLOOKUP(LEFT(A1586,4),Groups!$A$1:$C$188,3,FALSE)</f>
        <v>Wireline Geophysics - Readings</v>
      </c>
      <c r="J1586" s="181" t="e">
        <f>VLOOKUP(A1586,Headings!$C$1:$H$3948,4,FALSE)</f>
        <v>#N/A</v>
      </c>
      <c r="K1586" s="181" t="str">
        <f t="shared" si="33"/>
        <v>WGPT_PARA|CAL4-BRX1</v>
      </c>
    </row>
    <row r="1587" spans="1:11" s="112" customFormat="1" hidden="1" x14ac:dyDescent="0.35">
      <c r="A1587" s="181" t="s">
        <v>6395</v>
      </c>
      <c r="B1587" s="182" t="s">
        <v>8280</v>
      </c>
      <c r="C1587" s="181" t="s">
        <v>8281</v>
      </c>
      <c r="D1587" s="178">
        <v>4.0999999999999996</v>
      </c>
      <c r="E1587" s="181" t="s">
        <v>6450</v>
      </c>
      <c r="F1587" s="184">
        <v>44173</v>
      </c>
      <c r="G1587" s="181"/>
      <c r="H1587" s="181">
        <v>4.0999999999999996</v>
      </c>
      <c r="I1587" s="181" t="str">
        <f>VLOOKUP(LEFT(A1587,4),Groups!$A$1:$C$188,3,FALSE)</f>
        <v>Wireline Geophysics - Readings</v>
      </c>
      <c r="J1587" s="181" t="e">
        <f>VLOOKUP(A1587,Headings!$C$1:$H$3948,4,FALSE)</f>
        <v>#N/A</v>
      </c>
      <c r="K1587" s="181" t="str">
        <f t="shared" si="33"/>
        <v>WGPT_PARA|CAL4-BRX2</v>
      </c>
    </row>
    <row r="1588" spans="1:11" s="112" customFormat="1" hidden="1" x14ac:dyDescent="0.35">
      <c r="A1588" s="181" t="s">
        <v>6395</v>
      </c>
      <c r="B1588" s="182" t="s">
        <v>8282</v>
      </c>
      <c r="C1588" s="181" t="s">
        <v>8283</v>
      </c>
      <c r="D1588" s="178">
        <v>4.0999999999999996</v>
      </c>
      <c r="E1588" s="181" t="s">
        <v>6450</v>
      </c>
      <c r="F1588" s="184">
        <v>44173</v>
      </c>
      <c r="G1588" s="181"/>
      <c r="H1588" s="181">
        <v>4.0999999999999996</v>
      </c>
      <c r="I1588" s="181" t="str">
        <f>VLOOKUP(LEFT(A1588,4),Groups!$A$1:$C$188,3,FALSE)</f>
        <v>Wireline Geophysics - Readings</v>
      </c>
      <c r="J1588" s="181" t="e">
        <f>VLOOKUP(A1588,Headings!$C$1:$H$3948,4,FALSE)</f>
        <v>#N/A</v>
      </c>
      <c r="K1588" s="181" t="str">
        <f t="shared" si="33"/>
        <v>WGPT_PARA|CAL4-BRY1</v>
      </c>
    </row>
    <row r="1589" spans="1:11" s="112" customFormat="1" hidden="1" x14ac:dyDescent="0.35">
      <c r="A1589" s="181" t="s">
        <v>6395</v>
      </c>
      <c r="B1589" s="182" t="s">
        <v>8284</v>
      </c>
      <c r="C1589" s="181" t="s">
        <v>8285</v>
      </c>
      <c r="D1589" s="178">
        <v>4.0999999999999996</v>
      </c>
      <c r="E1589" s="181" t="s">
        <v>6450</v>
      </c>
      <c r="F1589" s="184">
        <v>44173</v>
      </c>
      <c r="G1589" s="181"/>
      <c r="H1589" s="181">
        <v>4.0999999999999996</v>
      </c>
      <c r="I1589" s="181" t="str">
        <f>VLOOKUP(LEFT(A1589,4),Groups!$A$1:$C$188,3,FALSE)</f>
        <v>Wireline Geophysics - Readings</v>
      </c>
      <c r="J1589" s="181" t="e">
        <f>VLOOKUP(A1589,Headings!$C$1:$H$3948,4,FALSE)</f>
        <v>#N/A</v>
      </c>
      <c r="K1589" s="181" t="str">
        <f t="shared" si="33"/>
        <v>WGPT_PARA|CAL4-BRY2</v>
      </c>
    </row>
    <row r="1590" spans="1:11" s="112" customFormat="1" hidden="1" x14ac:dyDescent="0.35">
      <c r="A1590" s="181" t="s">
        <v>6395</v>
      </c>
      <c r="B1590" s="182" t="s">
        <v>8286</v>
      </c>
      <c r="C1590" s="181" t="s">
        <v>8287</v>
      </c>
      <c r="D1590" s="178">
        <v>4.0999999999999996</v>
      </c>
      <c r="E1590" s="181" t="s">
        <v>6450</v>
      </c>
      <c r="F1590" s="184">
        <v>44173</v>
      </c>
      <c r="G1590" s="181"/>
      <c r="H1590" s="181">
        <v>4.0999999999999996</v>
      </c>
      <c r="I1590" s="181" t="str">
        <f>VLOOKUP(LEFT(A1590,4),Groups!$A$1:$C$188,3,FALSE)</f>
        <v>Wireline Geophysics - Readings</v>
      </c>
      <c r="J1590" s="181" t="e">
        <f>VLOOKUP(A1590,Headings!$C$1:$H$3948,4,FALSE)</f>
        <v>#N/A</v>
      </c>
      <c r="K1590" s="181" t="str">
        <f t="shared" si="33"/>
        <v>WGPT_PARA|CAL4-X1P</v>
      </c>
    </row>
    <row r="1591" spans="1:11" s="112" customFormat="1" hidden="1" x14ac:dyDescent="0.35">
      <c r="A1591" s="181" t="s">
        <v>6395</v>
      </c>
      <c r="B1591" s="182" t="s">
        <v>8288</v>
      </c>
      <c r="C1591" s="181" t="s">
        <v>8289</v>
      </c>
      <c r="D1591" s="178">
        <v>4.0999999999999996</v>
      </c>
      <c r="E1591" s="181" t="s">
        <v>6450</v>
      </c>
      <c r="F1591" s="184">
        <v>44173</v>
      </c>
      <c r="G1591" s="181"/>
      <c r="H1591" s="181">
        <v>4.0999999999999996</v>
      </c>
      <c r="I1591" s="181" t="str">
        <f>VLOOKUP(LEFT(A1591,4),Groups!$A$1:$C$188,3,FALSE)</f>
        <v>Wireline Geophysics - Readings</v>
      </c>
      <c r="J1591" s="181" t="e">
        <f>VLOOKUP(A1591,Headings!$C$1:$H$3948,4,FALSE)</f>
        <v>#N/A</v>
      </c>
      <c r="K1591" s="181" t="str">
        <f t="shared" si="33"/>
        <v>WGPT_PARA|CALXY-BDX</v>
      </c>
    </row>
    <row r="1592" spans="1:11" s="112" customFormat="1" hidden="1" x14ac:dyDescent="0.35">
      <c r="A1592" s="181" t="s">
        <v>6395</v>
      </c>
      <c r="B1592" s="182" t="s">
        <v>8290</v>
      </c>
      <c r="C1592" s="181" t="s">
        <v>8291</v>
      </c>
      <c r="D1592" s="178">
        <v>4.0999999999999996</v>
      </c>
      <c r="E1592" s="181" t="s">
        <v>6450</v>
      </c>
      <c r="F1592" s="184">
        <v>44173</v>
      </c>
      <c r="G1592" s="181"/>
      <c r="H1592" s="181">
        <v>4.0999999999999996</v>
      </c>
      <c r="I1592" s="181" t="str">
        <f>VLOOKUP(LEFT(A1592,4),Groups!$A$1:$C$188,3,FALSE)</f>
        <v>Wireline Geophysics - Readings</v>
      </c>
      <c r="J1592" s="181" t="e">
        <f>VLOOKUP(A1592,Headings!$C$1:$H$3948,4,FALSE)</f>
        <v>#N/A</v>
      </c>
      <c r="K1592" s="181" t="str">
        <f t="shared" si="33"/>
        <v>WGPT_PARA|CALXY-BDY</v>
      </c>
    </row>
    <row r="1593" spans="1:11" s="112" customFormat="1" hidden="1" x14ac:dyDescent="0.35">
      <c r="A1593" s="181" t="s">
        <v>6395</v>
      </c>
      <c r="B1593" s="182" t="s">
        <v>8292</v>
      </c>
      <c r="C1593" s="181" t="s">
        <v>8293</v>
      </c>
      <c r="D1593" s="178">
        <v>4.0999999999999996</v>
      </c>
      <c r="E1593" s="181" t="s">
        <v>6450</v>
      </c>
      <c r="F1593" s="184">
        <v>44173</v>
      </c>
      <c r="G1593" s="181"/>
      <c r="H1593" s="181">
        <v>4.0999999999999996</v>
      </c>
      <c r="I1593" s="181" t="str">
        <f>VLOOKUP(LEFT(A1593,4),Groups!$A$1:$C$188,3,FALSE)</f>
        <v>Wireline Geophysics - Readings</v>
      </c>
      <c r="J1593" s="181" t="e">
        <f>VLOOKUP(A1593,Headings!$C$1:$H$3948,4,FALSE)</f>
        <v>#N/A</v>
      </c>
      <c r="K1593" s="181" t="str">
        <f t="shared" si="33"/>
        <v>WGPT_PARA|DFEL-FRD</v>
      </c>
    </row>
    <row r="1594" spans="1:11" s="112" customFormat="1" hidden="1" x14ac:dyDescent="0.35">
      <c r="A1594" s="181" t="s">
        <v>6395</v>
      </c>
      <c r="B1594" s="182" t="s">
        <v>8294</v>
      </c>
      <c r="C1594" s="181" t="s">
        <v>8295</v>
      </c>
      <c r="D1594" s="178">
        <v>4.0999999999999996</v>
      </c>
      <c r="E1594" s="181" t="s">
        <v>6450</v>
      </c>
      <c r="F1594" s="184">
        <v>44173</v>
      </c>
      <c r="G1594" s="181"/>
      <c r="H1594" s="181">
        <v>4.0999999999999996</v>
      </c>
      <c r="I1594" s="181" t="str">
        <f>VLOOKUP(LEFT(A1594,4),Groups!$A$1:$C$188,3,FALSE)</f>
        <v>Wireline Geophysics - Readings</v>
      </c>
      <c r="J1594" s="181" t="e">
        <f>VLOOKUP(A1594,Headings!$C$1:$H$3948,4,FALSE)</f>
        <v>#N/A</v>
      </c>
      <c r="K1594" s="181" t="str">
        <f t="shared" ref="K1594:K1657" si="36">A1594&amp;"|"&amp;B1594</f>
        <v>WGPT_PARA|DFEL-FRS</v>
      </c>
    </row>
    <row r="1595" spans="1:11" s="112" customFormat="1" hidden="1" x14ac:dyDescent="0.35">
      <c r="A1595" s="181" t="s">
        <v>6395</v>
      </c>
      <c r="B1595" s="182" t="s">
        <v>8296</v>
      </c>
      <c r="C1595" s="181" t="s">
        <v>8297</v>
      </c>
      <c r="D1595" s="178">
        <v>4.0999999999999996</v>
      </c>
      <c r="E1595" s="181" t="s">
        <v>6450</v>
      </c>
      <c r="F1595" s="184">
        <v>44173</v>
      </c>
      <c r="G1595" s="181"/>
      <c r="H1595" s="181">
        <v>4.0999999999999996</v>
      </c>
      <c r="I1595" s="181" t="str">
        <f>VLOOKUP(LEFT(A1595,4),Groups!$A$1:$C$188,3,FALSE)</f>
        <v>Wireline Geophysics - Readings</v>
      </c>
      <c r="J1595" s="181" t="e">
        <f>VLOOKUP(A1595,Headings!$C$1:$H$3948,4,FALSE)</f>
        <v>#N/A</v>
      </c>
      <c r="K1595" s="181" t="str">
        <f t="shared" si="36"/>
        <v>WGPT_PARA|DIEL-CD</v>
      </c>
    </row>
    <row r="1596" spans="1:11" s="112" customFormat="1" hidden="1" x14ac:dyDescent="0.35">
      <c r="A1596" s="181" t="s">
        <v>6395</v>
      </c>
      <c r="B1596" s="182" t="s">
        <v>8298</v>
      </c>
      <c r="C1596" s="181" t="s">
        <v>8299</v>
      </c>
      <c r="D1596" s="178">
        <v>4.0999999999999996</v>
      </c>
      <c r="E1596" s="181" t="s">
        <v>6450</v>
      </c>
      <c r="F1596" s="184">
        <v>44173</v>
      </c>
      <c r="G1596" s="181"/>
      <c r="H1596" s="181">
        <v>4.0999999999999996</v>
      </c>
      <c r="I1596" s="181" t="str">
        <f>VLOOKUP(LEFT(A1596,4),Groups!$A$1:$C$188,3,FALSE)</f>
        <v>Wireline Geophysics - Readings</v>
      </c>
      <c r="J1596" s="181" t="e">
        <f>VLOOKUP(A1596,Headings!$C$1:$H$3948,4,FALSE)</f>
        <v>#N/A</v>
      </c>
      <c r="K1596" s="181" t="str">
        <f t="shared" si="36"/>
        <v>WGPT_PARA|DIEL-CS</v>
      </c>
    </row>
    <row r="1597" spans="1:11" s="112" customFormat="1" hidden="1" x14ac:dyDescent="0.35">
      <c r="A1597" s="181" t="s">
        <v>6395</v>
      </c>
      <c r="B1597" s="182" t="s">
        <v>8300</v>
      </c>
      <c r="C1597" s="181" t="s">
        <v>8301</v>
      </c>
      <c r="D1597" s="178">
        <v>4.0999999999999996</v>
      </c>
      <c r="E1597" s="181" t="s">
        <v>6450</v>
      </c>
      <c r="F1597" s="184">
        <v>44173</v>
      </c>
      <c r="G1597" s="181"/>
      <c r="H1597" s="181">
        <v>4.0999999999999996</v>
      </c>
      <c r="I1597" s="181" t="str">
        <f>VLOOKUP(LEFT(A1597,4),Groups!$A$1:$C$188,3,FALSE)</f>
        <v>Wireline Geophysics - Readings</v>
      </c>
      <c r="J1597" s="181" t="e">
        <f>VLOOKUP(A1597,Headings!$C$1:$H$3948,4,FALSE)</f>
        <v>#N/A</v>
      </c>
      <c r="K1597" s="181" t="str">
        <f t="shared" si="36"/>
        <v>WGPT_PARA|DMR-CBWV</v>
      </c>
    </row>
    <row r="1598" spans="1:11" s="112" customFormat="1" hidden="1" x14ac:dyDescent="0.35">
      <c r="A1598" s="181" t="s">
        <v>6395</v>
      </c>
      <c r="B1598" s="182" t="s">
        <v>8302</v>
      </c>
      <c r="C1598" s="181" t="s">
        <v>8303</v>
      </c>
      <c r="D1598" s="178">
        <v>4.0999999999999996</v>
      </c>
      <c r="E1598" s="181" t="s">
        <v>6450</v>
      </c>
      <c r="F1598" s="184">
        <v>44173</v>
      </c>
      <c r="G1598" s="181"/>
      <c r="H1598" s="181">
        <v>4.0999999999999996</v>
      </c>
      <c r="I1598" s="181" t="str">
        <f>VLOOKUP(LEFT(A1598,4),Groups!$A$1:$C$188,3,FALSE)</f>
        <v>Wireline Geophysics - Readings</v>
      </c>
      <c r="J1598" s="181" t="e">
        <f>VLOOKUP(A1598,Headings!$C$1:$H$3948,4,FALSE)</f>
        <v>#N/A</v>
      </c>
      <c r="K1598" s="181" t="str">
        <f t="shared" si="36"/>
        <v>WGPT_PARA|DMR-CLBWV</v>
      </c>
    </row>
    <row r="1599" spans="1:11" s="112" customFormat="1" hidden="1" x14ac:dyDescent="0.35">
      <c r="A1599" s="181" t="s">
        <v>6395</v>
      </c>
      <c r="B1599" s="182" t="s">
        <v>8304</v>
      </c>
      <c r="C1599" s="181" t="s">
        <v>8305</v>
      </c>
      <c r="D1599" s="178">
        <v>4.0999999999999996</v>
      </c>
      <c r="E1599" s="181" t="s">
        <v>6450</v>
      </c>
      <c r="F1599" s="184">
        <v>44173</v>
      </c>
      <c r="G1599" s="181"/>
      <c r="H1599" s="181">
        <v>4.0999999999999996</v>
      </c>
      <c r="I1599" s="181" t="str">
        <f>VLOOKUP(LEFT(A1599,4),Groups!$A$1:$C$188,3,FALSE)</f>
        <v>Wireline Geophysics - Readings</v>
      </c>
      <c r="J1599" s="181" t="e">
        <f>VLOOKUP(A1599,Headings!$C$1:$H$3948,4,FALSE)</f>
        <v>#N/A</v>
      </c>
      <c r="K1599" s="181" t="str">
        <f t="shared" si="36"/>
        <v>WGPT_PARA|DMR-FMWV</v>
      </c>
    </row>
    <row r="1600" spans="1:11" s="112" customFormat="1" hidden="1" x14ac:dyDescent="0.35">
      <c r="A1600" s="181" t="s">
        <v>6395</v>
      </c>
      <c r="B1600" s="182" t="s">
        <v>8306</v>
      </c>
      <c r="C1600" s="181" t="s">
        <v>8307</v>
      </c>
      <c r="D1600" s="178">
        <v>4.0999999999999996</v>
      </c>
      <c r="E1600" s="181" t="s">
        <v>6450</v>
      </c>
      <c r="F1600" s="184">
        <v>44173</v>
      </c>
      <c r="G1600" s="181"/>
      <c r="H1600" s="181">
        <v>4.0999999999999996</v>
      </c>
      <c r="I1600" s="181" t="str">
        <f>VLOOKUP(LEFT(A1600,4),Groups!$A$1:$C$188,3,FALSE)</f>
        <v>Wireline Geophysics - Readings</v>
      </c>
      <c r="J1600" s="181" t="e">
        <f>VLOOKUP(A1600,Headings!$C$1:$H$3948,4,FALSE)</f>
        <v>#N/A</v>
      </c>
      <c r="K1600" s="181" t="str">
        <f t="shared" si="36"/>
        <v>WGPT_PARA|DMR-HPSD1</v>
      </c>
    </row>
    <row r="1601" spans="1:11" s="112" customFormat="1" hidden="1" x14ac:dyDescent="0.35">
      <c r="A1601" s="181" t="s">
        <v>6395</v>
      </c>
      <c r="B1601" s="182" t="s">
        <v>8308</v>
      </c>
      <c r="C1601" s="181" t="s">
        <v>8309</v>
      </c>
      <c r="D1601" s="178">
        <v>4.0999999999999996</v>
      </c>
      <c r="E1601" s="181" t="s">
        <v>6450</v>
      </c>
      <c r="F1601" s="184">
        <v>44173</v>
      </c>
      <c r="G1601" s="181"/>
      <c r="H1601" s="181">
        <v>4.0999999999999996</v>
      </c>
      <c r="I1601" s="181" t="str">
        <f>VLOOKUP(LEFT(A1601,4),Groups!$A$1:$C$188,3,FALSE)</f>
        <v>Wireline Geophysics - Readings</v>
      </c>
      <c r="J1601" s="181" t="e">
        <f>VLOOKUP(A1601,Headings!$C$1:$H$3948,4,FALSE)</f>
        <v>#N/A</v>
      </c>
      <c r="K1601" s="181" t="str">
        <f t="shared" si="36"/>
        <v>WGPT_PARA|DMR-HPSD2</v>
      </c>
    </row>
    <row r="1602" spans="1:11" s="112" customFormat="1" hidden="1" x14ac:dyDescent="0.35">
      <c r="A1602" s="181" t="s">
        <v>6395</v>
      </c>
      <c r="B1602" s="182" t="s">
        <v>8310</v>
      </c>
      <c r="C1602" s="181" t="s">
        <v>8311</v>
      </c>
      <c r="D1602" s="178">
        <v>4.0999999999999996</v>
      </c>
      <c r="E1602" s="181" t="s">
        <v>6450</v>
      </c>
      <c r="F1602" s="184">
        <v>44173</v>
      </c>
      <c r="G1602" s="181"/>
      <c r="H1602" s="181">
        <v>4.0999999999999996</v>
      </c>
      <c r="I1602" s="181" t="str">
        <f>VLOOKUP(LEFT(A1602,4),Groups!$A$1:$C$188,3,FALSE)</f>
        <v>Wireline Geophysics - Readings</v>
      </c>
      <c r="J1602" s="181" t="e">
        <f>VLOOKUP(A1602,Headings!$C$1:$H$3948,4,FALSE)</f>
        <v>#N/A</v>
      </c>
      <c r="K1602" s="181" t="str">
        <f t="shared" si="36"/>
        <v>WGPT_PARA|DMR-HPSD3</v>
      </c>
    </row>
    <row r="1603" spans="1:11" s="112" customFormat="1" hidden="1" x14ac:dyDescent="0.35">
      <c r="A1603" s="181" t="s">
        <v>6395</v>
      </c>
      <c r="B1603" s="182" t="s">
        <v>8312</v>
      </c>
      <c r="C1603" s="181" t="s">
        <v>8313</v>
      </c>
      <c r="D1603" s="178">
        <v>4.0999999999999996</v>
      </c>
      <c r="E1603" s="181" t="s">
        <v>6450</v>
      </c>
      <c r="F1603" s="184">
        <v>44173</v>
      </c>
      <c r="G1603" s="181"/>
      <c r="H1603" s="181">
        <v>4.0999999999999996</v>
      </c>
      <c r="I1603" s="181" t="str">
        <f>VLOOKUP(LEFT(A1603,4),Groups!$A$1:$C$188,3,FALSE)</f>
        <v>Wireline Geophysics - Readings</v>
      </c>
      <c r="J1603" s="181" t="e">
        <f>VLOOKUP(A1603,Headings!$C$1:$H$3948,4,FALSE)</f>
        <v>#N/A</v>
      </c>
      <c r="K1603" s="181" t="str">
        <f t="shared" si="36"/>
        <v>WGPT_PARA|DMR-HPSO1</v>
      </c>
    </row>
    <row r="1604" spans="1:11" s="112" customFormat="1" hidden="1" x14ac:dyDescent="0.35">
      <c r="A1604" s="181" t="s">
        <v>6395</v>
      </c>
      <c r="B1604" s="182" t="s">
        <v>8314</v>
      </c>
      <c r="C1604" s="181" t="s">
        <v>8315</v>
      </c>
      <c r="D1604" s="178">
        <v>4.0999999999999996</v>
      </c>
      <c r="E1604" s="181" t="s">
        <v>6450</v>
      </c>
      <c r="F1604" s="184">
        <v>44173</v>
      </c>
      <c r="G1604" s="181"/>
      <c r="H1604" s="181">
        <v>4.0999999999999996</v>
      </c>
      <c r="I1604" s="181" t="str">
        <f>VLOOKUP(LEFT(A1604,4),Groups!$A$1:$C$188,3,FALSE)</f>
        <v>Wireline Geophysics - Readings</v>
      </c>
      <c r="J1604" s="181" t="e">
        <f>VLOOKUP(A1604,Headings!$C$1:$H$3948,4,FALSE)</f>
        <v>#N/A</v>
      </c>
      <c r="K1604" s="181" t="str">
        <f t="shared" si="36"/>
        <v>WGPT_PARA|DMR-HPSO2</v>
      </c>
    </row>
    <row r="1605" spans="1:11" s="112" customFormat="1" hidden="1" x14ac:dyDescent="0.35">
      <c r="A1605" s="181" t="s">
        <v>6395</v>
      </c>
      <c r="B1605" s="182" t="s">
        <v>8316</v>
      </c>
      <c r="C1605" s="181" t="s">
        <v>8317</v>
      </c>
      <c r="D1605" s="178">
        <v>4.0999999999999996</v>
      </c>
      <c r="E1605" s="181" t="s">
        <v>6450</v>
      </c>
      <c r="F1605" s="184">
        <v>44173</v>
      </c>
      <c r="G1605" s="181"/>
      <c r="H1605" s="181">
        <v>4.0999999999999996</v>
      </c>
      <c r="I1605" s="181" t="str">
        <f>VLOOKUP(LEFT(A1605,4),Groups!$A$1:$C$188,3,FALSE)</f>
        <v>Wireline Geophysics - Readings</v>
      </c>
      <c r="J1605" s="181" t="e">
        <f>VLOOKUP(A1605,Headings!$C$1:$H$3948,4,FALSE)</f>
        <v>#N/A</v>
      </c>
      <c r="K1605" s="181" t="str">
        <f t="shared" si="36"/>
        <v>WGPT_PARA|DMR-HPSO3</v>
      </c>
    </row>
    <row r="1606" spans="1:11" s="112" customFormat="1" hidden="1" x14ac:dyDescent="0.35">
      <c r="A1606" s="181" t="s">
        <v>6395</v>
      </c>
      <c r="B1606" s="182" t="s">
        <v>8318</v>
      </c>
      <c r="C1606" s="181" t="s">
        <v>8319</v>
      </c>
      <c r="D1606" s="178">
        <v>4.0999999999999996</v>
      </c>
      <c r="E1606" s="181" t="s">
        <v>6450</v>
      </c>
      <c r="F1606" s="184">
        <v>44173</v>
      </c>
      <c r="G1606" s="181"/>
      <c r="H1606" s="181">
        <v>4.0999999999999996</v>
      </c>
      <c r="I1606" s="181" t="str">
        <f>VLOOKUP(LEFT(A1606,4),Groups!$A$1:$C$188,3,FALSE)</f>
        <v>Wireline Geophysics - Readings</v>
      </c>
      <c r="J1606" s="181" t="e">
        <f>VLOOKUP(A1606,Headings!$C$1:$H$3948,4,FALSE)</f>
        <v>#N/A</v>
      </c>
      <c r="K1606" s="181" t="str">
        <f t="shared" si="36"/>
        <v>WGPT_PARA|DMR-HPT1</v>
      </c>
    </row>
    <row r="1607" spans="1:11" s="112" customFormat="1" hidden="1" x14ac:dyDescent="0.35">
      <c r="A1607" s="181" t="s">
        <v>6395</v>
      </c>
      <c r="B1607" s="182" t="s">
        <v>8320</v>
      </c>
      <c r="C1607" s="181" t="s">
        <v>8321</v>
      </c>
      <c r="D1607" s="178">
        <v>4.0999999999999996</v>
      </c>
      <c r="E1607" s="181" t="s">
        <v>6450</v>
      </c>
      <c r="F1607" s="184">
        <v>44173</v>
      </c>
      <c r="G1607" s="181"/>
      <c r="H1607" s="181">
        <v>4.0999999999999996</v>
      </c>
      <c r="I1607" s="181" t="str">
        <f>VLOOKUP(LEFT(A1607,4),Groups!$A$1:$C$188,3,FALSE)</f>
        <v>Wireline Geophysics - Readings</v>
      </c>
      <c r="J1607" s="181" t="e">
        <f>VLOOKUP(A1607,Headings!$C$1:$H$3948,4,FALSE)</f>
        <v>#N/A</v>
      </c>
      <c r="K1607" s="181" t="str">
        <f t="shared" si="36"/>
        <v>WGPT_PARA|DMR-HPT2</v>
      </c>
    </row>
    <row r="1608" spans="1:11" s="112" customFormat="1" hidden="1" x14ac:dyDescent="0.35">
      <c r="A1608" s="181" t="s">
        <v>6395</v>
      </c>
      <c r="B1608" s="182" t="s">
        <v>8322</v>
      </c>
      <c r="C1608" s="181" t="s">
        <v>8323</v>
      </c>
      <c r="D1608" s="178">
        <v>4.0999999999999996</v>
      </c>
      <c r="E1608" s="181" t="s">
        <v>6450</v>
      </c>
      <c r="F1608" s="184">
        <v>44173</v>
      </c>
      <c r="G1608" s="181"/>
      <c r="H1608" s="181">
        <v>4.0999999999999996</v>
      </c>
      <c r="I1608" s="181" t="str">
        <f>VLOOKUP(LEFT(A1608,4),Groups!$A$1:$C$188,3,FALSE)</f>
        <v>Wireline Geophysics - Readings</v>
      </c>
      <c r="J1608" s="181" t="e">
        <f>VLOOKUP(A1608,Headings!$C$1:$H$3948,4,FALSE)</f>
        <v>#N/A</v>
      </c>
      <c r="K1608" s="181" t="str">
        <f t="shared" si="36"/>
        <v>WGPT_PARA|DMR-HPT3</v>
      </c>
    </row>
    <row r="1609" spans="1:11" s="112" customFormat="1" hidden="1" x14ac:dyDescent="0.35">
      <c r="A1609" s="181" t="s">
        <v>6395</v>
      </c>
      <c r="B1609" s="182" t="s">
        <v>8324</v>
      </c>
      <c r="C1609" s="181" t="s">
        <v>8325</v>
      </c>
      <c r="D1609" s="178">
        <v>4.0999999999999996</v>
      </c>
      <c r="E1609" s="181" t="s">
        <v>6450</v>
      </c>
      <c r="F1609" s="184">
        <v>44173</v>
      </c>
      <c r="G1609" s="181"/>
      <c r="H1609" s="181">
        <v>4.0999999999999996</v>
      </c>
      <c r="I1609" s="181" t="str">
        <f>VLOOKUP(LEFT(A1609,4),Groups!$A$1:$C$188,3,FALSE)</f>
        <v>Wireline Geophysics - Readings</v>
      </c>
      <c r="J1609" s="181" t="e">
        <f>VLOOKUP(A1609,Headings!$C$1:$H$3948,4,FALSE)</f>
        <v>#N/A</v>
      </c>
      <c r="K1609" s="181" t="str">
        <f t="shared" si="36"/>
        <v>WGPT_PARA|DMR-MC</v>
      </c>
    </row>
    <row r="1610" spans="1:11" s="112" customFormat="1" hidden="1" x14ac:dyDescent="0.35">
      <c r="A1610" s="181" t="s">
        <v>6395</v>
      </c>
      <c r="B1610" s="182" t="s">
        <v>8326</v>
      </c>
      <c r="C1610" s="181" t="s">
        <v>8327</v>
      </c>
      <c r="D1610" s="178">
        <v>4.0999999999999996</v>
      </c>
      <c r="E1610" s="181" t="s">
        <v>6450</v>
      </c>
      <c r="F1610" s="184">
        <v>44173</v>
      </c>
      <c r="G1610" s="181"/>
      <c r="H1610" s="181">
        <v>4.0999999999999996</v>
      </c>
      <c r="I1610" s="181" t="str">
        <f>VLOOKUP(LEFT(A1610,4),Groups!$A$1:$C$188,3,FALSE)</f>
        <v>Wireline Geophysics - Readings</v>
      </c>
      <c r="J1610" s="181" t="e">
        <f>VLOOKUP(A1610,Headings!$C$1:$H$3948,4,FALSE)</f>
        <v>#N/A</v>
      </c>
      <c r="K1610" s="181" t="str">
        <f t="shared" si="36"/>
        <v>WGPT_PARA|DMR-T2LM</v>
      </c>
    </row>
    <row r="1611" spans="1:11" s="112" customFormat="1" hidden="1" x14ac:dyDescent="0.35">
      <c r="A1611" s="181" t="s">
        <v>6395</v>
      </c>
      <c r="B1611" s="182" t="s">
        <v>8328</v>
      </c>
      <c r="C1611" s="181" t="s">
        <v>8329</v>
      </c>
      <c r="D1611" s="178">
        <v>4.0999999999999996</v>
      </c>
      <c r="E1611" s="181" t="s">
        <v>6450</v>
      </c>
      <c r="F1611" s="184">
        <v>44173</v>
      </c>
      <c r="G1611" s="181"/>
      <c r="H1611" s="181">
        <v>4.0999999999999996</v>
      </c>
      <c r="I1611" s="181" t="str">
        <f>VLOOKUP(LEFT(A1611,4),Groups!$A$1:$C$188,3,FALSE)</f>
        <v>Wireline Geophysics - Readings</v>
      </c>
      <c r="J1611" s="181" t="e">
        <f>VLOOKUP(A1611,Headings!$C$1:$H$3948,4,FALSE)</f>
        <v>#N/A</v>
      </c>
      <c r="K1611" s="181" t="str">
        <f t="shared" si="36"/>
        <v>WGPT_PARA|DMR-TP</v>
      </c>
    </row>
    <row r="1612" spans="1:11" s="112" customFormat="1" hidden="1" x14ac:dyDescent="0.35">
      <c r="A1612" s="181" t="s">
        <v>6395</v>
      </c>
      <c r="B1612" s="182" t="s">
        <v>8330</v>
      </c>
      <c r="C1612" s="181" t="s">
        <v>8331</v>
      </c>
      <c r="D1612" s="178">
        <v>4.0999999999999996</v>
      </c>
      <c r="E1612" s="181" t="s">
        <v>6450</v>
      </c>
      <c r="F1612" s="184">
        <v>44173</v>
      </c>
      <c r="G1612" s="181"/>
      <c r="H1612" s="181">
        <v>4.0999999999999996</v>
      </c>
      <c r="I1612" s="181" t="str">
        <f>VLOOKUP(LEFT(A1612,4),Groups!$A$1:$C$188,3,FALSE)</f>
        <v>Wireline Geophysics - Readings</v>
      </c>
      <c r="J1612" s="181" t="e">
        <f>VLOOKUP(A1612,Headings!$C$1:$H$3948,4,FALSE)</f>
        <v>#N/A</v>
      </c>
      <c r="K1612" s="181" t="str">
        <f t="shared" si="36"/>
        <v>WGPT_PARA|ELOG-RES16</v>
      </c>
    </row>
    <row r="1613" spans="1:11" s="112" customFormat="1" hidden="1" x14ac:dyDescent="0.35">
      <c r="A1613" s="181" t="s">
        <v>6395</v>
      </c>
      <c r="B1613" s="182" t="s">
        <v>8332</v>
      </c>
      <c r="C1613" s="181" t="s">
        <v>8333</v>
      </c>
      <c r="D1613" s="178">
        <v>4.0999999999999996</v>
      </c>
      <c r="E1613" s="181" t="s">
        <v>6450</v>
      </c>
      <c r="F1613" s="184">
        <v>44173</v>
      </c>
      <c r="G1613" s="181"/>
      <c r="H1613" s="181">
        <v>4.0999999999999996</v>
      </c>
      <c r="I1613" s="181" t="str">
        <f>VLOOKUP(LEFT(A1613,4),Groups!$A$1:$C$188,3,FALSE)</f>
        <v>Wireline Geophysics - Readings</v>
      </c>
      <c r="J1613" s="181" t="e">
        <f>VLOOKUP(A1613,Headings!$C$1:$H$3948,4,FALSE)</f>
        <v>#N/A</v>
      </c>
      <c r="K1613" s="181" t="str">
        <f t="shared" si="36"/>
        <v>WGPT_PARA|ELOG-RES32</v>
      </c>
    </row>
    <row r="1614" spans="1:11" s="112" customFormat="1" hidden="1" x14ac:dyDescent="0.35">
      <c r="A1614" s="181" t="s">
        <v>6395</v>
      </c>
      <c r="B1614" s="182" t="s">
        <v>8334</v>
      </c>
      <c r="C1614" s="181" t="s">
        <v>8335</v>
      </c>
      <c r="D1614" s="178">
        <v>4.0999999999999996</v>
      </c>
      <c r="E1614" s="181" t="s">
        <v>6450</v>
      </c>
      <c r="F1614" s="184">
        <v>44173</v>
      </c>
      <c r="G1614" s="181"/>
      <c r="H1614" s="181">
        <v>4.0999999999999996</v>
      </c>
      <c r="I1614" s="181" t="str">
        <f>VLOOKUP(LEFT(A1614,4),Groups!$A$1:$C$188,3,FALSE)</f>
        <v>Wireline Geophysics - Readings</v>
      </c>
      <c r="J1614" s="181" t="e">
        <f>VLOOKUP(A1614,Headings!$C$1:$H$3948,4,FALSE)</f>
        <v>#N/A</v>
      </c>
      <c r="K1614" s="181" t="str">
        <f t="shared" si="36"/>
        <v>WGPT_PARA|ELOG-RES64</v>
      </c>
    </row>
    <row r="1615" spans="1:11" s="112" customFormat="1" hidden="1" x14ac:dyDescent="0.35">
      <c r="A1615" s="181" t="s">
        <v>6395</v>
      </c>
      <c r="B1615" s="182" t="s">
        <v>8336</v>
      </c>
      <c r="C1615" s="181" t="s">
        <v>8337</v>
      </c>
      <c r="D1615" s="178">
        <v>4.0999999999999996</v>
      </c>
      <c r="E1615" s="181" t="s">
        <v>6450</v>
      </c>
      <c r="F1615" s="184">
        <v>44173</v>
      </c>
      <c r="G1615" s="181"/>
      <c r="H1615" s="181">
        <v>4.0999999999999996</v>
      </c>
      <c r="I1615" s="181" t="str">
        <f>VLOOKUP(LEFT(A1615,4),Groups!$A$1:$C$188,3,FALSE)</f>
        <v>Wireline Geophysics - Readings</v>
      </c>
      <c r="J1615" s="181" t="e">
        <f>VLOOKUP(A1615,Headings!$C$1:$H$3948,4,FALSE)</f>
        <v>#N/A</v>
      </c>
      <c r="K1615" s="181" t="str">
        <f t="shared" si="36"/>
        <v>WGPT_PARA|ELOG-RES8</v>
      </c>
    </row>
    <row r="1616" spans="1:11" s="112" customFormat="1" hidden="1" x14ac:dyDescent="0.35">
      <c r="A1616" s="181" t="s">
        <v>6395</v>
      </c>
      <c r="B1616" s="182" t="s">
        <v>8338</v>
      </c>
      <c r="C1616" s="181" t="s">
        <v>8206</v>
      </c>
      <c r="D1616" s="178">
        <v>4.0999999999999996</v>
      </c>
      <c r="E1616" s="181" t="s">
        <v>6450</v>
      </c>
      <c r="F1616" s="184">
        <v>44173</v>
      </c>
      <c r="G1616" s="181"/>
      <c r="H1616" s="181">
        <v>4.0999999999999996</v>
      </c>
      <c r="I1616" s="181" t="str">
        <f>VLOOKUP(LEFT(A1616,4),Groups!$A$1:$C$188,3,FALSE)</f>
        <v>Wireline Geophysics - Readings</v>
      </c>
      <c r="J1616" s="181" t="e">
        <f>VLOOKUP(A1616,Headings!$C$1:$H$3948,4,FALSE)</f>
        <v>#N/A</v>
      </c>
      <c r="K1616" s="181" t="str">
        <f t="shared" si="36"/>
        <v>WGPT_PARA|FC-FC</v>
      </c>
    </row>
    <row r="1617" spans="1:11" s="112" customFormat="1" hidden="1" x14ac:dyDescent="0.35">
      <c r="A1617" s="181" t="s">
        <v>6395</v>
      </c>
      <c r="B1617" s="182" t="s">
        <v>8339</v>
      </c>
      <c r="C1617" s="181" t="s">
        <v>8340</v>
      </c>
      <c r="D1617" s="178">
        <v>4.0999999999999996</v>
      </c>
      <c r="E1617" s="181" t="s">
        <v>6450</v>
      </c>
      <c r="F1617" s="184">
        <v>44173</v>
      </c>
      <c r="G1617" s="181"/>
      <c r="H1617" s="181">
        <v>4.0999999999999996</v>
      </c>
      <c r="I1617" s="181" t="str">
        <f>VLOOKUP(LEFT(A1617,4),Groups!$A$1:$C$188,3,FALSE)</f>
        <v>Wireline Geophysics - Readings</v>
      </c>
      <c r="J1617" s="181" t="e">
        <f>VLOOKUP(A1617,Headings!$C$1:$H$3948,4,FALSE)</f>
        <v>#N/A</v>
      </c>
      <c r="K1617" s="181" t="str">
        <f t="shared" si="36"/>
        <v>WGPT_PARA|FWS-ART1</v>
      </c>
    </row>
    <row r="1618" spans="1:11" s="112" customFormat="1" hidden="1" x14ac:dyDescent="0.35">
      <c r="A1618" s="181" t="s">
        <v>6395</v>
      </c>
      <c r="B1618" s="182" t="s">
        <v>8341</v>
      </c>
      <c r="C1618" s="181" t="s">
        <v>8342</v>
      </c>
      <c r="D1618" s="178">
        <v>4.0999999999999996</v>
      </c>
      <c r="E1618" s="181" t="s">
        <v>6450</v>
      </c>
      <c r="F1618" s="184">
        <v>44173</v>
      </c>
      <c r="G1618" s="181"/>
      <c r="H1618" s="181">
        <v>4.0999999999999996</v>
      </c>
      <c r="I1618" s="181" t="str">
        <f>VLOOKUP(LEFT(A1618,4),Groups!$A$1:$C$188,3,FALSE)</f>
        <v>Wireline Geophysics - Readings</v>
      </c>
      <c r="J1618" s="181" t="e">
        <f>VLOOKUP(A1618,Headings!$C$1:$H$3948,4,FALSE)</f>
        <v>#N/A</v>
      </c>
      <c r="K1618" s="181" t="str">
        <f t="shared" si="36"/>
        <v>WGPT_PARA|FWS-ART2</v>
      </c>
    </row>
    <row r="1619" spans="1:11" s="112" customFormat="1" hidden="1" x14ac:dyDescent="0.35">
      <c r="A1619" s="181" t="s">
        <v>6395</v>
      </c>
      <c r="B1619" s="182" t="s">
        <v>8343</v>
      </c>
      <c r="C1619" s="181" t="s">
        <v>8344</v>
      </c>
      <c r="D1619" s="178">
        <v>4.0999999999999996</v>
      </c>
      <c r="E1619" s="181" t="s">
        <v>6450</v>
      </c>
      <c r="F1619" s="184">
        <v>44173</v>
      </c>
      <c r="G1619" s="181"/>
      <c r="H1619" s="181">
        <v>4.0999999999999996</v>
      </c>
      <c r="I1619" s="181" t="str">
        <f>VLOOKUP(LEFT(A1619,4),Groups!$A$1:$C$188,3,FALSE)</f>
        <v>Wireline Geophysics - Readings</v>
      </c>
      <c r="J1619" s="181" t="e">
        <f>VLOOKUP(A1619,Headings!$C$1:$H$3948,4,FALSE)</f>
        <v>#N/A</v>
      </c>
      <c r="K1619" s="181" t="str">
        <f t="shared" si="36"/>
        <v>WGPT_PARA|FWS-CBI</v>
      </c>
    </row>
    <row r="1620" spans="1:11" s="112" customFormat="1" hidden="1" x14ac:dyDescent="0.35">
      <c r="A1620" s="181" t="s">
        <v>6395</v>
      </c>
      <c r="B1620" s="182" t="s">
        <v>8345</v>
      </c>
      <c r="C1620" s="181" t="s">
        <v>8346</v>
      </c>
      <c r="D1620" s="178">
        <v>4.0999999999999996</v>
      </c>
      <c r="E1620" s="181" t="s">
        <v>6450</v>
      </c>
      <c r="F1620" s="184">
        <v>44173</v>
      </c>
      <c r="G1620" s="181"/>
      <c r="H1620" s="181">
        <v>4.0999999999999996</v>
      </c>
      <c r="I1620" s="181" t="str">
        <f>VLOOKUP(LEFT(A1620,4),Groups!$A$1:$C$188,3,FALSE)</f>
        <v>Wireline Geophysics - Readings</v>
      </c>
      <c r="J1620" s="181" t="e">
        <f>VLOOKUP(A1620,Headings!$C$1:$H$3948,4,FALSE)</f>
        <v>#N/A</v>
      </c>
      <c r="K1620" s="181" t="str">
        <f t="shared" si="36"/>
        <v>WGPT_PARA|FWS-DTP</v>
      </c>
    </row>
    <row r="1621" spans="1:11" s="112" customFormat="1" hidden="1" x14ac:dyDescent="0.35">
      <c r="A1621" s="181" t="s">
        <v>6395</v>
      </c>
      <c r="B1621" s="182" t="s">
        <v>8347</v>
      </c>
      <c r="C1621" s="181" t="s">
        <v>8348</v>
      </c>
      <c r="D1621" s="178">
        <v>4.0999999999999996</v>
      </c>
      <c r="E1621" s="181" t="s">
        <v>6450</v>
      </c>
      <c r="F1621" s="184">
        <v>44173</v>
      </c>
      <c r="G1621" s="181"/>
      <c r="H1621" s="181">
        <v>4.0999999999999996</v>
      </c>
      <c r="I1621" s="181" t="str">
        <f>VLOOKUP(LEFT(A1621,4),Groups!$A$1:$C$188,3,FALSE)</f>
        <v>Wireline Geophysics - Readings</v>
      </c>
      <c r="J1621" s="181" t="e">
        <f>VLOOKUP(A1621,Headings!$C$1:$H$3948,4,FALSE)</f>
        <v>#N/A</v>
      </c>
      <c r="K1621" s="181" t="str">
        <f t="shared" si="36"/>
        <v>WGPT_PARA|FWS-DTS</v>
      </c>
    </row>
    <row r="1622" spans="1:11" s="112" customFormat="1" hidden="1" x14ac:dyDescent="0.35">
      <c r="A1622" s="181" t="s">
        <v>6395</v>
      </c>
      <c r="B1622" s="182" t="s">
        <v>8349</v>
      </c>
      <c r="C1622" s="181" t="s">
        <v>8350</v>
      </c>
      <c r="D1622" s="178">
        <v>4.0999999999999996</v>
      </c>
      <c r="E1622" s="181" t="s">
        <v>6450</v>
      </c>
      <c r="F1622" s="184">
        <v>44173</v>
      </c>
      <c r="G1622" s="181"/>
      <c r="H1622" s="181">
        <v>4.0999999999999996</v>
      </c>
      <c r="I1622" s="181" t="str">
        <f>VLOOKUP(LEFT(A1622,4),Groups!$A$1:$C$188,3,FALSE)</f>
        <v>Wireline Geophysics - Readings</v>
      </c>
      <c r="J1622" s="181" t="e">
        <f>VLOOKUP(A1622,Headings!$C$1:$H$3948,4,FALSE)</f>
        <v>#N/A</v>
      </c>
      <c r="K1622" s="181" t="str">
        <f t="shared" si="36"/>
        <v>WGPT_PARA|FWS-PDEL</v>
      </c>
    </row>
    <row r="1623" spans="1:11" s="112" customFormat="1" hidden="1" x14ac:dyDescent="0.35">
      <c r="A1623" s="181" t="s">
        <v>6395</v>
      </c>
      <c r="B1623" s="182" t="s">
        <v>8351</v>
      </c>
      <c r="C1623" s="181" t="s">
        <v>8352</v>
      </c>
      <c r="D1623" s="178">
        <v>4.0999999999999996</v>
      </c>
      <c r="E1623" s="181" t="s">
        <v>6450</v>
      </c>
      <c r="F1623" s="184">
        <v>44173</v>
      </c>
      <c r="G1623" s="181"/>
      <c r="H1623" s="181">
        <v>4.0999999999999996</v>
      </c>
      <c r="I1623" s="181" t="str">
        <f>VLOOKUP(LEFT(A1623,4),Groups!$A$1:$C$188,3,FALSE)</f>
        <v>Wireline Geophysics - Readings</v>
      </c>
      <c r="J1623" s="181" t="e">
        <f>VLOOKUP(A1623,Headings!$C$1:$H$3948,4,FALSE)</f>
        <v>#N/A</v>
      </c>
      <c r="K1623" s="181" t="str">
        <f t="shared" si="36"/>
        <v>WGPT_PARA|FWS-PORA</v>
      </c>
    </row>
    <row r="1624" spans="1:11" s="112" customFormat="1" hidden="1" x14ac:dyDescent="0.35">
      <c r="A1624" s="181" t="s">
        <v>6395</v>
      </c>
      <c r="B1624" s="182" t="s">
        <v>8353</v>
      </c>
      <c r="C1624" s="181" t="s">
        <v>8354</v>
      </c>
      <c r="D1624" s="178">
        <v>4.0999999999999996</v>
      </c>
      <c r="E1624" s="181" t="s">
        <v>6450</v>
      </c>
      <c r="F1624" s="184">
        <v>44173</v>
      </c>
      <c r="G1624" s="181"/>
      <c r="H1624" s="181">
        <v>4.0999999999999996</v>
      </c>
      <c r="I1624" s="181" t="str">
        <f>VLOOKUP(LEFT(A1624,4),Groups!$A$1:$C$188,3,FALSE)</f>
        <v>Wireline Geophysics - Readings</v>
      </c>
      <c r="J1624" s="181" t="e">
        <f>VLOOKUP(A1624,Headings!$C$1:$H$3948,4,FALSE)</f>
        <v>#N/A</v>
      </c>
      <c r="K1624" s="181" t="str">
        <f t="shared" si="36"/>
        <v>WGPT_PARA|FWS-PTR1T1</v>
      </c>
    </row>
    <row r="1625" spans="1:11" s="112" customFormat="1" hidden="1" x14ac:dyDescent="0.35">
      <c r="A1625" s="181" t="s">
        <v>6395</v>
      </c>
      <c r="B1625" s="182" t="s">
        <v>8355</v>
      </c>
      <c r="C1625" s="181" t="s">
        <v>8356</v>
      </c>
      <c r="D1625" s="178">
        <v>4.0999999999999996</v>
      </c>
      <c r="E1625" s="181" t="s">
        <v>6450</v>
      </c>
      <c r="F1625" s="184">
        <v>44173</v>
      </c>
      <c r="G1625" s="181"/>
      <c r="H1625" s="181">
        <v>4.0999999999999996</v>
      </c>
      <c r="I1625" s="181" t="str">
        <f>VLOOKUP(LEFT(A1625,4),Groups!$A$1:$C$188,3,FALSE)</f>
        <v>Wireline Geophysics - Readings</v>
      </c>
      <c r="J1625" s="181" t="e">
        <f>VLOOKUP(A1625,Headings!$C$1:$H$3948,4,FALSE)</f>
        <v>#N/A</v>
      </c>
      <c r="K1625" s="181" t="str">
        <f t="shared" si="36"/>
        <v>WGPT_PARA|FWS-PTR1T2</v>
      </c>
    </row>
    <row r="1626" spans="1:11" s="112" customFormat="1" hidden="1" x14ac:dyDescent="0.35">
      <c r="A1626" s="181" t="s">
        <v>6395</v>
      </c>
      <c r="B1626" s="182" t="s">
        <v>8357</v>
      </c>
      <c r="C1626" s="181" t="s">
        <v>8358</v>
      </c>
      <c r="D1626" s="178">
        <v>4.0999999999999996</v>
      </c>
      <c r="E1626" s="181" t="s">
        <v>6450</v>
      </c>
      <c r="F1626" s="184">
        <v>44173</v>
      </c>
      <c r="G1626" s="181"/>
      <c r="H1626" s="181">
        <v>4.0999999999999996</v>
      </c>
      <c r="I1626" s="181" t="str">
        <f>VLOOKUP(LEFT(A1626,4),Groups!$A$1:$C$188,3,FALSE)</f>
        <v>Wireline Geophysics - Readings</v>
      </c>
      <c r="J1626" s="181" t="e">
        <f>VLOOKUP(A1626,Headings!$C$1:$H$3948,4,FALSE)</f>
        <v>#N/A</v>
      </c>
      <c r="K1626" s="181" t="str">
        <f t="shared" si="36"/>
        <v>WGPT_PARA|FWS-PTR2T1</v>
      </c>
    </row>
    <row r="1627" spans="1:11" s="112" customFormat="1" hidden="1" x14ac:dyDescent="0.35">
      <c r="A1627" s="181" t="s">
        <v>6395</v>
      </c>
      <c r="B1627" s="182" t="s">
        <v>8359</v>
      </c>
      <c r="C1627" s="181" t="s">
        <v>8360</v>
      </c>
      <c r="D1627" s="178">
        <v>4.0999999999999996</v>
      </c>
      <c r="E1627" s="181" t="s">
        <v>6450</v>
      </c>
      <c r="F1627" s="184">
        <v>44173</v>
      </c>
      <c r="G1627" s="181"/>
      <c r="H1627" s="181">
        <v>4.0999999999999996</v>
      </c>
      <c r="I1627" s="181" t="str">
        <f>VLOOKUP(LEFT(A1627,4),Groups!$A$1:$C$188,3,FALSE)</f>
        <v>Wireline Geophysics - Readings</v>
      </c>
      <c r="J1627" s="181" t="e">
        <f>VLOOKUP(A1627,Headings!$C$1:$H$3948,4,FALSE)</f>
        <v>#N/A</v>
      </c>
      <c r="K1627" s="181" t="str">
        <f t="shared" si="36"/>
        <v>WGPT_PARA|FWS-PTR2T2</v>
      </c>
    </row>
    <row r="1628" spans="1:11" s="112" customFormat="1" hidden="1" x14ac:dyDescent="0.35">
      <c r="A1628" s="181" t="s">
        <v>6395</v>
      </c>
      <c r="B1628" s="182" t="s">
        <v>8361</v>
      </c>
      <c r="C1628" s="181" t="s">
        <v>8362</v>
      </c>
      <c r="D1628" s="178">
        <v>4.0999999999999996</v>
      </c>
      <c r="E1628" s="181" t="s">
        <v>6450</v>
      </c>
      <c r="F1628" s="184">
        <v>44173</v>
      </c>
      <c r="G1628" s="181"/>
      <c r="H1628" s="181">
        <v>4.0999999999999996</v>
      </c>
      <c r="I1628" s="181" t="str">
        <f>VLOOKUP(LEFT(A1628,4),Groups!$A$1:$C$188,3,FALSE)</f>
        <v>Wireline Geophysics - Readings</v>
      </c>
      <c r="J1628" s="181" t="e">
        <f>VLOOKUP(A1628,Headings!$C$1:$H$3948,4,FALSE)</f>
        <v>#N/A</v>
      </c>
      <c r="K1628" s="181" t="str">
        <f t="shared" si="36"/>
        <v>WGPT_PARA|FWS-PTR3T1</v>
      </c>
    </row>
    <row r="1629" spans="1:11" s="112" customFormat="1" hidden="1" x14ac:dyDescent="0.35">
      <c r="A1629" s="181" t="s">
        <v>6395</v>
      </c>
      <c r="B1629" s="182" t="s">
        <v>8363</v>
      </c>
      <c r="C1629" s="181" t="s">
        <v>8364</v>
      </c>
      <c r="D1629" s="178">
        <v>4.0999999999999996</v>
      </c>
      <c r="E1629" s="181" t="s">
        <v>6450</v>
      </c>
      <c r="F1629" s="184">
        <v>44173</v>
      </c>
      <c r="G1629" s="181"/>
      <c r="H1629" s="181">
        <v>4.0999999999999996</v>
      </c>
      <c r="I1629" s="181" t="str">
        <f>VLOOKUP(LEFT(A1629,4),Groups!$A$1:$C$188,3,FALSE)</f>
        <v>Wireline Geophysics - Readings</v>
      </c>
      <c r="J1629" s="181" t="e">
        <f>VLOOKUP(A1629,Headings!$C$1:$H$3948,4,FALSE)</f>
        <v>#N/A</v>
      </c>
      <c r="K1629" s="181" t="str">
        <f t="shared" si="36"/>
        <v>WGPT_PARA|FWS-PTR3T2</v>
      </c>
    </row>
    <row r="1630" spans="1:11" s="112" customFormat="1" hidden="1" x14ac:dyDescent="0.35">
      <c r="A1630" s="181" t="s">
        <v>6395</v>
      </c>
      <c r="B1630" s="182" t="s">
        <v>8365</v>
      </c>
      <c r="C1630" s="181" t="s">
        <v>8366</v>
      </c>
      <c r="D1630" s="178">
        <v>4.0999999999999996</v>
      </c>
      <c r="E1630" s="181" t="s">
        <v>6450</v>
      </c>
      <c r="F1630" s="184">
        <v>44173</v>
      </c>
      <c r="G1630" s="181"/>
      <c r="H1630" s="181">
        <v>4.0999999999999996</v>
      </c>
      <c r="I1630" s="181" t="str">
        <f>VLOOKUP(LEFT(A1630,4),Groups!$A$1:$C$188,3,FALSE)</f>
        <v>Wireline Geophysics - Readings</v>
      </c>
      <c r="J1630" s="181" t="e">
        <f>VLOOKUP(A1630,Headings!$C$1:$H$3948,4,FALSE)</f>
        <v>#N/A</v>
      </c>
      <c r="K1630" s="181" t="str">
        <f t="shared" si="36"/>
        <v>WGPT_PARA|FWS-PTR4T1</v>
      </c>
    </row>
    <row r="1631" spans="1:11" s="112" customFormat="1" hidden="1" x14ac:dyDescent="0.35">
      <c r="A1631" s="181" t="s">
        <v>6395</v>
      </c>
      <c r="B1631" s="182" t="s">
        <v>8367</v>
      </c>
      <c r="C1631" s="181" t="s">
        <v>8368</v>
      </c>
      <c r="D1631" s="178">
        <v>4.0999999999999996</v>
      </c>
      <c r="E1631" s="181" t="s">
        <v>6450</v>
      </c>
      <c r="F1631" s="184">
        <v>44173</v>
      </c>
      <c r="G1631" s="181"/>
      <c r="H1631" s="181">
        <v>4.0999999999999996</v>
      </c>
      <c r="I1631" s="181" t="str">
        <f>VLOOKUP(LEFT(A1631,4),Groups!$A$1:$C$188,3,FALSE)</f>
        <v>Wireline Geophysics - Readings</v>
      </c>
      <c r="J1631" s="181" t="e">
        <f>VLOOKUP(A1631,Headings!$C$1:$H$3948,4,FALSE)</f>
        <v>#N/A</v>
      </c>
      <c r="K1631" s="181" t="str">
        <f t="shared" si="36"/>
        <v>WGPT_PARA|FWS-PTR4T2</v>
      </c>
    </row>
    <row r="1632" spans="1:11" s="112" customFormat="1" hidden="1" x14ac:dyDescent="0.35">
      <c r="A1632" s="181" t="s">
        <v>6395</v>
      </c>
      <c r="B1632" s="182" t="s">
        <v>8369</v>
      </c>
      <c r="C1632" s="181" t="s">
        <v>8370</v>
      </c>
      <c r="D1632" s="178">
        <v>4.0999999999999996</v>
      </c>
      <c r="E1632" s="181" t="s">
        <v>6450</v>
      </c>
      <c r="F1632" s="184">
        <v>44173</v>
      </c>
      <c r="G1632" s="181"/>
      <c r="H1632" s="181">
        <v>4.0999999999999996</v>
      </c>
      <c r="I1632" s="181" t="str">
        <f>VLOOKUP(LEFT(A1632,4),Groups!$A$1:$C$188,3,FALSE)</f>
        <v>Wireline Geophysics - Readings</v>
      </c>
      <c r="J1632" s="181" t="e">
        <f>VLOOKUP(A1632,Headings!$C$1:$H$3948,4,FALSE)</f>
        <v>#N/A</v>
      </c>
      <c r="K1632" s="181" t="str">
        <f t="shared" si="36"/>
        <v>WGPT_PARA|FWS-PWV</v>
      </c>
    </row>
    <row r="1633" spans="1:11" s="112" customFormat="1" hidden="1" x14ac:dyDescent="0.35">
      <c r="A1633" s="181" t="s">
        <v>6395</v>
      </c>
      <c r="B1633" s="182" t="s">
        <v>8371</v>
      </c>
      <c r="C1633" s="181" t="s">
        <v>8372</v>
      </c>
      <c r="D1633" s="178">
        <v>4.0999999999999996</v>
      </c>
      <c r="E1633" s="181" t="s">
        <v>6450</v>
      </c>
      <c r="F1633" s="184">
        <v>44173</v>
      </c>
      <c r="G1633" s="181"/>
      <c r="H1633" s="181">
        <v>4.0999999999999996</v>
      </c>
      <c r="I1633" s="181" t="str">
        <f>VLOOKUP(LEFT(A1633,4),Groups!$A$1:$C$188,3,FALSE)</f>
        <v>Wireline Geophysics - Readings</v>
      </c>
      <c r="J1633" s="181" t="e">
        <f>VLOOKUP(A1633,Headings!$C$1:$H$3948,4,FALSE)</f>
        <v>#N/A</v>
      </c>
      <c r="K1633" s="181" t="str">
        <f t="shared" si="36"/>
        <v>WGPT_PARA|FWS-STR1T1</v>
      </c>
    </row>
    <row r="1634" spans="1:11" s="112" customFormat="1" hidden="1" x14ac:dyDescent="0.35">
      <c r="A1634" s="181" t="s">
        <v>6395</v>
      </c>
      <c r="B1634" s="182" t="s">
        <v>8373</v>
      </c>
      <c r="C1634" s="181" t="s">
        <v>8374</v>
      </c>
      <c r="D1634" s="178">
        <v>4.0999999999999996</v>
      </c>
      <c r="E1634" s="181" t="s">
        <v>6450</v>
      </c>
      <c r="F1634" s="184">
        <v>44173</v>
      </c>
      <c r="G1634" s="181"/>
      <c r="H1634" s="181">
        <v>4.0999999999999996</v>
      </c>
      <c r="I1634" s="181" t="str">
        <f>VLOOKUP(LEFT(A1634,4),Groups!$A$1:$C$188,3,FALSE)</f>
        <v>Wireline Geophysics - Readings</v>
      </c>
      <c r="J1634" s="181" t="e">
        <f>VLOOKUP(A1634,Headings!$C$1:$H$3948,4,FALSE)</f>
        <v>#N/A</v>
      </c>
      <c r="K1634" s="181" t="str">
        <f t="shared" si="36"/>
        <v>WGPT_PARA|FWS-STR1T2</v>
      </c>
    </row>
    <row r="1635" spans="1:11" s="112" customFormat="1" hidden="1" x14ac:dyDescent="0.35">
      <c r="A1635" s="181" t="s">
        <v>6395</v>
      </c>
      <c r="B1635" s="182" t="s">
        <v>8375</v>
      </c>
      <c r="C1635" s="181" t="s">
        <v>8376</v>
      </c>
      <c r="D1635" s="178">
        <v>4.0999999999999996</v>
      </c>
      <c r="E1635" s="181" t="s">
        <v>6450</v>
      </c>
      <c r="F1635" s="184">
        <v>44173</v>
      </c>
      <c r="G1635" s="181"/>
      <c r="H1635" s="181">
        <v>4.0999999999999996</v>
      </c>
      <c r="I1635" s="181" t="str">
        <f>VLOOKUP(LEFT(A1635,4),Groups!$A$1:$C$188,3,FALSE)</f>
        <v>Wireline Geophysics - Readings</v>
      </c>
      <c r="J1635" s="181" t="e">
        <f>VLOOKUP(A1635,Headings!$C$1:$H$3948,4,FALSE)</f>
        <v>#N/A</v>
      </c>
      <c r="K1635" s="181" t="str">
        <f t="shared" si="36"/>
        <v>WGPT_PARA|FWS-STR2T1</v>
      </c>
    </row>
    <row r="1636" spans="1:11" s="112" customFormat="1" hidden="1" x14ac:dyDescent="0.35">
      <c r="A1636" s="181" t="s">
        <v>6395</v>
      </c>
      <c r="B1636" s="182" t="s">
        <v>8377</v>
      </c>
      <c r="C1636" s="181" t="s">
        <v>8378</v>
      </c>
      <c r="D1636" s="178">
        <v>4.0999999999999996</v>
      </c>
      <c r="E1636" s="181" t="s">
        <v>6450</v>
      </c>
      <c r="F1636" s="184">
        <v>44173</v>
      </c>
      <c r="G1636" s="181"/>
      <c r="H1636" s="181">
        <v>4.0999999999999996</v>
      </c>
      <c r="I1636" s="181" t="str">
        <f>VLOOKUP(LEFT(A1636,4),Groups!$A$1:$C$188,3,FALSE)</f>
        <v>Wireline Geophysics - Readings</v>
      </c>
      <c r="J1636" s="181" t="e">
        <f>VLOOKUP(A1636,Headings!$C$1:$H$3948,4,FALSE)</f>
        <v>#N/A</v>
      </c>
      <c r="K1636" s="181" t="str">
        <f t="shared" si="36"/>
        <v>WGPT_PARA|FWS-STR2T2</v>
      </c>
    </row>
    <row r="1637" spans="1:11" s="112" customFormat="1" hidden="1" x14ac:dyDescent="0.35">
      <c r="A1637" s="181" t="s">
        <v>6395</v>
      </c>
      <c r="B1637" s="182" t="s">
        <v>8379</v>
      </c>
      <c r="C1637" s="181" t="s">
        <v>8380</v>
      </c>
      <c r="D1637" s="178">
        <v>4.0999999999999996</v>
      </c>
      <c r="E1637" s="181" t="s">
        <v>6450</v>
      </c>
      <c r="F1637" s="184">
        <v>44173</v>
      </c>
      <c r="G1637" s="181"/>
      <c r="H1637" s="181">
        <v>4.0999999999999996</v>
      </c>
      <c r="I1637" s="181" t="str">
        <f>VLOOKUP(LEFT(A1637,4),Groups!$A$1:$C$188,3,FALSE)</f>
        <v>Wireline Geophysics - Readings</v>
      </c>
      <c r="J1637" s="181" t="e">
        <f>VLOOKUP(A1637,Headings!$C$1:$H$3948,4,FALSE)</f>
        <v>#N/A</v>
      </c>
      <c r="K1637" s="181" t="str">
        <f t="shared" si="36"/>
        <v>WGPT_PARA|FWS-STR3T1</v>
      </c>
    </row>
    <row r="1638" spans="1:11" s="112" customFormat="1" hidden="1" x14ac:dyDescent="0.35">
      <c r="A1638" s="181" t="s">
        <v>6395</v>
      </c>
      <c r="B1638" s="182" t="s">
        <v>8381</v>
      </c>
      <c r="C1638" s="181" t="s">
        <v>8382</v>
      </c>
      <c r="D1638" s="178">
        <v>4.0999999999999996</v>
      </c>
      <c r="E1638" s="181" t="s">
        <v>6450</v>
      </c>
      <c r="F1638" s="184">
        <v>44173</v>
      </c>
      <c r="G1638" s="181"/>
      <c r="H1638" s="181">
        <v>4.0999999999999996</v>
      </c>
      <c r="I1638" s="181" t="str">
        <f>VLOOKUP(LEFT(A1638,4),Groups!$A$1:$C$188,3,FALSE)</f>
        <v>Wireline Geophysics - Readings</v>
      </c>
      <c r="J1638" s="181" t="e">
        <f>VLOOKUP(A1638,Headings!$C$1:$H$3948,4,FALSE)</f>
        <v>#N/A</v>
      </c>
      <c r="K1638" s="181" t="str">
        <f t="shared" si="36"/>
        <v>WGPT_PARA|FWS-STR3T2</v>
      </c>
    </row>
    <row r="1639" spans="1:11" s="112" customFormat="1" hidden="1" x14ac:dyDescent="0.35">
      <c r="A1639" s="181" t="s">
        <v>6395</v>
      </c>
      <c r="B1639" s="182" t="s">
        <v>8383</v>
      </c>
      <c r="C1639" s="181" t="s">
        <v>8384</v>
      </c>
      <c r="D1639" s="178">
        <v>4.0999999999999996</v>
      </c>
      <c r="E1639" s="181" t="s">
        <v>6450</v>
      </c>
      <c r="F1639" s="184">
        <v>44173</v>
      </c>
      <c r="G1639" s="181"/>
      <c r="H1639" s="181">
        <v>4.0999999999999996</v>
      </c>
      <c r="I1639" s="181" t="str">
        <f>VLOOKUP(LEFT(A1639,4),Groups!$A$1:$C$188,3,FALSE)</f>
        <v>Wireline Geophysics - Readings</v>
      </c>
      <c r="J1639" s="181" t="e">
        <f>VLOOKUP(A1639,Headings!$C$1:$H$3948,4,FALSE)</f>
        <v>#N/A</v>
      </c>
      <c r="K1639" s="181" t="str">
        <f t="shared" si="36"/>
        <v>WGPT_PARA|FWS-STR4T1</v>
      </c>
    </row>
    <row r="1640" spans="1:11" s="112" customFormat="1" hidden="1" x14ac:dyDescent="0.35">
      <c r="A1640" s="181" t="s">
        <v>6395</v>
      </c>
      <c r="B1640" s="182" t="s">
        <v>8385</v>
      </c>
      <c r="C1640" s="181" t="s">
        <v>8386</v>
      </c>
      <c r="D1640" s="178">
        <v>4.0999999999999996</v>
      </c>
      <c r="E1640" s="181" t="s">
        <v>6450</v>
      </c>
      <c r="F1640" s="184">
        <v>44173</v>
      </c>
      <c r="G1640" s="181"/>
      <c r="H1640" s="181">
        <v>4.0999999999999996</v>
      </c>
      <c r="I1640" s="181" t="str">
        <f>VLOOKUP(LEFT(A1640,4),Groups!$A$1:$C$188,3,FALSE)</f>
        <v>Wireline Geophysics - Readings</v>
      </c>
      <c r="J1640" s="181" t="e">
        <f>VLOOKUP(A1640,Headings!$C$1:$H$3948,4,FALSE)</f>
        <v>#N/A</v>
      </c>
      <c r="K1640" s="181" t="str">
        <f t="shared" si="36"/>
        <v>WGPT_PARA|FWS-STR4T2</v>
      </c>
    </row>
    <row r="1641" spans="1:11" s="112" customFormat="1" hidden="1" x14ac:dyDescent="0.35">
      <c r="A1641" s="181" t="s">
        <v>6395</v>
      </c>
      <c r="B1641" s="182" t="s">
        <v>8387</v>
      </c>
      <c r="C1641" s="181" t="s">
        <v>8388</v>
      </c>
      <c r="D1641" s="178">
        <v>4.0999999999999996</v>
      </c>
      <c r="E1641" s="181" t="s">
        <v>6450</v>
      </c>
      <c r="F1641" s="184">
        <v>44173</v>
      </c>
      <c r="G1641" s="181"/>
      <c r="H1641" s="181">
        <v>4.0999999999999996</v>
      </c>
      <c r="I1641" s="181" t="str">
        <f>VLOOKUP(LEFT(A1641,4),Groups!$A$1:$C$188,3,FALSE)</f>
        <v>Wireline Geophysics - Readings</v>
      </c>
      <c r="J1641" s="181" t="e">
        <f>VLOOKUP(A1641,Headings!$C$1:$H$3948,4,FALSE)</f>
        <v>#N/A</v>
      </c>
      <c r="K1641" s="181" t="str">
        <f t="shared" si="36"/>
        <v>WGPT_PARA|FWS-SWV</v>
      </c>
    </row>
    <row r="1642" spans="1:11" s="112" customFormat="1" hidden="1" x14ac:dyDescent="0.35">
      <c r="A1642" s="181" t="s">
        <v>6395</v>
      </c>
      <c r="B1642" s="182" t="s">
        <v>8389</v>
      </c>
      <c r="C1642" s="181" t="s">
        <v>8390</v>
      </c>
      <c r="D1642" s="178">
        <v>4.0999999999999996</v>
      </c>
      <c r="E1642" s="181" t="s">
        <v>6450</v>
      </c>
      <c r="F1642" s="184">
        <v>44173</v>
      </c>
      <c r="G1642" s="181"/>
      <c r="H1642" s="181">
        <v>4.0999999999999996</v>
      </c>
      <c r="I1642" s="181" t="str">
        <f>VLOOKUP(LEFT(A1642,4),Groups!$A$1:$C$188,3,FALSE)</f>
        <v>Wireline Geophysics - Readings</v>
      </c>
      <c r="J1642" s="181" t="e">
        <f>VLOOKUP(A1642,Headings!$C$1:$H$3948,4,FALSE)</f>
        <v>#N/A</v>
      </c>
      <c r="K1642" s="181" t="str">
        <f t="shared" si="36"/>
        <v>WGPT_PARA|FWS-VRAT</v>
      </c>
    </row>
    <row r="1643" spans="1:11" s="112" customFormat="1" hidden="1" x14ac:dyDescent="0.35">
      <c r="A1643" s="181" t="s">
        <v>6395</v>
      </c>
      <c r="B1643" s="182" t="s">
        <v>8391</v>
      </c>
      <c r="C1643" s="181" t="s">
        <v>8392</v>
      </c>
      <c r="D1643" s="178">
        <v>4.0999999999999996</v>
      </c>
      <c r="E1643" s="181" t="s">
        <v>6450</v>
      </c>
      <c r="F1643" s="184">
        <v>44173</v>
      </c>
      <c r="G1643" s="181"/>
      <c r="H1643" s="181">
        <v>4.0999999999999996</v>
      </c>
      <c r="I1643" s="181" t="str">
        <f>VLOOKUP(LEFT(A1643,4),Groups!$A$1:$C$188,3,FALSE)</f>
        <v>Wireline Geophysics - Readings</v>
      </c>
      <c r="J1643" s="181" t="e">
        <f>VLOOKUP(A1643,Headings!$C$1:$H$3948,4,FALSE)</f>
        <v>#N/A</v>
      </c>
      <c r="K1643" s="181" t="str">
        <f t="shared" si="36"/>
        <v>WGPT_PARA|GGD-BD</v>
      </c>
    </row>
    <row r="1644" spans="1:11" s="112" customFormat="1" hidden="1" x14ac:dyDescent="0.35">
      <c r="A1644" s="181" t="s">
        <v>6395</v>
      </c>
      <c r="B1644" s="182" t="s">
        <v>8393</v>
      </c>
      <c r="C1644" s="181" t="s">
        <v>8394</v>
      </c>
      <c r="D1644" s="178">
        <v>4.0999999999999996</v>
      </c>
      <c r="E1644" s="181" t="s">
        <v>6450</v>
      </c>
      <c r="F1644" s="184">
        <v>44173</v>
      </c>
      <c r="G1644" s="181"/>
      <c r="H1644" s="181">
        <v>4.0999999999999996</v>
      </c>
      <c r="I1644" s="181" t="str">
        <f>VLOOKUP(LEFT(A1644,4),Groups!$A$1:$C$188,3,FALSE)</f>
        <v>Wireline Geophysics - Readings</v>
      </c>
      <c r="J1644" s="181" t="e">
        <f>VLOOKUP(A1644,Headings!$C$1:$H$3948,4,FALSE)</f>
        <v>#N/A</v>
      </c>
      <c r="K1644" s="181" t="str">
        <f t="shared" si="36"/>
        <v>WGPT_PARA|GGD-DL</v>
      </c>
    </row>
    <row r="1645" spans="1:11" s="112" customFormat="1" hidden="1" x14ac:dyDescent="0.35">
      <c r="A1645" s="181" t="s">
        <v>6395</v>
      </c>
      <c r="B1645" s="182" t="s">
        <v>8395</v>
      </c>
      <c r="C1645" s="181" t="s">
        <v>8396</v>
      </c>
      <c r="D1645" s="178">
        <v>4.0999999999999996</v>
      </c>
      <c r="E1645" s="181" t="s">
        <v>6450</v>
      </c>
      <c r="F1645" s="184">
        <v>44173</v>
      </c>
      <c r="G1645" s="181"/>
      <c r="H1645" s="181">
        <v>4.0999999999999996</v>
      </c>
      <c r="I1645" s="181" t="str">
        <f>VLOOKUP(LEFT(A1645,4),Groups!$A$1:$C$188,3,FALSE)</f>
        <v>Wireline Geophysics - Readings</v>
      </c>
      <c r="J1645" s="181" t="e">
        <f>VLOOKUP(A1645,Headings!$C$1:$H$3948,4,FALSE)</f>
        <v>#N/A</v>
      </c>
      <c r="K1645" s="181" t="str">
        <f t="shared" si="36"/>
        <v>WGPT_PARA|GGD-DS</v>
      </c>
    </row>
    <row r="1646" spans="1:11" s="112" customFormat="1" hidden="1" x14ac:dyDescent="0.35">
      <c r="A1646" s="181" t="s">
        <v>6395</v>
      </c>
      <c r="B1646" s="182" t="s">
        <v>8397</v>
      </c>
      <c r="C1646" s="181" t="s">
        <v>8398</v>
      </c>
      <c r="D1646" s="178">
        <v>4.0999999999999996</v>
      </c>
      <c r="E1646" s="181" t="s">
        <v>6450</v>
      </c>
      <c r="F1646" s="184">
        <v>44173</v>
      </c>
      <c r="G1646" s="181"/>
      <c r="H1646" s="181">
        <v>4.0999999999999996</v>
      </c>
      <c r="I1646" s="181" t="str">
        <f>VLOOKUP(LEFT(A1646,4),Groups!$A$1:$C$188,3,FALSE)</f>
        <v>Wireline Geophysics - Readings</v>
      </c>
      <c r="J1646" s="181" t="e">
        <f>VLOOKUP(A1646,Headings!$C$1:$H$3948,4,FALSE)</f>
        <v>#N/A</v>
      </c>
      <c r="K1646" s="181" t="str">
        <f t="shared" si="36"/>
        <v>WGPT_PARA|GGD-GL</v>
      </c>
    </row>
    <row r="1647" spans="1:11" s="112" customFormat="1" hidden="1" x14ac:dyDescent="0.35">
      <c r="A1647" s="181" t="s">
        <v>6395</v>
      </c>
      <c r="B1647" s="182" t="s">
        <v>8399</v>
      </c>
      <c r="C1647" s="181" t="s">
        <v>8400</v>
      </c>
      <c r="D1647" s="178">
        <v>4.0999999999999996</v>
      </c>
      <c r="E1647" s="181" t="s">
        <v>6450</v>
      </c>
      <c r="F1647" s="184">
        <v>44173</v>
      </c>
      <c r="G1647" s="181"/>
      <c r="H1647" s="181">
        <v>4.0999999999999996</v>
      </c>
      <c r="I1647" s="181" t="str">
        <f>VLOOKUP(LEFT(A1647,4),Groups!$A$1:$C$188,3,FALSE)</f>
        <v>Wireline Geophysics - Readings</v>
      </c>
      <c r="J1647" s="181" t="e">
        <f>VLOOKUP(A1647,Headings!$C$1:$H$3948,4,FALSE)</f>
        <v>#N/A</v>
      </c>
      <c r="K1647" s="181" t="str">
        <f t="shared" si="36"/>
        <v>WGPT_PARA|GGD-GS</v>
      </c>
    </row>
    <row r="1648" spans="1:11" s="112" customFormat="1" hidden="1" x14ac:dyDescent="0.35">
      <c r="A1648" s="181" t="s">
        <v>6395</v>
      </c>
      <c r="B1648" s="182" t="s">
        <v>8401</v>
      </c>
      <c r="C1648" s="181" t="s">
        <v>8402</v>
      </c>
      <c r="D1648" s="178">
        <v>4.0999999999999996</v>
      </c>
      <c r="E1648" s="181" t="s">
        <v>6450</v>
      </c>
      <c r="F1648" s="184">
        <v>44173</v>
      </c>
      <c r="G1648" s="181"/>
      <c r="H1648" s="181">
        <v>4.0999999999999996</v>
      </c>
      <c r="I1648" s="181" t="str">
        <f>VLOOKUP(LEFT(A1648,4),Groups!$A$1:$C$188,3,FALSE)</f>
        <v>Wireline Geophysics - Readings</v>
      </c>
      <c r="J1648" s="181" t="e">
        <f>VLOOKUP(A1648,Headings!$C$1:$H$3948,4,FALSE)</f>
        <v>#N/A</v>
      </c>
      <c r="K1648" s="181" t="str">
        <f t="shared" si="36"/>
        <v>WGPT_PARA|GGD-SC</v>
      </c>
    </row>
    <row r="1649" spans="1:11" s="112" customFormat="1" hidden="1" x14ac:dyDescent="0.35">
      <c r="A1649" s="181" t="s">
        <v>6395</v>
      </c>
      <c r="B1649" s="182" t="s">
        <v>8403</v>
      </c>
      <c r="C1649" s="181" t="s">
        <v>8404</v>
      </c>
      <c r="D1649" s="178">
        <v>4.0999999999999996</v>
      </c>
      <c r="E1649" s="181" t="s">
        <v>6450</v>
      </c>
      <c r="F1649" s="184">
        <v>44173</v>
      </c>
      <c r="G1649" s="181"/>
      <c r="H1649" s="181">
        <v>4.0999999999999996</v>
      </c>
      <c r="I1649" s="181" t="str">
        <f>VLOOKUP(LEFT(A1649,4),Groups!$A$1:$C$188,3,FALSE)</f>
        <v>Wireline Geophysics - Readings</v>
      </c>
      <c r="J1649" s="181" t="e">
        <f>VLOOKUP(A1649,Headings!$C$1:$H$3948,4,FALSE)</f>
        <v>#N/A</v>
      </c>
      <c r="K1649" s="181" t="str">
        <f t="shared" si="36"/>
        <v>WGPT_PARA|HPFL-FR</v>
      </c>
    </row>
    <row r="1650" spans="1:11" s="112" customFormat="1" hidden="1" x14ac:dyDescent="0.35">
      <c r="A1650" s="181" t="s">
        <v>6395</v>
      </c>
      <c r="B1650" s="182" t="s">
        <v>8405</v>
      </c>
      <c r="C1650" s="181" t="s">
        <v>8406</v>
      </c>
      <c r="D1650" s="178">
        <v>4.0999999999999996</v>
      </c>
      <c r="E1650" s="181" t="s">
        <v>6450</v>
      </c>
      <c r="F1650" s="184">
        <v>44173</v>
      </c>
      <c r="G1650" s="181"/>
      <c r="H1650" s="181">
        <v>4.0999999999999996</v>
      </c>
      <c r="I1650" s="181" t="str">
        <f>VLOOKUP(LEFT(A1650,4),Groups!$A$1:$C$188,3,FALSE)</f>
        <v>Wireline Geophysics - Readings</v>
      </c>
      <c r="J1650" s="181" t="e">
        <f>VLOOKUP(A1650,Headings!$C$1:$H$3948,4,FALSE)</f>
        <v>#N/A</v>
      </c>
      <c r="K1650" s="181" t="str">
        <f t="shared" si="36"/>
        <v>WGPT_PARA|HPFL-TTD</v>
      </c>
    </row>
    <row r="1651" spans="1:11" s="112" customFormat="1" hidden="1" x14ac:dyDescent="0.35">
      <c r="A1651" s="181" t="s">
        <v>6395</v>
      </c>
      <c r="B1651" s="182" t="s">
        <v>8407</v>
      </c>
      <c r="C1651" s="181" t="s">
        <v>8408</v>
      </c>
      <c r="D1651" s="178">
        <v>4.0999999999999996</v>
      </c>
      <c r="E1651" s="181" t="s">
        <v>6450</v>
      </c>
      <c r="F1651" s="184">
        <v>44173</v>
      </c>
      <c r="G1651" s="181"/>
      <c r="H1651" s="181">
        <v>4.0999999999999996</v>
      </c>
      <c r="I1651" s="181" t="str">
        <f>VLOOKUP(LEFT(A1651,4),Groups!$A$1:$C$188,3,FALSE)</f>
        <v>Wireline Geophysics - Readings</v>
      </c>
      <c r="J1651" s="181" t="e">
        <f>VLOOKUP(A1651,Headings!$C$1:$H$3948,4,FALSE)</f>
        <v>#N/A</v>
      </c>
      <c r="K1651" s="181" t="str">
        <f t="shared" si="36"/>
        <v>WGPT_PARA|HPRL-TCD</v>
      </c>
    </row>
    <row r="1652" spans="1:11" s="112" customFormat="1" hidden="1" x14ac:dyDescent="0.35">
      <c r="A1652" s="181" t="s">
        <v>6395</v>
      </c>
      <c r="B1652" s="182" t="s">
        <v>8409</v>
      </c>
      <c r="C1652" s="181" t="s">
        <v>8410</v>
      </c>
      <c r="D1652" s="178">
        <v>4.0999999999999996</v>
      </c>
      <c r="E1652" s="181" t="s">
        <v>6450</v>
      </c>
      <c r="F1652" s="184">
        <v>44173</v>
      </c>
      <c r="G1652" s="181"/>
      <c r="H1652" s="181">
        <v>4.0999999999999996</v>
      </c>
      <c r="I1652" s="181" t="str">
        <f>VLOOKUP(LEFT(A1652,4),Groups!$A$1:$C$188,3,FALSE)</f>
        <v>Wireline Geophysics - Readings</v>
      </c>
      <c r="J1652" s="181" t="e">
        <f>VLOOKUP(A1652,Headings!$C$1:$H$3948,4,FALSE)</f>
        <v>#N/A</v>
      </c>
      <c r="K1652" s="181" t="str">
        <f t="shared" si="36"/>
        <v>WGPT_PARA|IPFL-CS</v>
      </c>
    </row>
    <row r="1653" spans="1:11" s="112" customFormat="1" hidden="1" x14ac:dyDescent="0.35">
      <c r="A1653" s="181" t="s">
        <v>6395</v>
      </c>
      <c r="B1653" s="182" t="s">
        <v>8411</v>
      </c>
      <c r="C1653" s="181" t="s">
        <v>8412</v>
      </c>
      <c r="D1653" s="178">
        <v>4.0999999999999996</v>
      </c>
      <c r="E1653" s="181" t="s">
        <v>6450</v>
      </c>
      <c r="F1653" s="184">
        <v>44173</v>
      </c>
      <c r="G1653" s="181"/>
      <c r="H1653" s="181">
        <v>4.0999999999999996</v>
      </c>
      <c r="I1653" s="181" t="str">
        <f>VLOOKUP(LEFT(A1653,4),Groups!$A$1:$C$188,3,FALSE)</f>
        <v>Wireline Geophysics - Readings</v>
      </c>
      <c r="J1653" s="181" t="e">
        <f>VLOOKUP(A1653,Headings!$C$1:$H$3948,4,FALSE)</f>
        <v>#N/A</v>
      </c>
      <c r="K1653" s="181" t="str">
        <f t="shared" si="36"/>
        <v>WGPT_PARA|IPFL-DRAT</v>
      </c>
    </row>
    <row r="1654" spans="1:11" s="112" customFormat="1" hidden="1" x14ac:dyDescent="0.35">
      <c r="A1654" s="181" t="s">
        <v>6395</v>
      </c>
      <c r="B1654" s="182" t="s">
        <v>8413</v>
      </c>
      <c r="C1654" s="181" t="s">
        <v>8414</v>
      </c>
      <c r="D1654" s="178">
        <v>4.0999999999999996</v>
      </c>
      <c r="E1654" s="181" t="s">
        <v>6450</v>
      </c>
      <c r="F1654" s="184">
        <v>44173</v>
      </c>
      <c r="G1654" s="181"/>
      <c r="H1654" s="181">
        <v>4.0999999999999996</v>
      </c>
      <c r="I1654" s="181" t="str">
        <f>VLOOKUP(LEFT(A1654,4),Groups!$A$1:$C$188,3,FALSE)</f>
        <v>Wireline Geophysics - Readings</v>
      </c>
      <c r="J1654" s="181" t="e">
        <f>VLOOKUP(A1654,Headings!$C$1:$H$3948,4,FALSE)</f>
        <v>#N/A</v>
      </c>
      <c r="K1654" s="181" t="str">
        <f t="shared" si="36"/>
        <v>WGPT_PARA|IPFL-FR</v>
      </c>
    </row>
    <row r="1655" spans="1:11" s="112" customFormat="1" hidden="1" x14ac:dyDescent="0.35">
      <c r="A1655" s="181" t="s">
        <v>6395</v>
      </c>
      <c r="B1655" s="182" t="s">
        <v>8415</v>
      </c>
      <c r="C1655" s="181" t="s">
        <v>8416</v>
      </c>
      <c r="D1655" s="178">
        <v>4.0999999999999996</v>
      </c>
      <c r="E1655" s="181" t="s">
        <v>6450</v>
      </c>
      <c r="F1655" s="184">
        <v>44173</v>
      </c>
      <c r="G1655" s="181"/>
      <c r="H1655" s="181">
        <v>4.0999999999999996</v>
      </c>
      <c r="I1655" s="181" t="str">
        <f>VLOOKUP(LEFT(A1655,4),Groups!$A$1:$C$188,3,FALSE)</f>
        <v>Wireline Geophysics - Readings</v>
      </c>
      <c r="J1655" s="181" t="e">
        <f>VLOOKUP(A1655,Headings!$C$1:$H$3948,4,FALSE)</f>
        <v>#N/A</v>
      </c>
      <c r="K1655" s="181" t="str">
        <f t="shared" si="36"/>
        <v>WGPT_PARA|IPFL-SRAT</v>
      </c>
    </row>
    <row r="1656" spans="1:11" s="112" customFormat="1" hidden="1" x14ac:dyDescent="0.35">
      <c r="A1656" s="181" t="s">
        <v>6395</v>
      </c>
      <c r="B1656" s="182" t="s">
        <v>8417</v>
      </c>
      <c r="C1656" s="181" t="s">
        <v>8418</v>
      </c>
      <c r="D1656" s="178">
        <v>4.0999999999999996</v>
      </c>
      <c r="E1656" s="181" t="s">
        <v>6450</v>
      </c>
      <c r="F1656" s="184">
        <v>44173</v>
      </c>
      <c r="G1656" s="181"/>
      <c r="H1656" s="181">
        <v>4.0999999999999996</v>
      </c>
      <c r="I1656" s="181" t="str">
        <f>VLOOKUP(LEFT(A1656,4),Groups!$A$1:$C$188,3,FALSE)</f>
        <v>Wireline Geophysics - Readings</v>
      </c>
      <c r="J1656" s="181" t="e">
        <f>VLOOKUP(A1656,Headings!$C$1:$H$3948,4,FALSE)</f>
        <v>#N/A</v>
      </c>
      <c r="K1656" s="181" t="str">
        <f t="shared" si="36"/>
        <v>WGPT_PARA|MSUS-FS</v>
      </c>
    </row>
    <row r="1657" spans="1:11" s="112" customFormat="1" hidden="1" x14ac:dyDescent="0.35">
      <c r="A1657" s="181" t="s">
        <v>6395</v>
      </c>
      <c r="B1657" s="182" t="s">
        <v>8419</v>
      </c>
      <c r="C1657" s="181" t="s">
        <v>8420</v>
      </c>
      <c r="D1657" s="178">
        <v>4.0999999999999996</v>
      </c>
      <c r="E1657" s="181" t="s">
        <v>6450</v>
      </c>
      <c r="F1657" s="184">
        <v>44173</v>
      </c>
      <c r="G1657" s="181"/>
      <c r="H1657" s="181">
        <v>4.0999999999999996</v>
      </c>
      <c r="I1657" s="181" t="str">
        <f>VLOOKUP(LEFT(A1657,4),Groups!$A$1:$C$188,3,FALSE)</f>
        <v>Wireline Geophysics - Readings</v>
      </c>
      <c r="J1657" s="181" t="e">
        <f>VLOOKUP(A1657,Headings!$C$1:$H$3948,4,FALSE)</f>
        <v>#N/A</v>
      </c>
      <c r="K1657" s="181" t="str">
        <f t="shared" si="36"/>
        <v>WGPT_PARA|NGR-CV</v>
      </c>
    </row>
    <row r="1658" spans="1:11" s="112" customFormat="1" hidden="1" x14ac:dyDescent="0.35">
      <c r="A1658" s="181" t="s">
        <v>6395</v>
      </c>
      <c r="B1658" s="182" t="s">
        <v>8421</v>
      </c>
      <c r="C1658" s="181" t="s">
        <v>8422</v>
      </c>
      <c r="D1658" s="178">
        <v>4.0999999999999996</v>
      </c>
      <c r="E1658" s="181" t="s">
        <v>6450</v>
      </c>
      <c r="F1658" s="184">
        <v>44173</v>
      </c>
      <c r="G1658" s="181"/>
      <c r="H1658" s="181">
        <v>4.0999999999999996</v>
      </c>
      <c r="I1658" s="181" t="str">
        <f>VLOOKUP(LEFT(A1658,4),Groups!$A$1:$C$188,3,FALSE)</f>
        <v>Wireline Geophysics - Readings</v>
      </c>
      <c r="J1658" s="181" t="e">
        <f>VLOOKUP(A1658,Headings!$C$1:$H$3948,4,FALSE)</f>
        <v>#N/A</v>
      </c>
      <c r="K1658" s="181" t="str">
        <f t="shared" ref="K1658:K1683" si="37">A1658&amp;"|"&amp;B1658</f>
        <v>WGPT_PARA|NGR-NGA</v>
      </c>
    </row>
    <row r="1659" spans="1:11" s="112" customFormat="1" hidden="1" x14ac:dyDescent="0.35">
      <c r="A1659" s="181" t="s">
        <v>6395</v>
      </c>
      <c r="B1659" s="182" t="s">
        <v>8423</v>
      </c>
      <c r="C1659" s="181" t="s">
        <v>8424</v>
      </c>
      <c r="D1659" s="178">
        <v>4.0999999999999996</v>
      </c>
      <c r="E1659" s="181" t="s">
        <v>6450</v>
      </c>
      <c r="F1659" s="184">
        <v>44173</v>
      </c>
      <c r="G1659" s="181"/>
      <c r="H1659" s="181">
        <v>4.0999999999999996</v>
      </c>
      <c r="I1659" s="181" t="str">
        <f>VLOOKUP(LEFT(A1659,4),Groups!$A$1:$C$188,3,FALSE)</f>
        <v>Wireline Geophysics - Readings</v>
      </c>
      <c r="J1659" s="181" t="e">
        <f>VLOOKUP(A1659,Headings!$C$1:$H$3948,4,FALSE)</f>
        <v>#N/A</v>
      </c>
      <c r="K1659" s="181" t="str">
        <f t="shared" si="37"/>
        <v>WGPT_PARA|NGR-NGC</v>
      </c>
    </row>
    <row r="1660" spans="1:11" s="112" customFormat="1" hidden="1" x14ac:dyDescent="0.35">
      <c r="A1660" s="181" t="s">
        <v>6395</v>
      </c>
      <c r="B1660" s="182" t="s">
        <v>8425</v>
      </c>
      <c r="C1660" s="181" t="s">
        <v>8426</v>
      </c>
      <c r="D1660" s="178">
        <v>4.0999999999999996</v>
      </c>
      <c r="E1660" s="181" t="s">
        <v>6450</v>
      </c>
      <c r="F1660" s="184">
        <v>44173</v>
      </c>
      <c r="G1660" s="181"/>
      <c r="H1660" s="181">
        <v>4.0999999999999996</v>
      </c>
      <c r="I1660" s="181" t="str">
        <f>VLOOKUP(LEFT(A1660,4),Groups!$A$1:$C$188,3,FALSE)</f>
        <v>Wireline Geophysics - Readings</v>
      </c>
      <c r="J1660" s="181" t="e">
        <f>VLOOKUP(A1660,Headings!$C$1:$H$3948,4,FALSE)</f>
        <v>#N/A</v>
      </c>
      <c r="K1660" s="181" t="str">
        <f t="shared" si="37"/>
        <v>WGPT_PARA|NTR-LPPC</v>
      </c>
    </row>
    <row r="1661" spans="1:11" s="112" customFormat="1" hidden="1" x14ac:dyDescent="0.35">
      <c r="A1661" s="181" t="s">
        <v>6395</v>
      </c>
      <c r="B1661" s="182" t="s">
        <v>8427</v>
      </c>
      <c r="C1661" s="181" t="s">
        <v>8426</v>
      </c>
      <c r="D1661" s="178">
        <v>4.0999999999999996</v>
      </c>
      <c r="E1661" s="181" t="s">
        <v>6450</v>
      </c>
      <c r="F1661" s="184">
        <v>44173</v>
      </c>
      <c r="G1661" s="181"/>
      <c r="H1661" s="181">
        <v>4.0999999999999996</v>
      </c>
      <c r="I1661" s="181" t="str">
        <f>VLOOKUP(LEFT(A1661,4),Groups!$A$1:$C$188,3,FALSE)</f>
        <v>Wireline Geophysics - Readings</v>
      </c>
      <c r="J1661" s="181" t="e">
        <f>VLOOKUP(A1661,Headings!$C$1:$H$3948,4,FALSE)</f>
        <v>#N/A</v>
      </c>
      <c r="K1661" s="181" t="str">
        <f t="shared" si="37"/>
        <v>WGPT_PARA|NTR-LPPU</v>
      </c>
    </row>
    <row r="1662" spans="1:11" s="112" customFormat="1" hidden="1" x14ac:dyDescent="0.35">
      <c r="A1662" s="181" t="s">
        <v>6395</v>
      </c>
      <c r="B1662" s="182" t="s">
        <v>8428</v>
      </c>
      <c r="C1662" s="181" t="s">
        <v>8429</v>
      </c>
      <c r="D1662" s="178">
        <v>4.0999999999999996</v>
      </c>
      <c r="E1662" s="181" t="s">
        <v>6450</v>
      </c>
      <c r="F1662" s="184">
        <v>44173</v>
      </c>
      <c r="G1662" s="181"/>
      <c r="H1662" s="181">
        <v>4.0999999999999996</v>
      </c>
      <c r="I1662" s="181" t="str">
        <f>VLOOKUP(LEFT(A1662,4),Groups!$A$1:$C$188,3,FALSE)</f>
        <v>Wireline Geophysics - Readings</v>
      </c>
      <c r="J1662" s="181" t="e">
        <f>VLOOKUP(A1662,Headings!$C$1:$H$3948,4,FALSE)</f>
        <v>#N/A</v>
      </c>
      <c r="K1662" s="181" t="str">
        <f t="shared" si="37"/>
        <v>WGPT_PARA|NTR-NPPC</v>
      </c>
    </row>
    <row r="1663" spans="1:11" s="112" customFormat="1" hidden="1" x14ac:dyDescent="0.35">
      <c r="A1663" s="181" t="s">
        <v>6395</v>
      </c>
      <c r="B1663" s="182" t="s">
        <v>8430</v>
      </c>
      <c r="C1663" s="181" t="s">
        <v>8431</v>
      </c>
      <c r="D1663" s="178">
        <v>4.0999999999999996</v>
      </c>
      <c r="E1663" s="181" t="s">
        <v>6450</v>
      </c>
      <c r="F1663" s="184">
        <v>44173</v>
      </c>
      <c r="G1663" s="181"/>
      <c r="H1663" s="181">
        <v>4.0999999999999996</v>
      </c>
      <c r="I1663" s="181" t="str">
        <f>VLOOKUP(LEFT(A1663,4),Groups!$A$1:$C$188,3,FALSE)</f>
        <v>Wireline Geophysics - Readings</v>
      </c>
      <c r="J1663" s="181" t="e">
        <f>VLOOKUP(A1663,Headings!$C$1:$H$3948,4,FALSE)</f>
        <v>#N/A</v>
      </c>
      <c r="K1663" s="181" t="str">
        <f t="shared" si="37"/>
        <v>WGPT_PARA|NTR-NPPU</v>
      </c>
    </row>
    <row r="1664" spans="1:11" s="112" customFormat="1" hidden="1" x14ac:dyDescent="0.35">
      <c r="A1664" s="181" t="s">
        <v>6395</v>
      </c>
      <c r="B1664" s="182" t="s">
        <v>8432</v>
      </c>
      <c r="C1664" s="181" t="s">
        <v>8433</v>
      </c>
      <c r="D1664" s="178">
        <v>4.0999999999999996</v>
      </c>
      <c r="E1664" s="181" t="s">
        <v>6450</v>
      </c>
      <c r="F1664" s="184">
        <v>44173</v>
      </c>
      <c r="G1664" s="181"/>
      <c r="H1664" s="181">
        <v>4.0999999999999996</v>
      </c>
      <c r="I1664" s="181" t="str">
        <f>VLOOKUP(LEFT(A1664,4),Groups!$A$1:$C$188,3,FALSE)</f>
        <v>Wireline Geophysics - Readings</v>
      </c>
      <c r="J1664" s="181" t="e">
        <f>VLOOKUP(A1664,Headings!$C$1:$H$3948,4,FALSE)</f>
        <v>#N/A</v>
      </c>
      <c r="K1664" s="181" t="str">
        <f t="shared" si="37"/>
        <v>WGPT_PARA|NTR-SPPC</v>
      </c>
    </row>
    <row r="1665" spans="1:12" s="112" customFormat="1" hidden="1" x14ac:dyDescent="0.35">
      <c r="A1665" s="181" t="s">
        <v>6395</v>
      </c>
      <c r="B1665" s="182" t="s">
        <v>8434</v>
      </c>
      <c r="C1665" s="181" t="s">
        <v>8433</v>
      </c>
      <c r="D1665" s="178">
        <v>4.0999999999999996</v>
      </c>
      <c r="E1665" s="181" t="s">
        <v>6450</v>
      </c>
      <c r="F1665" s="184">
        <v>44173</v>
      </c>
      <c r="G1665" s="181"/>
      <c r="H1665" s="181">
        <v>4.0999999999999996</v>
      </c>
      <c r="I1665" s="181" t="str">
        <f>VLOOKUP(LEFT(A1665,4),Groups!$A$1:$C$188,3,FALSE)</f>
        <v>Wireline Geophysics - Readings</v>
      </c>
      <c r="J1665" s="181" t="e">
        <f>VLOOKUP(A1665,Headings!$C$1:$H$3948,4,FALSE)</f>
        <v>#N/A</v>
      </c>
      <c r="K1665" s="181" t="str">
        <f t="shared" si="37"/>
        <v>WGPT_PARA|NTR-SPPU</v>
      </c>
    </row>
    <row r="1666" spans="1:12" s="112" customFormat="1" hidden="1" x14ac:dyDescent="0.35">
      <c r="A1666" s="181" t="s">
        <v>6395</v>
      </c>
      <c r="B1666" s="182" t="s">
        <v>8435</v>
      </c>
      <c r="C1666" s="181" t="s">
        <v>8436</v>
      </c>
      <c r="D1666" s="178">
        <v>4.0999999999999996</v>
      </c>
      <c r="E1666" s="181" t="s">
        <v>6450</v>
      </c>
      <c r="F1666" s="184">
        <v>44173</v>
      </c>
      <c r="G1666" s="181"/>
      <c r="H1666" s="181">
        <v>4.0999999999999996</v>
      </c>
      <c r="I1666" s="181" t="str">
        <f>VLOOKUP(LEFT(A1666,4),Groups!$A$1:$C$188,3,FALSE)</f>
        <v>Wireline Geophysics - Readings</v>
      </c>
      <c r="J1666" s="181" t="e">
        <f>VLOOKUP(A1666,Headings!$C$1:$H$3948,4,FALSE)</f>
        <v>#N/A</v>
      </c>
      <c r="K1666" s="181" t="str">
        <f t="shared" si="37"/>
        <v>WGPT_PARA|OBI-BAM</v>
      </c>
    </row>
    <row r="1667" spans="1:12" s="112" customFormat="1" hidden="1" x14ac:dyDescent="0.35">
      <c r="A1667" s="181" t="s">
        <v>6395</v>
      </c>
      <c r="B1667" s="182" t="s">
        <v>8437</v>
      </c>
      <c r="C1667" s="181" t="s">
        <v>8438</v>
      </c>
      <c r="D1667" s="178">
        <v>4.0999999999999996</v>
      </c>
      <c r="E1667" s="181" t="s">
        <v>6450</v>
      </c>
      <c r="F1667" s="184">
        <v>44173</v>
      </c>
      <c r="G1667" s="181"/>
      <c r="H1667" s="181">
        <v>4.0999999999999996</v>
      </c>
      <c r="I1667" s="181" t="str">
        <f>VLOOKUP(LEFT(A1667,4),Groups!$A$1:$C$188,3,FALSE)</f>
        <v>Wireline Geophysics - Readings</v>
      </c>
      <c r="J1667" s="181" t="e">
        <f>VLOOKUP(A1667,Headings!$C$1:$H$3948,4,FALSE)</f>
        <v>#N/A</v>
      </c>
      <c r="K1667" s="181" t="str">
        <f t="shared" si="37"/>
        <v>WGPT_PARA|OBI-BT</v>
      </c>
    </row>
    <row r="1668" spans="1:12" s="112" customFormat="1" hidden="1" x14ac:dyDescent="0.35">
      <c r="A1668" s="181" t="s">
        <v>6395</v>
      </c>
      <c r="B1668" s="182" t="s">
        <v>8439</v>
      </c>
      <c r="C1668" s="181" t="s">
        <v>8440</v>
      </c>
      <c r="D1668" s="178">
        <v>4.0999999999999996</v>
      </c>
      <c r="E1668" s="181" t="s">
        <v>6450</v>
      </c>
      <c r="F1668" s="184">
        <v>44173</v>
      </c>
      <c r="G1668" s="181"/>
      <c r="H1668" s="181">
        <v>4.0999999999999996</v>
      </c>
      <c r="I1668" s="181" t="str">
        <f>VLOOKUP(LEFT(A1668,4),Groups!$A$1:$C$188,3,FALSE)</f>
        <v>Wireline Geophysics - Readings</v>
      </c>
      <c r="J1668" s="181" t="e">
        <f>VLOOKUP(A1668,Headings!$C$1:$H$3948,4,FALSE)</f>
        <v>#N/A</v>
      </c>
      <c r="K1668" s="181" t="str">
        <f t="shared" si="37"/>
        <v>WGPT_PARA|OBI-EAST</v>
      </c>
    </row>
    <row r="1669" spans="1:12" s="112" customFormat="1" hidden="1" x14ac:dyDescent="0.35">
      <c r="A1669" s="181" t="s">
        <v>6395</v>
      </c>
      <c r="B1669" s="182" t="s">
        <v>8441</v>
      </c>
      <c r="C1669" s="181" t="s">
        <v>8442</v>
      </c>
      <c r="D1669" s="178">
        <v>4.0999999999999996</v>
      </c>
      <c r="E1669" s="181" t="s">
        <v>6450</v>
      </c>
      <c r="F1669" s="184">
        <v>44173</v>
      </c>
      <c r="G1669" s="181"/>
      <c r="H1669" s="181">
        <v>4.0999999999999996</v>
      </c>
      <c r="I1669" s="181" t="str">
        <f>VLOOKUP(LEFT(A1669,4),Groups!$A$1:$C$188,3,FALSE)</f>
        <v>Wireline Geophysics - Readings</v>
      </c>
      <c r="J1669" s="181" t="e">
        <f>VLOOKUP(A1669,Headings!$C$1:$H$3948,4,FALSE)</f>
        <v>#N/A</v>
      </c>
      <c r="K1669" s="181" t="str">
        <f t="shared" si="37"/>
        <v>WGPT_PARA|OBI-MF</v>
      </c>
    </row>
    <row r="1670" spans="1:12" s="112" customFormat="1" hidden="1" x14ac:dyDescent="0.35">
      <c r="A1670" s="181" t="s">
        <v>6395</v>
      </c>
      <c r="B1670" s="182" t="s">
        <v>8443</v>
      </c>
      <c r="C1670" s="181" t="s">
        <v>8444</v>
      </c>
      <c r="D1670" s="178">
        <v>4.0999999999999996</v>
      </c>
      <c r="E1670" s="181" t="s">
        <v>6450</v>
      </c>
      <c r="F1670" s="184">
        <v>44173</v>
      </c>
      <c r="G1670" s="181"/>
      <c r="H1670" s="181">
        <v>4.0999999999999996</v>
      </c>
      <c r="I1670" s="181" t="str">
        <f>VLOOKUP(LEFT(A1670,4),Groups!$A$1:$C$188,3,FALSE)</f>
        <v>Wireline Geophysics - Readings</v>
      </c>
      <c r="J1670" s="181" t="e">
        <f>VLOOKUP(A1670,Headings!$C$1:$H$3948,4,FALSE)</f>
        <v>#N/A</v>
      </c>
      <c r="K1670" s="181" t="str">
        <f t="shared" si="37"/>
        <v>WGPT_PARA|OBI-NORT</v>
      </c>
    </row>
    <row r="1671" spans="1:12" s="112" customFormat="1" hidden="1" x14ac:dyDescent="0.35">
      <c r="A1671" s="181" t="s">
        <v>6395</v>
      </c>
      <c r="B1671" s="182" t="s">
        <v>8445</v>
      </c>
      <c r="C1671" s="181" t="s">
        <v>8446</v>
      </c>
      <c r="D1671" s="178">
        <v>4.0999999999999996</v>
      </c>
      <c r="E1671" s="181" t="s">
        <v>6450</v>
      </c>
      <c r="F1671" s="184">
        <v>44173</v>
      </c>
      <c r="G1671" s="181"/>
      <c r="H1671" s="181">
        <v>4.0999999999999996</v>
      </c>
      <c r="I1671" s="181" t="str">
        <f>VLOOKUP(LEFT(A1671,4),Groups!$A$1:$C$188,3,FALSE)</f>
        <v>Wireline Geophysics - Readings</v>
      </c>
      <c r="J1671" s="181" t="e">
        <f>VLOOKUP(A1671,Headings!$C$1:$H$3948,4,FALSE)</f>
        <v>#N/A</v>
      </c>
      <c r="K1671" s="181" t="str">
        <f t="shared" si="37"/>
        <v>WGPT_PARA|OBI-SAM</v>
      </c>
      <c r="L1671" s="181"/>
    </row>
    <row r="1672" spans="1:12" s="112" customFormat="1" hidden="1" x14ac:dyDescent="0.35">
      <c r="A1672" s="181" t="s">
        <v>6395</v>
      </c>
      <c r="B1672" s="182" t="s">
        <v>8447</v>
      </c>
      <c r="C1672" s="181" t="s">
        <v>8448</v>
      </c>
      <c r="D1672" s="178">
        <v>4.0999999999999996</v>
      </c>
      <c r="E1672" s="181" t="s">
        <v>6450</v>
      </c>
      <c r="F1672" s="184">
        <v>44173</v>
      </c>
      <c r="G1672" s="181"/>
      <c r="H1672" s="181">
        <v>4.0999999999999996</v>
      </c>
      <c r="I1672" s="181" t="str">
        <f>VLOOKUP(LEFT(A1672,4),Groups!$A$1:$C$188,3,FALSE)</f>
        <v>Wireline Geophysics - Readings</v>
      </c>
      <c r="J1672" s="181" t="e">
        <f>VLOOKUP(A1672,Headings!$C$1:$H$3948,4,FALSE)</f>
        <v>#N/A</v>
      </c>
      <c r="K1672" s="181" t="str">
        <f t="shared" si="37"/>
        <v>WGPT_PARA|OBI-SDIP</v>
      </c>
      <c r="L1672" s="181"/>
    </row>
    <row r="1673" spans="1:12" s="112" customFormat="1" hidden="1" x14ac:dyDescent="0.35">
      <c r="A1673" s="181" t="s">
        <v>6395</v>
      </c>
      <c r="B1673" s="182" t="s">
        <v>8449</v>
      </c>
      <c r="C1673" s="181" t="s">
        <v>8450</v>
      </c>
      <c r="D1673" s="178">
        <v>4.0999999999999996</v>
      </c>
      <c r="E1673" s="181" t="s">
        <v>6450</v>
      </c>
      <c r="F1673" s="184">
        <v>44173</v>
      </c>
      <c r="G1673" s="181"/>
      <c r="H1673" s="181">
        <v>4.0999999999999996</v>
      </c>
      <c r="I1673" s="181" t="str">
        <f>VLOOKUP(LEFT(A1673,4),Groups!$A$1:$C$188,3,FALSE)</f>
        <v>Wireline Geophysics - Readings</v>
      </c>
      <c r="J1673" s="181" t="e">
        <f>VLOOKUP(A1673,Headings!$C$1:$H$3948,4,FALSE)</f>
        <v>#N/A</v>
      </c>
      <c r="K1673" s="181" t="str">
        <f t="shared" si="37"/>
        <v>WGPT_PARA|OBI-TVD</v>
      </c>
      <c r="L1673" s="181"/>
    </row>
    <row r="1674" spans="1:12" s="112" customFormat="1" hidden="1" x14ac:dyDescent="0.35">
      <c r="A1674" s="181" t="s">
        <v>6395</v>
      </c>
      <c r="B1674" s="182" t="s">
        <v>8451</v>
      </c>
      <c r="C1674" s="181" t="s">
        <v>8452</v>
      </c>
      <c r="D1674" s="178">
        <v>4.0999999999999996</v>
      </c>
      <c r="E1674" s="181" t="s">
        <v>6450</v>
      </c>
      <c r="F1674" s="184">
        <v>44173</v>
      </c>
      <c r="G1674" s="181"/>
      <c r="H1674" s="181">
        <v>4.0999999999999996</v>
      </c>
      <c r="I1674" s="181" t="str">
        <f>VLOOKUP(LEFT(A1674,4),Groups!$A$1:$C$188,3,FALSE)</f>
        <v>Wireline Geophysics - Readings</v>
      </c>
      <c r="J1674" s="181" t="e">
        <f>VLOOKUP(A1674,Headings!$C$1:$H$3948,4,FALSE)</f>
        <v>#N/A</v>
      </c>
      <c r="K1674" s="181" t="str">
        <f t="shared" si="37"/>
        <v>WGPT_PARA|PSL-PWV</v>
      </c>
      <c r="L1674" s="181"/>
    </row>
    <row r="1675" spans="1:12" s="112" customFormat="1" hidden="1" x14ac:dyDescent="0.35">
      <c r="A1675" s="181" t="s">
        <v>6395</v>
      </c>
      <c r="B1675" s="182" t="s">
        <v>8453</v>
      </c>
      <c r="C1675" s="181" t="s">
        <v>8454</v>
      </c>
      <c r="D1675" s="178">
        <v>4.0999999999999996</v>
      </c>
      <c r="E1675" s="181" t="s">
        <v>6450</v>
      </c>
      <c r="F1675" s="184">
        <v>44173</v>
      </c>
      <c r="G1675" s="181"/>
      <c r="H1675" s="181">
        <v>4.0999999999999996</v>
      </c>
      <c r="I1675" s="181" t="str">
        <f>VLOOKUP(LEFT(A1675,4),Groups!$A$1:$C$188,3,FALSE)</f>
        <v>Wireline Geophysics - Readings</v>
      </c>
      <c r="J1675" s="181" t="e">
        <f>VLOOKUP(A1675,Headings!$C$1:$H$3948,4,FALSE)</f>
        <v>#N/A</v>
      </c>
      <c r="K1675" s="181" t="str">
        <f t="shared" si="37"/>
        <v>WGPT_PARA|PSL-SWV</v>
      </c>
      <c r="L1675" s="181"/>
    </row>
    <row r="1676" spans="1:12" s="112" customFormat="1" hidden="1" x14ac:dyDescent="0.35">
      <c r="A1676" s="181" t="s">
        <v>6395</v>
      </c>
      <c r="B1676" s="182" t="s">
        <v>8455</v>
      </c>
      <c r="C1676" s="181" t="s">
        <v>8456</v>
      </c>
      <c r="D1676" s="178">
        <v>4.0999999999999996</v>
      </c>
      <c r="E1676" s="181" t="s">
        <v>6450</v>
      </c>
      <c r="F1676" s="184">
        <v>44173</v>
      </c>
      <c r="G1676" s="181"/>
      <c r="H1676" s="181">
        <v>4.0999999999999996</v>
      </c>
      <c r="I1676" s="181" t="str">
        <f>VLOOKUP(LEFT(A1676,4),Groups!$A$1:$C$188,3,FALSE)</f>
        <v>Wireline Geophysics - Readings</v>
      </c>
      <c r="J1676" s="181" t="e">
        <f>VLOOKUP(A1676,Headings!$C$1:$H$3948,4,FALSE)</f>
        <v>#N/A</v>
      </c>
      <c r="K1676" s="181" t="str">
        <f t="shared" si="37"/>
        <v>WGPT_PARA|SGR-CCV</v>
      </c>
      <c r="L1676" s="181"/>
    </row>
    <row r="1677" spans="1:12" s="112" customFormat="1" hidden="1" x14ac:dyDescent="0.35">
      <c r="A1677" s="181" t="s">
        <v>6395</v>
      </c>
      <c r="B1677" s="182" t="s">
        <v>8457</v>
      </c>
      <c r="C1677" s="181" t="s">
        <v>8458</v>
      </c>
      <c r="D1677" s="178">
        <v>4.0999999999999996</v>
      </c>
      <c r="E1677" s="181" t="s">
        <v>6450</v>
      </c>
      <c r="F1677" s="184">
        <v>44173</v>
      </c>
      <c r="G1677" s="181"/>
      <c r="H1677" s="181">
        <v>4.0999999999999996</v>
      </c>
      <c r="I1677" s="181" t="str">
        <f>VLOOKUP(LEFT(A1677,4),Groups!$A$1:$C$188,3,FALSE)</f>
        <v>Wireline Geophysics - Readings</v>
      </c>
      <c r="J1677" s="181" t="e">
        <f>VLOOKUP(A1677,Headings!$C$1:$H$3948,4,FALSE)</f>
        <v>#N/A</v>
      </c>
      <c r="K1677" s="181" t="str">
        <f t="shared" si="37"/>
        <v>WGPT_PARA|SGR-CV</v>
      </c>
      <c r="L1677" s="181"/>
    </row>
    <row r="1678" spans="1:12" s="112" customFormat="1" hidden="1" x14ac:dyDescent="0.35">
      <c r="A1678" s="181" t="s">
        <v>6395</v>
      </c>
      <c r="B1678" s="182" t="s">
        <v>8459</v>
      </c>
      <c r="C1678" s="181" t="s">
        <v>8460</v>
      </c>
      <c r="D1678" s="178">
        <v>4.0999999999999996</v>
      </c>
      <c r="E1678" s="181" t="s">
        <v>6450</v>
      </c>
      <c r="F1678" s="184">
        <v>44173</v>
      </c>
      <c r="G1678" s="181"/>
      <c r="H1678" s="181">
        <v>4.0999999999999996</v>
      </c>
      <c r="I1678" s="181" t="str">
        <f>VLOOKUP(LEFT(A1678,4),Groups!$A$1:$C$188,3,FALSE)</f>
        <v>Wireline Geophysics - Readings</v>
      </c>
      <c r="J1678" s="181" t="e">
        <f>VLOOKUP(A1678,Headings!$C$1:$H$3948,4,FALSE)</f>
        <v>#N/A</v>
      </c>
      <c r="K1678" s="181" t="str">
        <f t="shared" si="37"/>
        <v>WGPT_PARA|SGR-PC</v>
      </c>
      <c r="L1678" s="181"/>
    </row>
    <row r="1679" spans="1:12" s="112" customFormat="1" hidden="1" x14ac:dyDescent="0.35">
      <c r="A1679" s="181" t="s">
        <v>6395</v>
      </c>
      <c r="B1679" s="182" t="s">
        <v>8461</v>
      </c>
      <c r="C1679" s="181" t="s">
        <v>8462</v>
      </c>
      <c r="D1679" s="178">
        <v>4.0999999999999996</v>
      </c>
      <c r="E1679" s="181" t="s">
        <v>6450</v>
      </c>
      <c r="F1679" s="184">
        <v>44173</v>
      </c>
      <c r="G1679" s="181"/>
      <c r="H1679" s="181">
        <v>4.0999999999999996</v>
      </c>
      <c r="I1679" s="181" t="str">
        <f>VLOOKUP(LEFT(A1679,4),Groups!$A$1:$C$188,3,FALSE)</f>
        <v>Wireline Geophysics - Readings</v>
      </c>
      <c r="J1679" s="181" t="e">
        <f>VLOOKUP(A1679,Headings!$C$1:$H$3948,4,FALSE)</f>
        <v>#N/A</v>
      </c>
      <c r="K1679" s="181" t="str">
        <f t="shared" si="37"/>
        <v>WGPT_PARA|SGR-TC</v>
      </c>
      <c r="L1679" s="181"/>
    </row>
    <row r="1680" spans="1:12" s="112" customFormat="1" hidden="1" x14ac:dyDescent="0.35">
      <c r="A1680" s="181" t="s">
        <v>6395</v>
      </c>
      <c r="B1680" s="182" t="s">
        <v>8463</v>
      </c>
      <c r="C1680" s="181" t="s">
        <v>8464</v>
      </c>
      <c r="D1680" s="178">
        <v>4.0999999999999996</v>
      </c>
      <c r="E1680" s="181" t="s">
        <v>6450</v>
      </c>
      <c r="F1680" s="184">
        <v>44173</v>
      </c>
      <c r="G1680" s="181"/>
      <c r="H1680" s="181">
        <v>4.0999999999999996</v>
      </c>
      <c r="I1680" s="181" t="str">
        <f>VLOOKUP(LEFT(A1680,4),Groups!$A$1:$C$188,3,FALSE)</f>
        <v>Wireline Geophysics - Readings</v>
      </c>
      <c r="J1680" s="181" t="e">
        <f>VLOOKUP(A1680,Headings!$C$1:$H$3948,4,FALSE)</f>
        <v>#N/A</v>
      </c>
      <c r="K1680" s="181" t="str">
        <f t="shared" si="37"/>
        <v>WGPT_PARA|SGR-TGA</v>
      </c>
      <c r="L1680" s="181"/>
    </row>
    <row r="1681" spans="1:12" s="112" customFormat="1" hidden="1" x14ac:dyDescent="0.35">
      <c r="A1681" s="181" t="s">
        <v>6395</v>
      </c>
      <c r="B1681" s="182" t="s">
        <v>8465</v>
      </c>
      <c r="C1681" s="181" t="s">
        <v>8466</v>
      </c>
      <c r="D1681" s="178">
        <v>4.0999999999999996</v>
      </c>
      <c r="E1681" s="181" t="s">
        <v>6450</v>
      </c>
      <c r="F1681" s="184">
        <v>44173</v>
      </c>
      <c r="G1681" s="181"/>
      <c r="H1681" s="181">
        <v>4.0999999999999996</v>
      </c>
      <c r="I1681" s="181" t="str">
        <f>VLOOKUP(LEFT(A1681,4),Groups!$A$1:$C$188,3,FALSE)</f>
        <v>Wireline Geophysics - Readings</v>
      </c>
      <c r="J1681" s="181" t="e">
        <f>VLOOKUP(A1681,Headings!$C$1:$H$3948,4,FALSE)</f>
        <v>#N/A</v>
      </c>
      <c r="K1681" s="181" t="str">
        <f t="shared" si="37"/>
        <v>WGPT_PARA|SGR-TGC</v>
      </c>
      <c r="L1681" s="181"/>
    </row>
    <row r="1682" spans="1:12" s="112" customFormat="1" hidden="1" x14ac:dyDescent="0.35">
      <c r="A1682" s="181" t="s">
        <v>6395</v>
      </c>
      <c r="B1682" s="182" t="s">
        <v>8467</v>
      </c>
      <c r="C1682" s="181" t="s">
        <v>8468</v>
      </c>
      <c r="D1682" s="178">
        <v>4.0999999999999996</v>
      </c>
      <c r="E1682" s="181" t="s">
        <v>6450</v>
      </c>
      <c r="F1682" s="184">
        <v>44173</v>
      </c>
      <c r="G1682" s="181"/>
      <c r="H1682" s="181">
        <v>4.0999999999999996</v>
      </c>
      <c r="I1682" s="181" t="str">
        <f>VLOOKUP(LEFT(A1682,4),Groups!$A$1:$C$188,3,FALSE)</f>
        <v>Wireline Geophysics - Readings</v>
      </c>
      <c r="J1682" s="181" t="e">
        <f>VLOOKUP(A1682,Headings!$C$1:$H$3948,4,FALSE)</f>
        <v>#N/A</v>
      </c>
      <c r="K1682" s="181" t="str">
        <f t="shared" si="37"/>
        <v>WGPT_PARA|SGR-UC</v>
      </c>
      <c r="L1682" s="181"/>
    </row>
    <row r="1683" spans="1:12" hidden="1" x14ac:dyDescent="0.35">
      <c r="A1683" s="181" t="s">
        <v>2982</v>
      </c>
      <c r="B1683" s="182" t="s">
        <v>7340</v>
      </c>
      <c r="C1683" s="181" t="s">
        <v>8469</v>
      </c>
      <c r="D1683" s="89" t="s">
        <v>473</v>
      </c>
      <c r="E1683" s="181"/>
      <c r="F1683" s="181"/>
      <c r="G1683" s="183"/>
      <c r="H1683" s="181"/>
      <c r="I1683" s="181"/>
      <c r="J1683" s="181"/>
      <c r="K1683" s="181" t="str">
        <f t="shared" si="37"/>
        <v>HDIA_CODE|NQ3</v>
      </c>
      <c r="L1683" s="181"/>
    </row>
    <row r="1684" spans="1:12" hidden="1" x14ac:dyDescent="0.35">
      <c r="A1684" s="181" t="s">
        <v>2982</v>
      </c>
      <c r="B1684" s="182" t="s">
        <v>7342</v>
      </c>
      <c r="C1684" s="181" t="s">
        <v>8470</v>
      </c>
      <c r="D1684" s="89" t="s">
        <v>473</v>
      </c>
      <c r="E1684" s="181"/>
      <c r="F1684" s="181"/>
      <c r="G1684" s="183"/>
      <c r="H1684" s="181"/>
      <c r="I1684" s="181"/>
      <c r="J1684" s="181"/>
      <c r="K1684" s="181" t="str">
        <f t="shared" ref="K1684:K1710" si="38">A1684&amp;"|"&amp;B1684</f>
        <v>HDIA_CODE|PQ3</v>
      </c>
      <c r="L1684" s="181"/>
    </row>
    <row r="1685" spans="1:12" hidden="1" x14ac:dyDescent="0.35">
      <c r="A1685" s="181" t="s">
        <v>2982</v>
      </c>
      <c r="B1685" s="182" t="s">
        <v>2984</v>
      </c>
      <c r="C1685" s="181" t="s">
        <v>8471</v>
      </c>
      <c r="D1685" s="89" t="s">
        <v>473</v>
      </c>
      <c r="E1685" s="181"/>
      <c r="F1685" s="181"/>
      <c r="G1685" s="183"/>
      <c r="H1685" s="181"/>
      <c r="I1685" s="181"/>
      <c r="J1685" s="181"/>
      <c r="K1685" s="181" t="str">
        <f t="shared" si="38"/>
        <v>HDIA_CODE|HQ3</v>
      </c>
      <c r="L1685" s="181"/>
    </row>
    <row r="1686" spans="1:12" ht="29" hidden="1" x14ac:dyDescent="0.35">
      <c r="A1686" s="181" t="s">
        <v>2841</v>
      </c>
      <c r="B1686" s="182" t="s">
        <v>8472</v>
      </c>
      <c r="C1686" s="183" t="s">
        <v>8473</v>
      </c>
      <c r="D1686" s="178" t="s">
        <v>473</v>
      </c>
      <c r="E1686" s="181"/>
      <c r="F1686" s="181"/>
      <c r="G1686" s="181"/>
      <c r="H1686" s="181" t="s">
        <v>6451</v>
      </c>
      <c r="I1686" s="181" t="str">
        <f>VLOOKUP(LEFT(A1686,4),Groups!$A$1:$C$188,3,FALSE)</f>
        <v>Geotechnical Chemistry Testing</v>
      </c>
      <c r="J1686" s="181" t="str">
        <f>VLOOKUP(A1686,Headings!$C$1:$H$3948,4,FALSE)</f>
        <v>Determinand</v>
      </c>
      <c r="K1686" s="181" t="str">
        <f t="shared" si="38"/>
        <v>GCHM_CODE|PHKC</v>
      </c>
      <c r="L1686" s="181"/>
    </row>
    <row r="1687" spans="1:12" hidden="1" x14ac:dyDescent="0.35">
      <c r="A1687" s="181" t="s">
        <v>2841</v>
      </c>
      <c r="B1687" s="182" t="s">
        <v>8474</v>
      </c>
      <c r="C1687" s="183" t="s">
        <v>8475</v>
      </c>
      <c r="D1687" s="178" t="s">
        <v>473</v>
      </c>
      <c r="E1687" s="181"/>
      <c r="F1687" s="181"/>
      <c r="G1687" s="181"/>
      <c r="H1687" s="181" t="s">
        <v>6451</v>
      </c>
      <c r="I1687" s="181" t="str">
        <f>VLOOKUP(LEFT(A1687,4),Groups!$A$1:$C$188,3,FALSE)</f>
        <v>Geotechnical Chemistry Testing</v>
      </c>
      <c r="J1687" s="181" t="str">
        <f>VLOOKUP(A1687,Headings!$C$1:$H$3948,4,FALSE)</f>
        <v>Determinand</v>
      </c>
      <c r="K1687" s="181" t="str">
        <f t="shared" si="38"/>
        <v>GCHM_CODE|TAA</v>
      </c>
      <c r="L1687" s="181"/>
    </row>
    <row r="1688" spans="1:12" hidden="1" x14ac:dyDescent="0.35">
      <c r="A1688" s="181" t="s">
        <v>2841</v>
      </c>
      <c r="B1688" s="182" t="s">
        <v>8476</v>
      </c>
      <c r="C1688" s="183" t="s">
        <v>8477</v>
      </c>
      <c r="D1688" s="178" t="s">
        <v>473</v>
      </c>
      <c r="E1688" s="181"/>
      <c r="F1688" s="181"/>
      <c r="G1688" s="181"/>
      <c r="H1688" s="181" t="s">
        <v>6451</v>
      </c>
      <c r="I1688" s="181" t="str">
        <f>VLOOKUP(LEFT(A1688,4),Groups!$A$1:$C$188,3,FALSE)</f>
        <v>Geotechnical Chemistry Testing</v>
      </c>
      <c r="J1688" s="181" t="str">
        <f>VLOOKUP(A1688,Headings!$C$1:$H$3948,4,FALSE)</f>
        <v>Determinand</v>
      </c>
      <c r="K1688" s="181" t="str">
        <f t="shared" si="38"/>
        <v>GCHM_CODE|sTAA</v>
      </c>
      <c r="L1688" s="181"/>
    </row>
    <row r="1689" spans="1:12" hidden="1" x14ac:dyDescent="0.35">
      <c r="A1689" s="181" t="s">
        <v>2841</v>
      </c>
      <c r="B1689" s="182" t="s">
        <v>8478</v>
      </c>
      <c r="C1689" s="183" t="s">
        <v>8479</v>
      </c>
      <c r="D1689" s="178" t="s">
        <v>473</v>
      </c>
      <c r="E1689" s="181"/>
      <c r="F1689" s="181"/>
      <c r="G1689" s="181"/>
      <c r="H1689" s="181" t="s">
        <v>6451</v>
      </c>
      <c r="I1689" s="181" t="str">
        <f>VLOOKUP(LEFT(A1689,4),Groups!$A$1:$C$188,3,FALSE)</f>
        <v>Geotechnical Chemistry Testing</v>
      </c>
      <c r="J1689" s="181" t="str">
        <f>VLOOKUP(A1689,Headings!$C$1:$H$3948,4,FALSE)</f>
        <v>Determinand</v>
      </c>
      <c r="K1689" s="181" t="str">
        <f t="shared" si="38"/>
        <v>GCHM_CODE|SNAS</v>
      </c>
      <c r="L1689" s="181"/>
    </row>
    <row r="1690" spans="1:12" hidden="1" x14ac:dyDescent="0.35">
      <c r="A1690" s="181" t="s">
        <v>2841</v>
      </c>
      <c r="B1690" s="182" t="s">
        <v>8480</v>
      </c>
      <c r="C1690" s="183" t="s">
        <v>8481</v>
      </c>
      <c r="D1690" s="178" t="s">
        <v>473</v>
      </c>
      <c r="E1690" s="181"/>
      <c r="F1690" s="181"/>
      <c r="G1690" s="181"/>
      <c r="H1690" s="181" t="s">
        <v>6451</v>
      </c>
      <c r="I1690" s="181" t="str">
        <f>VLOOKUP(LEFT(A1690,4),Groups!$A$1:$C$188,3,FALSE)</f>
        <v>Geotechnical Chemistry Testing</v>
      </c>
      <c r="J1690" s="181" t="str">
        <f>VLOOKUP(A1690,Headings!$C$1:$H$3948,4,FALSE)</f>
        <v>Determinand</v>
      </c>
      <c r="K1690" s="181" t="str">
        <f t="shared" si="38"/>
        <v>GCHM_CODE|EXAC</v>
      </c>
      <c r="L1690" s="181"/>
    </row>
    <row r="1691" spans="1:12" hidden="1" x14ac:dyDescent="0.35">
      <c r="A1691" s="181" t="s">
        <v>2841</v>
      </c>
      <c r="B1691" s="182" t="s">
        <v>8482</v>
      </c>
      <c r="C1691" s="183" t="s">
        <v>8483</v>
      </c>
      <c r="D1691" s="178" t="s">
        <v>473</v>
      </c>
      <c r="E1691" s="181"/>
      <c r="F1691" s="181"/>
      <c r="G1691" s="181"/>
      <c r="H1691" s="181" t="s">
        <v>6451</v>
      </c>
      <c r="I1691" s="181" t="str">
        <f>VLOOKUP(LEFT(A1691,4),Groups!$A$1:$C$188,3,FALSE)</f>
        <v>Geotechnical Chemistry Testing</v>
      </c>
      <c r="J1691" s="181" t="str">
        <f>VLOOKUP(A1691,Headings!$C$1:$H$3948,4,FALSE)</f>
        <v>Determinand</v>
      </c>
      <c r="K1691" s="181" t="str">
        <f t="shared" si="38"/>
        <v>GCHM_CODE|SCR</v>
      </c>
      <c r="L1691" s="181"/>
    </row>
    <row r="1692" spans="1:12" hidden="1" x14ac:dyDescent="0.35">
      <c r="A1692" s="181" t="s">
        <v>2841</v>
      </c>
      <c r="B1692" s="182" t="s">
        <v>8484</v>
      </c>
      <c r="C1692" s="183" t="s">
        <v>8485</v>
      </c>
      <c r="D1692" s="178" t="s">
        <v>473</v>
      </c>
      <c r="E1692" s="181"/>
      <c r="F1692" s="181"/>
      <c r="G1692" s="181"/>
      <c r="H1692" s="181" t="s">
        <v>6451</v>
      </c>
      <c r="I1692" s="181" t="str">
        <f>VLOOKUP(LEFT(A1692,4),Groups!$A$1:$C$188,3,FALSE)</f>
        <v>Geotechnical Chemistry Testing</v>
      </c>
      <c r="J1692" s="181" t="str">
        <f>VLOOKUP(A1692,Headings!$C$1:$H$3948,4,FALSE)</f>
        <v>Determinand</v>
      </c>
      <c r="K1692" s="181" t="str">
        <f t="shared" si="38"/>
        <v>GCHM_CODE|SPOS</v>
      </c>
      <c r="L1692" s="181"/>
    </row>
    <row r="1693" spans="1:12" hidden="1" x14ac:dyDescent="0.35">
      <c r="A1693" s="181" t="s">
        <v>2841</v>
      </c>
      <c r="B1693" s="182" t="s">
        <v>8486</v>
      </c>
      <c r="C1693" s="183" t="s">
        <v>8487</v>
      </c>
      <c r="D1693" s="178" t="s">
        <v>473</v>
      </c>
      <c r="E1693" s="181"/>
      <c r="F1693" s="181"/>
      <c r="G1693" s="181"/>
      <c r="H1693" s="181" t="s">
        <v>6451</v>
      </c>
      <c r="I1693" s="181" t="str">
        <f>VLOOKUP(LEFT(A1693,4),Groups!$A$1:$C$188,3,FALSE)</f>
        <v>Geotechnical Chemistry Testing</v>
      </c>
      <c r="J1693" s="181" t="str">
        <f>VLOOKUP(A1693,Headings!$C$1:$H$3948,4,FALSE)</f>
        <v>Determinand</v>
      </c>
      <c r="K1693" s="181" t="str">
        <f t="shared" si="38"/>
        <v>GCHM_CODE|ANC</v>
      </c>
      <c r="L1693" s="181"/>
    </row>
    <row r="1694" spans="1:12" hidden="1" x14ac:dyDescent="0.35">
      <c r="A1694" s="181" t="s">
        <v>2841</v>
      </c>
      <c r="B1694" s="182" t="s">
        <v>8488</v>
      </c>
      <c r="C1694" s="183" t="s">
        <v>8489</v>
      </c>
      <c r="D1694" s="178" t="s">
        <v>473</v>
      </c>
      <c r="E1694" s="181"/>
      <c r="F1694" s="181"/>
      <c r="G1694" s="181"/>
      <c r="H1694" s="181" t="s">
        <v>6451</v>
      </c>
      <c r="I1694" s="181" t="str">
        <f>VLOOKUP(LEFT(A1694,4),Groups!$A$1:$C$188,3,FALSE)</f>
        <v>Geotechnical Chemistry Testing</v>
      </c>
      <c r="J1694" s="181" t="str">
        <f>VLOOKUP(A1694,Headings!$C$1:$H$3948,4,FALSE)</f>
        <v>Determinand</v>
      </c>
      <c r="K1694" s="181" t="str">
        <f t="shared" si="38"/>
        <v>GCHM_CODE|NTAC</v>
      </c>
      <c r="L1694" s="181"/>
    </row>
    <row r="1695" spans="1:12" hidden="1" x14ac:dyDescent="0.35">
      <c r="A1695" s="181" t="s">
        <v>2841</v>
      </c>
      <c r="B1695" s="182" t="s">
        <v>8490</v>
      </c>
      <c r="C1695" s="183" t="s">
        <v>8491</v>
      </c>
      <c r="D1695" s="178" t="s">
        <v>473</v>
      </c>
      <c r="E1695" s="181"/>
      <c r="F1695" s="181"/>
      <c r="G1695" s="181"/>
      <c r="H1695" s="181" t="s">
        <v>6451</v>
      </c>
      <c r="I1695" s="181" t="str">
        <f>VLOOKUP(LEFT(A1695,4),Groups!$A$1:$C$188,3,FALSE)</f>
        <v>Geotechnical Chemistry Testing</v>
      </c>
      <c r="J1695" s="181" t="str">
        <f>VLOOKUP(A1695,Headings!$C$1:$H$3948,4,FALSE)</f>
        <v>Determinand</v>
      </c>
      <c r="K1695" s="181" t="str">
        <f t="shared" si="38"/>
        <v>GCHM_CODE|PHOX</v>
      </c>
      <c r="L1695" s="181"/>
    </row>
    <row r="1696" spans="1:12" hidden="1" x14ac:dyDescent="0.35">
      <c r="A1696" s="181" t="s">
        <v>2841</v>
      </c>
      <c r="B1696" s="182" t="s">
        <v>8492</v>
      </c>
      <c r="C1696" s="183" t="s">
        <v>8493</v>
      </c>
      <c r="D1696" s="178" t="s">
        <v>473</v>
      </c>
      <c r="E1696" s="181"/>
      <c r="F1696" s="181"/>
      <c r="G1696" s="181"/>
      <c r="H1696" s="181" t="s">
        <v>6451</v>
      </c>
      <c r="I1696" s="181" t="str">
        <f>VLOOKUP(LEFT(A1696,4),Groups!$A$1:$C$188,3,FALSE)</f>
        <v>Geotechnical Chemistry Testing</v>
      </c>
      <c r="J1696" s="181" t="str">
        <f>VLOOKUP(A1696,Headings!$C$1:$H$3948,4,FALSE)</f>
        <v>Determinand</v>
      </c>
      <c r="K1696" s="181" t="str">
        <f t="shared" si="38"/>
        <v>GCHM_CODE|ASST</v>
      </c>
      <c r="L1696" s="181"/>
    </row>
    <row r="1697" spans="1:12" hidden="1" x14ac:dyDescent="0.35">
      <c r="A1697" s="181" t="s">
        <v>2841</v>
      </c>
      <c r="B1697" s="182" t="s">
        <v>8494</v>
      </c>
      <c r="C1697" s="183" t="s">
        <v>8495</v>
      </c>
      <c r="D1697" s="178" t="s">
        <v>473</v>
      </c>
      <c r="E1697" s="181"/>
      <c r="F1697" s="181"/>
      <c r="G1697" s="181"/>
      <c r="H1697" s="181" t="s">
        <v>6451</v>
      </c>
      <c r="I1697" s="181" t="str">
        <f>VLOOKUP(LEFT(A1697,4),Groups!$A$1:$C$188,3,FALSE)</f>
        <v>Geotechnical Chemistry Testing</v>
      </c>
      <c r="J1697" s="181" t="str">
        <f>VLOOKUP(A1697,Headings!$C$1:$H$3948,4,FALSE)</f>
        <v>Determinand</v>
      </c>
      <c r="K1697" s="181" t="str">
        <f t="shared" si="38"/>
        <v>GCHM_CODE|NACR</v>
      </c>
      <c r="L1697" s="181"/>
    </row>
    <row r="1698" spans="1:12" hidden="1" x14ac:dyDescent="0.35">
      <c r="A1698" s="181" t="s">
        <v>2841</v>
      </c>
      <c r="B1698" s="182" t="s">
        <v>8496</v>
      </c>
      <c r="C1698" s="183" t="s">
        <v>8497</v>
      </c>
      <c r="D1698" s="178" t="s">
        <v>473</v>
      </c>
      <c r="E1698" s="181"/>
      <c r="F1698" s="181"/>
      <c r="G1698" s="181"/>
      <c r="H1698" s="181" t="s">
        <v>6451</v>
      </c>
      <c r="I1698" s="181" t="str">
        <f>VLOOKUP(LEFT(A1698,4),Groups!$A$1:$C$188,3,FALSE)</f>
        <v>Geotechnical Chemistry Testing</v>
      </c>
      <c r="J1698" s="181" t="str">
        <f>VLOOKUP(A1698,Headings!$C$1:$H$3948,4,FALSE)</f>
        <v>Determinand</v>
      </c>
      <c r="K1698" s="181" t="str">
        <f t="shared" si="38"/>
        <v>GCHM_CODE|LRNT</v>
      </c>
      <c r="L1698" s="181"/>
    </row>
    <row r="1699" spans="1:12" hidden="1" x14ac:dyDescent="0.35">
      <c r="A1699" s="181" t="s">
        <v>2841</v>
      </c>
      <c r="B1699" s="182" t="s">
        <v>8498</v>
      </c>
      <c r="C1699" s="183" t="s">
        <v>8499</v>
      </c>
      <c r="D1699" s="178" t="s">
        <v>473</v>
      </c>
      <c r="E1699" s="181"/>
      <c r="F1699" s="181"/>
      <c r="G1699" s="181"/>
      <c r="H1699" s="181" t="s">
        <v>6451</v>
      </c>
      <c r="I1699" s="181" t="str">
        <f>VLOOKUP(LEFT(A1699,4),Groups!$A$1:$C$188,3,FALSE)</f>
        <v>Geotechnical Chemistry Testing</v>
      </c>
      <c r="J1699" s="181" t="str">
        <f>VLOOKUP(A1699,Headings!$C$1:$H$3948,4,FALSE)</f>
        <v>Determinand</v>
      </c>
      <c r="K1699" s="181" t="str">
        <f t="shared" si="38"/>
        <v>GCHM_CODE|LREX</v>
      </c>
      <c r="L1699" s="181"/>
    </row>
    <row r="1700" spans="1:12" hidden="1" x14ac:dyDescent="0.35">
      <c r="A1700" s="88" t="s">
        <v>3267</v>
      </c>
      <c r="B1700" s="88" t="s">
        <v>1311</v>
      </c>
      <c r="C1700" s="89" t="s">
        <v>6651</v>
      </c>
      <c r="D1700" s="89" t="s">
        <v>473</v>
      </c>
      <c r="E1700" s="181"/>
      <c r="F1700" s="181"/>
      <c r="G1700" s="183"/>
      <c r="H1700" s="181"/>
      <c r="I1700" s="181"/>
      <c r="J1700" s="181"/>
      <c r="K1700" s="181" t="str">
        <f t="shared" si="38"/>
        <v>IPLT_MCOD|D</v>
      </c>
      <c r="L1700" s="181"/>
    </row>
    <row r="1701" spans="1:12" hidden="1" x14ac:dyDescent="0.35">
      <c r="A1701" s="88" t="s">
        <v>3267</v>
      </c>
      <c r="B1701" s="88" t="s">
        <v>3269</v>
      </c>
      <c r="C1701" s="89" t="s">
        <v>6653</v>
      </c>
      <c r="D1701" s="89" t="s">
        <v>473</v>
      </c>
      <c r="E1701" s="181"/>
      <c r="F1701" s="181"/>
      <c r="G1701" s="183"/>
      <c r="H1701" s="181"/>
      <c r="I1701" s="181"/>
      <c r="J1701" s="181"/>
      <c r="K1701" s="181" t="str">
        <f t="shared" si="38"/>
        <v>IPLT_MCOD|F</v>
      </c>
      <c r="L1701" s="181"/>
    </row>
    <row r="1702" spans="1:12" hidden="1" x14ac:dyDescent="0.35">
      <c r="A1702" s="88" t="s">
        <v>3267</v>
      </c>
      <c r="B1702" s="88" t="s">
        <v>6028</v>
      </c>
      <c r="C1702" s="89" t="s">
        <v>8008</v>
      </c>
      <c r="D1702" s="89" t="s">
        <v>473</v>
      </c>
      <c r="E1702" s="181"/>
      <c r="F1702" s="181"/>
      <c r="G1702" s="183"/>
      <c r="H1702" s="181"/>
      <c r="I1702" s="181"/>
      <c r="J1702" s="181"/>
      <c r="K1702" s="181" t="str">
        <f t="shared" si="38"/>
        <v>IPLT_MCOD|S</v>
      </c>
      <c r="L1702" s="181"/>
    </row>
    <row r="1703" spans="1:12" hidden="1" x14ac:dyDescent="0.35">
      <c r="A1703" s="181" t="s">
        <v>3270</v>
      </c>
      <c r="B1703" s="182" t="s">
        <v>2187</v>
      </c>
      <c r="C1703" s="181" t="s">
        <v>8009</v>
      </c>
      <c r="D1703" s="89" t="s">
        <v>473</v>
      </c>
      <c r="E1703" s="181"/>
      <c r="F1703" s="184"/>
      <c r="G1703" s="181"/>
      <c r="H1703" s="181" t="s">
        <v>6451</v>
      </c>
      <c r="I1703" s="181" t="e">
        <f>VLOOKUP(LEFT(A1703,4),Groups!$A$1:$C$188,3,FALSE)</f>
        <v>#N/A</v>
      </c>
      <c r="J1703" s="181" t="str">
        <f>VLOOKUP(A1703,Headings!$C$1:$H$3948,4,FALSE)</f>
        <v>Point load test type</v>
      </c>
      <c r="K1703" s="181" t="str">
        <f t="shared" si="38"/>
        <v>IPLT_PLTF|A</v>
      </c>
      <c r="L1703" s="181"/>
    </row>
    <row r="1704" spans="1:12" hidden="1" x14ac:dyDescent="0.35">
      <c r="A1704" s="181" t="s">
        <v>3270</v>
      </c>
      <c r="B1704" s="182" t="s">
        <v>7320</v>
      </c>
      <c r="C1704" s="181" t="s">
        <v>8010</v>
      </c>
      <c r="D1704" s="89" t="s">
        <v>473</v>
      </c>
      <c r="E1704" s="181"/>
      <c r="F1704" s="184"/>
      <c r="G1704" s="181"/>
      <c r="H1704" s="181" t="s">
        <v>6451</v>
      </c>
      <c r="I1704" s="181" t="e">
        <f>VLOOKUP(LEFT(A1704,4),Groups!$A$1:$C$188,3,FALSE)</f>
        <v>#N/A</v>
      </c>
      <c r="J1704" s="181" t="str">
        <f>VLOOKUP(A1704,Headings!$C$1:$H$3948,4,FALSE)</f>
        <v>Point load test type</v>
      </c>
      <c r="K1704" s="181" t="str">
        <f t="shared" si="38"/>
        <v>IPLT_PLTF|B</v>
      </c>
      <c r="L1704" s="181"/>
    </row>
    <row r="1705" spans="1:12" hidden="1" x14ac:dyDescent="0.35">
      <c r="A1705" s="181" t="s">
        <v>3270</v>
      </c>
      <c r="B1705" s="182" t="s">
        <v>1311</v>
      </c>
      <c r="C1705" s="181" t="s">
        <v>8011</v>
      </c>
      <c r="D1705" s="89" t="s">
        <v>473</v>
      </c>
      <c r="E1705" s="181"/>
      <c r="F1705" s="184"/>
      <c r="G1705" s="181"/>
      <c r="H1705" s="181" t="s">
        <v>6451</v>
      </c>
      <c r="I1705" s="181" t="e">
        <f>VLOOKUP(LEFT(A1705,4),Groups!$A$1:$C$188,3,FALSE)</f>
        <v>#N/A</v>
      </c>
      <c r="J1705" s="181" t="str">
        <f>VLOOKUP(A1705,Headings!$C$1:$H$3948,4,FALSE)</f>
        <v>Point load test type</v>
      </c>
      <c r="K1705" s="181" t="str">
        <f t="shared" si="38"/>
        <v>IPLT_PLTF|D</v>
      </c>
      <c r="L1705" s="181"/>
    </row>
    <row r="1706" spans="1:12" hidden="1" x14ac:dyDescent="0.35">
      <c r="A1706" s="181" t="s">
        <v>3270</v>
      </c>
      <c r="B1706" s="182" t="s">
        <v>8012</v>
      </c>
      <c r="C1706" s="181" t="s">
        <v>8013</v>
      </c>
      <c r="D1706" s="89" t="s">
        <v>473</v>
      </c>
      <c r="E1706" s="181"/>
      <c r="F1706" s="184"/>
      <c r="G1706" s="181"/>
      <c r="H1706" s="181" t="s">
        <v>6451</v>
      </c>
      <c r="I1706" s="181" t="e">
        <f>VLOOKUP(LEFT(A1706,4),Groups!$A$1:$C$188,3,FALSE)</f>
        <v>#N/A</v>
      </c>
      <c r="J1706" s="181" t="str">
        <f>VLOOKUP(A1706,Headings!$C$1:$H$3948,4,FALSE)</f>
        <v>Point load test type</v>
      </c>
      <c r="K1706" s="181" t="str">
        <f t="shared" si="38"/>
        <v>IPLT_PLTF|I</v>
      </c>
      <c r="L1706" s="181"/>
    </row>
    <row r="1707" spans="1:12" hidden="1" x14ac:dyDescent="0.35">
      <c r="A1707" s="181" t="s">
        <v>3270</v>
      </c>
      <c r="B1707" s="182" t="s">
        <v>4991</v>
      </c>
      <c r="C1707" s="181" t="s">
        <v>8014</v>
      </c>
      <c r="D1707" s="89" t="s">
        <v>473</v>
      </c>
      <c r="E1707" s="181"/>
      <c r="F1707" s="184"/>
      <c r="G1707" s="181"/>
      <c r="H1707" s="181" t="s">
        <v>6451</v>
      </c>
      <c r="I1707" s="181" t="e">
        <f>VLOOKUP(LEFT(A1707,4),Groups!$A$1:$C$188,3,FALSE)</f>
        <v>#N/A</v>
      </c>
      <c r="J1707" s="181" t="str">
        <f>VLOOKUP(A1707,Headings!$C$1:$H$3948,4,FALSE)</f>
        <v>Point load test type</v>
      </c>
      <c r="K1707" s="181" t="str">
        <f t="shared" si="38"/>
        <v>IPLT_PLTF|L</v>
      </c>
      <c r="L1707" s="181"/>
    </row>
    <row r="1708" spans="1:12" hidden="1" x14ac:dyDescent="0.35">
      <c r="A1708" s="181" t="s">
        <v>3270</v>
      </c>
      <c r="B1708" s="182" t="s">
        <v>6631</v>
      </c>
      <c r="C1708" s="181" t="s">
        <v>8015</v>
      </c>
      <c r="D1708" s="89" t="s">
        <v>473</v>
      </c>
      <c r="E1708" s="181"/>
      <c r="F1708" s="184"/>
      <c r="G1708" s="181"/>
      <c r="H1708" s="181" t="s">
        <v>6451</v>
      </c>
      <c r="I1708" s="181" t="e">
        <f>VLOOKUP(LEFT(A1708,4),Groups!$A$1:$C$188,3,FALSE)</f>
        <v>#N/A</v>
      </c>
      <c r="J1708" s="181" t="str">
        <f>VLOOKUP(A1708,Headings!$C$1:$H$3948,4,FALSE)</f>
        <v>Point load test type</v>
      </c>
      <c r="K1708" s="181" t="str">
        <f t="shared" si="38"/>
        <v>IPLT_PLTF|P</v>
      </c>
      <c r="L1708" s="181"/>
    </row>
    <row r="1709" spans="1:12" hidden="1" x14ac:dyDescent="0.35">
      <c r="A1709" s="181" t="s">
        <v>3270</v>
      </c>
      <c r="B1709" s="182" t="s">
        <v>859</v>
      </c>
      <c r="C1709" s="181" t="s">
        <v>8016</v>
      </c>
      <c r="D1709" s="89" t="s">
        <v>473</v>
      </c>
      <c r="E1709" s="181"/>
      <c r="F1709" s="184"/>
      <c r="G1709" s="181"/>
      <c r="H1709" s="181" t="s">
        <v>6451</v>
      </c>
      <c r="I1709" s="181" t="e">
        <f>VLOOKUP(LEFT(A1709,4),Groups!$A$1:$C$188,3,FALSE)</f>
        <v>#N/A</v>
      </c>
      <c r="J1709" s="181" t="str">
        <f>VLOOKUP(A1709,Headings!$C$1:$H$3948,4,FALSE)</f>
        <v>Point load test type</v>
      </c>
      <c r="K1709" s="181" t="str">
        <f t="shared" si="38"/>
        <v>IPLT_PLTF|U</v>
      </c>
      <c r="L1709" s="181"/>
    </row>
    <row r="1710" spans="1:12" hidden="1" x14ac:dyDescent="0.35">
      <c r="A1710" s="181" t="s">
        <v>1314</v>
      </c>
      <c r="B1710" s="182" t="s">
        <v>8500</v>
      </c>
      <c r="C1710" s="182" t="s">
        <v>4975</v>
      </c>
      <c r="D1710" s="89" t="s">
        <v>473</v>
      </c>
      <c r="E1710" s="181"/>
      <c r="F1710" s="181"/>
      <c r="G1710" s="183"/>
      <c r="H1710" s="181"/>
      <c r="I1710" s="181"/>
      <c r="J1710" s="181"/>
      <c r="K1710" s="181" t="str">
        <f t="shared" si="38"/>
        <v>CBRT_TESN|TOP</v>
      </c>
      <c r="L1710" s="181"/>
    </row>
    <row r="1711" spans="1:12" hidden="1" x14ac:dyDescent="0.35">
      <c r="A1711" s="181" t="s">
        <v>1314</v>
      </c>
      <c r="B1711" s="182" t="s">
        <v>8501</v>
      </c>
      <c r="C1711" s="182" t="s">
        <v>8502</v>
      </c>
      <c r="D1711" s="89" t="s">
        <v>473</v>
      </c>
      <c r="E1711" s="181"/>
      <c r="F1711" s="181"/>
      <c r="G1711" s="183"/>
      <c r="H1711" s="181"/>
      <c r="I1711" s="181"/>
      <c r="J1711" s="181"/>
      <c r="K1711" s="181" t="str">
        <f t="shared" ref="K1711:K1712" si="39">A1711&amp;"|"&amp;B1711</f>
        <v>CBRT_TESN|BOT</v>
      </c>
      <c r="L1711" s="181"/>
    </row>
    <row r="1712" spans="1:12" hidden="1" x14ac:dyDescent="0.35">
      <c r="A1712" s="181" t="s">
        <v>3216</v>
      </c>
      <c r="B1712" s="182" t="s">
        <v>891</v>
      </c>
      <c r="C1712" s="182" t="s">
        <v>891</v>
      </c>
      <c r="D1712" s="89" t="s">
        <v>473</v>
      </c>
      <c r="E1712" s="181"/>
      <c r="F1712" s="181"/>
      <c r="G1712" s="183"/>
      <c r="H1712" s="181"/>
      <c r="I1712" s="181"/>
      <c r="J1712" s="181"/>
      <c r="K1712" s="181" t="str">
        <f t="shared" si="39"/>
        <v>IPAS_REAX|Low</v>
      </c>
      <c r="L1712" s="181"/>
    </row>
    <row r="1713" spans="1:12" hidden="1" x14ac:dyDescent="0.35">
      <c r="A1713" s="181" t="s">
        <v>3216</v>
      </c>
      <c r="B1713" s="182" t="s">
        <v>5036</v>
      </c>
      <c r="C1713" s="182" t="s">
        <v>5036</v>
      </c>
      <c r="D1713" s="89" t="s">
        <v>473</v>
      </c>
      <c r="E1713" s="181"/>
      <c r="F1713" s="181"/>
      <c r="G1713" s="183"/>
      <c r="H1713" s="181"/>
      <c r="I1713" s="181"/>
      <c r="J1713" s="181"/>
      <c r="K1713" s="181"/>
      <c r="L1713" s="181"/>
    </row>
    <row r="1714" spans="1:12" hidden="1" x14ac:dyDescent="0.35">
      <c r="A1714" s="181" t="s">
        <v>3216</v>
      </c>
      <c r="B1714" s="182" t="s">
        <v>5039</v>
      </c>
      <c r="C1714" s="182" t="s">
        <v>5039</v>
      </c>
      <c r="D1714" s="89" t="s">
        <v>473</v>
      </c>
      <c r="E1714" s="181"/>
      <c r="F1714" s="181"/>
      <c r="G1714" s="183"/>
      <c r="H1714" s="181"/>
      <c r="I1714" s="181"/>
      <c r="J1714" s="181"/>
      <c r="K1714" s="181"/>
      <c r="L1714" s="181"/>
    </row>
    <row r="1715" spans="1:12" hidden="1" x14ac:dyDescent="0.35">
      <c r="A1715" s="181" t="s">
        <v>3216</v>
      </c>
      <c r="B1715" s="182" t="s">
        <v>8503</v>
      </c>
      <c r="C1715" s="182" t="s">
        <v>8503</v>
      </c>
      <c r="D1715" s="89" t="s">
        <v>473</v>
      </c>
      <c r="E1715" s="181"/>
      <c r="F1715" s="181"/>
      <c r="G1715" s="183"/>
      <c r="H1715" s="181"/>
      <c r="I1715" s="181"/>
      <c r="J1715" s="181"/>
      <c r="K1715" s="181"/>
      <c r="L1715" s="181"/>
    </row>
    <row r="1716" spans="1:12" hidden="1" x14ac:dyDescent="0.35">
      <c r="A1716" s="181" t="s">
        <v>3216</v>
      </c>
      <c r="B1716" s="182" t="s">
        <v>3217</v>
      </c>
      <c r="C1716" s="182" t="s">
        <v>3217</v>
      </c>
      <c r="D1716" s="89" t="s">
        <v>473</v>
      </c>
      <c r="E1716" s="181"/>
      <c r="F1716" s="181"/>
      <c r="G1716" s="183"/>
      <c r="H1716" s="181"/>
      <c r="I1716" s="181"/>
      <c r="J1716" s="181"/>
      <c r="K1716" s="181"/>
      <c r="L1716" s="181"/>
    </row>
    <row r="1717" spans="1:12" hidden="1" x14ac:dyDescent="0.35">
      <c r="A1717" s="181" t="s">
        <v>3218</v>
      </c>
      <c r="B1717" s="182" t="s">
        <v>3219</v>
      </c>
      <c r="C1717" s="182" t="s">
        <v>8504</v>
      </c>
      <c r="D1717" s="89" t="s">
        <v>473</v>
      </c>
      <c r="E1717" s="181"/>
      <c r="F1717" s="181"/>
      <c r="G1717" s="183"/>
      <c r="H1717" s="181"/>
      <c r="I1717" s="181"/>
      <c r="J1717" s="181"/>
      <c r="K1717" s="181"/>
      <c r="L1717" s="181"/>
    </row>
    <row r="1718" spans="1:12" hidden="1" x14ac:dyDescent="0.35">
      <c r="A1718" s="181" t="s">
        <v>3218</v>
      </c>
      <c r="B1718" s="182" t="s">
        <v>8505</v>
      </c>
      <c r="C1718" s="182" t="s">
        <v>8506</v>
      </c>
      <c r="D1718" s="89" t="s">
        <v>473</v>
      </c>
      <c r="E1718" s="181"/>
      <c r="F1718" s="181"/>
      <c r="G1718" s="183"/>
      <c r="H1718" s="181"/>
      <c r="I1718" s="181"/>
      <c r="J1718" s="181"/>
      <c r="K1718" s="181"/>
      <c r="L1718" s="181"/>
    </row>
    <row r="1719" spans="1:12" hidden="1" x14ac:dyDescent="0.35">
      <c r="A1719" s="181" t="s">
        <v>3218</v>
      </c>
      <c r="B1719" s="182" t="s">
        <v>8507</v>
      </c>
      <c r="C1719" s="182" t="s">
        <v>8508</v>
      </c>
      <c r="D1719" s="89" t="s">
        <v>473</v>
      </c>
    </row>
    <row r="1720" spans="1:12" hidden="1" x14ac:dyDescent="0.35">
      <c r="A1720" s="181" t="s">
        <v>5901</v>
      </c>
      <c r="B1720" s="182" t="s">
        <v>4898</v>
      </c>
      <c r="C1720" s="181" t="s">
        <v>8509</v>
      </c>
      <c r="D1720" s="178" t="s">
        <v>473</v>
      </c>
    </row>
    <row r="1721" spans="1:12" hidden="1" x14ac:dyDescent="0.35">
      <c r="A1721" s="181" t="s">
        <v>5901</v>
      </c>
      <c r="B1721" s="182" t="s">
        <v>3269</v>
      </c>
      <c r="C1721" s="181" t="s">
        <v>8510</v>
      </c>
      <c r="D1721" s="178" t="s">
        <v>473</v>
      </c>
    </row>
    <row r="1722" spans="1:12" hidden="1" x14ac:dyDescent="0.35">
      <c r="A1722" s="181" t="s">
        <v>5901</v>
      </c>
      <c r="B1722" s="182" t="s">
        <v>8511</v>
      </c>
      <c r="C1722" s="181" t="s">
        <v>5682</v>
      </c>
      <c r="D1722" s="178" t="s">
        <v>473</v>
      </c>
    </row>
    <row r="1723" spans="1:12" hidden="1" x14ac:dyDescent="0.35">
      <c r="A1723" s="181" t="s">
        <v>5901</v>
      </c>
      <c r="B1723" s="182" t="s">
        <v>8512</v>
      </c>
      <c r="C1723" s="181" t="s">
        <v>5685</v>
      </c>
      <c r="D1723" s="178" t="s">
        <v>473</v>
      </c>
    </row>
    <row r="1724" spans="1:12" hidden="1" x14ac:dyDescent="0.35">
      <c r="A1724" s="181" t="s">
        <v>5901</v>
      </c>
      <c r="B1724" s="182" t="s">
        <v>8513</v>
      </c>
      <c r="C1724" s="181" t="s">
        <v>5687</v>
      </c>
      <c r="D1724" s="178" t="s">
        <v>473</v>
      </c>
    </row>
    <row r="1725" spans="1:12" hidden="1" x14ac:dyDescent="0.35">
      <c r="A1725" s="181" t="s">
        <v>5901</v>
      </c>
      <c r="B1725" s="182" t="s">
        <v>8514</v>
      </c>
      <c r="C1725" s="181" t="s">
        <v>2267</v>
      </c>
      <c r="D1725" s="178" t="s">
        <v>473</v>
      </c>
    </row>
    <row r="1726" spans="1:12" hidden="1" x14ac:dyDescent="0.35">
      <c r="A1726" s="181" t="s">
        <v>5901</v>
      </c>
      <c r="B1726" s="182" t="s">
        <v>8515</v>
      </c>
      <c r="C1726" s="181" t="s">
        <v>2270</v>
      </c>
      <c r="D1726" s="178" t="s">
        <v>473</v>
      </c>
    </row>
    <row r="1727" spans="1:12" hidden="1" x14ac:dyDescent="0.35">
      <c r="A1727" s="197" t="s">
        <v>8859</v>
      </c>
      <c r="B1727" s="84" t="s">
        <v>8856</v>
      </c>
      <c r="C1727" s="82" t="s">
        <v>8857</v>
      </c>
      <c r="D1727" s="178" t="s">
        <v>473</v>
      </c>
    </row>
    <row r="1728" spans="1:12" hidden="1" x14ac:dyDescent="0.35">
      <c r="A1728" s="197" t="s">
        <v>8859</v>
      </c>
      <c r="B1728" s="84" t="s">
        <v>777</v>
      </c>
      <c r="C1728" s="82" t="s">
        <v>8858</v>
      </c>
      <c r="D1728" s="178" t="s">
        <v>473</v>
      </c>
    </row>
    <row r="1729" spans="1:4" hidden="1" x14ac:dyDescent="0.35">
      <c r="A1729" s="82" t="s">
        <v>8928</v>
      </c>
      <c r="B1729" s="198" t="s">
        <v>8932</v>
      </c>
      <c r="C1729" s="199" t="s">
        <v>8936</v>
      </c>
      <c r="D1729" s="200" t="s">
        <v>473</v>
      </c>
    </row>
    <row r="1730" spans="1:4" hidden="1" x14ac:dyDescent="0.35">
      <c r="A1730" s="82" t="s">
        <v>8928</v>
      </c>
      <c r="B1730" s="198" t="s">
        <v>8933</v>
      </c>
      <c r="C1730" s="199" t="s">
        <v>8937</v>
      </c>
      <c r="D1730" s="200" t="s">
        <v>473</v>
      </c>
    </row>
    <row r="1731" spans="1:4" hidden="1" x14ac:dyDescent="0.35">
      <c r="A1731" s="82" t="s">
        <v>8928</v>
      </c>
      <c r="B1731" s="198" t="s">
        <v>8934</v>
      </c>
      <c r="C1731" s="199" t="s">
        <v>8938</v>
      </c>
      <c r="D1731" s="200" t="s">
        <v>473</v>
      </c>
    </row>
    <row r="1732" spans="1:4" hidden="1" x14ac:dyDescent="0.35">
      <c r="A1732" s="82" t="s">
        <v>8928</v>
      </c>
      <c r="B1732" s="198" t="s">
        <v>8935</v>
      </c>
      <c r="C1732" s="199" t="s">
        <v>8939</v>
      </c>
      <c r="D1732" s="200" t="s">
        <v>473</v>
      </c>
    </row>
    <row r="1733" spans="1:4" hidden="1" x14ac:dyDescent="0.35">
      <c r="A1733" s="82" t="s">
        <v>8928</v>
      </c>
      <c r="B1733" s="198" t="s">
        <v>8940</v>
      </c>
      <c r="C1733" s="199" t="s">
        <v>8941</v>
      </c>
      <c r="D1733" s="200" t="s">
        <v>473</v>
      </c>
    </row>
    <row r="1734" spans="1:4" x14ac:dyDescent="0.35">
      <c r="A1734" s="82" t="s">
        <v>8953</v>
      </c>
      <c r="B1734" t="s">
        <v>8138</v>
      </c>
      <c r="C1734" t="s">
        <v>8954</v>
      </c>
      <c r="D1734" s="89" t="s">
        <v>473</v>
      </c>
    </row>
    <row r="1735" spans="1:4" x14ac:dyDescent="0.35">
      <c r="A1735" s="82" t="s">
        <v>8953</v>
      </c>
      <c r="B1735" t="s">
        <v>8955</v>
      </c>
      <c r="C1735" t="s">
        <v>8956</v>
      </c>
      <c r="D1735" s="89" t="s">
        <v>473</v>
      </c>
    </row>
    <row r="1736" spans="1:4" x14ac:dyDescent="0.35">
      <c r="A1736" s="82" t="s">
        <v>8953</v>
      </c>
      <c r="B1736" t="s">
        <v>8957</v>
      </c>
      <c r="C1736" t="s">
        <v>8958</v>
      </c>
      <c r="D1736" s="89" t="s">
        <v>473</v>
      </c>
    </row>
    <row r="1737" spans="1:4" x14ac:dyDescent="0.35">
      <c r="A1737" s="82" t="s">
        <v>8953</v>
      </c>
      <c r="B1737" t="s">
        <v>8959</v>
      </c>
      <c r="C1737" t="s">
        <v>8960</v>
      </c>
      <c r="D1737" s="89" t="s">
        <v>473</v>
      </c>
    </row>
    <row r="1738" spans="1:4" x14ac:dyDescent="0.35">
      <c r="A1738" s="82" t="s">
        <v>8953</v>
      </c>
      <c r="B1738" t="s">
        <v>8961</v>
      </c>
      <c r="C1738" t="s">
        <v>8962</v>
      </c>
      <c r="D1738" s="89" t="s">
        <v>473</v>
      </c>
    </row>
    <row r="1739" spans="1:4" x14ac:dyDescent="0.35">
      <c r="A1739" s="82" t="s">
        <v>8953</v>
      </c>
      <c r="B1739" t="s">
        <v>8963</v>
      </c>
      <c r="C1739" t="s">
        <v>8964</v>
      </c>
      <c r="D1739" s="89" t="s">
        <v>473</v>
      </c>
    </row>
  </sheetData>
  <autoFilter ref="A1:L1733" xr:uid="{978E1BD5-2CFF-4D89-A192-5ECD2960C9D6}">
    <filterColumn colId="0">
      <filters>
        <filter val="SOLC_CON"/>
      </filters>
    </filterColumn>
  </autoFilter>
  <sortState xmlns:xlrd2="http://schemas.microsoft.com/office/spreadsheetml/2017/richdata2" ref="A1:L1682">
    <sortCondition ref="A2:A1682"/>
    <sortCondition ref="B2:B1682"/>
  </sortState>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5" stopIfTrue="1" id="{8EBD4F1F-810B-461A-BBD9-5535C509B87D}">
            <xm:f>AND(ISERROR(MATCH(A1,Headings!$C:$C,FALSE)),ISERROR(MATCH(A1,Headings!$K:$K,FALSE)))</xm:f>
            <x14:dxf>
              <fill>
                <patternFill>
                  <bgColor indexed="51"/>
                </patternFill>
              </fill>
            </x14:dxf>
          </x14:cfRule>
          <xm:sqref>A1:A1048576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6C82E-479A-4A9D-B50B-795144F6ACE6}">
  <dimension ref="A1:C22"/>
  <sheetViews>
    <sheetView workbookViewId="0">
      <selection activeCell="B2" sqref="B2:C4"/>
    </sheetView>
  </sheetViews>
  <sheetFormatPr defaultRowHeight="12.5" x14ac:dyDescent="0.25"/>
  <cols>
    <col min="1" max="1" width="34.6328125" bestFit="1" customWidth="1"/>
  </cols>
  <sheetData>
    <row r="1" spans="1:3" x14ac:dyDescent="0.25">
      <c r="A1" t="s">
        <v>8912</v>
      </c>
      <c r="B1" t="s">
        <v>8913</v>
      </c>
      <c r="C1" t="s">
        <v>8902</v>
      </c>
    </row>
    <row r="2" spans="1:3" x14ac:dyDescent="0.25">
      <c r="A2" t="s">
        <v>8903</v>
      </c>
      <c r="B2" t="s">
        <v>8904</v>
      </c>
      <c r="C2" t="s">
        <v>8914</v>
      </c>
    </row>
    <row r="3" spans="1:3" x14ac:dyDescent="0.25">
      <c r="B3" t="s">
        <v>8905</v>
      </c>
      <c r="C3" t="s">
        <v>8915</v>
      </c>
    </row>
    <row r="4" spans="1:3" x14ac:dyDescent="0.25">
      <c r="B4" t="s">
        <v>8906</v>
      </c>
      <c r="C4" t="s">
        <v>8916</v>
      </c>
    </row>
    <row r="18" spans="1:2" x14ac:dyDescent="0.25">
      <c r="A18" t="s">
        <v>8907</v>
      </c>
      <c r="B18" t="str">
        <f>A18</f>
        <v>Less than 50% of the ground consists of</v>
      </c>
    </row>
    <row r="19" spans="1:2" x14ac:dyDescent="0.25">
      <c r="A19" t="s">
        <v>8908</v>
      </c>
      <c r="B19" t="str">
        <f>B18 &amp; " " &amp;A19</f>
        <v>Less than 50% of the ground consists of gravel and cobble sized nodules (rounded</v>
      </c>
    </row>
    <row r="20" spans="1:2" x14ac:dyDescent="0.25">
      <c r="A20" t="s">
        <v>8909</v>
      </c>
      <c r="B20" t="str">
        <f t="shared" ref="B20:B22" si="0">B19 &amp; " " &amp;A20</f>
        <v>Less than 50% of the ground consists of gravel and cobble sized nodules (rounded or subrounded) or fragments (angular or</v>
      </c>
    </row>
    <row r="21" spans="1:2" x14ac:dyDescent="0.25">
      <c r="A21" t="s">
        <v>8910</v>
      </c>
      <c r="B21" t="str">
        <f t="shared" si="0"/>
        <v>Less than 50% of the ground consists of gravel and cobble sized nodules (rounded or subrounded) or fragments (angular or subangular) of duricrust rock material and</v>
      </c>
    </row>
    <row r="22" spans="1:2" x14ac:dyDescent="0.25">
      <c r="A22" t="s">
        <v>8911</v>
      </c>
      <c r="B22" t="str">
        <f t="shared" si="0"/>
        <v xml:space="preserve">Less than 50% of the ground consists of gravel and cobble sized nodules (rounded or subrounded) or fragments (angular or subangular) of duricrust rock material and it is described as a soil. </v>
      </c>
    </row>
  </sheetData>
  <dataConsolid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B4A44-81BC-4087-B338-DEE7EEEA30BD}">
  <sheetPr codeName="Sheet4"/>
  <dimension ref="A1:G147"/>
  <sheetViews>
    <sheetView topLeftCell="A102" workbookViewId="0">
      <selection activeCell="B76" sqref="B76"/>
    </sheetView>
  </sheetViews>
  <sheetFormatPr defaultColWidth="9.1796875" defaultRowHeight="14.5" x14ac:dyDescent="0.35"/>
  <cols>
    <col min="1" max="1" width="18.81640625" style="69" bestFit="1" customWidth="1"/>
    <col min="2" max="2" width="22.1796875" style="69" bestFit="1" customWidth="1"/>
    <col min="3" max="3" width="38.1796875" style="69" bestFit="1" customWidth="1"/>
    <col min="4" max="4" width="10.7265625" style="69" bestFit="1" customWidth="1"/>
    <col min="5" max="6" width="9.1796875" style="69"/>
    <col min="7" max="7" width="10.54296875" style="69" bestFit="1" customWidth="1"/>
    <col min="8" max="16384" width="9.1796875" style="69"/>
  </cols>
  <sheetData>
    <row r="1" spans="1:7" x14ac:dyDescent="0.35">
      <c r="A1" s="69" t="s">
        <v>8516</v>
      </c>
      <c r="B1" s="69" t="s">
        <v>6320</v>
      </c>
      <c r="C1" s="69" t="s">
        <v>589</v>
      </c>
      <c r="D1" s="69" t="s">
        <v>6445</v>
      </c>
      <c r="E1" s="69" t="s">
        <v>6446</v>
      </c>
      <c r="F1" s="69" t="s">
        <v>8</v>
      </c>
      <c r="G1" s="69" t="s">
        <v>5689</v>
      </c>
    </row>
    <row r="2" spans="1:7" x14ac:dyDescent="0.35">
      <c r="A2" s="69" t="s">
        <v>8517</v>
      </c>
      <c r="B2" s="69" t="s">
        <v>8518</v>
      </c>
      <c r="C2" s="69" t="s">
        <v>8518</v>
      </c>
      <c r="D2" s="70">
        <v>36465</v>
      </c>
      <c r="E2" s="69" t="s">
        <v>6451</v>
      </c>
      <c r="F2" s="69" t="s">
        <v>6450</v>
      </c>
    </row>
    <row r="3" spans="1:7" x14ac:dyDescent="0.35">
      <c r="A3" s="69" t="s">
        <v>8517</v>
      </c>
      <c r="B3" s="69" t="s">
        <v>5697</v>
      </c>
      <c r="C3" s="69" t="s">
        <v>8519</v>
      </c>
      <c r="D3" s="70">
        <v>36465</v>
      </c>
      <c r="E3" s="69" t="s">
        <v>6451</v>
      </c>
      <c r="F3" s="69" t="s">
        <v>6450</v>
      </c>
    </row>
    <row r="4" spans="1:7" x14ac:dyDescent="0.35">
      <c r="A4" s="69" t="s">
        <v>8517</v>
      </c>
      <c r="B4" s="69" t="s">
        <v>8520</v>
      </c>
      <c r="C4" s="69" t="s">
        <v>8521</v>
      </c>
      <c r="D4" s="70">
        <v>36465</v>
      </c>
      <c r="E4" s="69" t="s">
        <v>6451</v>
      </c>
      <c r="F4" s="69" t="s">
        <v>6450</v>
      </c>
    </row>
    <row r="5" spans="1:7" x14ac:dyDescent="0.35">
      <c r="A5" s="69" t="s">
        <v>8517</v>
      </c>
      <c r="B5" s="69" t="s">
        <v>8522</v>
      </c>
      <c r="C5" s="69" t="s">
        <v>8523</v>
      </c>
      <c r="D5" s="70">
        <v>36465</v>
      </c>
      <c r="E5" s="69" t="s">
        <v>6451</v>
      </c>
      <c r="F5" s="69" t="s">
        <v>6450</v>
      </c>
    </row>
    <row r="6" spans="1:7" x14ac:dyDescent="0.35">
      <c r="A6" s="69" t="s">
        <v>8517</v>
      </c>
      <c r="B6" s="69" t="s">
        <v>8524</v>
      </c>
      <c r="C6" s="69" t="s">
        <v>8525</v>
      </c>
      <c r="D6" s="70">
        <v>36465</v>
      </c>
      <c r="E6" s="69" t="s">
        <v>6451</v>
      </c>
      <c r="F6" s="69" t="s">
        <v>6450</v>
      </c>
    </row>
    <row r="7" spans="1:7" x14ac:dyDescent="0.35">
      <c r="A7" s="69" t="s">
        <v>8517</v>
      </c>
      <c r="B7" s="69" t="s">
        <v>8526</v>
      </c>
      <c r="C7" s="69" t="s">
        <v>8527</v>
      </c>
      <c r="D7" s="70">
        <v>36465</v>
      </c>
      <c r="E7" s="69" t="s">
        <v>6451</v>
      </c>
      <c r="F7" s="69" t="s">
        <v>6450</v>
      </c>
    </row>
    <row r="8" spans="1:7" x14ac:dyDescent="0.35">
      <c r="A8" s="69" t="s">
        <v>8517</v>
      </c>
      <c r="B8" s="69" t="s">
        <v>8528</v>
      </c>
      <c r="C8" s="69" t="s">
        <v>8529</v>
      </c>
      <c r="D8" s="70">
        <v>36465</v>
      </c>
      <c r="E8" s="69" t="s">
        <v>6451</v>
      </c>
      <c r="F8" s="69" t="s">
        <v>6450</v>
      </c>
    </row>
    <row r="9" spans="1:7" x14ac:dyDescent="0.35">
      <c r="A9" s="69" t="s">
        <v>8517</v>
      </c>
      <c r="B9" s="69" t="s">
        <v>8530</v>
      </c>
      <c r="C9" s="69" t="s">
        <v>8531</v>
      </c>
      <c r="D9" s="70">
        <v>36465</v>
      </c>
      <c r="E9" s="69" t="s">
        <v>6451</v>
      </c>
      <c r="F9" s="69" t="s">
        <v>6450</v>
      </c>
    </row>
    <row r="10" spans="1:7" x14ac:dyDescent="0.35">
      <c r="A10" s="69" t="s">
        <v>8517</v>
      </c>
      <c r="B10" s="69" t="s">
        <v>8532</v>
      </c>
      <c r="C10" s="69" t="s">
        <v>8533</v>
      </c>
      <c r="D10" s="70">
        <v>36465</v>
      </c>
      <c r="E10" s="69" t="s">
        <v>6451</v>
      </c>
      <c r="F10" s="69" t="s">
        <v>6450</v>
      </c>
    </row>
    <row r="11" spans="1:7" x14ac:dyDescent="0.35">
      <c r="A11" s="69" t="s">
        <v>8534</v>
      </c>
      <c r="B11" s="69" t="s">
        <v>766</v>
      </c>
      <c r="C11" s="69" t="s">
        <v>8535</v>
      </c>
      <c r="D11" s="70">
        <v>36465</v>
      </c>
      <c r="E11" s="69" t="s">
        <v>6451</v>
      </c>
      <c r="F11" s="69" t="s">
        <v>6450</v>
      </c>
    </row>
    <row r="12" spans="1:7" x14ac:dyDescent="0.35">
      <c r="A12" s="69" t="s">
        <v>8534</v>
      </c>
      <c r="B12" s="69" t="s">
        <v>8536</v>
      </c>
      <c r="C12" s="69" t="s">
        <v>8537</v>
      </c>
      <c r="D12" s="70">
        <v>36465</v>
      </c>
      <c r="E12" s="69" t="s">
        <v>6451</v>
      </c>
      <c r="F12" s="69" t="s">
        <v>6450</v>
      </c>
    </row>
    <row r="13" spans="1:7" x14ac:dyDescent="0.35">
      <c r="A13" s="69" t="s">
        <v>8534</v>
      </c>
      <c r="B13" s="69" t="s">
        <v>8538</v>
      </c>
      <c r="C13" s="69" t="s">
        <v>8539</v>
      </c>
      <c r="D13" s="70">
        <v>36465</v>
      </c>
      <c r="E13" s="69" t="s">
        <v>6451</v>
      </c>
      <c r="F13" s="69" t="s">
        <v>6450</v>
      </c>
    </row>
    <row r="14" spans="1:7" x14ac:dyDescent="0.35">
      <c r="A14" s="69" t="s">
        <v>8534</v>
      </c>
      <c r="B14" s="69" t="s">
        <v>8540</v>
      </c>
      <c r="C14" s="69" t="s">
        <v>8541</v>
      </c>
      <c r="D14" s="70">
        <v>36465</v>
      </c>
      <c r="E14" s="69" t="s">
        <v>6451</v>
      </c>
      <c r="F14" s="69" t="s">
        <v>6450</v>
      </c>
    </row>
    <row r="15" spans="1:7" x14ac:dyDescent="0.35">
      <c r="A15" s="69" t="s">
        <v>8534</v>
      </c>
      <c r="B15" s="69" t="s">
        <v>8542</v>
      </c>
      <c r="C15" s="69" t="s">
        <v>8543</v>
      </c>
      <c r="D15" s="70">
        <v>36465</v>
      </c>
      <c r="E15" s="69" t="s">
        <v>6451</v>
      </c>
      <c r="F15" s="69" t="s">
        <v>6450</v>
      </c>
    </row>
    <row r="16" spans="1:7" x14ac:dyDescent="0.35">
      <c r="A16" s="69" t="s">
        <v>8534</v>
      </c>
      <c r="B16" s="69" t="s">
        <v>8544</v>
      </c>
      <c r="C16" s="69" t="s">
        <v>8545</v>
      </c>
      <c r="D16" s="70">
        <v>36465</v>
      </c>
      <c r="E16" s="69" t="s">
        <v>6451</v>
      </c>
      <c r="F16" s="69" t="s">
        <v>6450</v>
      </c>
    </row>
    <row r="17" spans="1:6" x14ac:dyDescent="0.35">
      <c r="A17" s="69" t="s">
        <v>8534</v>
      </c>
      <c r="B17" s="69" t="s">
        <v>8546</v>
      </c>
      <c r="C17" s="69" t="s">
        <v>8547</v>
      </c>
      <c r="D17" s="70">
        <v>36465</v>
      </c>
      <c r="E17" s="69" t="s">
        <v>6451</v>
      </c>
      <c r="F17" s="69" t="s">
        <v>6450</v>
      </c>
    </row>
    <row r="18" spans="1:6" x14ac:dyDescent="0.35">
      <c r="A18" s="69" t="s">
        <v>8534</v>
      </c>
      <c r="B18" s="69" t="s">
        <v>8548</v>
      </c>
      <c r="C18" s="69" t="s">
        <v>8549</v>
      </c>
      <c r="D18" s="70">
        <v>36465</v>
      </c>
      <c r="E18" s="69" t="s">
        <v>6451</v>
      </c>
      <c r="F18" s="69" t="s">
        <v>6450</v>
      </c>
    </row>
    <row r="19" spans="1:6" x14ac:dyDescent="0.35">
      <c r="A19" s="69" t="s">
        <v>8534</v>
      </c>
      <c r="B19" s="69" t="s">
        <v>2006</v>
      </c>
      <c r="C19" s="69" t="s">
        <v>8550</v>
      </c>
      <c r="D19" s="70">
        <v>36465</v>
      </c>
      <c r="E19" s="69" t="s">
        <v>6451</v>
      </c>
      <c r="F19" s="69" t="s">
        <v>6450</v>
      </c>
    </row>
    <row r="20" spans="1:6" x14ac:dyDescent="0.35">
      <c r="A20" s="69" t="s">
        <v>8534</v>
      </c>
      <c r="B20" s="69" t="s">
        <v>2458</v>
      </c>
      <c r="C20" s="69" t="s">
        <v>8551</v>
      </c>
      <c r="D20" s="70">
        <v>36465</v>
      </c>
      <c r="E20" s="69" t="s">
        <v>6451</v>
      </c>
      <c r="F20" s="69" t="s">
        <v>6450</v>
      </c>
    </row>
    <row r="21" spans="1:6" x14ac:dyDescent="0.35">
      <c r="A21" s="69" t="s">
        <v>8534</v>
      </c>
      <c r="B21" s="69" t="s">
        <v>8552</v>
      </c>
      <c r="C21" s="69" t="s">
        <v>8553</v>
      </c>
      <c r="D21" s="70">
        <v>36465</v>
      </c>
      <c r="E21" s="69" t="s">
        <v>6451</v>
      </c>
      <c r="F21" s="69" t="s">
        <v>6450</v>
      </c>
    </row>
    <row r="22" spans="1:6" x14ac:dyDescent="0.35">
      <c r="A22" s="69" t="s">
        <v>8534</v>
      </c>
      <c r="B22" s="69" t="s">
        <v>8554</v>
      </c>
      <c r="C22" s="69" t="s">
        <v>8555</v>
      </c>
      <c r="D22" s="70">
        <v>36465</v>
      </c>
      <c r="E22" s="69" t="s">
        <v>6451</v>
      </c>
      <c r="F22" s="69" t="s">
        <v>6450</v>
      </c>
    </row>
    <row r="23" spans="1:6" x14ac:dyDescent="0.35">
      <c r="A23" s="69" t="s">
        <v>8534</v>
      </c>
      <c r="B23" s="69" t="s">
        <v>8556</v>
      </c>
      <c r="C23" s="69" t="s">
        <v>8557</v>
      </c>
      <c r="D23" s="70">
        <v>36465</v>
      </c>
      <c r="E23" s="69" t="s">
        <v>6451</v>
      </c>
      <c r="F23" s="69" t="s">
        <v>6450</v>
      </c>
    </row>
    <row r="24" spans="1:6" x14ac:dyDescent="0.35">
      <c r="A24" s="69" t="s">
        <v>8534</v>
      </c>
      <c r="B24" s="69" t="s">
        <v>8558</v>
      </c>
      <c r="C24" s="69" t="s">
        <v>8559</v>
      </c>
      <c r="D24" s="70">
        <v>44173</v>
      </c>
      <c r="E24" s="69" t="s">
        <v>6451</v>
      </c>
      <c r="F24" s="69" t="s">
        <v>6450</v>
      </c>
    </row>
    <row r="25" spans="1:6" x14ac:dyDescent="0.35">
      <c r="A25" s="69" t="s">
        <v>8534</v>
      </c>
      <c r="B25" s="69" t="s">
        <v>8560</v>
      </c>
      <c r="C25" s="69" t="s">
        <v>8561</v>
      </c>
      <c r="D25" s="70">
        <v>36465</v>
      </c>
      <c r="E25" s="69" t="s">
        <v>6451</v>
      </c>
      <c r="F25" s="69" t="s">
        <v>6450</v>
      </c>
    </row>
    <row r="26" spans="1:6" x14ac:dyDescent="0.35">
      <c r="A26" s="69" t="s">
        <v>8534</v>
      </c>
      <c r="B26" s="69" t="s">
        <v>8562</v>
      </c>
      <c r="C26" s="69" t="s">
        <v>8563</v>
      </c>
      <c r="D26" s="70">
        <v>36465</v>
      </c>
      <c r="E26" s="69" t="s">
        <v>6451</v>
      </c>
      <c r="F26" s="69" t="s">
        <v>6450</v>
      </c>
    </row>
    <row r="27" spans="1:6" x14ac:dyDescent="0.35">
      <c r="A27" s="69" t="s">
        <v>8534</v>
      </c>
      <c r="B27" s="69" t="s">
        <v>3183</v>
      </c>
      <c r="C27" s="69" t="s">
        <v>8564</v>
      </c>
      <c r="D27" s="70">
        <v>38443</v>
      </c>
      <c r="E27" s="69" t="s">
        <v>6451</v>
      </c>
      <c r="F27" s="69" t="s">
        <v>6450</v>
      </c>
    </row>
    <row r="28" spans="1:6" x14ac:dyDescent="0.35">
      <c r="A28" s="69" t="s">
        <v>8534</v>
      </c>
      <c r="B28" s="69" t="s">
        <v>8565</v>
      </c>
      <c r="C28" s="69" t="s">
        <v>8566</v>
      </c>
      <c r="D28" s="70">
        <v>36465</v>
      </c>
      <c r="E28" s="69" t="s">
        <v>6451</v>
      </c>
      <c r="F28" s="69" t="s">
        <v>6450</v>
      </c>
    </row>
    <row r="29" spans="1:6" x14ac:dyDescent="0.35">
      <c r="A29" s="69" t="s">
        <v>8534</v>
      </c>
      <c r="B29" s="69" t="s">
        <v>8567</v>
      </c>
      <c r="C29" s="69" t="s">
        <v>8568</v>
      </c>
      <c r="D29" s="70">
        <v>36465</v>
      </c>
      <c r="E29" s="69" t="s">
        <v>6451</v>
      </c>
      <c r="F29" s="69" t="s">
        <v>6450</v>
      </c>
    </row>
    <row r="30" spans="1:6" x14ac:dyDescent="0.35">
      <c r="A30" s="69" t="s">
        <v>8569</v>
      </c>
      <c r="B30" s="69" t="s">
        <v>1215</v>
      </c>
      <c r="C30" s="69" t="s">
        <v>8570</v>
      </c>
      <c r="D30" s="70">
        <v>36465</v>
      </c>
      <c r="E30" s="69" t="s">
        <v>6451</v>
      </c>
      <c r="F30" s="69" t="s">
        <v>6450</v>
      </c>
    </row>
    <row r="31" spans="1:6" x14ac:dyDescent="0.35">
      <c r="A31" s="69" t="s">
        <v>8569</v>
      </c>
      <c r="B31" s="69" t="s">
        <v>2234</v>
      </c>
      <c r="C31" s="69" t="s">
        <v>8571</v>
      </c>
      <c r="D31" s="70">
        <v>36465</v>
      </c>
      <c r="E31" s="69" t="s">
        <v>6451</v>
      </c>
      <c r="F31" s="69" t="s">
        <v>6450</v>
      </c>
    </row>
    <row r="32" spans="1:6" x14ac:dyDescent="0.35">
      <c r="A32" s="69" t="s">
        <v>8569</v>
      </c>
      <c r="B32" s="69" t="s">
        <v>2201</v>
      </c>
      <c r="C32" s="69" t="s">
        <v>8572</v>
      </c>
      <c r="D32" s="70">
        <v>36465</v>
      </c>
      <c r="E32" s="69" t="s">
        <v>6451</v>
      </c>
      <c r="F32" s="69" t="s">
        <v>6450</v>
      </c>
    </row>
    <row r="33" spans="1:6" x14ac:dyDescent="0.35">
      <c r="A33" s="69" t="s">
        <v>8569</v>
      </c>
      <c r="B33" s="69" t="s">
        <v>1077</v>
      </c>
      <c r="C33" s="69" t="s">
        <v>8573</v>
      </c>
      <c r="D33" s="70">
        <v>36465</v>
      </c>
      <c r="E33" s="69" t="s">
        <v>6451</v>
      </c>
      <c r="F33" s="69" t="s">
        <v>6450</v>
      </c>
    </row>
    <row r="34" spans="1:6" x14ac:dyDescent="0.35">
      <c r="A34" s="69" t="s">
        <v>8569</v>
      </c>
      <c r="B34" s="69" t="s">
        <v>8574</v>
      </c>
      <c r="C34" s="69" t="s">
        <v>8575</v>
      </c>
      <c r="D34" s="70">
        <v>36465</v>
      </c>
      <c r="E34" s="69" t="s">
        <v>6451</v>
      </c>
      <c r="F34" s="69" t="s">
        <v>6450</v>
      </c>
    </row>
    <row r="35" spans="1:6" x14ac:dyDescent="0.35">
      <c r="A35" s="69" t="s">
        <v>8576</v>
      </c>
      <c r="B35" s="69" t="s">
        <v>8577</v>
      </c>
      <c r="C35" s="69" t="s">
        <v>8578</v>
      </c>
      <c r="D35" s="70">
        <v>36465</v>
      </c>
      <c r="E35" s="69" t="s">
        <v>6451</v>
      </c>
      <c r="F35" s="69" t="s">
        <v>6450</v>
      </c>
    </row>
    <row r="36" spans="1:6" x14ac:dyDescent="0.35">
      <c r="A36" s="69" t="s">
        <v>8576</v>
      </c>
      <c r="B36" s="69" t="s">
        <v>3319</v>
      </c>
      <c r="C36" s="69" t="s">
        <v>6323</v>
      </c>
      <c r="D36" s="70">
        <v>44173</v>
      </c>
      <c r="E36" s="69" t="s">
        <v>6451</v>
      </c>
      <c r="F36" s="69" t="s">
        <v>6450</v>
      </c>
    </row>
    <row r="37" spans="1:6" x14ac:dyDescent="0.35">
      <c r="A37" s="69" t="s">
        <v>8576</v>
      </c>
      <c r="B37" s="69" t="s">
        <v>8579</v>
      </c>
      <c r="C37" s="69" t="s">
        <v>8580</v>
      </c>
      <c r="D37" s="70">
        <v>36465</v>
      </c>
      <c r="E37" s="69" t="s">
        <v>6451</v>
      </c>
      <c r="F37" s="69" t="s">
        <v>6450</v>
      </c>
    </row>
    <row r="38" spans="1:6" x14ac:dyDescent="0.35">
      <c r="A38" s="69" t="s">
        <v>7775</v>
      </c>
      <c r="B38" s="69" t="s">
        <v>6181</v>
      </c>
      <c r="C38" s="69" t="s">
        <v>8581</v>
      </c>
      <c r="D38" s="70">
        <v>44173</v>
      </c>
      <c r="E38" s="69" t="s">
        <v>6451</v>
      </c>
      <c r="F38" s="69" t="s">
        <v>6450</v>
      </c>
    </row>
    <row r="39" spans="1:6" x14ac:dyDescent="0.35">
      <c r="A39" s="69" t="s">
        <v>7775</v>
      </c>
      <c r="B39" s="69" t="s">
        <v>8582</v>
      </c>
      <c r="C39" s="69" t="s">
        <v>8583</v>
      </c>
      <c r="D39" s="70">
        <v>36465</v>
      </c>
      <c r="E39" s="69" t="s">
        <v>6451</v>
      </c>
      <c r="F39" s="69" t="s">
        <v>6450</v>
      </c>
    </row>
    <row r="40" spans="1:6" x14ac:dyDescent="0.35">
      <c r="A40" s="69" t="s">
        <v>7775</v>
      </c>
      <c r="B40" s="69" t="s">
        <v>8584</v>
      </c>
      <c r="C40" s="69" t="s">
        <v>8585</v>
      </c>
      <c r="D40" s="70">
        <v>36465</v>
      </c>
      <c r="E40" s="69" t="s">
        <v>6451</v>
      </c>
      <c r="F40" s="69" t="s">
        <v>6450</v>
      </c>
    </row>
    <row r="41" spans="1:6" x14ac:dyDescent="0.35">
      <c r="A41" s="69" t="s">
        <v>7775</v>
      </c>
      <c r="B41" s="69" t="s">
        <v>8586</v>
      </c>
      <c r="C41" s="69" t="s">
        <v>8587</v>
      </c>
      <c r="D41" s="70">
        <v>36465</v>
      </c>
      <c r="E41" s="69" t="s">
        <v>6451</v>
      </c>
      <c r="F41" s="69" t="s">
        <v>6450</v>
      </c>
    </row>
    <row r="42" spans="1:6" x14ac:dyDescent="0.35">
      <c r="A42" s="69" t="s">
        <v>7775</v>
      </c>
      <c r="B42" s="69" t="s">
        <v>2075</v>
      </c>
      <c r="C42" s="69" t="s">
        <v>8588</v>
      </c>
      <c r="D42" s="70">
        <v>36465</v>
      </c>
      <c r="E42" s="69" t="s">
        <v>6451</v>
      </c>
      <c r="F42" s="69" t="s">
        <v>6450</v>
      </c>
    </row>
    <row r="43" spans="1:6" x14ac:dyDescent="0.35">
      <c r="A43" s="69" t="s">
        <v>7775</v>
      </c>
      <c r="B43" s="69" t="s">
        <v>8589</v>
      </c>
      <c r="C43" s="69" t="s">
        <v>8590</v>
      </c>
      <c r="D43" s="70">
        <v>36465</v>
      </c>
      <c r="E43" s="69" t="s">
        <v>6451</v>
      </c>
      <c r="F43" s="69" t="s">
        <v>6450</v>
      </c>
    </row>
    <row r="44" spans="1:6" x14ac:dyDescent="0.35">
      <c r="A44" s="69" t="s">
        <v>7775</v>
      </c>
      <c r="B44" s="69" t="s">
        <v>8591</v>
      </c>
      <c r="C44" s="69" t="s">
        <v>8592</v>
      </c>
      <c r="D44" s="70">
        <v>36465</v>
      </c>
      <c r="E44" s="69" t="s">
        <v>6451</v>
      </c>
      <c r="F44" s="69" t="s">
        <v>6450</v>
      </c>
    </row>
    <row r="45" spans="1:6" x14ac:dyDescent="0.35">
      <c r="A45" s="69" t="s">
        <v>7777</v>
      </c>
      <c r="B45" s="69" t="s">
        <v>8593</v>
      </c>
      <c r="C45" s="69" t="s">
        <v>8594</v>
      </c>
      <c r="D45" s="70">
        <v>36465</v>
      </c>
      <c r="E45" s="69" t="s">
        <v>6451</v>
      </c>
      <c r="F45" s="69" t="s">
        <v>6450</v>
      </c>
    </row>
    <row r="46" spans="1:6" x14ac:dyDescent="0.35">
      <c r="A46" s="69" t="s">
        <v>7777</v>
      </c>
      <c r="B46" s="69" t="s">
        <v>1002</v>
      </c>
      <c r="C46" s="69" t="s">
        <v>8595</v>
      </c>
      <c r="D46" s="70">
        <v>36465</v>
      </c>
      <c r="E46" s="69" t="s">
        <v>6451</v>
      </c>
      <c r="F46" s="69" t="s">
        <v>6450</v>
      </c>
    </row>
    <row r="47" spans="1:6" x14ac:dyDescent="0.35">
      <c r="A47" s="69" t="s">
        <v>7777</v>
      </c>
      <c r="B47" s="69" t="s">
        <v>8596</v>
      </c>
      <c r="C47" s="69" t="s">
        <v>8597</v>
      </c>
      <c r="D47" s="70">
        <v>36465</v>
      </c>
      <c r="E47" s="69" t="s">
        <v>6451</v>
      </c>
      <c r="F47" s="69" t="s">
        <v>6450</v>
      </c>
    </row>
    <row r="48" spans="1:6" x14ac:dyDescent="0.35">
      <c r="A48" s="69" t="s">
        <v>7777</v>
      </c>
      <c r="B48" s="69" t="s">
        <v>8598</v>
      </c>
      <c r="C48" s="69" t="s">
        <v>8599</v>
      </c>
      <c r="D48" s="70">
        <v>36465</v>
      </c>
      <c r="E48" s="69" t="s">
        <v>6451</v>
      </c>
      <c r="F48" s="69" t="s">
        <v>6450</v>
      </c>
    </row>
    <row r="49" spans="1:6" x14ac:dyDescent="0.35">
      <c r="A49" s="69" t="s">
        <v>7777</v>
      </c>
      <c r="B49" s="69" t="s">
        <v>676</v>
      </c>
      <c r="C49" s="69" t="s">
        <v>8600</v>
      </c>
      <c r="D49" s="70">
        <v>36465</v>
      </c>
      <c r="E49" s="69" t="s">
        <v>6451</v>
      </c>
      <c r="F49" s="69" t="s">
        <v>6450</v>
      </c>
    </row>
    <row r="50" spans="1:6" x14ac:dyDescent="0.35">
      <c r="A50" s="69" t="s">
        <v>7777</v>
      </c>
      <c r="B50" s="69" t="s">
        <v>8601</v>
      </c>
      <c r="C50" s="69" t="s">
        <v>8602</v>
      </c>
      <c r="D50" s="70">
        <v>36465</v>
      </c>
      <c r="E50" s="69" t="s">
        <v>6451</v>
      </c>
      <c r="F50" s="69" t="s">
        <v>6450</v>
      </c>
    </row>
    <row r="51" spans="1:6" x14ac:dyDescent="0.35">
      <c r="A51" s="69" t="s">
        <v>8603</v>
      </c>
      <c r="B51" s="69" t="s">
        <v>8604</v>
      </c>
      <c r="C51" s="69" t="s">
        <v>8605</v>
      </c>
      <c r="D51" s="70">
        <v>36465</v>
      </c>
      <c r="E51" s="69" t="s">
        <v>6451</v>
      </c>
      <c r="F51" s="69" t="s">
        <v>6450</v>
      </c>
    </row>
    <row r="52" spans="1:6" x14ac:dyDescent="0.35">
      <c r="A52" s="69" t="s">
        <v>8603</v>
      </c>
      <c r="B52" s="69" t="s">
        <v>8606</v>
      </c>
      <c r="C52" s="69" t="s">
        <v>8607</v>
      </c>
      <c r="D52" s="70">
        <v>36465</v>
      </c>
      <c r="E52" s="69" t="s">
        <v>6451</v>
      </c>
      <c r="F52" s="69" t="s">
        <v>6450</v>
      </c>
    </row>
    <row r="53" spans="1:6" x14ac:dyDescent="0.35">
      <c r="A53" s="69" t="s">
        <v>8603</v>
      </c>
      <c r="B53" s="69" t="s">
        <v>6782</v>
      </c>
      <c r="C53" s="69" t="s">
        <v>8608</v>
      </c>
      <c r="D53" s="70">
        <v>36465</v>
      </c>
      <c r="E53" s="69" t="s">
        <v>6451</v>
      </c>
      <c r="F53" s="69" t="s">
        <v>6450</v>
      </c>
    </row>
    <row r="54" spans="1:6" x14ac:dyDescent="0.35">
      <c r="A54" s="69" t="s">
        <v>8603</v>
      </c>
      <c r="B54" s="69" t="s">
        <v>5752</v>
      </c>
      <c r="C54" s="69" t="s">
        <v>8609</v>
      </c>
      <c r="D54" s="70">
        <v>36465</v>
      </c>
      <c r="E54" s="69" t="s">
        <v>6451</v>
      </c>
      <c r="F54" s="69" t="s">
        <v>6450</v>
      </c>
    </row>
    <row r="55" spans="1:6" x14ac:dyDescent="0.35">
      <c r="A55" s="69" t="s">
        <v>8603</v>
      </c>
      <c r="B55" s="69" t="s">
        <v>600</v>
      </c>
      <c r="C55" s="69" t="s">
        <v>8610</v>
      </c>
      <c r="D55" s="70">
        <v>36465</v>
      </c>
      <c r="E55" s="69" t="s">
        <v>6451</v>
      </c>
      <c r="F55" s="69" t="s">
        <v>6450</v>
      </c>
    </row>
    <row r="56" spans="1:6" x14ac:dyDescent="0.35">
      <c r="A56" s="69" t="s">
        <v>8603</v>
      </c>
      <c r="B56" s="69" t="s">
        <v>8611</v>
      </c>
      <c r="C56" s="69" t="s">
        <v>8612</v>
      </c>
      <c r="D56" s="70">
        <v>36465</v>
      </c>
      <c r="E56" s="69" t="s">
        <v>6451</v>
      </c>
      <c r="F56" s="69" t="s">
        <v>6450</v>
      </c>
    </row>
    <row r="57" spans="1:6" x14ac:dyDescent="0.35">
      <c r="A57" s="69" t="s">
        <v>8603</v>
      </c>
      <c r="B57" s="69" t="s">
        <v>722</v>
      </c>
      <c r="C57" s="69" t="s">
        <v>8613</v>
      </c>
      <c r="D57" s="70">
        <v>36465</v>
      </c>
      <c r="E57" s="69" t="s">
        <v>6451</v>
      </c>
      <c r="F57" s="69" t="s">
        <v>6450</v>
      </c>
    </row>
    <row r="58" spans="1:6" x14ac:dyDescent="0.35">
      <c r="A58" s="69" t="s">
        <v>8603</v>
      </c>
      <c r="B58" s="69" t="s">
        <v>8614</v>
      </c>
      <c r="C58" s="69" t="s">
        <v>8615</v>
      </c>
      <c r="D58" s="70">
        <v>36465</v>
      </c>
      <c r="E58" s="69" t="s">
        <v>6451</v>
      </c>
      <c r="F58" s="69" t="s">
        <v>6450</v>
      </c>
    </row>
    <row r="59" spans="1:6" x14ac:dyDescent="0.35">
      <c r="A59" s="69" t="s">
        <v>8616</v>
      </c>
      <c r="B59" s="69" t="s">
        <v>1811</v>
      </c>
      <c r="C59" s="69" t="s">
        <v>8617</v>
      </c>
      <c r="D59" s="70">
        <v>36465</v>
      </c>
      <c r="E59" s="69" t="s">
        <v>6451</v>
      </c>
      <c r="F59" s="69" t="s">
        <v>6450</v>
      </c>
    </row>
    <row r="60" spans="1:6" x14ac:dyDescent="0.35">
      <c r="A60" s="69" t="s">
        <v>8616</v>
      </c>
      <c r="B60" s="69" t="s">
        <v>908</v>
      </c>
      <c r="C60" s="69" t="s">
        <v>8618</v>
      </c>
      <c r="D60" s="70">
        <v>36465</v>
      </c>
      <c r="E60" s="69" t="s">
        <v>6451</v>
      </c>
      <c r="F60" s="69" t="s">
        <v>6450</v>
      </c>
    </row>
    <row r="61" spans="1:6" x14ac:dyDescent="0.35">
      <c r="A61" s="69" t="s">
        <v>8616</v>
      </c>
      <c r="B61" s="69" t="s">
        <v>8619</v>
      </c>
      <c r="C61" s="69" t="s">
        <v>8620</v>
      </c>
      <c r="D61" s="70">
        <v>36465</v>
      </c>
      <c r="E61" s="69" t="s">
        <v>6451</v>
      </c>
      <c r="F61" s="69" t="s">
        <v>6450</v>
      </c>
    </row>
    <row r="62" spans="1:6" x14ac:dyDescent="0.35">
      <c r="A62" s="69" t="s">
        <v>8616</v>
      </c>
      <c r="B62" s="69" t="s">
        <v>8621</v>
      </c>
      <c r="C62" s="69" t="s">
        <v>8622</v>
      </c>
      <c r="D62" s="70">
        <v>36465</v>
      </c>
      <c r="E62" s="69" t="s">
        <v>6451</v>
      </c>
      <c r="F62" s="69" t="s">
        <v>6450</v>
      </c>
    </row>
    <row r="63" spans="1:6" x14ac:dyDescent="0.35">
      <c r="A63" s="69" t="s">
        <v>8616</v>
      </c>
      <c r="B63" s="69" t="s">
        <v>8623</v>
      </c>
      <c r="C63" s="69" t="s">
        <v>8624</v>
      </c>
      <c r="D63" s="70">
        <v>36465</v>
      </c>
      <c r="E63" s="69" t="s">
        <v>6451</v>
      </c>
      <c r="F63" s="69" t="s">
        <v>6450</v>
      </c>
    </row>
    <row r="64" spans="1:6" x14ac:dyDescent="0.35">
      <c r="A64" s="69" t="s">
        <v>8616</v>
      </c>
      <c r="B64" s="69" t="s">
        <v>8625</v>
      </c>
      <c r="C64" s="69" t="s">
        <v>8626</v>
      </c>
      <c r="D64" s="70">
        <v>36465</v>
      </c>
      <c r="E64" s="69" t="s">
        <v>6451</v>
      </c>
      <c r="F64" s="69" t="s">
        <v>6450</v>
      </c>
    </row>
    <row r="65" spans="1:6" x14ac:dyDescent="0.35">
      <c r="A65" s="69" t="s">
        <v>8627</v>
      </c>
      <c r="B65" s="69" t="s">
        <v>8628</v>
      </c>
      <c r="C65" s="69" t="s">
        <v>8629</v>
      </c>
      <c r="D65" s="70">
        <v>36465</v>
      </c>
      <c r="E65" s="69" t="s">
        <v>6451</v>
      </c>
      <c r="F65" s="69" t="s">
        <v>6450</v>
      </c>
    </row>
    <row r="66" spans="1:6" x14ac:dyDescent="0.35">
      <c r="A66" s="69" t="s">
        <v>8627</v>
      </c>
      <c r="B66" s="69" t="s">
        <v>8630</v>
      </c>
      <c r="C66" s="69" t="s">
        <v>8631</v>
      </c>
      <c r="D66" s="70">
        <v>42898</v>
      </c>
      <c r="E66" s="69" t="s">
        <v>6451</v>
      </c>
      <c r="F66" s="69" t="s">
        <v>6450</v>
      </c>
    </row>
    <row r="67" spans="1:6" x14ac:dyDescent="0.35">
      <c r="A67" s="69" t="s">
        <v>8627</v>
      </c>
      <c r="B67" s="69" t="s">
        <v>5835</v>
      </c>
      <c r="C67" s="69" t="s">
        <v>8632</v>
      </c>
      <c r="D67" s="70">
        <v>36465</v>
      </c>
      <c r="E67" s="69" t="s">
        <v>6451</v>
      </c>
      <c r="F67" s="69" t="s">
        <v>6450</v>
      </c>
    </row>
    <row r="68" spans="1:6" x14ac:dyDescent="0.35">
      <c r="A68" s="69" t="s">
        <v>8627</v>
      </c>
      <c r="B68" s="69" t="s">
        <v>2027</v>
      </c>
      <c r="C68" s="69" t="s">
        <v>8633</v>
      </c>
      <c r="D68" s="70">
        <v>36465</v>
      </c>
      <c r="E68" s="69" t="s">
        <v>6451</v>
      </c>
      <c r="F68" s="69" t="s">
        <v>6450</v>
      </c>
    </row>
    <row r="69" spans="1:6" x14ac:dyDescent="0.35">
      <c r="A69" s="69" t="s">
        <v>8627</v>
      </c>
      <c r="B69" s="69" t="s">
        <v>8634</v>
      </c>
      <c r="C69" s="69" t="s">
        <v>8635</v>
      </c>
      <c r="D69" s="70">
        <v>36465</v>
      </c>
      <c r="E69" s="69" t="s">
        <v>6451</v>
      </c>
      <c r="F69" s="69" t="s">
        <v>6450</v>
      </c>
    </row>
    <row r="70" spans="1:6" x14ac:dyDescent="0.35">
      <c r="A70" s="69" t="s">
        <v>8627</v>
      </c>
      <c r="B70" s="69" t="s">
        <v>8636</v>
      </c>
      <c r="C70" s="69" t="s">
        <v>8637</v>
      </c>
      <c r="D70" s="70">
        <v>36465</v>
      </c>
      <c r="E70" s="69" t="s">
        <v>6451</v>
      </c>
      <c r="F70" s="69" t="s">
        <v>6450</v>
      </c>
    </row>
    <row r="71" spans="1:6" x14ac:dyDescent="0.35">
      <c r="A71" s="69" t="s">
        <v>8627</v>
      </c>
      <c r="B71" s="69" t="s">
        <v>8638</v>
      </c>
      <c r="C71" s="69" t="s">
        <v>8639</v>
      </c>
      <c r="D71" s="70">
        <v>36465</v>
      </c>
      <c r="E71" s="69" t="s">
        <v>6451</v>
      </c>
      <c r="F71" s="69" t="s">
        <v>6450</v>
      </c>
    </row>
    <row r="72" spans="1:6" x14ac:dyDescent="0.35">
      <c r="A72" s="69" t="s">
        <v>8627</v>
      </c>
      <c r="B72" s="69" t="s">
        <v>2402</v>
      </c>
      <c r="C72" s="69" t="s">
        <v>8640</v>
      </c>
      <c r="D72" s="70">
        <v>38322</v>
      </c>
      <c r="E72" s="69" t="s">
        <v>6451</v>
      </c>
      <c r="F72" s="69" t="s">
        <v>6450</v>
      </c>
    </row>
    <row r="73" spans="1:6" x14ac:dyDescent="0.35">
      <c r="A73" s="69" t="s">
        <v>8627</v>
      </c>
      <c r="B73" s="69" t="s">
        <v>8641</v>
      </c>
      <c r="C73" s="69" t="s">
        <v>8642</v>
      </c>
      <c r="D73" s="70">
        <v>36465</v>
      </c>
      <c r="E73" s="69" t="s">
        <v>6451</v>
      </c>
      <c r="F73" s="69" t="s">
        <v>6450</v>
      </c>
    </row>
    <row r="74" spans="1:6" x14ac:dyDescent="0.35">
      <c r="A74" s="69" t="s">
        <v>8627</v>
      </c>
      <c r="B74" s="69" t="s">
        <v>1578</v>
      </c>
      <c r="C74" s="69" t="s">
        <v>8643</v>
      </c>
      <c r="D74" s="70">
        <v>36465</v>
      </c>
      <c r="E74" s="69" t="s">
        <v>6451</v>
      </c>
      <c r="F74" s="69" t="s">
        <v>6450</v>
      </c>
    </row>
    <row r="75" spans="1:6" x14ac:dyDescent="0.35">
      <c r="A75" s="69" t="s">
        <v>8627</v>
      </c>
      <c r="B75" s="69" t="s">
        <v>1585</v>
      </c>
      <c r="C75" s="69" t="s">
        <v>8644</v>
      </c>
      <c r="D75" s="70">
        <v>36465</v>
      </c>
      <c r="E75" s="69" t="s">
        <v>6451</v>
      </c>
      <c r="F75" s="69" t="s">
        <v>6450</v>
      </c>
    </row>
    <row r="76" spans="1:6" x14ac:dyDescent="0.35">
      <c r="A76" s="69" t="s">
        <v>8627</v>
      </c>
      <c r="B76" s="69" t="s">
        <v>8645</v>
      </c>
      <c r="C76" s="69" t="s">
        <v>8646</v>
      </c>
      <c r="D76" s="70">
        <v>44173</v>
      </c>
      <c r="E76" s="69" t="s">
        <v>6451</v>
      </c>
      <c r="F76" s="69" t="s">
        <v>6450</v>
      </c>
    </row>
    <row r="77" spans="1:6" x14ac:dyDescent="0.35">
      <c r="A77" s="69" t="s">
        <v>8627</v>
      </c>
      <c r="B77" s="69" t="s">
        <v>4580</v>
      </c>
      <c r="C77" s="69" t="s">
        <v>8647</v>
      </c>
      <c r="D77" s="70">
        <v>44173</v>
      </c>
      <c r="E77" s="69" t="s">
        <v>6451</v>
      </c>
      <c r="F77" s="69" t="s">
        <v>6450</v>
      </c>
    </row>
    <row r="78" spans="1:6" x14ac:dyDescent="0.35">
      <c r="A78" s="69" t="s">
        <v>8627</v>
      </c>
      <c r="B78" s="69" t="s">
        <v>5509</v>
      </c>
      <c r="C78" s="69" t="s">
        <v>8648</v>
      </c>
      <c r="D78" s="70">
        <v>44173</v>
      </c>
      <c r="E78" s="69" t="s">
        <v>6451</v>
      </c>
      <c r="F78" s="69" t="s">
        <v>6450</v>
      </c>
    </row>
    <row r="79" spans="1:6" x14ac:dyDescent="0.35">
      <c r="A79" s="69" t="s">
        <v>8627</v>
      </c>
      <c r="B79" s="69" t="s">
        <v>8649</v>
      </c>
      <c r="C79" s="69" t="s">
        <v>8650</v>
      </c>
      <c r="D79" s="70">
        <v>44173</v>
      </c>
      <c r="E79" s="69" t="s">
        <v>6451</v>
      </c>
      <c r="F79" s="69" t="s">
        <v>6450</v>
      </c>
    </row>
    <row r="80" spans="1:6" x14ac:dyDescent="0.35">
      <c r="A80" s="69" t="s">
        <v>8627</v>
      </c>
      <c r="B80" s="69" t="s">
        <v>3300</v>
      </c>
      <c r="C80" s="69" t="s">
        <v>8651</v>
      </c>
      <c r="D80" s="70">
        <v>36465</v>
      </c>
      <c r="E80" s="69" t="s">
        <v>6451</v>
      </c>
      <c r="F80" s="69" t="s">
        <v>6450</v>
      </c>
    </row>
    <row r="81" spans="1:6" x14ac:dyDescent="0.35">
      <c r="A81" s="69" t="s">
        <v>8627</v>
      </c>
      <c r="B81" s="69" t="s">
        <v>2305</v>
      </c>
      <c r="C81" s="69" t="s">
        <v>8652</v>
      </c>
      <c r="D81" s="70">
        <v>36465</v>
      </c>
      <c r="E81" s="69" t="s">
        <v>6451</v>
      </c>
      <c r="F81" s="69" t="s">
        <v>6450</v>
      </c>
    </row>
    <row r="82" spans="1:6" x14ac:dyDescent="0.35">
      <c r="A82" s="69" t="s">
        <v>8627</v>
      </c>
      <c r="B82" s="69" t="s">
        <v>8507</v>
      </c>
      <c r="C82" s="69" t="s">
        <v>8507</v>
      </c>
      <c r="D82" s="70">
        <v>36465</v>
      </c>
      <c r="E82" s="69" t="s">
        <v>6451</v>
      </c>
      <c r="F82" s="69" t="s">
        <v>6450</v>
      </c>
    </row>
    <row r="83" spans="1:6" x14ac:dyDescent="0.35">
      <c r="A83" s="69" t="s">
        <v>8627</v>
      </c>
      <c r="B83" s="69" t="s">
        <v>5823</v>
      </c>
      <c r="C83" s="69" t="s">
        <v>8653</v>
      </c>
      <c r="D83" s="70">
        <v>44173</v>
      </c>
      <c r="E83" s="69" t="s">
        <v>6451</v>
      </c>
      <c r="F83" s="69" t="s">
        <v>6450</v>
      </c>
    </row>
    <row r="84" spans="1:6" x14ac:dyDescent="0.35">
      <c r="A84" s="69" t="s">
        <v>8627</v>
      </c>
      <c r="B84" s="69" t="s">
        <v>8654</v>
      </c>
      <c r="C84" s="69" t="s">
        <v>8655</v>
      </c>
      <c r="D84" s="70">
        <v>44173</v>
      </c>
      <c r="E84" s="69">
        <v>4.0999999999999996</v>
      </c>
      <c r="F84" s="69" t="s">
        <v>6450</v>
      </c>
    </row>
    <row r="85" spans="1:6" x14ac:dyDescent="0.35">
      <c r="A85" s="69" t="s">
        <v>8627</v>
      </c>
      <c r="B85" s="69" t="s">
        <v>8656</v>
      </c>
      <c r="C85" s="69" t="s">
        <v>8657</v>
      </c>
      <c r="D85" s="70">
        <v>44173</v>
      </c>
      <c r="E85" s="69" t="s">
        <v>6451</v>
      </c>
      <c r="F85" s="69" t="s">
        <v>6450</v>
      </c>
    </row>
    <row r="86" spans="1:6" x14ac:dyDescent="0.35">
      <c r="A86" s="69" t="s">
        <v>8627</v>
      </c>
      <c r="B86" s="69" t="s">
        <v>8658</v>
      </c>
      <c r="C86" s="69" t="s">
        <v>8659</v>
      </c>
      <c r="D86" s="70">
        <v>44173</v>
      </c>
      <c r="E86" s="69">
        <v>4.0999999999999996</v>
      </c>
      <c r="F86" s="69" t="s">
        <v>6450</v>
      </c>
    </row>
    <row r="87" spans="1:6" x14ac:dyDescent="0.35">
      <c r="A87" s="69" t="s">
        <v>8627</v>
      </c>
      <c r="B87" s="69" t="s">
        <v>5807</v>
      </c>
      <c r="C87" s="69" t="s">
        <v>8660</v>
      </c>
      <c r="D87" s="70">
        <v>36465</v>
      </c>
      <c r="E87" s="69" t="s">
        <v>6451</v>
      </c>
      <c r="F87" s="69" t="s">
        <v>6450</v>
      </c>
    </row>
    <row r="88" spans="1:6" x14ac:dyDescent="0.35">
      <c r="A88" s="69" t="s">
        <v>8627</v>
      </c>
      <c r="B88" s="69" t="s">
        <v>8661</v>
      </c>
      <c r="C88" s="69" t="s">
        <v>8662</v>
      </c>
      <c r="D88" s="70">
        <v>44173</v>
      </c>
      <c r="E88" s="69" t="s">
        <v>6451</v>
      </c>
      <c r="F88" s="69" t="s">
        <v>6450</v>
      </c>
    </row>
    <row r="89" spans="1:6" x14ac:dyDescent="0.35">
      <c r="A89" s="69" t="s">
        <v>8627</v>
      </c>
      <c r="B89" s="69" t="s">
        <v>8663</v>
      </c>
      <c r="C89" s="69" t="s">
        <v>8664</v>
      </c>
      <c r="D89" s="70">
        <v>36465</v>
      </c>
      <c r="E89" s="69" t="s">
        <v>6451</v>
      </c>
      <c r="F89" s="69" t="s">
        <v>6450</v>
      </c>
    </row>
    <row r="90" spans="1:6" x14ac:dyDescent="0.35">
      <c r="A90" s="69" t="s">
        <v>8627</v>
      </c>
      <c r="B90" s="69" t="s">
        <v>8665</v>
      </c>
      <c r="C90" s="69" t="s">
        <v>8665</v>
      </c>
      <c r="D90" s="70">
        <v>36465</v>
      </c>
      <c r="E90" s="69" t="s">
        <v>6451</v>
      </c>
      <c r="F90" s="69" t="s">
        <v>6450</v>
      </c>
    </row>
    <row r="91" spans="1:6" x14ac:dyDescent="0.35">
      <c r="A91" s="69" t="s">
        <v>8666</v>
      </c>
      <c r="B91" s="69" t="s">
        <v>1215</v>
      </c>
      <c r="C91" s="69" t="s">
        <v>8570</v>
      </c>
      <c r="D91" s="70">
        <v>44173</v>
      </c>
      <c r="E91" s="69">
        <v>4.0999999999999996</v>
      </c>
      <c r="F91" s="69" t="s">
        <v>6450</v>
      </c>
    </row>
    <row r="92" spans="1:6" x14ac:dyDescent="0.35">
      <c r="A92" s="69" t="s">
        <v>8666</v>
      </c>
      <c r="B92" s="69" t="s">
        <v>8667</v>
      </c>
      <c r="C92" s="69" t="s">
        <v>8668</v>
      </c>
      <c r="D92" s="70">
        <v>44173</v>
      </c>
      <c r="E92" s="69">
        <v>4.0999999999999996</v>
      </c>
      <c r="F92" s="69" t="s">
        <v>6450</v>
      </c>
    </row>
    <row r="93" spans="1:6" x14ac:dyDescent="0.35">
      <c r="A93" s="69" t="s">
        <v>7853</v>
      </c>
      <c r="B93" s="69" t="s">
        <v>2318</v>
      </c>
      <c r="C93" s="69" t="s">
        <v>2318</v>
      </c>
      <c r="D93" s="70">
        <v>36465</v>
      </c>
      <c r="E93" s="69" t="s">
        <v>6451</v>
      </c>
      <c r="F93" s="69" t="s">
        <v>6450</v>
      </c>
    </row>
    <row r="94" spans="1:6" x14ac:dyDescent="0.35">
      <c r="A94" s="69" t="s">
        <v>7853</v>
      </c>
      <c r="B94" s="69" t="s">
        <v>3703</v>
      </c>
      <c r="C94" s="69" t="s">
        <v>8669</v>
      </c>
      <c r="D94" s="70">
        <v>36465</v>
      </c>
      <c r="E94" s="69" t="s">
        <v>6451</v>
      </c>
      <c r="F94" s="69" t="s">
        <v>6450</v>
      </c>
    </row>
    <row r="95" spans="1:6" x14ac:dyDescent="0.35">
      <c r="A95" s="69" t="s">
        <v>7853</v>
      </c>
      <c r="B95" s="69" t="s">
        <v>8670</v>
      </c>
      <c r="C95" s="69" t="s">
        <v>8671</v>
      </c>
      <c r="D95" s="70">
        <v>36465</v>
      </c>
      <c r="E95" s="69" t="s">
        <v>6451</v>
      </c>
      <c r="F95" s="69" t="s">
        <v>6450</v>
      </c>
    </row>
    <row r="96" spans="1:6" x14ac:dyDescent="0.35">
      <c r="A96" s="69" t="s">
        <v>7853</v>
      </c>
      <c r="B96" s="69" t="s">
        <v>8672</v>
      </c>
      <c r="C96" s="69" t="s">
        <v>8673</v>
      </c>
      <c r="D96" s="70">
        <v>36465</v>
      </c>
      <c r="E96" s="69" t="s">
        <v>6451</v>
      </c>
      <c r="F96" s="69" t="s">
        <v>6450</v>
      </c>
    </row>
    <row r="97" spans="1:6" x14ac:dyDescent="0.35">
      <c r="A97" s="69" t="s">
        <v>7853</v>
      </c>
      <c r="B97" s="69" t="s">
        <v>1345</v>
      </c>
      <c r="C97" s="69" t="s">
        <v>8674</v>
      </c>
      <c r="D97" s="70">
        <v>36465</v>
      </c>
      <c r="E97" s="69" t="s">
        <v>6451</v>
      </c>
      <c r="F97" s="69" t="s">
        <v>6450</v>
      </c>
    </row>
    <row r="98" spans="1:6" x14ac:dyDescent="0.35">
      <c r="A98" s="69" t="s">
        <v>7853</v>
      </c>
      <c r="B98" s="69" t="s">
        <v>8675</v>
      </c>
      <c r="C98" s="69" t="s">
        <v>8676</v>
      </c>
      <c r="D98" s="70">
        <v>36465</v>
      </c>
      <c r="E98" s="69" t="s">
        <v>6451</v>
      </c>
      <c r="F98" s="69" t="s">
        <v>6450</v>
      </c>
    </row>
    <row r="99" spans="1:6" x14ac:dyDescent="0.35">
      <c r="A99" s="69" t="s">
        <v>7853</v>
      </c>
      <c r="B99" s="69" t="s">
        <v>8677</v>
      </c>
      <c r="C99" s="69" t="s">
        <v>8678</v>
      </c>
      <c r="D99" s="70">
        <v>36465</v>
      </c>
      <c r="E99" s="69" t="s">
        <v>6451</v>
      </c>
      <c r="F99" s="69" t="s">
        <v>6450</v>
      </c>
    </row>
    <row r="100" spans="1:6" x14ac:dyDescent="0.35">
      <c r="A100" s="69" t="s">
        <v>7853</v>
      </c>
      <c r="B100" s="69" t="s">
        <v>8679</v>
      </c>
      <c r="C100" s="69" t="s">
        <v>8680</v>
      </c>
      <c r="D100" s="70">
        <v>44173</v>
      </c>
      <c r="E100" s="69" t="s">
        <v>6451</v>
      </c>
      <c r="F100" s="69" t="s">
        <v>6450</v>
      </c>
    </row>
    <row r="101" spans="1:6" x14ac:dyDescent="0.35">
      <c r="A101" s="69" t="s">
        <v>7853</v>
      </c>
      <c r="B101" s="69" t="s">
        <v>8681</v>
      </c>
      <c r="C101" s="69" t="s">
        <v>8682</v>
      </c>
      <c r="D101" s="70">
        <v>36465</v>
      </c>
      <c r="E101" s="69" t="s">
        <v>6451</v>
      </c>
      <c r="F101" s="69" t="s">
        <v>6450</v>
      </c>
    </row>
    <row r="102" spans="1:6" x14ac:dyDescent="0.35">
      <c r="A102" s="69" t="s">
        <v>7853</v>
      </c>
      <c r="B102" s="69" t="s">
        <v>1710</v>
      </c>
      <c r="C102" s="69" t="s">
        <v>8683</v>
      </c>
      <c r="D102" s="70">
        <v>36465</v>
      </c>
      <c r="E102" s="69" t="s">
        <v>6451</v>
      </c>
      <c r="F102" s="69" t="s">
        <v>6450</v>
      </c>
    </row>
    <row r="103" spans="1:6" x14ac:dyDescent="0.35">
      <c r="A103" s="69" t="s">
        <v>7853</v>
      </c>
      <c r="B103" s="69" t="s">
        <v>8684</v>
      </c>
      <c r="C103" s="69" t="s">
        <v>8685</v>
      </c>
      <c r="D103" s="70">
        <v>36465</v>
      </c>
      <c r="E103" s="69" t="s">
        <v>6451</v>
      </c>
      <c r="F103" s="69" t="s">
        <v>6450</v>
      </c>
    </row>
    <row r="104" spans="1:6" x14ac:dyDescent="0.35">
      <c r="A104" s="69" t="s">
        <v>7853</v>
      </c>
      <c r="B104" s="69" t="s">
        <v>8686</v>
      </c>
      <c r="C104" s="69" t="s">
        <v>8687</v>
      </c>
      <c r="D104" s="70">
        <v>36465</v>
      </c>
      <c r="E104" s="69" t="s">
        <v>6451</v>
      </c>
      <c r="F104" s="69" t="s">
        <v>6450</v>
      </c>
    </row>
    <row r="105" spans="1:6" x14ac:dyDescent="0.35">
      <c r="A105" s="69" t="s">
        <v>7853</v>
      </c>
      <c r="B105" s="69" t="s">
        <v>8688</v>
      </c>
      <c r="C105" s="69" t="s">
        <v>8689</v>
      </c>
      <c r="D105" s="70">
        <v>36465</v>
      </c>
      <c r="E105" s="69" t="s">
        <v>6451</v>
      </c>
      <c r="F105" s="69" t="s">
        <v>6450</v>
      </c>
    </row>
    <row r="106" spans="1:6" x14ac:dyDescent="0.35">
      <c r="A106" s="69" t="s">
        <v>4161</v>
      </c>
      <c r="B106" s="69" t="s">
        <v>1590</v>
      </c>
      <c r="C106" s="69" t="s">
        <v>8690</v>
      </c>
      <c r="D106" s="70">
        <v>36465</v>
      </c>
      <c r="E106" s="69" t="s">
        <v>6451</v>
      </c>
      <c r="F106" s="69" t="s">
        <v>6450</v>
      </c>
    </row>
    <row r="107" spans="1:6" x14ac:dyDescent="0.35">
      <c r="A107" s="69" t="s">
        <v>4161</v>
      </c>
      <c r="B107" s="69" t="s">
        <v>8691</v>
      </c>
      <c r="C107" s="69" t="s">
        <v>8692</v>
      </c>
      <c r="D107" s="70">
        <v>36465</v>
      </c>
      <c r="E107" s="69" t="s">
        <v>6451</v>
      </c>
      <c r="F107" s="69" t="s">
        <v>6450</v>
      </c>
    </row>
    <row r="108" spans="1:6" x14ac:dyDescent="0.35">
      <c r="A108" s="69" t="s">
        <v>8693</v>
      </c>
      <c r="B108" s="69" t="s">
        <v>8694</v>
      </c>
      <c r="C108" s="69" t="s">
        <v>8695</v>
      </c>
      <c r="D108" s="70">
        <v>44173</v>
      </c>
      <c r="E108" s="69">
        <v>4.0999999999999996</v>
      </c>
      <c r="F108" s="69" t="s">
        <v>6450</v>
      </c>
    </row>
    <row r="109" spans="1:6" x14ac:dyDescent="0.35">
      <c r="A109" s="69" t="s">
        <v>8693</v>
      </c>
      <c r="B109" s="69" t="s">
        <v>4300</v>
      </c>
      <c r="C109" s="69" t="s">
        <v>8696</v>
      </c>
      <c r="D109" s="70">
        <v>44173</v>
      </c>
      <c r="E109" s="69">
        <v>4.0999999999999996</v>
      </c>
      <c r="F109" s="69" t="s">
        <v>6450</v>
      </c>
    </row>
    <row r="110" spans="1:6" x14ac:dyDescent="0.35">
      <c r="A110" s="69" t="s">
        <v>8693</v>
      </c>
      <c r="B110" s="69" t="s">
        <v>8697</v>
      </c>
      <c r="C110" s="69" t="s">
        <v>8698</v>
      </c>
      <c r="D110" s="70">
        <v>44173</v>
      </c>
      <c r="E110" s="69">
        <v>4.0999999999999996</v>
      </c>
      <c r="F110" s="69" t="s">
        <v>6450</v>
      </c>
    </row>
    <row r="111" spans="1:6" x14ac:dyDescent="0.35">
      <c r="A111" s="69" t="s">
        <v>8693</v>
      </c>
      <c r="B111" s="69" t="s">
        <v>8699</v>
      </c>
      <c r="C111" s="69" t="s">
        <v>8700</v>
      </c>
      <c r="D111" s="70">
        <v>44173</v>
      </c>
      <c r="E111" s="69">
        <v>4.0999999999999996</v>
      </c>
      <c r="F111" s="69" t="s">
        <v>6450</v>
      </c>
    </row>
    <row r="112" spans="1:6" x14ac:dyDescent="0.35">
      <c r="A112" s="69" t="s">
        <v>8693</v>
      </c>
      <c r="B112" s="69" t="s">
        <v>8701</v>
      </c>
      <c r="C112" s="69" t="s">
        <v>8702</v>
      </c>
      <c r="D112" s="70">
        <v>44173</v>
      </c>
      <c r="E112" s="69">
        <v>4.0999999999999996</v>
      </c>
      <c r="F112" s="69" t="s">
        <v>6450</v>
      </c>
    </row>
    <row r="113" spans="1:6" x14ac:dyDescent="0.35">
      <c r="A113" s="69" t="s">
        <v>8693</v>
      </c>
      <c r="B113" s="69" t="s">
        <v>4298</v>
      </c>
      <c r="C113" s="69" t="s">
        <v>8703</v>
      </c>
      <c r="D113" s="70">
        <v>44173</v>
      </c>
      <c r="E113" s="69">
        <v>4.0999999999999996</v>
      </c>
      <c r="F113" s="69" t="s">
        <v>6450</v>
      </c>
    </row>
    <row r="114" spans="1:6" x14ac:dyDescent="0.35">
      <c r="A114" s="69" t="s">
        <v>8693</v>
      </c>
      <c r="B114" s="69" t="s">
        <v>8704</v>
      </c>
      <c r="C114" s="69" t="s">
        <v>8705</v>
      </c>
      <c r="D114" s="70">
        <v>44173</v>
      </c>
      <c r="E114" s="69">
        <v>4.0999999999999996</v>
      </c>
      <c r="F114" s="69" t="s">
        <v>6450</v>
      </c>
    </row>
    <row r="115" spans="1:6" x14ac:dyDescent="0.35">
      <c r="A115" s="69" t="s">
        <v>8693</v>
      </c>
      <c r="B115" s="69" t="s">
        <v>8706</v>
      </c>
      <c r="C115" s="69" t="s">
        <v>8707</v>
      </c>
      <c r="D115" s="70">
        <v>44173</v>
      </c>
      <c r="E115" s="69">
        <v>4.0999999999999996</v>
      </c>
      <c r="F115" s="69" t="s">
        <v>6450</v>
      </c>
    </row>
    <row r="116" spans="1:6" x14ac:dyDescent="0.35">
      <c r="A116" s="69" t="s">
        <v>8708</v>
      </c>
      <c r="B116" s="69" t="s">
        <v>1380</v>
      </c>
      <c r="C116" s="69" t="s">
        <v>1380</v>
      </c>
      <c r="D116" s="70">
        <v>36465</v>
      </c>
      <c r="E116" s="69" t="s">
        <v>6451</v>
      </c>
      <c r="F116" s="69" t="s">
        <v>6450</v>
      </c>
    </row>
    <row r="117" spans="1:6" x14ac:dyDescent="0.35">
      <c r="A117" s="69" t="s">
        <v>8708</v>
      </c>
      <c r="B117" s="69" t="s">
        <v>8709</v>
      </c>
      <c r="C117" s="69" t="s">
        <v>8710</v>
      </c>
      <c r="D117" s="70">
        <v>36465</v>
      </c>
      <c r="E117" s="69">
        <v>3.1</v>
      </c>
      <c r="F117" s="69" t="s">
        <v>6450</v>
      </c>
    </row>
    <row r="118" spans="1:6" x14ac:dyDescent="0.35">
      <c r="A118" s="69" t="s">
        <v>8708</v>
      </c>
      <c r="B118" s="69" t="s">
        <v>1416</v>
      </c>
      <c r="C118" s="69" t="s">
        <v>8711</v>
      </c>
      <c r="D118" s="70">
        <v>44173</v>
      </c>
      <c r="E118" s="69" t="s">
        <v>6451</v>
      </c>
      <c r="F118" s="69" t="s">
        <v>6450</v>
      </c>
    </row>
    <row r="119" spans="1:6" x14ac:dyDescent="0.35">
      <c r="A119" s="69" t="s">
        <v>8708</v>
      </c>
      <c r="B119" s="69" t="s">
        <v>8712</v>
      </c>
      <c r="C119" s="69" t="s">
        <v>8711</v>
      </c>
      <c r="D119" s="70">
        <v>36465</v>
      </c>
      <c r="E119" s="69">
        <v>3.1</v>
      </c>
      <c r="F119" s="69" t="s">
        <v>6450</v>
      </c>
    </row>
    <row r="120" spans="1:6" x14ac:dyDescent="0.35">
      <c r="A120" s="69" t="s">
        <v>8708</v>
      </c>
      <c r="B120" s="69" t="s">
        <v>8713</v>
      </c>
      <c r="C120" s="69" t="s">
        <v>8714</v>
      </c>
      <c r="D120" s="70">
        <v>36465</v>
      </c>
      <c r="E120" s="69">
        <v>3.1</v>
      </c>
      <c r="F120" s="69" t="s">
        <v>6450</v>
      </c>
    </row>
    <row r="121" spans="1:6" x14ac:dyDescent="0.35">
      <c r="A121" s="69" t="s">
        <v>8708</v>
      </c>
      <c r="B121" s="69" t="s">
        <v>3601</v>
      </c>
      <c r="C121" s="69" t="s">
        <v>8715</v>
      </c>
      <c r="D121" s="70">
        <v>36465</v>
      </c>
      <c r="E121" s="69" t="s">
        <v>6451</v>
      </c>
      <c r="F121" s="69" t="s">
        <v>6450</v>
      </c>
    </row>
    <row r="122" spans="1:6" x14ac:dyDescent="0.35">
      <c r="A122" s="69" t="s">
        <v>8708</v>
      </c>
      <c r="B122" s="69" t="s">
        <v>893</v>
      </c>
      <c r="C122" s="69" t="s">
        <v>8716</v>
      </c>
      <c r="D122" s="70">
        <v>36465</v>
      </c>
      <c r="E122" s="69" t="s">
        <v>6451</v>
      </c>
      <c r="F122" s="69" t="s">
        <v>6450</v>
      </c>
    </row>
    <row r="123" spans="1:6" x14ac:dyDescent="0.35">
      <c r="A123" s="69" t="s">
        <v>8708</v>
      </c>
      <c r="B123" s="69" t="s">
        <v>8717</v>
      </c>
      <c r="C123" s="69" t="s">
        <v>8717</v>
      </c>
      <c r="D123" s="70">
        <v>36465</v>
      </c>
      <c r="E123" s="69" t="s">
        <v>6451</v>
      </c>
      <c r="F123" s="69" t="s">
        <v>6450</v>
      </c>
    </row>
    <row r="124" spans="1:6" x14ac:dyDescent="0.35">
      <c r="A124" s="69" t="s">
        <v>8708</v>
      </c>
      <c r="B124" s="69" t="s">
        <v>8718</v>
      </c>
      <c r="C124" s="69" t="s">
        <v>8719</v>
      </c>
      <c r="D124" s="70">
        <v>44173</v>
      </c>
      <c r="E124" s="69" t="s">
        <v>6451</v>
      </c>
      <c r="F124" s="69" t="s">
        <v>6450</v>
      </c>
    </row>
    <row r="125" spans="1:6" x14ac:dyDescent="0.35">
      <c r="A125" s="69" t="s">
        <v>8708</v>
      </c>
      <c r="B125" s="69" t="s">
        <v>1698</v>
      </c>
      <c r="C125" s="69" t="s">
        <v>8720</v>
      </c>
      <c r="D125" s="70">
        <v>36465</v>
      </c>
      <c r="E125" s="69" t="s">
        <v>6451</v>
      </c>
      <c r="F125" s="69" t="s">
        <v>6450</v>
      </c>
    </row>
    <row r="126" spans="1:6" x14ac:dyDescent="0.35">
      <c r="A126" s="69" t="s">
        <v>8708</v>
      </c>
      <c r="B126" s="69" t="s">
        <v>3718</v>
      </c>
      <c r="C126" s="69" t="s">
        <v>8721</v>
      </c>
      <c r="D126" s="70">
        <v>44173</v>
      </c>
      <c r="E126" s="69" t="s">
        <v>6451</v>
      </c>
      <c r="F126" s="69" t="s">
        <v>6450</v>
      </c>
    </row>
    <row r="127" spans="1:6" x14ac:dyDescent="0.35">
      <c r="A127" s="69" t="s">
        <v>8708</v>
      </c>
      <c r="B127" s="69" t="s">
        <v>8722</v>
      </c>
      <c r="C127" s="69" t="s">
        <v>8723</v>
      </c>
      <c r="D127" s="70">
        <v>36465</v>
      </c>
      <c r="E127" s="69" t="s">
        <v>6451</v>
      </c>
      <c r="F127" s="69" t="s">
        <v>6450</v>
      </c>
    </row>
    <row r="128" spans="1:6" x14ac:dyDescent="0.35">
      <c r="A128" s="69" t="s">
        <v>8708</v>
      </c>
      <c r="B128" s="69" t="s">
        <v>924</v>
      </c>
      <c r="C128" s="69" t="s">
        <v>8724</v>
      </c>
      <c r="D128" s="70">
        <v>40329</v>
      </c>
      <c r="E128" s="69" t="s">
        <v>6451</v>
      </c>
      <c r="F128" s="69" t="s">
        <v>6450</v>
      </c>
    </row>
    <row r="129" spans="1:6" x14ac:dyDescent="0.35">
      <c r="A129" s="69" t="s">
        <v>8708</v>
      </c>
      <c r="B129" s="69" t="s">
        <v>1421</v>
      </c>
      <c r="C129" s="69" t="s">
        <v>8725</v>
      </c>
      <c r="D129" s="70">
        <v>44173</v>
      </c>
      <c r="E129" s="69" t="s">
        <v>6451</v>
      </c>
      <c r="F129" s="69" t="s">
        <v>6450</v>
      </c>
    </row>
    <row r="130" spans="1:6" x14ac:dyDescent="0.35">
      <c r="A130" s="69" t="s">
        <v>8708</v>
      </c>
      <c r="B130" s="69" t="s">
        <v>1718</v>
      </c>
      <c r="C130" s="69" t="s">
        <v>8726</v>
      </c>
      <c r="D130" s="70">
        <v>44173</v>
      </c>
      <c r="E130" s="69" t="s">
        <v>6451</v>
      </c>
      <c r="F130" s="69" t="s">
        <v>6450</v>
      </c>
    </row>
    <row r="131" spans="1:6" x14ac:dyDescent="0.35">
      <c r="A131" s="69" t="s">
        <v>7896</v>
      </c>
      <c r="B131" s="69" t="s">
        <v>8727</v>
      </c>
      <c r="C131" s="69" t="s">
        <v>8728</v>
      </c>
      <c r="D131" s="70">
        <v>36465</v>
      </c>
      <c r="E131" s="69" t="s">
        <v>6451</v>
      </c>
      <c r="F131" s="69" t="s">
        <v>6450</v>
      </c>
    </row>
    <row r="132" spans="1:6" x14ac:dyDescent="0.35">
      <c r="A132" s="69" t="s">
        <v>7896</v>
      </c>
      <c r="B132" s="69" t="s">
        <v>8729</v>
      </c>
      <c r="C132" s="69" t="s">
        <v>8730</v>
      </c>
      <c r="D132" s="70">
        <v>36465</v>
      </c>
      <c r="E132" s="69" t="s">
        <v>6451</v>
      </c>
      <c r="F132" s="69" t="s">
        <v>6450</v>
      </c>
    </row>
    <row r="133" spans="1:6" x14ac:dyDescent="0.35">
      <c r="A133" s="69" t="s">
        <v>7896</v>
      </c>
      <c r="B133" s="69" t="s">
        <v>8731</v>
      </c>
      <c r="C133" s="69" t="s">
        <v>8732</v>
      </c>
      <c r="D133" s="70">
        <v>36465</v>
      </c>
      <c r="E133" s="69" t="s">
        <v>6451</v>
      </c>
      <c r="F133" s="69" t="s">
        <v>6450</v>
      </c>
    </row>
    <row r="134" spans="1:6" x14ac:dyDescent="0.35">
      <c r="A134" s="69" t="s">
        <v>7896</v>
      </c>
      <c r="B134" s="69" t="s">
        <v>8733</v>
      </c>
      <c r="C134" s="69" t="s">
        <v>8734</v>
      </c>
      <c r="D134" s="70">
        <v>44173</v>
      </c>
      <c r="E134" s="69" t="s">
        <v>6451</v>
      </c>
      <c r="F134" s="69" t="s">
        <v>6450</v>
      </c>
    </row>
    <row r="135" spans="1:6" x14ac:dyDescent="0.35">
      <c r="A135" s="69" t="s">
        <v>7896</v>
      </c>
      <c r="B135" s="69" t="s">
        <v>8735</v>
      </c>
      <c r="C135" s="69" t="s">
        <v>8736</v>
      </c>
      <c r="D135" s="70">
        <v>44173</v>
      </c>
      <c r="E135" s="69" t="s">
        <v>6451</v>
      </c>
      <c r="F135" s="69" t="s">
        <v>6450</v>
      </c>
    </row>
    <row r="136" spans="1:6" x14ac:dyDescent="0.35">
      <c r="A136" s="69" t="s">
        <v>7896</v>
      </c>
      <c r="B136" s="69" t="s">
        <v>1706</v>
      </c>
      <c r="C136" s="69" t="s">
        <v>8737</v>
      </c>
      <c r="D136" s="70">
        <v>36465</v>
      </c>
      <c r="E136" s="69" t="s">
        <v>6451</v>
      </c>
      <c r="F136" s="69" t="s">
        <v>6450</v>
      </c>
    </row>
    <row r="137" spans="1:6" x14ac:dyDescent="0.35">
      <c r="A137" s="69" t="s">
        <v>7896</v>
      </c>
      <c r="B137" s="69" t="s">
        <v>5966</v>
      </c>
      <c r="C137" s="69" t="s">
        <v>8738</v>
      </c>
      <c r="D137" s="70">
        <v>44173</v>
      </c>
      <c r="E137" s="69" t="s">
        <v>6451</v>
      </c>
      <c r="F137" s="69" t="s">
        <v>6450</v>
      </c>
    </row>
    <row r="138" spans="1:6" x14ac:dyDescent="0.35">
      <c r="A138" s="69" t="s">
        <v>7896</v>
      </c>
      <c r="B138" s="69" t="s">
        <v>5700</v>
      </c>
      <c r="C138" s="69" t="s">
        <v>8739</v>
      </c>
      <c r="D138" s="70">
        <v>36465</v>
      </c>
      <c r="E138" s="69" t="s">
        <v>6451</v>
      </c>
      <c r="F138" s="69" t="s">
        <v>6450</v>
      </c>
    </row>
    <row r="139" spans="1:6" x14ac:dyDescent="0.35">
      <c r="A139" s="69" t="s">
        <v>7896</v>
      </c>
      <c r="B139" s="69" t="s">
        <v>8740</v>
      </c>
      <c r="C139" s="69" t="s">
        <v>8741</v>
      </c>
      <c r="D139" s="70">
        <v>36465</v>
      </c>
      <c r="E139" s="69" t="s">
        <v>6451</v>
      </c>
      <c r="F139" s="69" t="s">
        <v>6450</v>
      </c>
    </row>
    <row r="140" spans="1:6" x14ac:dyDescent="0.35">
      <c r="A140" s="69" t="s">
        <v>7902</v>
      </c>
      <c r="B140" s="69" t="s">
        <v>4630</v>
      </c>
      <c r="C140" s="69" t="s">
        <v>8742</v>
      </c>
      <c r="D140" s="70">
        <v>36465</v>
      </c>
      <c r="E140" s="69" t="s">
        <v>6451</v>
      </c>
      <c r="F140" s="69" t="s">
        <v>6450</v>
      </c>
    </row>
    <row r="141" spans="1:6" x14ac:dyDescent="0.35">
      <c r="A141" s="69" t="s">
        <v>7902</v>
      </c>
      <c r="B141" s="69" t="s">
        <v>8743</v>
      </c>
      <c r="C141" s="69" t="s">
        <v>8744</v>
      </c>
      <c r="D141" s="70">
        <v>36465</v>
      </c>
      <c r="E141" s="69" t="s">
        <v>6451</v>
      </c>
      <c r="F141" s="69" t="s">
        <v>6450</v>
      </c>
    </row>
    <row r="142" spans="1:6" x14ac:dyDescent="0.35">
      <c r="A142" s="69" t="s">
        <v>7902</v>
      </c>
      <c r="B142" s="69" t="s">
        <v>8745</v>
      </c>
      <c r="C142" s="69" t="s">
        <v>8746</v>
      </c>
      <c r="D142" s="70">
        <v>36465</v>
      </c>
      <c r="E142" s="69" t="s">
        <v>6451</v>
      </c>
      <c r="F142" s="69" t="s">
        <v>6450</v>
      </c>
    </row>
    <row r="143" spans="1:6" x14ac:dyDescent="0.35">
      <c r="A143" s="69" t="s">
        <v>7902</v>
      </c>
      <c r="B143" s="69" t="s">
        <v>8747</v>
      </c>
      <c r="C143" s="69" t="s">
        <v>8748</v>
      </c>
      <c r="D143" s="70">
        <v>36465</v>
      </c>
      <c r="E143" s="69" t="s">
        <v>6451</v>
      </c>
      <c r="F143" s="69" t="s">
        <v>6450</v>
      </c>
    </row>
    <row r="144" spans="1:6" x14ac:dyDescent="0.35">
      <c r="A144" s="69" t="s">
        <v>7902</v>
      </c>
      <c r="B144" s="69" t="s">
        <v>6329</v>
      </c>
      <c r="C144" s="69" t="s">
        <v>8749</v>
      </c>
      <c r="D144" s="70">
        <v>36465</v>
      </c>
      <c r="E144" s="69" t="s">
        <v>6451</v>
      </c>
      <c r="F144" s="69" t="s">
        <v>6450</v>
      </c>
    </row>
    <row r="145" spans="1:6" x14ac:dyDescent="0.35">
      <c r="A145" s="69" t="s">
        <v>7902</v>
      </c>
      <c r="B145" s="69" t="s">
        <v>8750</v>
      </c>
      <c r="C145" s="69" t="s">
        <v>8751</v>
      </c>
      <c r="D145" s="70">
        <v>36465</v>
      </c>
      <c r="E145" s="69" t="s">
        <v>6451</v>
      </c>
      <c r="F145" s="69" t="s">
        <v>6450</v>
      </c>
    </row>
    <row r="146" spans="1:6" x14ac:dyDescent="0.35">
      <c r="A146" s="69" t="s">
        <v>7902</v>
      </c>
      <c r="B146" s="69" t="s">
        <v>2598</v>
      </c>
      <c r="C146" s="69" t="s">
        <v>8752</v>
      </c>
      <c r="D146" s="70">
        <v>44173</v>
      </c>
      <c r="E146" s="69" t="s">
        <v>6451</v>
      </c>
      <c r="F146" s="69" t="s">
        <v>6450</v>
      </c>
    </row>
    <row r="147" spans="1:6" x14ac:dyDescent="0.35">
      <c r="A147" s="69" t="s">
        <v>7902</v>
      </c>
      <c r="B147" s="69" t="s">
        <v>8753</v>
      </c>
      <c r="C147" s="69" t="s">
        <v>8754</v>
      </c>
      <c r="D147" s="70">
        <v>36465</v>
      </c>
      <c r="E147" s="69" t="s">
        <v>6451</v>
      </c>
      <c r="F147" s="69" t="s">
        <v>6450</v>
      </c>
    </row>
  </sheetData>
  <sortState xmlns:xlrd2="http://schemas.microsoft.com/office/spreadsheetml/2017/richdata2" ref="A2:G147">
    <sortCondition ref="A2:A147"/>
    <sortCondition ref="B2:B14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1F085-68CE-4ED7-96FB-D8E5E325A991}">
  <sheetPr codeName="Sheet5"/>
  <dimension ref="A1:D21"/>
  <sheetViews>
    <sheetView workbookViewId="0">
      <selection activeCell="B17" sqref="B17"/>
    </sheetView>
  </sheetViews>
  <sheetFormatPr defaultColWidth="9.1796875" defaultRowHeight="14.5" x14ac:dyDescent="0.35"/>
  <cols>
    <col min="1" max="1" width="9.1796875" style="69"/>
    <col min="2" max="2" width="54.7265625" style="69" bestFit="1" customWidth="1"/>
    <col min="3" max="3" width="105.7265625" style="69" customWidth="1"/>
    <col min="4" max="16384" width="9.1796875" style="69"/>
  </cols>
  <sheetData>
    <row r="1" spans="1:4" x14ac:dyDescent="0.35">
      <c r="A1" s="69" t="s">
        <v>8516</v>
      </c>
      <c r="B1" s="69" t="s">
        <v>8755</v>
      </c>
      <c r="C1" s="69" t="s">
        <v>8756</v>
      </c>
      <c r="D1" s="69" t="s">
        <v>6446</v>
      </c>
    </row>
    <row r="2" spans="1:4" x14ac:dyDescent="0.35">
      <c r="A2" s="69" t="s">
        <v>596</v>
      </c>
      <c r="B2" s="69" t="s">
        <v>6558</v>
      </c>
      <c r="C2" s="69" t="s">
        <v>8757</v>
      </c>
      <c r="D2" s="69" t="s">
        <v>6451</v>
      </c>
    </row>
    <row r="3" spans="1:4" x14ac:dyDescent="0.35">
      <c r="A3" s="69" t="s">
        <v>618</v>
      </c>
      <c r="B3" s="69" t="s">
        <v>6561</v>
      </c>
      <c r="C3" s="69" t="s">
        <v>8758</v>
      </c>
      <c r="D3" s="69" t="s">
        <v>6451</v>
      </c>
    </row>
    <row r="4" spans="1:4" x14ac:dyDescent="0.35">
      <c r="A4" s="69" t="s">
        <v>1999</v>
      </c>
      <c r="B4" s="69" t="s">
        <v>6562</v>
      </c>
      <c r="C4" s="69" t="s">
        <v>8759</v>
      </c>
      <c r="D4" s="69" t="s">
        <v>6451</v>
      </c>
    </row>
    <row r="5" spans="1:4" x14ac:dyDescent="0.35">
      <c r="A5" s="69" t="s">
        <v>2004</v>
      </c>
      <c r="B5" s="69" t="s">
        <v>6563</v>
      </c>
      <c r="C5" s="69" t="s">
        <v>8760</v>
      </c>
      <c r="D5" s="69" t="s">
        <v>6451</v>
      </c>
    </row>
    <row r="6" spans="1:4" x14ac:dyDescent="0.35">
      <c r="A6" s="69" t="s">
        <v>608</v>
      </c>
      <c r="B6" s="69" t="s">
        <v>6566</v>
      </c>
      <c r="C6" s="69" t="s">
        <v>8761</v>
      </c>
      <c r="D6" s="69" t="s">
        <v>6451</v>
      </c>
    </row>
    <row r="7" spans="1:4" x14ac:dyDescent="0.35">
      <c r="A7" s="69" t="s">
        <v>1391</v>
      </c>
      <c r="B7" s="69" t="s">
        <v>8762</v>
      </c>
      <c r="C7" s="69" t="s">
        <v>8763</v>
      </c>
      <c r="D7" s="69" t="s">
        <v>6451</v>
      </c>
    </row>
    <row r="8" spans="1:4" x14ac:dyDescent="0.35">
      <c r="A8" s="69" t="s">
        <v>1417</v>
      </c>
      <c r="B8" s="69" t="s">
        <v>8764</v>
      </c>
      <c r="C8" s="69" t="s">
        <v>8765</v>
      </c>
      <c r="D8" s="69" t="s">
        <v>6451</v>
      </c>
    </row>
    <row r="9" spans="1:4" x14ac:dyDescent="0.35">
      <c r="A9" s="69" t="s">
        <v>925</v>
      </c>
      <c r="B9" s="69" t="s">
        <v>6557</v>
      </c>
      <c r="C9" s="69" t="s">
        <v>8766</v>
      </c>
      <c r="D9" s="69">
        <v>4</v>
      </c>
    </row>
    <row r="10" spans="1:4" x14ac:dyDescent="0.35">
      <c r="A10" s="69" t="s">
        <v>925</v>
      </c>
      <c r="B10" s="69" t="s">
        <v>6557</v>
      </c>
      <c r="C10" s="69" t="s">
        <v>8767</v>
      </c>
      <c r="D10" s="69">
        <v>4.0999999999999996</v>
      </c>
    </row>
    <row r="11" spans="1:4" x14ac:dyDescent="0.35">
      <c r="A11" s="69" t="s">
        <v>6559</v>
      </c>
      <c r="B11" s="69" t="s">
        <v>6560</v>
      </c>
      <c r="D11" s="69">
        <v>4</v>
      </c>
    </row>
    <row r="12" spans="1:4" x14ac:dyDescent="0.35">
      <c r="A12" s="69" t="s">
        <v>6559</v>
      </c>
      <c r="B12" s="69" t="s">
        <v>6560</v>
      </c>
      <c r="C12" s="69" t="s">
        <v>8768</v>
      </c>
      <c r="D12" s="69">
        <v>4.0999999999999996</v>
      </c>
    </row>
    <row r="13" spans="1:4" x14ac:dyDescent="0.35">
      <c r="A13" s="69" t="s">
        <v>8769</v>
      </c>
      <c r="B13" s="69" t="s">
        <v>8770</v>
      </c>
      <c r="C13" s="69" t="s">
        <v>8771</v>
      </c>
      <c r="D13" s="69" t="s">
        <v>6451</v>
      </c>
    </row>
    <row r="14" spans="1:4" x14ac:dyDescent="0.35">
      <c r="A14" s="69" t="s">
        <v>8772</v>
      </c>
      <c r="B14" s="69" t="s">
        <v>8773</v>
      </c>
      <c r="C14" s="69" t="s">
        <v>8774</v>
      </c>
      <c r="D14" s="69" t="s">
        <v>6451</v>
      </c>
    </row>
    <row r="15" spans="1:4" x14ac:dyDescent="0.35">
      <c r="A15" s="69" t="s">
        <v>8775</v>
      </c>
      <c r="B15" s="69" t="s">
        <v>8776</v>
      </c>
      <c r="C15" s="69" t="s">
        <v>8777</v>
      </c>
      <c r="D15" s="69" t="s">
        <v>6451</v>
      </c>
    </row>
    <row r="16" spans="1:4" x14ac:dyDescent="0.35">
      <c r="A16" s="69" t="s">
        <v>859</v>
      </c>
      <c r="B16" s="69" t="s">
        <v>8778</v>
      </c>
      <c r="C16" s="69" t="s">
        <v>8779</v>
      </c>
      <c r="D16" s="69">
        <v>4</v>
      </c>
    </row>
    <row r="17" spans="1:4" x14ac:dyDescent="0.35">
      <c r="A17" s="69" t="s">
        <v>859</v>
      </c>
      <c r="B17" s="69" t="s">
        <v>8778</v>
      </c>
      <c r="C17" s="69" t="s">
        <v>8780</v>
      </c>
      <c r="D17" s="69">
        <v>4.0999999999999996</v>
      </c>
    </row>
    <row r="18" spans="1:4" x14ac:dyDescent="0.35">
      <c r="A18" s="69" t="s">
        <v>3966</v>
      </c>
      <c r="B18" s="69" t="s">
        <v>8781</v>
      </c>
      <c r="C18" s="69" t="s">
        <v>8782</v>
      </c>
      <c r="D18" s="69" t="s">
        <v>6451</v>
      </c>
    </row>
    <row r="19" spans="1:4" x14ac:dyDescent="0.35">
      <c r="A19" s="69" t="s">
        <v>674</v>
      </c>
      <c r="B19" s="69" t="s">
        <v>8783</v>
      </c>
      <c r="C19" s="69" t="s">
        <v>8784</v>
      </c>
      <c r="D19" s="69">
        <v>4</v>
      </c>
    </row>
    <row r="20" spans="1:4" x14ac:dyDescent="0.35">
      <c r="A20" s="69" t="s">
        <v>674</v>
      </c>
      <c r="B20" s="69" t="s">
        <v>8783</v>
      </c>
      <c r="C20" s="69" t="s">
        <v>8785</v>
      </c>
      <c r="D20" s="69">
        <v>4.0999999999999996</v>
      </c>
    </row>
    <row r="21" spans="1:4" x14ac:dyDescent="0.35">
      <c r="A21" s="69" t="s">
        <v>5633</v>
      </c>
      <c r="B21" s="69" t="s">
        <v>8786</v>
      </c>
      <c r="C21" s="69" t="s">
        <v>8787</v>
      </c>
      <c r="D21" s="69" t="s">
        <v>6451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FF79109384024CA42AED3F5BD57783" ma:contentTypeVersion="8" ma:contentTypeDescription="Create a new document." ma:contentTypeScope="" ma:versionID="a36c07d8a9595a4f00ca2c2059471b7f">
  <xsd:schema xmlns:xsd="http://www.w3.org/2001/XMLSchema" xmlns:xs="http://www.w3.org/2001/XMLSchema" xmlns:p="http://schemas.microsoft.com/office/2006/metadata/properties" xmlns:ns2="5b1afdfc-8df5-4b5a-a9f3-214e471edd0f" targetNamespace="http://schemas.microsoft.com/office/2006/metadata/properties" ma:root="true" ma:fieldsID="c40cbe901fd55656d4510922e38fdf70" ns2:_="">
    <xsd:import namespace="5b1afdfc-8df5-4b5a-a9f3-214e471edd0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afdfc-8df5-4b5a-a9f3-214e471edd0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0817C4-E066-4E48-80D5-E4C6F3284F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afdfc-8df5-4b5a-a9f3-214e471edd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79264F7-F61E-4894-B841-02BCD1421DC1}">
  <ds:schemaRefs>
    <ds:schemaRef ds:uri="http://schemas.microsoft.com/sharepoint/v3/contenttype/forms"/>
  </ds:schemaRefs>
</ds:datastoreItem>
</file>

<file path=customXml/itemProps3.xml><?xml version="1.0" encoding="utf-8"?>
<ds:datastoreItem xmlns:ds="http://schemas.openxmlformats.org/officeDocument/2006/customXml" ds:itemID="{56889733-C96D-46B8-AC20-C8FD3E3EA86F}">
  <ds:schemaRefs>
    <ds:schemaRef ds:uri="http://purl.org/dc/terms/"/>
    <ds:schemaRef ds:uri="http://schemas.microsoft.com/office/infopath/2007/PartnerControls"/>
    <ds:schemaRef ds:uri="http://www.w3.org/XML/1998/namespace"/>
    <ds:schemaRef ds:uri="http://schemas.microsoft.com/office/2006/documentManagement/types"/>
    <ds:schemaRef ds:uri="http://schemas.openxmlformats.org/package/2006/metadata/core-properties"/>
    <ds:schemaRef ds:uri="http://purl.org/dc/dcmitype/"/>
    <ds:schemaRef ds:uri="http://purl.org/dc/elements/1.1/"/>
    <ds:schemaRef ds:uri="5b1afdfc-8df5-4b5a-a9f3-214e471edd0f"/>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Instructions</vt:lpstr>
      <vt:lpstr>Groups</vt:lpstr>
      <vt:lpstr>GEOL_EXAMPLE</vt:lpstr>
      <vt:lpstr>Headings</vt:lpstr>
      <vt:lpstr>ABBR</vt:lpstr>
      <vt:lpstr>Sheet2</vt:lpstr>
      <vt:lpstr>UNIT</vt:lpstr>
      <vt:lpstr>TYPE</vt:lpstr>
      <vt:lpstr>GroupHeadings</vt:lpstr>
      <vt:lpstr>GroupNames</vt:lpstr>
      <vt:lpstr>Groups!Print_Titles</vt:lpstr>
      <vt:lpstr>Headings!Print_Titles</vt:lpstr>
      <vt:lpstr>Headings!RESC</vt:lpstr>
    </vt:vector>
  </TitlesOfParts>
  <Manager/>
  <Company>Arup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anonymous</dc:creator>
  <cp:keywords/>
  <dc:description/>
  <cp:lastModifiedBy>Phil Wade</cp:lastModifiedBy>
  <cp:revision/>
  <dcterms:created xsi:type="dcterms:W3CDTF">2012-07-26T21:23:18Z</dcterms:created>
  <dcterms:modified xsi:type="dcterms:W3CDTF">2021-08-06T05:21:12Z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0x010100C5FF79109384024CA42AED3F5BD57783</vt:lpwstr>
  </property>
</Properties>
</file>